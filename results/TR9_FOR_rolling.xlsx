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drawings/drawing25.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Override PartName="/xl/drawings/drawing26.xml" ContentType="application/vnd.openxmlformats-officedocument.drawing+xml"/>
  <Override PartName="/xl/charts/chart51.xml" ContentType="application/vnd.openxmlformats-officedocument.drawingml.chart+xml"/>
  <Override PartName="/xl/charts/chart52.xml" ContentType="application/vnd.openxmlformats-officedocument.drawingml.chart+xml"/>
  <Override PartName="/xl/drawings/drawing27.xml" ContentType="application/vnd.openxmlformats-officedocument.drawing+xml"/>
  <Override PartName="/xl/charts/chart53.xml" ContentType="application/vnd.openxmlformats-officedocument.drawingml.chart+xml"/>
  <Override PartName="/xl/charts/chart54.xml" ContentType="application/vnd.openxmlformats-officedocument.drawingml.chart+xml"/>
  <Override PartName="/xl/drawings/drawing28.xml" ContentType="application/vnd.openxmlformats-officedocument.drawing+xml"/>
  <Override PartName="/xl/charts/chart55.xml" ContentType="application/vnd.openxmlformats-officedocument.drawingml.chart+xml"/>
  <Override PartName="/xl/charts/chart56.xml" ContentType="application/vnd.openxmlformats-officedocument.drawingml.chart+xml"/>
  <Override PartName="/xl/drawings/drawing29.xml" ContentType="application/vnd.openxmlformats-officedocument.drawing+xml"/>
  <Override PartName="/xl/charts/chart57.xml" ContentType="application/vnd.openxmlformats-officedocument.drawingml.chart+xml"/>
  <Override PartName="/xl/charts/chart58.xml" ContentType="application/vnd.openxmlformats-officedocument.drawingml.chart+xml"/>
  <Override PartName="/xl/drawings/drawing30.xml" ContentType="application/vnd.openxmlformats-officedocument.drawing+xml"/>
  <Override PartName="/xl/charts/chart59.xml" ContentType="application/vnd.openxmlformats-officedocument.drawingml.chart+xml"/>
  <Override PartName="/xl/charts/chart60.xml" ContentType="application/vnd.openxmlformats-officedocument.drawingml.chart+xml"/>
  <Override PartName="/xl/drawings/drawing31.xml" ContentType="application/vnd.openxmlformats-officedocument.drawing+xml"/>
  <Override PartName="/xl/charts/chart61.xml" ContentType="application/vnd.openxmlformats-officedocument.drawingml.chart+xml"/>
  <Override PartName="/xl/charts/chart62.xml" ContentType="application/vnd.openxmlformats-officedocument.drawingml.chart+xml"/>
  <Override PartName="/xl/drawings/drawing32.xml" ContentType="application/vnd.openxmlformats-officedocument.drawing+xml"/>
  <Override PartName="/xl/charts/chart63.xml" ContentType="application/vnd.openxmlformats-officedocument.drawingml.chart+xml"/>
  <Override PartName="/xl/charts/chart64.xml" ContentType="application/vnd.openxmlformats-officedocument.drawingml.chart+xml"/>
  <Override PartName="/xl/drawings/drawing33.xml" ContentType="application/vnd.openxmlformats-officedocument.drawing+xml"/>
  <Override PartName="/xl/charts/chart65.xml" ContentType="application/vnd.openxmlformats-officedocument.drawingml.chart+xml"/>
  <Override PartName="/xl/charts/chart66.xml" ContentType="application/vnd.openxmlformats-officedocument.drawingml.chart+xml"/>
  <Override PartName="/xl/drawings/drawing34.xml" ContentType="application/vnd.openxmlformats-officedocument.drawing+xml"/>
  <Override PartName="/xl/charts/chart67.xml" ContentType="application/vnd.openxmlformats-officedocument.drawingml.chart+xml"/>
  <Override PartName="/xl/charts/chart68.xml" ContentType="application/vnd.openxmlformats-officedocument.drawingml.chart+xml"/>
  <Override PartName="/xl/drawings/drawing35.xml" ContentType="application/vnd.openxmlformats-officedocument.drawing+xml"/>
  <Override PartName="/xl/charts/chart69.xml" ContentType="application/vnd.openxmlformats-officedocument.drawingml.chart+xml"/>
  <Override PartName="/xl/charts/chart70.xml" ContentType="application/vnd.openxmlformats-officedocument.drawingml.chart+xml"/>
  <Override PartName="/xl/drawings/drawing36.xml" ContentType="application/vnd.openxmlformats-officedocument.drawing+xml"/>
  <Override PartName="/xl/charts/chart71.xml" ContentType="application/vnd.openxmlformats-officedocument.drawingml.chart+xml"/>
  <Override PartName="/xl/charts/chart72.xml" ContentType="application/vnd.openxmlformats-officedocument.drawingml.chart+xml"/>
  <Override PartName="/xl/drawings/drawing37.xml" ContentType="application/vnd.openxmlformats-officedocument.drawing+xml"/>
  <Override PartName="/xl/charts/chart73.xml" ContentType="application/vnd.openxmlformats-officedocument.drawingml.chart+xml"/>
  <Override PartName="/xl/charts/chart74.xml" ContentType="application/vnd.openxmlformats-officedocument.drawingml.chart+xml"/>
  <Override PartName="/xl/drawings/drawing38.xml" ContentType="application/vnd.openxmlformats-officedocument.drawing+xml"/>
  <Override PartName="/xl/charts/chart75.xml" ContentType="application/vnd.openxmlformats-officedocument.drawingml.chart+xml"/>
  <Override PartName="/xl/charts/chart76.xml" ContentType="application/vnd.openxmlformats-officedocument.drawingml.chart+xml"/>
  <Override PartName="/xl/drawings/drawing39.xml" ContentType="application/vnd.openxmlformats-officedocument.drawing+xml"/>
  <Override PartName="/xl/charts/chart77.xml" ContentType="application/vnd.openxmlformats-officedocument.drawingml.chart+xml"/>
  <Override PartName="/xl/charts/chart78.xml" ContentType="application/vnd.openxmlformats-officedocument.drawingml.chart+xml"/>
  <Override PartName="/xl/drawings/drawing40.xml" ContentType="application/vnd.openxmlformats-officedocument.drawing+xml"/>
  <Override PartName="/xl/charts/chart79.xml" ContentType="application/vnd.openxmlformats-officedocument.drawingml.chart+xml"/>
  <Override PartName="/xl/charts/chart80.xml" ContentType="application/vnd.openxmlformats-officedocument.drawingml.chart+xml"/>
  <Override PartName="/xl/drawings/drawing41.xml" ContentType="application/vnd.openxmlformats-officedocument.drawing+xml"/>
  <Override PartName="/xl/charts/chart81.xml" ContentType="application/vnd.openxmlformats-officedocument.drawingml.chart+xml"/>
  <Override PartName="/xl/charts/chart82.xml" ContentType="application/vnd.openxmlformats-officedocument.drawingml.chart+xml"/>
  <Override PartName="/xl/drawings/drawing42.xml" ContentType="application/vnd.openxmlformats-officedocument.drawing+xml"/>
  <Override PartName="/xl/charts/chart83.xml" ContentType="application/vnd.openxmlformats-officedocument.drawingml.chart+xml"/>
  <Override PartName="/xl/charts/chart84.xml" ContentType="application/vnd.openxmlformats-officedocument.drawingml.chart+xml"/>
  <Override PartName="/xl/drawings/drawing43.xml" ContentType="application/vnd.openxmlformats-officedocument.drawing+xml"/>
  <Override PartName="/xl/charts/chart85.xml" ContentType="application/vnd.openxmlformats-officedocument.drawingml.chart+xml"/>
  <Override PartName="/xl/charts/chart86.xml" ContentType="application/vnd.openxmlformats-officedocument.drawingml.chart+xml"/>
  <Override PartName="/xl/drawings/drawing44.xml" ContentType="application/vnd.openxmlformats-officedocument.drawing+xml"/>
  <Override PartName="/xl/charts/chart87.xml" ContentType="application/vnd.openxmlformats-officedocument.drawingml.chart+xml"/>
  <Override PartName="/xl/charts/chart88.xml" ContentType="application/vnd.openxmlformats-officedocument.drawingml.chart+xml"/>
  <Override PartName="/xl/drawings/drawing45.xml" ContentType="application/vnd.openxmlformats-officedocument.drawing+xml"/>
  <Override PartName="/xl/charts/chart89.xml" ContentType="application/vnd.openxmlformats-officedocument.drawingml.chart+xml"/>
  <Override PartName="/xl/charts/chart90.xml" ContentType="application/vnd.openxmlformats-officedocument.drawingml.chart+xml"/>
  <Override PartName="/xl/drawings/drawing46.xml" ContentType="application/vnd.openxmlformats-officedocument.drawing+xml"/>
  <Override PartName="/xl/charts/chart91.xml" ContentType="application/vnd.openxmlformats-officedocument.drawingml.chart+xml"/>
  <Override PartName="/xl/charts/chart92.xml" ContentType="application/vnd.openxmlformats-officedocument.drawingml.chart+xml"/>
  <Override PartName="/xl/drawings/drawing47.xml" ContentType="application/vnd.openxmlformats-officedocument.drawing+xml"/>
  <Override PartName="/xl/charts/chart93.xml" ContentType="application/vnd.openxmlformats-officedocument.drawingml.chart+xml"/>
  <Override PartName="/xl/charts/chart94.xml" ContentType="application/vnd.openxmlformats-officedocument.drawingml.chart+xml"/>
  <Override PartName="/xl/drawings/drawing48.xml" ContentType="application/vnd.openxmlformats-officedocument.drawing+xml"/>
  <Override PartName="/xl/charts/chart95.xml" ContentType="application/vnd.openxmlformats-officedocument.drawingml.chart+xml"/>
  <Override PartName="/xl/charts/chart96.xml" ContentType="application/vnd.openxmlformats-officedocument.drawingml.chart+xml"/>
  <Override PartName="/xl/drawings/drawing49.xml" ContentType="application/vnd.openxmlformats-officedocument.drawing+xml"/>
  <Override PartName="/xl/charts/chart97.xml" ContentType="application/vnd.openxmlformats-officedocument.drawingml.chart+xml"/>
  <Override PartName="/xl/charts/chart9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hc22\SFU-Courses\Tese\Tese_Organization_July22_26\TR9_analysis\05_FOR_FIGURES\"/>
    </mc:Choice>
  </mc:AlternateContent>
  <xr:revisionPtr revIDLastSave="0" documentId="13_ncr:1_{46789BE8-8724-4A85-AC4E-29E5FF48D700}" xr6:coauthVersionLast="47" xr6:coauthVersionMax="47" xr10:uidLastSave="{00000000-0000-0000-0000-000000000000}"/>
  <bookViews>
    <workbookView xWindow="-120" yWindow="-120" windowWidth="21840" windowHeight="13020" xr2:uid="{00000000-000D-0000-FFFF-FFFF00000000}"/>
  </bookViews>
  <sheets>
    <sheet name="1_Summary" sheetId="1" r:id="rId1"/>
    <sheet name="2_Sample_00h00" sheetId="2" r:id="rId2"/>
    <sheet name="3_Sample_12h00" sheetId="3" r:id="rId3"/>
    <sheet name="4_All_periods" sheetId="4" r:id="rId4"/>
    <sheet name="P02_00h30" sheetId="5" r:id="rId5"/>
    <sheet name="P03_01h00" sheetId="6" r:id="rId6"/>
    <sheet name="P04_01h30" sheetId="7" r:id="rId7"/>
    <sheet name="P05_02h00" sheetId="8" r:id="rId8"/>
    <sheet name="P06_02h30" sheetId="9" r:id="rId9"/>
    <sheet name="P07_03h00" sheetId="10" r:id="rId10"/>
    <sheet name="P08_03h30" sheetId="11" r:id="rId11"/>
    <sheet name="P09_04h00" sheetId="12" r:id="rId12"/>
    <sheet name="P10_04h30" sheetId="13" r:id="rId13"/>
    <sheet name="P11_05h00" sheetId="14" r:id="rId14"/>
    <sheet name="P12_05h30" sheetId="15" r:id="rId15"/>
    <sheet name="P13_06h00" sheetId="16" r:id="rId16"/>
    <sheet name="P14_06h30" sheetId="17" r:id="rId17"/>
    <sheet name="P15_07h00" sheetId="18" r:id="rId18"/>
    <sheet name="P16_07h30" sheetId="19" r:id="rId19"/>
    <sheet name="P17_08h00" sheetId="20" r:id="rId20"/>
    <sheet name="P18_08h30" sheetId="21" r:id="rId21"/>
    <sheet name="P19_09h00" sheetId="22" r:id="rId22"/>
    <sheet name="P20_09h30" sheetId="23" r:id="rId23"/>
    <sheet name="P21_10h00" sheetId="24" r:id="rId24"/>
    <sheet name="P22_10h30" sheetId="25" r:id="rId25"/>
    <sheet name="P23_11h00" sheetId="26" r:id="rId26"/>
    <sheet name="P24_11h30" sheetId="27" r:id="rId27"/>
    <sheet name="P25_12h00" sheetId="28" r:id="rId28"/>
    <sheet name="P26_12h30" sheetId="29" r:id="rId29"/>
    <sheet name="P27_13h00" sheetId="30" r:id="rId30"/>
    <sheet name="P28_13h30" sheetId="31" r:id="rId31"/>
    <sheet name="P29_14h00" sheetId="32" r:id="rId32"/>
    <sheet name="P30_14h30" sheetId="33" r:id="rId33"/>
    <sheet name="P31_15h00" sheetId="34" r:id="rId34"/>
    <sheet name="P32_15h30" sheetId="35" r:id="rId35"/>
    <sheet name="P33_16h00" sheetId="36" r:id="rId36"/>
    <sheet name="P34_16h30" sheetId="37" r:id="rId37"/>
    <sheet name="P35_17h00" sheetId="38" r:id="rId38"/>
    <sheet name="P36_17h30" sheetId="39" r:id="rId39"/>
    <sheet name="P37_18h00" sheetId="40" r:id="rId40"/>
    <sheet name="P38_18h30" sheetId="41" r:id="rId41"/>
    <sheet name="P39_19h00" sheetId="42" r:id="rId42"/>
    <sheet name="P40_19h30" sheetId="43" r:id="rId43"/>
    <sheet name="P41_20h00" sheetId="44" r:id="rId44"/>
    <sheet name="P42_20h30" sheetId="45" r:id="rId45"/>
    <sheet name="P43_21h00" sheetId="46" r:id="rId46"/>
    <sheet name="P44_21h30" sheetId="47" r:id="rId47"/>
    <sheet name="P45_22h00" sheetId="48" r:id="rId48"/>
    <sheet name="P46_22h30" sheetId="49" r:id="rId49"/>
    <sheet name="P47_23h00" sheetId="50" r:id="rId50"/>
    <sheet name="P48_23h30" sheetId="51" r:id="rId51"/>
  </sheets>
  <definedNames>
    <definedName name="_xlnm._FilterDatabase" localSheetId="3" hidden="1">'4_All_periods'!$A$1:$L$577</definedName>
    <definedName name="_xlnm.Print_Area" localSheetId="0">'1_Summary'!$B$1:$C$52</definedName>
    <definedName name="_xlnm.Print_Area" localSheetId="1">'2_Sample_00h00'!$A$1:$Q$42</definedName>
    <definedName name="_xlnm.Print_Area" localSheetId="2">'3_Sample_12h00'!$A$1:$Q$42</definedName>
    <definedName name="_xlnm.Print_Area" localSheetId="3">'4_All_periods'!$A$1:$L$577</definedName>
    <definedName name="_xlnm.Print_Area" localSheetId="4">P02_00h30!$A$1:$Q$42</definedName>
    <definedName name="_xlnm.Print_Area" localSheetId="5">P03_01h00!$A$1:$Q$42</definedName>
    <definedName name="_xlnm.Print_Area" localSheetId="6">P04_01h30!$A$1:$Q$42</definedName>
    <definedName name="_xlnm.Print_Area" localSheetId="7">P05_02h00!$A$1:$Q$42</definedName>
    <definedName name="_xlnm.Print_Area" localSheetId="8">P06_02h30!$A$1:$Q$42</definedName>
    <definedName name="_xlnm.Print_Area" localSheetId="9">P07_03h00!$A$1:$Q$42</definedName>
    <definedName name="_xlnm.Print_Area" localSheetId="10">P08_03h30!$A$1:$Q$42</definedName>
    <definedName name="_xlnm.Print_Area" localSheetId="11">P09_04h00!$A$1:$Q$42</definedName>
    <definedName name="_xlnm.Print_Area" localSheetId="12">P10_04h30!$A$1:$Q$42</definedName>
    <definedName name="_xlnm.Print_Area" localSheetId="13">P11_05h00!$A$1:$Q$42</definedName>
    <definedName name="_xlnm.Print_Area" localSheetId="14">P12_05h30!$A$1:$Q$42</definedName>
    <definedName name="_xlnm.Print_Area" localSheetId="15">P13_06h00!$A$1:$Q$42</definedName>
    <definedName name="_xlnm.Print_Area" localSheetId="16">P14_06h30!$A$1:$Q$42</definedName>
    <definedName name="_xlnm.Print_Area" localSheetId="17">P15_07h00!$A$1:$Q$42</definedName>
    <definedName name="_xlnm.Print_Area" localSheetId="18">P16_07h30!$A$1:$Q$42</definedName>
    <definedName name="_xlnm.Print_Area" localSheetId="19">P17_08h00!$A$1:$Q$42</definedName>
    <definedName name="_xlnm.Print_Area" localSheetId="20">P18_08h30!$A$1:$Q$42</definedName>
    <definedName name="_xlnm.Print_Area" localSheetId="21">P19_09h00!$A$1:$Q$42</definedName>
    <definedName name="_xlnm.Print_Area" localSheetId="22">P20_09h30!$A$1:$Q$42</definedName>
    <definedName name="_xlnm.Print_Area" localSheetId="23">P21_10h00!$A$1:$Q$42</definedName>
    <definedName name="_xlnm.Print_Area" localSheetId="24">P22_10h30!$A$1:$Q$42</definedName>
    <definedName name="_xlnm.Print_Area" localSheetId="25">P23_11h00!$A$1:$Q$42</definedName>
    <definedName name="_xlnm.Print_Area" localSheetId="26">P24_11h30!$A$1:$Q$42</definedName>
    <definedName name="_xlnm.Print_Area" localSheetId="27">P25_12h00!$A$1:$Q$42</definedName>
    <definedName name="_xlnm.Print_Area" localSheetId="28">P26_12h30!$A$1:$Q$42</definedName>
    <definedName name="_xlnm.Print_Area" localSheetId="29">P27_13h00!$A$1:$Q$42</definedName>
    <definedName name="_xlnm.Print_Area" localSheetId="30">P28_13h30!$A$1:$Q$42</definedName>
    <definedName name="_xlnm.Print_Area" localSheetId="31">P29_14h00!$A$1:$Q$42</definedName>
    <definedName name="_xlnm.Print_Area" localSheetId="32">P30_14h30!$A$1:$Q$42</definedName>
    <definedName name="_xlnm.Print_Area" localSheetId="33">P31_15h00!$A$1:$Q$42</definedName>
    <definedName name="_xlnm.Print_Area" localSheetId="34">P32_15h30!$A$1:$Q$42</definedName>
    <definedName name="_xlnm.Print_Area" localSheetId="35">P33_16h00!$A$1:$Q$42</definedName>
    <definedName name="_xlnm.Print_Area" localSheetId="36">P34_16h30!$A$1:$Q$42</definedName>
    <definedName name="_xlnm.Print_Area" localSheetId="37">P35_17h00!$A$1:$Q$42</definedName>
    <definedName name="_xlnm.Print_Area" localSheetId="38">P36_17h30!$A$1:$Q$42</definedName>
    <definedName name="_xlnm.Print_Area" localSheetId="39">P37_18h00!$A$1:$Q$42</definedName>
    <definedName name="_xlnm.Print_Area" localSheetId="40">P38_18h30!$A$1:$Q$42</definedName>
    <definedName name="_xlnm.Print_Area" localSheetId="41">P39_19h00!$A$1:$Q$42</definedName>
    <definedName name="_xlnm.Print_Area" localSheetId="42">P40_19h30!$A$1:$Q$42</definedName>
    <definedName name="_xlnm.Print_Area" localSheetId="43">P41_20h00!$A$1:$Q$42</definedName>
    <definedName name="_xlnm.Print_Area" localSheetId="44">P42_20h30!$A$1:$Q$42</definedName>
    <definedName name="_xlnm.Print_Area" localSheetId="45">P43_21h00!$A$1:$Q$42</definedName>
    <definedName name="_xlnm.Print_Area" localSheetId="46">P44_21h30!$A$1:$Q$42</definedName>
    <definedName name="_xlnm.Print_Area" localSheetId="47">P45_22h00!$A$1:$Q$42</definedName>
    <definedName name="_xlnm.Print_Area" localSheetId="48">P46_22h30!$A$1:$Q$42</definedName>
    <definedName name="_xlnm.Print_Area" localSheetId="49">P47_23h00!$A$1:$Q$42</definedName>
    <definedName name="_xlnm.Print_Area" localSheetId="50">P48_23h30!$A$1:$Q$42</definedName>
    <definedName name="_xlnm.Print_Titles" localSheetId="3">'4_All_periods'!$1:$1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8" i="51" l="1"/>
  <c r="B18" i="51"/>
  <c r="A18" i="51"/>
  <c r="C17" i="51"/>
  <c r="B17" i="51"/>
  <c r="A17" i="51"/>
  <c r="C16" i="51"/>
  <c r="B16" i="51"/>
  <c r="A16" i="51"/>
  <c r="C15" i="51"/>
  <c r="B15" i="51"/>
  <c r="A15" i="51"/>
  <c r="C14" i="51"/>
  <c r="B14" i="51"/>
  <c r="A14" i="51"/>
  <c r="C13" i="51"/>
  <c r="B13" i="51"/>
  <c r="A13" i="51"/>
  <c r="C12" i="51"/>
  <c r="B12" i="51"/>
  <c r="A12" i="51"/>
  <c r="C11" i="51"/>
  <c r="B11" i="51"/>
  <c r="A11" i="51"/>
  <c r="C10" i="51"/>
  <c r="B10" i="51"/>
  <c r="A10" i="51"/>
  <c r="C9" i="51"/>
  <c r="B9" i="51"/>
  <c r="A9" i="51"/>
  <c r="C8" i="51"/>
  <c r="B8" i="51"/>
  <c r="A8" i="51"/>
  <c r="C7" i="51"/>
  <c r="B7" i="51"/>
  <c r="A7" i="51"/>
  <c r="D4" i="51"/>
  <c r="B4" i="51"/>
  <c r="C18" i="50"/>
  <c r="B18" i="50"/>
  <c r="A18" i="50"/>
  <c r="C17" i="50"/>
  <c r="B17" i="50"/>
  <c r="A17" i="50"/>
  <c r="C16" i="50"/>
  <c r="B16" i="50"/>
  <c r="A16" i="50"/>
  <c r="C15" i="50"/>
  <c r="B15" i="50"/>
  <c r="A15" i="50"/>
  <c r="C14" i="50"/>
  <c r="B14" i="50"/>
  <c r="A14" i="50"/>
  <c r="C13" i="50"/>
  <c r="B13" i="50"/>
  <c r="A13" i="50"/>
  <c r="C12" i="50"/>
  <c r="B12" i="50"/>
  <c r="A12" i="50"/>
  <c r="C11" i="50"/>
  <c r="B11" i="50"/>
  <c r="A11" i="50"/>
  <c r="C10" i="50"/>
  <c r="B10" i="50"/>
  <c r="A10" i="50"/>
  <c r="C9" i="50"/>
  <c r="B9" i="50"/>
  <c r="A9" i="50"/>
  <c r="C8" i="50"/>
  <c r="B8" i="50"/>
  <c r="A8" i="50"/>
  <c r="C7" i="50"/>
  <c r="C19" i="50" s="1"/>
  <c r="B7" i="50"/>
  <c r="A7" i="50"/>
  <c r="D4" i="50"/>
  <c r="B4" i="50"/>
  <c r="C18" i="49"/>
  <c r="B18" i="49"/>
  <c r="A18" i="49"/>
  <c r="C17" i="49"/>
  <c r="B17" i="49"/>
  <c r="A17" i="49"/>
  <c r="C16" i="49"/>
  <c r="E16" i="49" s="1"/>
  <c r="B16" i="49"/>
  <c r="A16" i="49"/>
  <c r="C15" i="49"/>
  <c r="B15" i="49"/>
  <c r="A15" i="49"/>
  <c r="C14" i="49"/>
  <c r="B14" i="49"/>
  <c r="A14" i="49"/>
  <c r="C13" i="49"/>
  <c r="B13" i="49"/>
  <c r="A13" i="49"/>
  <c r="C12" i="49"/>
  <c r="B12" i="49"/>
  <c r="A12" i="49"/>
  <c r="C11" i="49"/>
  <c r="B11" i="49"/>
  <c r="A11" i="49"/>
  <c r="C10" i="49"/>
  <c r="B10" i="49"/>
  <c r="A10" i="49"/>
  <c r="C9" i="49"/>
  <c r="B9" i="49"/>
  <c r="A9" i="49"/>
  <c r="C8" i="49"/>
  <c r="B8" i="49"/>
  <c r="A8" i="49"/>
  <c r="C7" i="49"/>
  <c r="C19" i="49" s="1"/>
  <c r="B7" i="49"/>
  <c r="B19" i="49" s="1"/>
  <c r="A7" i="49"/>
  <c r="D4" i="49"/>
  <c r="B4" i="49"/>
  <c r="C18" i="48"/>
  <c r="B18" i="48"/>
  <c r="A18" i="48"/>
  <c r="C17" i="48"/>
  <c r="B17" i="48"/>
  <c r="A17" i="48"/>
  <c r="C16" i="48"/>
  <c r="B16" i="48"/>
  <c r="A16" i="48"/>
  <c r="C15" i="48"/>
  <c r="B15" i="48"/>
  <c r="A15" i="48"/>
  <c r="C14" i="48"/>
  <c r="B14" i="48"/>
  <c r="A14" i="48"/>
  <c r="C13" i="48"/>
  <c r="B13" i="48"/>
  <c r="A13" i="48"/>
  <c r="C12" i="48"/>
  <c r="B12" i="48"/>
  <c r="A12" i="48"/>
  <c r="C11" i="48"/>
  <c r="B11" i="48"/>
  <c r="A11" i="48"/>
  <c r="C10" i="48"/>
  <c r="B10" i="48"/>
  <c r="A10" i="48"/>
  <c r="C9" i="48"/>
  <c r="B9" i="48"/>
  <c r="A9" i="48"/>
  <c r="C8" i="48"/>
  <c r="B8" i="48"/>
  <c r="A8" i="48"/>
  <c r="C7" i="48"/>
  <c r="C19" i="48" s="1"/>
  <c r="B7" i="48"/>
  <c r="B19" i="48" s="1"/>
  <c r="A7" i="48"/>
  <c r="D4" i="48"/>
  <c r="B4" i="48"/>
  <c r="C18" i="47"/>
  <c r="B18" i="47"/>
  <c r="A18" i="47"/>
  <c r="C17" i="47"/>
  <c r="B17" i="47"/>
  <c r="A17" i="47"/>
  <c r="C16" i="47"/>
  <c r="B16" i="47"/>
  <c r="A16" i="47"/>
  <c r="C15" i="47"/>
  <c r="B15" i="47"/>
  <c r="A15" i="47"/>
  <c r="C14" i="47"/>
  <c r="B14" i="47"/>
  <c r="A14" i="47"/>
  <c r="C13" i="47"/>
  <c r="B13" i="47"/>
  <c r="A13" i="47"/>
  <c r="C12" i="47"/>
  <c r="B12" i="47"/>
  <c r="A12" i="47"/>
  <c r="C11" i="47"/>
  <c r="B11" i="47"/>
  <c r="A11" i="47"/>
  <c r="C10" i="47"/>
  <c r="B10" i="47"/>
  <c r="A10" i="47"/>
  <c r="C9" i="47"/>
  <c r="B9" i="47"/>
  <c r="A9" i="47"/>
  <c r="C8" i="47"/>
  <c r="B8" i="47"/>
  <c r="A8" i="47"/>
  <c r="C7" i="47"/>
  <c r="B7" i="47"/>
  <c r="A7" i="47"/>
  <c r="D4" i="47"/>
  <c r="B4" i="47"/>
  <c r="C18" i="46"/>
  <c r="B18" i="46"/>
  <c r="A18" i="46"/>
  <c r="C17" i="46"/>
  <c r="B17" i="46"/>
  <c r="A17" i="46"/>
  <c r="C16" i="46"/>
  <c r="B16" i="46"/>
  <c r="A16" i="46"/>
  <c r="C15" i="46"/>
  <c r="B15" i="46"/>
  <c r="A15" i="46"/>
  <c r="C14" i="46"/>
  <c r="E14" i="46" s="1"/>
  <c r="B14" i="46"/>
  <c r="A14" i="46"/>
  <c r="C13" i="46"/>
  <c r="B13" i="46"/>
  <c r="A13" i="46"/>
  <c r="C12" i="46"/>
  <c r="B12" i="46"/>
  <c r="A12" i="46"/>
  <c r="F12" i="46" s="1"/>
  <c r="C11" i="46"/>
  <c r="B11" i="46"/>
  <c r="A11" i="46"/>
  <c r="C10" i="46"/>
  <c r="B10" i="46"/>
  <c r="A10" i="46"/>
  <c r="C9" i="46"/>
  <c r="B9" i="46"/>
  <c r="A9" i="46"/>
  <c r="C8" i="46"/>
  <c r="B8" i="46"/>
  <c r="A8" i="46"/>
  <c r="C7" i="46"/>
  <c r="B7" i="46"/>
  <c r="B19" i="46" s="1"/>
  <c r="A7" i="46"/>
  <c r="D4" i="46"/>
  <c r="B4" i="46"/>
  <c r="C18" i="45"/>
  <c r="B18" i="45"/>
  <c r="A18" i="45"/>
  <c r="C17" i="45"/>
  <c r="B17" i="45"/>
  <c r="A17" i="45"/>
  <c r="C16" i="45"/>
  <c r="B16" i="45"/>
  <c r="A16" i="45"/>
  <c r="C15" i="45"/>
  <c r="B15" i="45"/>
  <c r="A15" i="45"/>
  <c r="C14" i="45"/>
  <c r="B14" i="45"/>
  <c r="A14" i="45"/>
  <c r="C13" i="45"/>
  <c r="B13" i="45"/>
  <c r="A13" i="45"/>
  <c r="C12" i="45"/>
  <c r="B12" i="45"/>
  <c r="A12" i="45"/>
  <c r="C11" i="45"/>
  <c r="B11" i="45"/>
  <c r="A11" i="45"/>
  <c r="C10" i="45"/>
  <c r="B10" i="45"/>
  <c r="A10" i="45"/>
  <c r="C9" i="45"/>
  <c r="B9" i="45"/>
  <c r="A9" i="45"/>
  <c r="C8" i="45"/>
  <c r="B8" i="45"/>
  <c r="A8" i="45"/>
  <c r="C7" i="45"/>
  <c r="B7" i="45"/>
  <c r="A7" i="45"/>
  <c r="D4" i="45"/>
  <c r="B4" i="45"/>
  <c r="C18" i="44"/>
  <c r="B18" i="44"/>
  <c r="A18" i="44"/>
  <c r="C17" i="44"/>
  <c r="B17" i="44"/>
  <c r="A17" i="44"/>
  <c r="C16" i="44"/>
  <c r="B16" i="44"/>
  <c r="A16" i="44"/>
  <c r="C15" i="44"/>
  <c r="B15" i="44"/>
  <c r="D15" i="44" s="1"/>
  <c r="G15" i="44" s="1"/>
  <c r="A15" i="44"/>
  <c r="C14" i="44"/>
  <c r="B14" i="44"/>
  <c r="A14" i="44"/>
  <c r="C13" i="44"/>
  <c r="B13" i="44"/>
  <c r="A13" i="44"/>
  <c r="C12" i="44"/>
  <c r="B12" i="44"/>
  <c r="A12" i="44"/>
  <c r="C11" i="44"/>
  <c r="B11" i="44"/>
  <c r="A11" i="44"/>
  <c r="C10" i="44"/>
  <c r="B10" i="44"/>
  <c r="A10" i="44"/>
  <c r="C9" i="44"/>
  <c r="B9" i="44"/>
  <c r="A9" i="44"/>
  <c r="C8" i="44"/>
  <c r="B8" i="44"/>
  <c r="A8" i="44"/>
  <c r="C7" i="44"/>
  <c r="C19" i="44" s="1"/>
  <c r="B7" i="44"/>
  <c r="B19" i="44" s="1"/>
  <c r="A7" i="44"/>
  <c r="D4" i="44"/>
  <c r="B4" i="44"/>
  <c r="C18" i="43"/>
  <c r="B18" i="43"/>
  <c r="A18" i="43"/>
  <c r="C17" i="43"/>
  <c r="B17" i="43"/>
  <c r="A17" i="43"/>
  <c r="C16" i="43"/>
  <c r="B16" i="43"/>
  <c r="A16" i="43"/>
  <c r="C15" i="43"/>
  <c r="B15" i="43"/>
  <c r="A15" i="43"/>
  <c r="C14" i="43"/>
  <c r="B14" i="43"/>
  <c r="A14" i="43"/>
  <c r="C13" i="43"/>
  <c r="B13" i="43"/>
  <c r="A13" i="43"/>
  <c r="C12" i="43"/>
  <c r="B12" i="43"/>
  <c r="A12" i="43"/>
  <c r="C11" i="43"/>
  <c r="B11" i="43"/>
  <c r="A11" i="43"/>
  <c r="C10" i="43"/>
  <c r="B10" i="43"/>
  <c r="A10" i="43"/>
  <c r="C9" i="43"/>
  <c r="B9" i="43"/>
  <c r="A9" i="43"/>
  <c r="C8" i="43"/>
  <c r="B8" i="43"/>
  <c r="A8" i="43"/>
  <c r="C7" i="43"/>
  <c r="B7" i="43"/>
  <c r="B19" i="43" s="1"/>
  <c r="A7" i="43"/>
  <c r="D4" i="43"/>
  <c r="B4" i="43"/>
  <c r="C18" i="42"/>
  <c r="B18" i="42"/>
  <c r="A18" i="42"/>
  <c r="C17" i="42"/>
  <c r="B17" i="42"/>
  <c r="A17" i="42"/>
  <c r="C16" i="42"/>
  <c r="B16" i="42"/>
  <c r="A16" i="42"/>
  <c r="C15" i="42"/>
  <c r="B15" i="42"/>
  <c r="A15" i="42"/>
  <c r="C14" i="42"/>
  <c r="B14" i="42"/>
  <c r="A14" i="42"/>
  <c r="C13" i="42"/>
  <c r="B13" i="42"/>
  <c r="A13" i="42"/>
  <c r="C12" i="42"/>
  <c r="B12" i="42"/>
  <c r="A12" i="42"/>
  <c r="C11" i="42"/>
  <c r="B11" i="42"/>
  <c r="A11" i="42"/>
  <c r="C10" i="42"/>
  <c r="B10" i="42"/>
  <c r="A10" i="42"/>
  <c r="C9" i="42"/>
  <c r="B9" i="42"/>
  <c r="A9" i="42"/>
  <c r="C8" i="42"/>
  <c r="B8" i="42"/>
  <c r="A8" i="42"/>
  <c r="C7" i="42"/>
  <c r="B7" i="42"/>
  <c r="A7" i="42"/>
  <c r="D4" i="42"/>
  <c r="B4" i="42"/>
  <c r="C18" i="41"/>
  <c r="B18" i="41"/>
  <c r="A18" i="41"/>
  <c r="C17" i="41"/>
  <c r="B17" i="41"/>
  <c r="A17" i="41"/>
  <c r="C16" i="41"/>
  <c r="B16" i="41"/>
  <c r="A16" i="41"/>
  <c r="C15" i="41"/>
  <c r="B15" i="41"/>
  <c r="A15" i="41"/>
  <c r="C14" i="41"/>
  <c r="B14" i="41"/>
  <c r="A14" i="41"/>
  <c r="C13" i="41"/>
  <c r="B13" i="41"/>
  <c r="A13" i="41"/>
  <c r="C12" i="41"/>
  <c r="B12" i="41"/>
  <c r="A12" i="41"/>
  <c r="C11" i="41"/>
  <c r="B11" i="41"/>
  <c r="A11" i="41"/>
  <c r="C10" i="41"/>
  <c r="B10" i="41"/>
  <c r="A10" i="41"/>
  <c r="C9" i="41"/>
  <c r="B9" i="41"/>
  <c r="A9" i="41"/>
  <c r="C8" i="41"/>
  <c r="B8" i="41"/>
  <c r="A8" i="41"/>
  <c r="C7" i="41"/>
  <c r="C19" i="41" s="1"/>
  <c r="B7" i="41"/>
  <c r="B19" i="41" s="1"/>
  <c r="A7" i="41"/>
  <c r="D4" i="41"/>
  <c r="B4" i="41"/>
  <c r="C18" i="40"/>
  <c r="B18" i="40"/>
  <c r="A18" i="40"/>
  <c r="C17" i="40"/>
  <c r="B17" i="40"/>
  <c r="A17" i="40"/>
  <c r="C16" i="40"/>
  <c r="E16" i="40" s="1"/>
  <c r="B16" i="40"/>
  <c r="A16" i="40"/>
  <c r="C15" i="40"/>
  <c r="B15" i="40"/>
  <c r="A15" i="40"/>
  <c r="C14" i="40"/>
  <c r="B14" i="40"/>
  <c r="A14" i="40"/>
  <c r="C13" i="40"/>
  <c r="B13" i="40"/>
  <c r="A13" i="40"/>
  <c r="C12" i="40"/>
  <c r="B12" i="40"/>
  <c r="A12" i="40"/>
  <c r="C11" i="40"/>
  <c r="B11" i="40"/>
  <c r="A11" i="40"/>
  <c r="C10" i="40"/>
  <c r="B10" i="40"/>
  <c r="A10" i="40"/>
  <c r="C9" i="40"/>
  <c r="B9" i="40"/>
  <c r="A9" i="40"/>
  <c r="C8" i="40"/>
  <c r="B8" i="40"/>
  <c r="A8" i="40"/>
  <c r="C7" i="40"/>
  <c r="C19" i="40" s="1"/>
  <c r="B7" i="40"/>
  <c r="B19" i="40" s="1"/>
  <c r="A7" i="40"/>
  <c r="D4" i="40"/>
  <c r="B4" i="40"/>
  <c r="C18" i="39"/>
  <c r="B18" i="39"/>
  <c r="A18" i="39"/>
  <c r="C17" i="39"/>
  <c r="B17" i="39"/>
  <c r="A17" i="39"/>
  <c r="C16" i="39"/>
  <c r="B16" i="39"/>
  <c r="A16" i="39"/>
  <c r="C15" i="39"/>
  <c r="B15" i="39"/>
  <c r="A15" i="39"/>
  <c r="C14" i="39"/>
  <c r="B14" i="39"/>
  <c r="A14" i="39"/>
  <c r="C13" i="39"/>
  <c r="B13" i="39"/>
  <c r="A13" i="39"/>
  <c r="C12" i="39"/>
  <c r="B12" i="39"/>
  <c r="A12" i="39"/>
  <c r="C11" i="39"/>
  <c r="B11" i="39"/>
  <c r="A11" i="39"/>
  <c r="C10" i="39"/>
  <c r="B10" i="39"/>
  <c r="A10" i="39"/>
  <c r="C9" i="39"/>
  <c r="B9" i="39"/>
  <c r="A9" i="39"/>
  <c r="C8" i="39"/>
  <c r="B8" i="39"/>
  <c r="A8" i="39"/>
  <c r="C7" i="39"/>
  <c r="C19" i="39" s="1"/>
  <c r="B7" i="39"/>
  <c r="B19" i="39" s="1"/>
  <c r="A7" i="39"/>
  <c r="D4" i="39"/>
  <c r="B4" i="39"/>
  <c r="C18" i="38"/>
  <c r="B18" i="38"/>
  <c r="A18" i="38"/>
  <c r="C17" i="38"/>
  <c r="B17" i="38"/>
  <c r="A17" i="38"/>
  <c r="C16" i="38"/>
  <c r="B16" i="38"/>
  <c r="A16" i="38"/>
  <c r="C15" i="38"/>
  <c r="B15" i="38"/>
  <c r="A15" i="38"/>
  <c r="C14" i="38"/>
  <c r="B14" i="38"/>
  <c r="A14" i="38"/>
  <c r="C13" i="38"/>
  <c r="B13" i="38"/>
  <c r="A13" i="38"/>
  <c r="C12" i="38"/>
  <c r="B12" i="38"/>
  <c r="A12" i="38"/>
  <c r="C11" i="38"/>
  <c r="B11" i="38"/>
  <c r="A11" i="38"/>
  <c r="C10" i="38"/>
  <c r="B10" i="38"/>
  <c r="A10" i="38"/>
  <c r="C9" i="38"/>
  <c r="B9" i="38"/>
  <c r="A9" i="38"/>
  <c r="C8" i="38"/>
  <c r="B8" i="38"/>
  <c r="A8" i="38"/>
  <c r="C7" i="38"/>
  <c r="C19" i="38" s="1"/>
  <c r="B7" i="38"/>
  <c r="A7" i="38"/>
  <c r="D4" i="38"/>
  <c r="B4" i="38"/>
  <c r="C18" i="37"/>
  <c r="B18" i="37"/>
  <c r="A18" i="37"/>
  <c r="C17" i="37"/>
  <c r="B17" i="37"/>
  <c r="A17" i="37"/>
  <c r="C16" i="37"/>
  <c r="B16" i="37"/>
  <c r="A16" i="37"/>
  <c r="C15" i="37"/>
  <c r="B15" i="37"/>
  <c r="A15" i="37"/>
  <c r="C14" i="37"/>
  <c r="B14" i="37"/>
  <c r="A14" i="37"/>
  <c r="C13" i="37"/>
  <c r="B13" i="37"/>
  <c r="A13" i="37"/>
  <c r="C12" i="37"/>
  <c r="B12" i="37"/>
  <c r="A12" i="37"/>
  <c r="C11" i="37"/>
  <c r="B11" i="37"/>
  <c r="A11" i="37"/>
  <c r="C10" i="37"/>
  <c r="B10" i="37"/>
  <c r="A10" i="37"/>
  <c r="C9" i="37"/>
  <c r="B9" i="37"/>
  <c r="A9" i="37"/>
  <c r="C8" i="37"/>
  <c r="B8" i="37"/>
  <c r="A8" i="37"/>
  <c r="C7" i="37"/>
  <c r="B7" i="37"/>
  <c r="A7" i="37"/>
  <c r="D4" i="37"/>
  <c r="B4" i="37"/>
  <c r="C18" i="36"/>
  <c r="B18" i="36"/>
  <c r="A18" i="36"/>
  <c r="C17" i="36"/>
  <c r="B17" i="36"/>
  <c r="A17" i="36"/>
  <c r="C16" i="36"/>
  <c r="B16" i="36"/>
  <c r="A16" i="36"/>
  <c r="C15" i="36"/>
  <c r="B15" i="36"/>
  <c r="A15" i="36"/>
  <c r="C14" i="36"/>
  <c r="B14" i="36"/>
  <c r="A14" i="36"/>
  <c r="C13" i="36"/>
  <c r="B13" i="36"/>
  <c r="A13" i="36"/>
  <c r="C12" i="36"/>
  <c r="B12" i="36"/>
  <c r="A12" i="36"/>
  <c r="C11" i="36"/>
  <c r="B11" i="36"/>
  <c r="A11" i="36"/>
  <c r="C10" i="36"/>
  <c r="B10" i="36"/>
  <c r="A10" i="36"/>
  <c r="C9" i="36"/>
  <c r="B9" i="36"/>
  <c r="A9" i="36"/>
  <c r="C8" i="36"/>
  <c r="B8" i="36"/>
  <c r="A8" i="36"/>
  <c r="C7" i="36"/>
  <c r="C19" i="36" s="1"/>
  <c r="B7" i="36"/>
  <c r="B19" i="36" s="1"/>
  <c r="A7" i="36"/>
  <c r="D4" i="36"/>
  <c r="B4" i="36"/>
  <c r="C18" i="35"/>
  <c r="B18" i="35"/>
  <c r="A18" i="35"/>
  <c r="C17" i="35"/>
  <c r="B17" i="35"/>
  <c r="A17" i="35"/>
  <c r="C16" i="35"/>
  <c r="B16" i="35"/>
  <c r="A16" i="35"/>
  <c r="C15" i="35"/>
  <c r="B15" i="35"/>
  <c r="A15" i="35"/>
  <c r="C14" i="35"/>
  <c r="B14" i="35"/>
  <c r="A14" i="35"/>
  <c r="C13" i="35"/>
  <c r="B13" i="35"/>
  <c r="A13" i="35"/>
  <c r="C12" i="35"/>
  <c r="B12" i="35"/>
  <c r="A12" i="35"/>
  <c r="C11" i="35"/>
  <c r="B11" i="35"/>
  <c r="A11" i="35"/>
  <c r="C10" i="35"/>
  <c r="B10" i="35"/>
  <c r="A10" i="35"/>
  <c r="C9" i="35"/>
  <c r="B9" i="35"/>
  <c r="A9" i="35"/>
  <c r="C8" i="35"/>
  <c r="B8" i="35"/>
  <c r="A8" i="35"/>
  <c r="C7" i="35"/>
  <c r="C19" i="35" s="1"/>
  <c r="B7" i="35"/>
  <c r="B19" i="35" s="1"/>
  <c r="A7" i="35"/>
  <c r="D4" i="35"/>
  <c r="E17" i="35" s="1"/>
  <c r="B4" i="35"/>
  <c r="C18" i="34"/>
  <c r="B18" i="34"/>
  <c r="A18" i="34"/>
  <c r="C17" i="34"/>
  <c r="B17" i="34"/>
  <c r="A17" i="34"/>
  <c r="C16" i="34"/>
  <c r="B16" i="34"/>
  <c r="A16" i="34"/>
  <c r="C15" i="34"/>
  <c r="B15" i="34"/>
  <c r="A15" i="34"/>
  <c r="C14" i="34"/>
  <c r="B14" i="34"/>
  <c r="A14" i="34"/>
  <c r="C13" i="34"/>
  <c r="B13" i="34"/>
  <c r="A13" i="34"/>
  <c r="C12" i="34"/>
  <c r="B12" i="34"/>
  <c r="A12" i="34"/>
  <c r="C11" i="34"/>
  <c r="B11" i="34"/>
  <c r="A11" i="34"/>
  <c r="C10" i="34"/>
  <c r="B10" i="34"/>
  <c r="A10" i="34"/>
  <c r="C9" i="34"/>
  <c r="B9" i="34"/>
  <c r="A9" i="34"/>
  <c r="C8" i="34"/>
  <c r="B8" i="34"/>
  <c r="A8" i="34"/>
  <c r="C7" i="34"/>
  <c r="B7" i="34"/>
  <c r="B19" i="34" s="1"/>
  <c r="A7" i="34"/>
  <c r="D4" i="34"/>
  <c r="B4" i="34"/>
  <c r="C18" i="33"/>
  <c r="B18" i="33"/>
  <c r="A18" i="33"/>
  <c r="C17" i="33"/>
  <c r="B17" i="33"/>
  <c r="A17" i="33"/>
  <c r="C16" i="33"/>
  <c r="B16" i="33"/>
  <c r="A16" i="33"/>
  <c r="C15" i="33"/>
  <c r="B15" i="33"/>
  <c r="A15" i="33"/>
  <c r="C14" i="33"/>
  <c r="B14" i="33"/>
  <c r="A14" i="33"/>
  <c r="C13" i="33"/>
  <c r="B13" i="33"/>
  <c r="A13" i="33"/>
  <c r="C12" i="33"/>
  <c r="B12" i="33"/>
  <c r="A12" i="33"/>
  <c r="C11" i="33"/>
  <c r="B11" i="33"/>
  <c r="A11" i="33"/>
  <c r="C10" i="33"/>
  <c r="B10" i="33"/>
  <c r="A10" i="33"/>
  <c r="C9" i="33"/>
  <c r="B9" i="33"/>
  <c r="A9" i="33"/>
  <c r="C8" i="33"/>
  <c r="B8" i="33"/>
  <c r="A8" i="33"/>
  <c r="C7" i="33"/>
  <c r="C19" i="33" s="1"/>
  <c r="B7" i="33"/>
  <c r="A7" i="33"/>
  <c r="D4" i="33"/>
  <c r="B4" i="33"/>
  <c r="C18" i="32"/>
  <c r="B18" i="32"/>
  <c r="A18" i="32"/>
  <c r="C17" i="32"/>
  <c r="B17" i="32"/>
  <c r="A17" i="32"/>
  <c r="C16" i="32"/>
  <c r="B16" i="32"/>
  <c r="A16" i="32"/>
  <c r="C15" i="32"/>
  <c r="B15" i="32"/>
  <c r="A15" i="32"/>
  <c r="C14" i="32"/>
  <c r="B14" i="32"/>
  <c r="A14" i="32"/>
  <c r="C13" i="32"/>
  <c r="B13" i="32"/>
  <c r="A13" i="32"/>
  <c r="C12" i="32"/>
  <c r="B12" i="32"/>
  <c r="A12" i="32"/>
  <c r="C11" i="32"/>
  <c r="B11" i="32"/>
  <c r="A11" i="32"/>
  <c r="C10" i="32"/>
  <c r="B10" i="32"/>
  <c r="A10" i="32"/>
  <c r="C9" i="32"/>
  <c r="B9" i="32"/>
  <c r="A9" i="32"/>
  <c r="C8" i="32"/>
  <c r="B8" i="32"/>
  <c r="A8" i="32"/>
  <c r="C7" i="32"/>
  <c r="C19" i="32" s="1"/>
  <c r="B7" i="32"/>
  <c r="A7" i="32"/>
  <c r="D4" i="32"/>
  <c r="B4" i="32"/>
  <c r="C18" i="31"/>
  <c r="B18" i="31"/>
  <c r="A18" i="31"/>
  <c r="C17" i="31"/>
  <c r="B17" i="31"/>
  <c r="A17" i="31"/>
  <c r="C16" i="31"/>
  <c r="E16" i="31" s="1"/>
  <c r="B16" i="31"/>
  <c r="D16" i="31" s="1"/>
  <c r="G16" i="31" s="1"/>
  <c r="A16" i="31"/>
  <c r="C15" i="31"/>
  <c r="B15" i="31"/>
  <c r="A15" i="31"/>
  <c r="C14" i="31"/>
  <c r="B14" i="31"/>
  <c r="A14" i="31"/>
  <c r="C13" i="31"/>
  <c r="B13" i="31"/>
  <c r="A13" i="31"/>
  <c r="C12" i="31"/>
  <c r="B12" i="31"/>
  <c r="A12" i="31"/>
  <c r="C11" i="31"/>
  <c r="B11" i="31"/>
  <c r="A11" i="31"/>
  <c r="C10" i="31"/>
  <c r="B10" i="31"/>
  <c r="A10" i="31"/>
  <c r="C9" i="31"/>
  <c r="B9" i="31"/>
  <c r="A9" i="31"/>
  <c r="C8" i="31"/>
  <c r="B8" i="31"/>
  <c r="A8" i="31"/>
  <c r="C7" i="31"/>
  <c r="B7" i="31"/>
  <c r="A7" i="31"/>
  <c r="D4" i="31"/>
  <c r="B4" i="31"/>
  <c r="C18" i="30"/>
  <c r="B18" i="30"/>
  <c r="A18" i="30"/>
  <c r="C17" i="30"/>
  <c r="B17" i="30"/>
  <c r="A17" i="30"/>
  <c r="C16" i="30"/>
  <c r="E16" i="30" s="1"/>
  <c r="B16" i="30"/>
  <c r="A16" i="30"/>
  <c r="C15" i="30"/>
  <c r="B15" i="30"/>
  <c r="A15" i="30"/>
  <c r="C14" i="30"/>
  <c r="B14" i="30"/>
  <c r="A14" i="30"/>
  <c r="C13" i="30"/>
  <c r="B13" i="30"/>
  <c r="A13" i="30"/>
  <c r="C12" i="30"/>
  <c r="B12" i="30"/>
  <c r="A12" i="30"/>
  <c r="C11" i="30"/>
  <c r="B11" i="30"/>
  <c r="A11" i="30"/>
  <c r="C10" i="30"/>
  <c r="B10" i="30"/>
  <c r="A10" i="30"/>
  <c r="C9" i="30"/>
  <c r="B9" i="30"/>
  <c r="A9" i="30"/>
  <c r="C8" i="30"/>
  <c r="B8" i="30"/>
  <c r="A8" i="30"/>
  <c r="C7" i="30"/>
  <c r="B7" i="30"/>
  <c r="B19" i="30" s="1"/>
  <c r="A7" i="30"/>
  <c r="D4" i="30"/>
  <c r="B4" i="30"/>
  <c r="C18" i="29"/>
  <c r="B18" i="29"/>
  <c r="A18" i="29"/>
  <c r="C17" i="29"/>
  <c r="B17" i="29"/>
  <c r="A17" i="29"/>
  <c r="C16" i="29"/>
  <c r="B16" i="29"/>
  <c r="A16" i="29"/>
  <c r="C15" i="29"/>
  <c r="E15" i="29" s="1"/>
  <c r="B15" i="29"/>
  <c r="A15" i="29"/>
  <c r="C14" i="29"/>
  <c r="B14" i="29"/>
  <c r="A14" i="29"/>
  <c r="C13" i="29"/>
  <c r="B13" i="29"/>
  <c r="A13" i="29"/>
  <c r="C12" i="29"/>
  <c r="B12" i="29"/>
  <c r="A12" i="29"/>
  <c r="C11" i="29"/>
  <c r="B11" i="29"/>
  <c r="A11" i="29"/>
  <c r="C10" i="29"/>
  <c r="B10" i="29"/>
  <c r="A10" i="29"/>
  <c r="C9" i="29"/>
  <c r="B9" i="29"/>
  <c r="A9" i="29"/>
  <c r="C8" i="29"/>
  <c r="B8" i="29"/>
  <c r="A8" i="29"/>
  <c r="C7" i="29"/>
  <c r="C19" i="29" s="1"/>
  <c r="B7" i="29"/>
  <c r="A7" i="29"/>
  <c r="D4" i="29"/>
  <c r="B4" i="29"/>
  <c r="C18" i="28"/>
  <c r="B18" i="28"/>
  <c r="A18" i="28"/>
  <c r="C17" i="28"/>
  <c r="B17" i="28"/>
  <c r="A17" i="28"/>
  <c r="C16" i="28"/>
  <c r="B16" i="28"/>
  <c r="A16" i="28"/>
  <c r="C15" i="28"/>
  <c r="B15" i="28"/>
  <c r="A15" i="28"/>
  <c r="C14" i="28"/>
  <c r="B14" i="28"/>
  <c r="A14" i="28"/>
  <c r="C13" i="28"/>
  <c r="B13" i="28"/>
  <c r="A13" i="28"/>
  <c r="C12" i="28"/>
  <c r="B12" i="28"/>
  <c r="A12" i="28"/>
  <c r="C11" i="28"/>
  <c r="B11" i="28"/>
  <c r="A11" i="28"/>
  <c r="C10" i="28"/>
  <c r="B10" i="28"/>
  <c r="A10" i="28"/>
  <c r="C9" i="28"/>
  <c r="B9" i="28"/>
  <c r="A9" i="28"/>
  <c r="C8" i="28"/>
  <c r="B8" i="28"/>
  <c r="A8" i="28"/>
  <c r="C7" i="28"/>
  <c r="C19" i="28" s="1"/>
  <c r="B7" i="28"/>
  <c r="B19" i="28" s="1"/>
  <c r="A7" i="28"/>
  <c r="D4" i="28"/>
  <c r="B4" i="28"/>
  <c r="C18" i="27"/>
  <c r="B18" i="27"/>
  <c r="A18" i="27"/>
  <c r="C17" i="27"/>
  <c r="B17" i="27"/>
  <c r="A17" i="27"/>
  <c r="C16" i="27"/>
  <c r="B16" i="27"/>
  <c r="A16" i="27"/>
  <c r="C15" i="27"/>
  <c r="B15" i="27"/>
  <c r="A15" i="27"/>
  <c r="C14" i="27"/>
  <c r="B14" i="27"/>
  <c r="A14" i="27"/>
  <c r="C13" i="27"/>
  <c r="B13" i="27"/>
  <c r="A13" i="27"/>
  <c r="C12" i="27"/>
  <c r="B12" i="27"/>
  <c r="A12" i="27"/>
  <c r="C11" i="27"/>
  <c r="B11" i="27"/>
  <c r="A11" i="27"/>
  <c r="C10" i="27"/>
  <c r="B10" i="27"/>
  <c r="A10" i="27"/>
  <c r="C9" i="27"/>
  <c r="B9" i="27"/>
  <c r="A9" i="27"/>
  <c r="C8" i="27"/>
  <c r="B8" i="27"/>
  <c r="A8" i="27"/>
  <c r="C7" i="27"/>
  <c r="B7" i="27"/>
  <c r="B19" i="27" s="1"/>
  <c r="A7" i="27"/>
  <c r="D4" i="27"/>
  <c r="B4" i="27"/>
  <c r="C18" i="26"/>
  <c r="B18" i="26"/>
  <c r="A18" i="26"/>
  <c r="C17" i="26"/>
  <c r="B17" i="26"/>
  <c r="A17" i="26"/>
  <c r="C16" i="26"/>
  <c r="B16" i="26"/>
  <c r="A16" i="26"/>
  <c r="C15" i="26"/>
  <c r="B15" i="26"/>
  <c r="A15" i="26"/>
  <c r="C14" i="26"/>
  <c r="B14" i="26"/>
  <c r="A14" i="26"/>
  <c r="C13" i="26"/>
  <c r="B13" i="26"/>
  <c r="A13" i="26"/>
  <c r="C12" i="26"/>
  <c r="B12" i="26"/>
  <c r="A12" i="26"/>
  <c r="C11" i="26"/>
  <c r="B11" i="26"/>
  <c r="A11" i="26"/>
  <c r="C10" i="26"/>
  <c r="B10" i="26"/>
  <c r="A10" i="26"/>
  <c r="C9" i="26"/>
  <c r="B9" i="26"/>
  <c r="A9" i="26"/>
  <c r="C8" i="26"/>
  <c r="B8" i="26"/>
  <c r="A8" i="26"/>
  <c r="C7" i="26"/>
  <c r="C19" i="26" s="1"/>
  <c r="B7" i="26"/>
  <c r="B19" i="26" s="1"/>
  <c r="A7" i="26"/>
  <c r="D4" i="26"/>
  <c r="B4" i="26"/>
  <c r="C18" i="25"/>
  <c r="B18" i="25"/>
  <c r="A18" i="25"/>
  <c r="C17" i="25"/>
  <c r="B17" i="25"/>
  <c r="A17" i="25"/>
  <c r="C16" i="25"/>
  <c r="B16" i="25"/>
  <c r="D16" i="25" s="1"/>
  <c r="G16" i="25" s="1"/>
  <c r="A16" i="25"/>
  <c r="C15" i="25"/>
  <c r="B15" i="25"/>
  <c r="A15" i="25"/>
  <c r="C14" i="25"/>
  <c r="B14" i="25"/>
  <c r="A14" i="25"/>
  <c r="C13" i="25"/>
  <c r="B13" i="25"/>
  <c r="A13" i="25"/>
  <c r="C12" i="25"/>
  <c r="B12" i="25"/>
  <c r="A12" i="25"/>
  <c r="C11" i="25"/>
  <c r="B11" i="25"/>
  <c r="A11" i="25"/>
  <c r="C10" i="25"/>
  <c r="B10" i="25"/>
  <c r="A10" i="25"/>
  <c r="C9" i="25"/>
  <c r="B9" i="25"/>
  <c r="A9" i="25"/>
  <c r="C8" i="25"/>
  <c r="B8" i="25"/>
  <c r="A8" i="25"/>
  <c r="C7" i="25"/>
  <c r="C19" i="25" s="1"/>
  <c r="B7" i="25"/>
  <c r="B19" i="25" s="1"/>
  <c r="A7" i="25"/>
  <c r="D4" i="25"/>
  <c r="B4" i="25"/>
  <c r="C18" i="24"/>
  <c r="B18" i="24"/>
  <c r="A18" i="24"/>
  <c r="C17" i="24"/>
  <c r="B17" i="24"/>
  <c r="A17" i="24"/>
  <c r="C16" i="24"/>
  <c r="B16" i="24"/>
  <c r="A16" i="24"/>
  <c r="C15" i="24"/>
  <c r="B15" i="24"/>
  <c r="A15" i="24"/>
  <c r="C14" i="24"/>
  <c r="B14" i="24"/>
  <c r="A14" i="24"/>
  <c r="C13" i="24"/>
  <c r="B13" i="24"/>
  <c r="A13" i="24"/>
  <c r="C12" i="24"/>
  <c r="B12" i="24"/>
  <c r="A12" i="24"/>
  <c r="C11" i="24"/>
  <c r="B11" i="24"/>
  <c r="A11" i="24"/>
  <c r="C10" i="24"/>
  <c r="B10" i="24"/>
  <c r="A10" i="24"/>
  <c r="C9" i="24"/>
  <c r="B9" i="24"/>
  <c r="A9" i="24"/>
  <c r="C8" i="24"/>
  <c r="B8" i="24"/>
  <c r="A8" i="24"/>
  <c r="C7" i="24"/>
  <c r="C19" i="24" s="1"/>
  <c r="B7" i="24"/>
  <c r="B19" i="24" s="1"/>
  <c r="A7" i="24"/>
  <c r="D4" i="24"/>
  <c r="B4" i="24"/>
  <c r="C18" i="23"/>
  <c r="B18" i="23"/>
  <c r="A18" i="23"/>
  <c r="C17" i="23"/>
  <c r="B17" i="23"/>
  <c r="A17" i="23"/>
  <c r="C16" i="23"/>
  <c r="B16" i="23"/>
  <c r="A16" i="23"/>
  <c r="C15" i="23"/>
  <c r="B15" i="23"/>
  <c r="A15" i="23"/>
  <c r="C14" i="23"/>
  <c r="B14" i="23"/>
  <c r="A14" i="23"/>
  <c r="C13" i="23"/>
  <c r="B13" i="23"/>
  <c r="A13" i="23"/>
  <c r="C12" i="23"/>
  <c r="B12" i="23"/>
  <c r="A12" i="23"/>
  <c r="C11" i="23"/>
  <c r="B11" i="23"/>
  <c r="A11" i="23"/>
  <c r="C10" i="23"/>
  <c r="B10" i="23"/>
  <c r="A10" i="23"/>
  <c r="C9" i="23"/>
  <c r="B9" i="23"/>
  <c r="A9" i="23"/>
  <c r="C8" i="23"/>
  <c r="B8" i="23"/>
  <c r="A8" i="23"/>
  <c r="C7" i="23"/>
  <c r="C19" i="23" s="1"/>
  <c r="B7" i="23"/>
  <c r="A7" i="23"/>
  <c r="D4" i="23"/>
  <c r="B4" i="23"/>
  <c r="C18" i="22"/>
  <c r="B18" i="22"/>
  <c r="A18" i="22"/>
  <c r="C17" i="22"/>
  <c r="B17" i="22"/>
  <c r="A17" i="22"/>
  <c r="C16" i="22"/>
  <c r="B16" i="22"/>
  <c r="A16" i="22"/>
  <c r="C15" i="22"/>
  <c r="B15" i="22"/>
  <c r="A15" i="22"/>
  <c r="C14" i="22"/>
  <c r="B14" i="22"/>
  <c r="A14" i="22"/>
  <c r="C13" i="22"/>
  <c r="B13" i="22"/>
  <c r="A13" i="22"/>
  <c r="C12" i="22"/>
  <c r="B12" i="22"/>
  <c r="A12" i="22"/>
  <c r="C11" i="22"/>
  <c r="B11" i="22"/>
  <c r="A11" i="22"/>
  <c r="C10" i="22"/>
  <c r="B10" i="22"/>
  <c r="A10" i="22"/>
  <c r="C9" i="22"/>
  <c r="B9" i="22"/>
  <c r="A9" i="22"/>
  <c r="C8" i="22"/>
  <c r="B8" i="22"/>
  <c r="A8" i="22"/>
  <c r="C7" i="22"/>
  <c r="C19" i="22" s="1"/>
  <c r="B7" i="22"/>
  <c r="B19" i="22" s="1"/>
  <c r="A7" i="22"/>
  <c r="D4" i="22"/>
  <c r="B4" i="22"/>
  <c r="C18" i="21"/>
  <c r="B18" i="21"/>
  <c r="A18" i="21"/>
  <c r="C17" i="21"/>
  <c r="B17" i="21"/>
  <c r="A17" i="21"/>
  <c r="C16" i="21"/>
  <c r="B16" i="21"/>
  <c r="A16" i="21"/>
  <c r="C15" i="21"/>
  <c r="B15" i="21"/>
  <c r="A15" i="21"/>
  <c r="C14" i="21"/>
  <c r="B14" i="21"/>
  <c r="A14" i="21"/>
  <c r="C13" i="21"/>
  <c r="B13" i="21"/>
  <c r="A13" i="21"/>
  <c r="C12" i="21"/>
  <c r="B12" i="21"/>
  <c r="A12" i="21"/>
  <c r="C11" i="21"/>
  <c r="B11" i="21"/>
  <c r="A11" i="21"/>
  <c r="C10" i="21"/>
  <c r="B10" i="21"/>
  <c r="A10" i="21"/>
  <c r="C9" i="21"/>
  <c r="B9" i="21"/>
  <c r="A9" i="21"/>
  <c r="C8" i="21"/>
  <c r="B8" i="21"/>
  <c r="A8" i="21"/>
  <c r="C7" i="21"/>
  <c r="B7" i="21"/>
  <c r="A7" i="21"/>
  <c r="D4" i="21"/>
  <c r="B4" i="21"/>
  <c r="C18" i="20"/>
  <c r="B18" i="20"/>
  <c r="A18" i="20"/>
  <c r="C17" i="20"/>
  <c r="B17" i="20"/>
  <c r="A17" i="20"/>
  <c r="C16" i="20"/>
  <c r="B16" i="20"/>
  <c r="A16" i="20"/>
  <c r="C15" i="20"/>
  <c r="B15" i="20"/>
  <c r="A15" i="20"/>
  <c r="C14" i="20"/>
  <c r="B14" i="20"/>
  <c r="A14" i="20"/>
  <c r="C13" i="20"/>
  <c r="B13" i="20"/>
  <c r="A13" i="20"/>
  <c r="C12" i="20"/>
  <c r="B12" i="20"/>
  <c r="A12" i="20"/>
  <c r="C11" i="20"/>
  <c r="B11" i="20"/>
  <c r="A11" i="20"/>
  <c r="C10" i="20"/>
  <c r="B10" i="20"/>
  <c r="A10" i="20"/>
  <c r="C9" i="20"/>
  <c r="B9" i="20"/>
  <c r="A9" i="20"/>
  <c r="C8" i="20"/>
  <c r="B8" i="20"/>
  <c r="A8" i="20"/>
  <c r="C7" i="20"/>
  <c r="C19" i="20" s="1"/>
  <c r="B7" i="20"/>
  <c r="A7" i="20"/>
  <c r="D4" i="20"/>
  <c r="B4" i="20"/>
  <c r="C18" i="19"/>
  <c r="B18" i="19"/>
  <c r="A18" i="19"/>
  <c r="C17" i="19"/>
  <c r="B17" i="19"/>
  <c r="A17" i="19"/>
  <c r="C16" i="19"/>
  <c r="B16" i="19"/>
  <c r="A16" i="19"/>
  <c r="C15" i="19"/>
  <c r="B15" i="19"/>
  <c r="A15" i="19"/>
  <c r="C14" i="19"/>
  <c r="B14" i="19"/>
  <c r="A14" i="19"/>
  <c r="C13" i="19"/>
  <c r="B13" i="19"/>
  <c r="A13" i="19"/>
  <c r="C12" i="19"/>
  <c r="B12" i="19"/>
  <c r="A12" i="19"/>
  <c r="C11" i="19"/>
  <c r="B11" i="19"/>
  <c r="A11" i="19"/>
  <c r="C10" i="19"/>
  <c r="B10" i="19"/>
  <c r="A10" i="19"/>
  <c r="C9" i="19"/>
  <c r="B9" i="19"/>
  <c r="A9" i="19"/>
  <c r="C8" i="19"/>
  <c r="B8" i="19"/>
  <c r="A8" i="19"/>
  <c r="C7" i="19"/>
  <c r="C19" i="19" s="1"/>
  <c r="B7" i="19"/>
  <c r="A7" i="19"/>
  <c r="D4" i="19"/>
  <c r="B4" i="19"/>
  <c r="C18" i="18"/>
  <c r="B18" i="18"/>
  <c r="A18" i="18"/>
  <c r="C17" i="18"/>
  <c r="B17" i="18"/>
  <c r="A17" i="18"/>
  <c r="C16" i="18"/>
  <c r="B16" i="18"/>
  <c r="A16" i="18"/>
  <c r="C15" i="18"/>
  <c r="B15" i="18"/>
  <c r="A15" i="18"/>
  <c r="C14" i="18"/>
  <c r="B14" i="18"/>
  <c r="A14" i="18"/>
  <c r="C13" i="18"/>
  <c r="B13" i="18"/>
  <c r="A13" i="18"/>
  <c r="C12" i="18"/>
  <c r="B12" i="18"/>
  <c r="A12" i="18"/>
  <c r="C11" i="18"/>
  <c r="B11" i="18"/>
  <c r="A11" i="18"/>
  <c r="C10" i="18"/>
  <c r="B10" i="18"/>
  <c r="A10" i="18"/>
  <c r="C9" i="18"/>
  <c r="B9" i="18"/>
  <c r="A9" i="18"/>
  <c r="C8" i="18"/>
  <c r="B8" i="18"/>
  <c r="A8" i="18"/>
  <c r="C7" i="18"/>
  <c r="B7" i="18"/>
  <c r="A7" i="18"/>
  <c r="D4" i="18"/>
  <c r="B4" i="18"/>
  <c r="C18" i="17"/>
  <c r="B18" i="17"/>
  <c r="A18" i="17"/>
  <c r="C17" i="17"/>
  <c r="B17" i="17"/>
  <c r="A17" i="17"/>
  <c r="C16" i="17"/>
  <c r="B16" i="17"/>
  <c r="A16" i="17"/>
  <c r="C15" i="17"/>
  <c r="B15" i="17"/>
  <c r="A15" i="17"/>
  <c r="C14" i="17"/>
  <c r="B14" i="17"/>
  <c r="A14" i="17"/>
  <c r="C13" i="17"/>
  <c r="B13" i="17"/>
  <c r="A13" i="17"/>
  <c r="C12" i="17"/>
  <c r="B12" i="17"/>
  <c r="A12" i="17"/>
  <c r="C11" i="17"/>
  <c r="B11" i="17"/>
  <c r="A11" i="17"/>
  <c r="C10" i="17"/>
  <c r="B10" i="17"/>
  <c r="A10" i="17"/>
  <c r="C9" i="17"/>
  <c r="B9" i="17"/>
  <c r="A9" i="17"/>
  <c r="C8" i="17"/>
  <c r="B8" i="17"/>
  <c r="A8" i="17"/>
  <c r="C7" i="17"/>
  <c r="C19" i="17" s="1"/>
  <c r="B7" i="17"/>
  <c r="B19" i="17" s="1"/>
  <c r="A7" i="17"/>
  <c r="D4" i="17"/>
  <c r="B4" i="17"/>
  <c r="C18" i="16"/>
  <c r="B18" i="16"/>
  <c r="A18" i="16"/>
  <c r="C17" i="16"/>
  <c r="B17" i="16"/>
  <c r="A17" i="16"/>
  <c r="C16" i="16"/>
  <c r="B16" i="16"/>
  <c r="A16" i="16"/>
  <c r="C15" i="16"/>
  <c r="B15" i="16"/>
  <c r="A15" i="16"/>
  <c r="C14" i="16"/>
  <c r="B14" i="16"/>
  <c r="A14" i="16"/>
  <c r="C13" i="16"/>
  <c r="B13" i="16"/>
  <c r="A13" i="16"/>
  <c r="C12" i="16"/>
  <c r="B12" i="16"/>
  <c r="A12" i="16"/>
  <c r="C11" i="16"/>
  <c r="B11" i="16"/>
  <c r="A11" i="16"/>
  <c r="C10" i="16"/>
  <c r="B10" i="16"/>
  <c r="A10" i="16"/>
  <c r="C9" i="16"/>
  <c r="B9" i="16"/>
  <c r="A9" i="16"/>
  <c r="C8" i="16"/>
  <c r="B8" i="16"/>
  <c r="A8" i="16"/>
  <c r="C7" i="16"/>
  <c r="B7" i="16"/>
  <c r="A7" i="16"/>
  <c r="D4" i="16"/>
  <c r="B4" i="16"/>
  <c r="C18" i="15"/>
  <c r="B18" i="15"/>
  <c r="A18" i="15"/>
  <c r="C17" i="15"/>
  <c r="B17" i="15"/>
  <c r="A17" i="15"/>
  <c r="C16" i="15"/>
  <c r="B16" i="15"/>
  <c r="A16" i="15"/>
  <c r="C15" i="15"/>
  <c r="B15" i="15"/>
  <c r="A15" i="15"/>
  <c r="C14" i="15"/>
  <c r="B14" i="15"/>
  <c r="A14" i="15"/>
  <c r="C13" i="15"/>
  <c r="B13" i="15"/>
  <c r="A13" i="15"/>
  <c r="C12" i="15"/>
  <c r="B12" i="15"/>
  <c r="A12" i="15"/>
  <c r="C11" i="15"/>
  <c r="B11" i="15"/>
  <c r="A11" i="15"/>
  <c r="C10" i="15"/>
  <c r="B10" i="15"/>
  <c r="A10" i="15"/>
  <c r="C9" i="15"/>
  <c r="B9" i="15"/>
  <c r="A9" i="15"/>
  <c r="C8" i="15"/>
  <c r="B8" i="15"/>
  <c r="A8" i="15"/>
  <c r="C7" i="15"/>
  <c r="C19" i="15" s="1"/>
  <c r="B7" i="15"/>
  <c r="A7" i="15"/>
  <c r="D4" i="15"/>
  <c r="B4" i="15"/>
  <c r="C18" i="14"/>
  <c r="B18" i="14"/>
  <c r="A18" i="14"/>
  <c r="C17" i="14"/>
  <c r="B17" i="14"/>
  <c r="A17" i="14"/>
  <c r="C16" i="14"/>
  <c r="B16" i="14"/>
  <c r="D16" i="14" s="1"/>
  <c r="G16" i="14" s="1"/>
  <c r="A16" i="14"/>
  <c r="C15" i="14"/>
  <c r="B15" i="14"/>
  <c r="A15" i="14"/>
  <c r="C14" i="14"/>
  <c r="B14" i="14"/>
  <c r="A14" i="14"/>
  <c r="C13" i="14"/>
  <c r="B13" i="14"/>
  <c r="A13" i="14"/>
  <c r="C12" i="14"/>
  <c r="B12" i="14"/>
  <c r="A12" i="14"/>
  <c r="C11" i="14"/>
  <c r="B11" i="14"/>
  <c r="A11" i="14"/>
  <c r="C10" i="14"/>
  <c r="B10" i="14"/>
  <c r="A10" i="14"/>
  <c r="C9" i="14"/>
  <c r="B9" i="14"/>
  <c r="A9" i="14"/>
  <c r="C8" i="14"/>
  <c r="B8" i="14"/>
  <c r="A8" i="14"/>
  <c r="C7" i="14"/>
  <c r="C19" i="14" s="1"/>
  <c r="B7" i="14"/>
  <c r="B19" i="14" s="1"/>
  <c r="A7" i="14"/>
  <c r="D4" i="14"/>
  <c r="B4" i="14"/>
  <c r="D17" i="14" s="1"/>
  <c r="G17" i="14" s="1"/>
  <c r="C18" i="13"/>
  <c r="B18" i="13"/>
  <c r="A18" i="13"/>
  <c r="C17" i="13"/>
  <c r="B17" i="13"/>
  <c r="A17" i="13"/>
  <c r="C16" i="13"/>
  <c r="B16" i="13"/>
  <c r="A16" i="13"/>
  <c r="C15" i="13"/>
  <c r="B15" i="13"/>
  <c r="A15" i="13"/>
  <c r="C14" i="13"/>
  <c r="B14" i="13"/>
  <c r="A14" i="13"/>
  <c r="C13" i="13"/>
  <c r="B13" i="13"/>
  <c r="A13" i="13"/>
  <c r="C12" i="13"/>
  <c r="B12" i="13"/>
  <c r="A12" i="13"/>
  <c r="C11" i="13"/>
  <c r="B11" i="13"/>
  <c r="A11" i="13"/>
  <c r="C10" i="13"/>
  <c r="B10" i="13"/>
  <c r="A10" i="13"/>
  <c r="C9" i="13"/>
  <c r="B9" i="13"/>
  <c r="A9" i="13"/>
  <c r="C8" i="13"/>
  <c r="B8" i="13"/>
  <c r="A8" i="13"/>
  <c r="C7" i="13"/>
  <c r="C19" i="13" s="1"/>
  <c r="B7" i="13"/>
  <c r="B19" i="13" s="1"/>
  <c r="A7" i="13"/>
  <c r="D4" i="13"/>
  <c r="B4" i="13"/>
  <c r="C18" i="12"/>
  <c r="B18" i="12"/>
  <c r="A18" i="12"/>
  <c r="C17" i="12"/>
  <c r="B17" i="12"/>
  <c r="A17" i="12"/>
  <c r="C16" i="12"/>
  <c r="B16" i="12"/>
  <c r="A16" i="12"/>
  <c r="C15" i="12"/>
  <c r="E15" i="12" s="1"/>
  <c r="B15" i="12"/>
  <c r="A15" i="12"/>
  <c r="C14" i="12"/>
  <c r="B14" i="12"/>
  <c r="A14" i="12"/>
  <c r="C13" i="12"/>
  <c r="B13" i="12"/>
  <c r="A13" i="12"/>
  <c r="C12" i="12"/>
  <c r="B12" i="12"/>
  <c r="A12" i="12"/>
  <c r="C11" i="12"/>
  <c r="B11" i="12"/>
  <c r="A11" i="12"/>
  <c r="C10" i="12"/>
  <c r="B10" i="12"/>
  <c r="A10" i="12"/>
  <c r="C9" i="12"/>
  <c r="B9" i="12"/>
  <c r="A9" i="12"/>
  <c r="C8" i="12"/>
  <c r="B8" i="12"/>
  <c r="A8" i="12"/>
  <c r="C7" i="12"/>
  <c r="C19" i="12" s="1"/>
  <c r="B7" i="12"/>
  <c r="B19" i="12" s="1"/>
  <c r="A7" i="12"/>
  <c r="D4" i="12"/>
  <c r="B4" i="12"/>
  <c r="C18" i="11"/>
  <c r="B18" i="11"/>
  <c r="A18" i="11"/>
  <c r="F18" i="11" s="1"/>
  <c r="C17" i="11"/>
  <c r="B17" i="11"/>
  <c r="A17" i="11"/>
  <c r="C16" i="11"/>
  <c r="B16" i="11"/>
  <c r="A16" i="11"/>
  <c r="C15" i="11"/>
  <c r="B15" i="11"/>
  <c r="A15" i="11"/>
  <c r="C14" i="11"/>
  <c r="B14" i="11"/>
  <c r="A14" i="11"/>
  <c r="C13" i="11"/>
  <c r="B13" i="11"/>
  <c r="A13" i="11"/>
  <c r="C12" i="11"/>
  <c r="B12" i="11"/>
  <c r="A12" i="11"/>
  <c r="C11" i="11"/>
  <c r="B11" i="11"/>
  <c r="A11" i="11"/>
  <c r="C10" i="11"/>
  <c r="B10" i="11"/>
  <c r="A10" i="11"/>
  <c r="C9" i="11"/>
  <c r="B9" i="11"/>
  <c r="A9" i="11"/>
  <c r="C8" i="11"/>
  <c r="B8" i="11"/>
  <c r="A8" i="11"/>
  <c r="C7" i="11"/>
  <c r="B7" i="11"/>
  <c r="A7" i="11"/>
  <c r="D4" i="11"/>
  <c r="B4" i="11"/>
  <c r="C18" i="10"/>
  <c r="B18" i="10"/>
  <c r="A18" i="10"/>
  <c r="C17" i="10"/>
  <c r="B17" i="10"/>
  <c r="A17" i="10"/>
  <c r="C16" i="10"/>
  <c r="B16" i="10"/>
  <c r="A16" i="10"/>
  <c r="C15" i="10"/>
  <c r="B15" i="10"/>
  <c r="A15" i="10"/>
  <c r="C14" i="10"/>
  <c r="B14" i="10"/>
  <c r="A14" i="10"/>
  <c r="C13" i="10"/>
  <c r="B13" i="10"/>
  <c r="A13" i="10"/>
  <c r="C12" i="10"/>
  <c r="B12" i="10"/>
  <c r="A12" i="10"/>
  <c r="C11" i="10"/>
  <c r="B11" i="10"/>
  <c r="A11" i="10"/>
  <c r="C10" i="10"/>
  <c r="B10" i="10"/>
  <c r="A10" i="10"/>
  <c r="C9" i="10"/>
  <c r="B9" i="10"/>
  <c r="A9" i="10"/>
  <c r="C8" i="10"/>
  <c r="B8" i="10"/>
  <c r="A8" i="10"/>
  <c r="C7" i="10"/>
  <c r="C19" i="10" s="1"/>
  <c r="B7" i="10"/>
  <c r="A7" i="10"/>
  <c r="D4" i="10"/>
  <c r="B4" i="10"/>
  <c r="C18" i="9"/>
  <c r="B18" i="9"/>
  <c r="A18" i="9"/>
  <c r="C17" i="9"/>
  <c r="B17" i="9"/>
  <c r="A17" i="9"/>
  <c r="C16" i="9"/>
  <c r="B16" i="9"/>
  <c r="A16" i="9"/>
  <c r="C15" i="9"/>
  <c r="B15" i="9"/>
  <c r="A15" i="9"/>
  <c r="C14" i="9"/>
  <c r="B14" i="9"/>
  <c r="A14" i="9"/>
  <c r="C13" i="9"/>
  <c r="B13" i="9"/>
  <c r="A13" i="9"/>
  <c r="C12" i="9"/>
  <c r="B12" i="9"/>
  <c r="A12" i="9"/>
  <c r="C11" i="9"/>
  <c r="B11" i="9"/>
  <c r="A11" i="9"/>
  <c r="C10" i="9"/>
  <c r="B10" i="9"/>
  <c r="A10" i="9"/>
  <c r="C9" i="9"/>
  <c r="B9" i="9"/>
  <c r="A9" i="9"/>
  <c r="C8" i="9"/>
  <c r="B8" i="9"/>
  <c r="A8" i="9"/>
  <c r="C7" i="9"/>
  <c r="B7" i="9"/>
  <c r="A7" i="9"/>
  <c r="D4" i="9"/>
  <c r="B4" i="9"/>
  <c r="C18" i="8"/>
  <c r="B18" i="8"/>
  <c r="A18" i="8"/>
  <c r="C17" i="8"/>
  <c r="B17" i="8"/>
  <c r="A17" i="8"/>
  <c r="C16" i="8"/>
  <c r="B16" i="8"/>
  <c r="A16" i="8"/>
  <c r="C15" i="8"/>
  <c r="B15" i="8"/>
  <c r="A15" i="8"/>
  <c r="C14" i="8"/>
  <c r="B14" i="8"/>
  <c r="A14" i="8"/>
  <c r="C13" i="8"/>
  <c r="B13" i="8"/>
  <c r="A13" i="8"/>
  <c r="C12" i="8"/>
  <c r="B12" i="8"/>
  <c r="A12" i="8"/>
  <c r="C11" i="8"/>
  <c r="B11" i="8"/>
  <c r="A11" i="8"/>
  <c r="C10" i="8"/>
  <c r="B10" i="8"/>
  <c r="A10" i="8"/>
  <c r="C9" i="8"/>
  <c r="B9" i="8"/>
  <c r="A9" i="8"/>
  <c r="C8" i="8"/>
  <c r="B8" i="8"/>
  <c r="A8" i="8"/>
  <c r="C7" i="8"/>
  <c r="B7" i="8"/>
  <c r="B19" i="8" s="1"/>
  <c r="A7" i="8"/>
  <c r="D4" i="8"/>
  <c r="B4" i="8"/>
  <c r="C18" i="7"/>
  <c r="B18" i="7"/>
  <c r="A18" i="7"/>
  <c r="C17" i="7"/>
  <c r="B17" i="7"/>
  <c r="A17" i="7"/>
  <c r="C16" i="7"/>
  <c r="B16" i="7"/>
  <c r="A16" i="7"/>
  <c r="C15" i="7"/>
  <c r="B15" i="7"/>
  <c r="A15" i="7"/>
  <c r="C14" i="7"/>
  <c r="E14" i="7" s="1"/>
  <c r="B14" i="7"/>
  <c r="A14" i="7"/>
  <c r="C13" i="7"/>
  <c r="B13" i="7"/>
  <c r="A13" i="7"/>
  <c r="C12" i="7"/>
  <c r="B12" i="7"/>
  <c r="A12" i="7"/>
  <c r="C11" i="7"/>
  <c r="B11" i="7"/>
  <c r="A11" i="7"/>
  <c r="C10" i="7"/>
  <c r="B10" i="7"/>
  <c r="A10" i="7"/>
  <c r="C9" i="7"/>
  <c r="B9" i="7"/>
  <c r="A9" i="7"/>
  <c r="C8" i="7"/>
  <c r="B8" i="7"/>
  <c r="A8" i="7"/>
  <c r="C7" i="7"/>
  <c r="B7" i="7"/>
  <c r="B19" i="7" s="1"/>
  <c r="A7" i="7"/>
  <c r="D4" i="7"/>
  <c r="B4" i="7"/>
  <c r="C18" i="6"/>
  <c r="B18" i="6"/>
  <c r="A18" i="6"/>
  <c r="C17" i="6"/>
  <c r="B17" i="6"/>
  <c r="A17" i="6"/>
  <c r="C16" i="6"/>
  <c r="B16" i="6"/>
  <c r="A16" i="6"/>
  <c r="C15" i="6"/>
  <c r="B15" i="6"/>
  <c r="A15" i="6"/>
  <c r="C14" i="6"/>
  <c r="B14" i="6"/>
  <c r="A14" i="6"/>
  <c r="C13" i="6"/>
  <c r="B13" i="6"/>
  <c r="A13" i="6"/>
  <c r="C12" i="6"/>
  <c r="B12" i="6"/>
  <c r="A12" i="6"/>
  <c r="C11" i="6"/>
  <c r="B11" i="6"/>
  <c r="A11" i="6"/>
  <c r="C10" i="6"/>
  <c r="B10" i="6"/>
  <c r="A10" i="6"/>
  <c r="C9" i="6"/>
  <c r="B9" i="6"/>
  <c r="A9" i="6"/>
  <c r="C8" i="6"/>
  <c r="B8" i="6"/>
  <c r="A8" i="6"/>
  <c r="C7" i="6"/>
  <c r="C19" i="6" s="1"/>
  <c r="B7" i="6"/>
  <c r="B19" i="6" s="1"/>
  <c r="A7" i="6"/>
  <c r="D4" i="6"/>
  <c r="B4" i="6"/>
  <c r="C18" i="5"/>
  <c r="B18" i="5"/>
  <c r="A18" i="5"/>
  <c r="C17" i="5"/>
  <c r="B17" i="5"/>
  <c r="A17" i="5"/>
  <c r="C16" i="5"/>
  <c r="B16" i="5"/>
  <c r="A16" i="5"/>
  <c r="C15" i="5"/>
  <c r="B15" i="5"/>
  <c r="A15" i="5"/>
  <c r="C14" i="5"/>
  <c r="B14" i="5"/>
  <c r="A14" i="5"/>
  <c r="C13" i="5"/>
  <c r="B13" i="5"/>
  <c r="A13" i="5"/>
  <c r="C12" i="5"/>
  <c r="B12" i="5"/>
  <c r="A12" i="5"/>
  <c r="C11" i="5"/>
  <c r="B11" i="5"/>
  <c r="A11" i="5"/>
  <c r="C10" i="5"/>
  <c r="B10" i="5"/>
  <c r="A10" i="5"/>
  <c r="C9" i="5"/>
  <c r="B9" i="5"/>
  <c r="A9" i="5"/>
  <c r="C8" i="5"/>
  <c r="B8" i="5"/>
  <c r="A8" i="5"/>
  <c r="C7" i="5"/>
  <c r="B7" i="5"/>
  <c r="B19" i="5" s="1"/>
  <c r="A7" i="5"/>
  <c r="D4" i="5"/>
  <c r="B4" i="5"/>
  <c r="L577" i="4"/>
  <c r="K577" i="4"/>
  <c r="L576" i="4"/>
  <c r="K576" i="4"/>
  <c r="L575" i="4"/>
  <c r="K575" i="4"/>
  <c r="L574" i="4"/>
  <c r="K574" i="4"/>
  <c r="L573" i="4"/>
  <c r="K573" i="4"/>
  <c r="L572" i="4"/>
  <c r="K572" i="4"/>
  <c r="L571" i="4"/>
  <c r="K571" i="4"/>
  <c r="L570" i="4"/>
  <c r="K570" i="4"/>
  <c r="L569" i="4"/>
  <c r="K569" i="4"/>
  <c r="L568" i="4"/>
  <c r="K568" i="4"/>
  <c r="L567" i="4"/>
  <c r="K567" i="4"/>
  <c r="L566" i="4"/>
  <c r="K566" i="4"/>
  <c r="L565" i="4"/>
  <c r="K565" i="4"/>
  <c r="L564" i="4"/>
  <c r="K564" i="4"/>
  <c r="L563" i="4"/>
  <c r="K563" i="4"/>
  <c r="L562" i="4"/>
  <c r="K562" i="4"/>
  <c r="L561" i="4"/>
  <c r="K561" i="4"/>
  <c r="L560" i="4"/>
  <c r="K560" i="4"/>
  <c r="L559" i="4"/>
  <c r="K559" i="4"/>
  <c r="L558" i="4"/>
  <c r="K558" i="4"/>
  <c r="L557" i="4"/>
  <c r="K557" i="4"/>
  <c r="L556" i="4"/>
  <c r="K556" i="4"/>
  <c r="L555" i="4"/>
  <c r="K555" i="4"/>
  <c r="L554" i="4"/>
  <c r="K554" i="4"/>
  <c r="L553" i="4"/>
  <c r="K553" i="4"/>
  <c r="L552" i="4"/>
  <c r="K552" i="4"/>
  <c r="L551" i="4"/>
  <c r="K551" i="4"/>
  <c r="L550" i="4"/>
  <c r="K550" i="4"/>
  <c r="L549" i="4"/>
  <c r="K549" i="4"/>
  <c r="L548" i="4"/>
  <c r="K548" i="4"/>
  <c r="L547" i="4"/>
  <c r="K547" i="4"/>
  <c r="L546" i="4"/>
  <c r="K546" i="4"/>
  <c r="L545" i="4"/>
  <c r="K545" i="4"/>
  <c r="L544" i="4"/>
  <c r="K544" i="4"/>
  <c r="L543" i="4"/>
  <c r="K543" i="4"/>
  <c r="L542" i="4"/>
  <c r="K542" i="4"/>
  <c r="L541" i="4"/>
  <c r="K541" i="4"/>
  <c r="L540" i="4"/>
  <c r="K540" i="4"/>
  <c r="L539" i="4"/>
  <c r="K539" i="4"/>
  <c r="L538" i="4"/>
  <c r="K538" i="4"/>
  <c r="L537" i="4"/>
  <c r="K537" i="4"/>
  <c r="L536" i="4"/>
  <c r="K536" i="4"/>
  <c r="L535" i="4"/>
  <c r="K535" i="4"/>
  <c r="L534" i="4"/>
  <c r="K534" i="4"/>
  <c r="L533" i="4"/>
  <c r="K533" i="4"/>
  <c r="L532" i="4"/>
  <c r="K532" i="4"/>
  <c r="L531" i="4"/>
  <c r="K531" i="4"/>
  <c r="L530" i="4"/>
  <c r="K530" i="4"/>
  <c r="L529" i="4"/>
  <c r="K529" i="4"/>
  <c r="L528" i="4"/>
  <c r="K528" i="4"/>
  <c r="L527" i="4"/>
  <c r="K527" i="4"/>
  <c r="L526" i="4"/>
  <c r="K526" i="4"/>
  <c r="L525" i="4"/>
  <c r="K525" i="4"/>
  <c r="L524" i="4"/>
  <c r="K524" i="4"/>
  <c r="L523" i="4"/>
  <c r="K523" i="4"/>
  <c r="L522" i="4"/>
  <c r="K522" i="4"/>
  <c r="L521" i="4"/>
  <c r="K521" i="4"/>
  <c r="L520" i="4"/>
  <c r="K520" i="4"/>
  <c r="L519" i="4"/>
  <c r="K519" i="4"/>
  <c r="L518" i="4"/>
  <c r="K518" i="4"/>
  <c r="L517" i="4"/>
  <c r="K517" i="4"/>
  <c r="L516" i="4"/>
  <c r="K516" i="4"/>
  <c r="L515" i="4"/>
  <c r="K515" i="4"/>
  <c r="L514" i="4"/>
  <c r="K514" i="4"/>
  <c r="L513" i="4"/>
  <c r="K513" i="4"/>
  <c r="L512" i="4"/>
  <c r="K512" i="4"/>
  <c r="L511" i="4"/>
  <c r="K511" i="4"/>
  <c r="L510" i="4"/>
  <c r="K510" i="4"/>
  <c r="L509" i="4"/>
  <c r="K509" i="4"/>
  <c r="L508" i="4"/>
  <c r="K508" i="4"/>
  <c r="L507" i="4"/>
  <c r="K507" i="4"/>
  <c r="L506" i="4"/>
  <c r="K506" i="4"/>
  <c r="L505" i="4"/>
  <c r="K505" i="4"/>
  <c r="L504" i="4"/>
  <c r="K504" i="4"/>
  <c r="L503" i="4"/>
  <c r="K503" i="4"/>
  <c r="L502" i="4"/>
  <c r="K502" i="4"/>
  <c r="L501" i="4"/>
  <c r="K501" i="4"/>
  <c r="L500" i="4"/>
  <c r="K500" i="4"/>
  <c r="L499" i="4"/>
  <c r="K499" i="4"/>
  <c r="L498" i="4"/>
  <c r="K498" i="4"/>
  <c r="L497" i="4"/>
  <c r="K497" i="4"/>
  <c r="L496" i="4"/>
  <c r="K496" i="4"/>
  <c r="L495" i="4"/>
  <c r="K495" i="4"/>
  <c r="L494" i="4"/>
  <c r="K494" i="4"/>
  <c r="L493" i="4"/>
  <c r="K493" i="4"/>
  <c r="L492" i="4"/>
  <c r="K492" i="4"/>
  <c r="L491" i="4"/>
  <c r="K491" i="4"/>
  <c r="L490" i="4"/>
  <c r="K490" i="4"/>
  <c r="L489" i="4"/>
  <c r="K489" i="4"/>
  <c r="L488" i="4"/>
  <c r="K488" i="4"/>
  <c r="L487" i="4"/>
  <c r="K487" i="4"/>
  <c r="L486" i="4"/>
  <c r="K486" i="4"/>
  <c r="L485" i="4"/>
  <c r="K485" i="4"/>
  <c r="L484" i="4"/>
  <c r="K484" i="4"/>
  <c r="L483" i="4"/>
  <c r="K483" i="4"/>
  <c r="L482" i="4"/>
  <c r="K482" i="4"/>
  <c r="L481" i="4"/>
  <c r="K481" i="4"/>
  <c r="L480" i="4"/>
  <c r="K480" i="4"/>
  <c r="L479" i="4"/>
  <c r="K479" i="4"/>
  <c r="L478" i="4"/>
  <c r="K478" i="4"/>
  <c r="L477" i="4"/>
  <c r="K477" i="4"/>
  <c r="L476" i="4"/>
  <c r="K476" i="4"/>
  <c r="L475" i="4"/>
  <c r="K475" i="4"/>
  <c r="L474" i="4"/>
  <c r="K474" i="4"/>
  <c r="L473" i="4"/>
  <c r="K473" i="4"/>
  <c r="L472" i="4"/>
  <c r="K472" i="4"/>
  <c r="L471" i="4"/>
  <c r="K471" i="4"/>
  <c r="L470" i="4"/>
  <c r="K470" i="4"/>
  <c r="L469" i="4"/>
  <c r="K469" i="4"/>
  <c r="L468" i="4"/>
  <c r="K468" i="4"/>
  <c r="L467" i="4"/>
  <c r="K467" i="4"/>
  <c r="L466" i="4"/>
  <c r="K466" i="4"/>
  <c r="L465" i="4"/>
  <c r="K465" i="4"/>
  <c r="L464" i="4"/>
  <c r="K464" i="4"/>
  <c r="L463" i="4"/>
  <c r="K463" i="4"/>
  <c r="L462" i="4"/>
  <c r="K462" i="4"/>
  <c r="L461" i="4"/>
  <c r="K461" i="4"/>
  <c r="L460" i="4"/>
  <c r="K460" i="4"/>
  <c r="L459" i="4"/>
  <c r="K459" i="4"/>
  <c r="L458" i="4"/>
  <c r="K458" i="4"/>
  <c r="L457" i="4"/>
  <c r="K457" i="4"/>
  <c r="L456" i="4"/>
  <c r="K456" i="4"/>
  <c r="L455" i="4"/>
  <c r="K455" i="4"/>
  <c r="L454" i="4"/>
  <c r="K454" i="4"/>
  <c r="L453" i="4"/>
  <c r="K453" i="4"/>
  <c r="L452" i="4"/>
  <c r="K452" i="4"/>
  <c r="L451" i="4"/>
  <c r="K451" i="4"/>
  <c r="L450" i="4"/>
  <c r="K450" i="4"/>
  <c r="L449" i="4"/>
  <c r="K449" i="4"/>
  <c r="L448" i="4"/>
  <c r="K448" i="4"/>
  <c r="L447" i="4"/>
  <c r="K447" i="4"/>
  <c r="L446" i="4"/>
  <c r="K446" i="4"/>
  <c r="L445" i="4"/>
  <c r="K445" i="4"/>
  <c r="L444" i="4"/>
  <c r="K444" i="4"/>
  <c r="L443" i="4"/>
  <c r="K443" i="4"/>
  <c r="L442" i="4"/>
  <c r="K442" i="4"/>
  <c r="L441" i="4"/>
  <c r="K441" i="4"/>
  <c r="L440" i="4"/>
  <c r="K440" i="4"/>
  <c r="L439" i="4"/>
  <c r="K439" i="4"/>
  <c r="L438" i="4"/>
  <c r="K438" i="4"/>
  <c r="L437" i="4"/>
  <c r="K437" i="4"/>
  <c r="L436" i="4"/>
  <c r="K436" i="4"/>
  <c r="L435" i="4"/>
  <c r="K435" i="4"/>
  <c r="L434" i="4"/>
  <c r="K434" i="4"/>
  <c r="L433" i="4"/>
  <c r="K433" i="4"/>
  <c r="L432" i="4"/>
  <c r="K432" i="4"/>
  <c r="L431" i="4"/>
  <c r="K431" i="4"/>
  <c r="L430" i="4"/>
  <c r="K430" i="4"/>
  <c r="L429" i="4"/>
  <c r="K429" i="4"/>
  <c r="L428" i="4"/>
  <c r="K428" i="4"/>
  <c r="L427" i="4"/>
  <c r="K427" i="4"/>
  <c r="L426" i="4"/>
  <c r="K426" i="4"/>
  <c r="L425" i="4"/>
  <c r="K425" i="4"/>
  <c r="L424" i="4"/>
  <c r="K424" i="4"/>
  <c r="L423" i="4"/>
  <c r="K423" i="4"/>
  <c r="L422" i="4"/>
  <c r="K422" i="4"/>
  <c r="L421" i="4"/>
  <c r="K421" i="4"/>
  <c r="L420" i="4"/>
  <c r="K420" i="4"/>
  <c r="L419" i="4"/>
  <c r="K419" i="4"/>
  <c r="L418" i="4"/>
  <c r="K418" i="4"/>
  <c r="L417" i="4"/>
  <c r="K417" i="4"/>
  <c r="L416" i="4"/>
  <c r="K416" i="4"/>
  <c r="L415" i="4"/>
  <c r="K415" i="4"/>
  <c r="L414" i="4"/>
  <c r="K414" i="4"/>
  <c r="L413" i="4"/>
  <c r="K413" i="4"/>
  <c r="L412" i="4"/>
  <c r="K412" i="4"/>
  <c r="L411" i="4"/>
  <c r="K411" i="4"/>
  <c r="L410" i="4"/>
  <c r="K410" i="4"/>
  <c r="L409" i="4"/>
  <c r="K409" i="4"/>
  <c r="L408" i="4"/>
  <c r="K408" i="4"/>
  <c r="L407" i="4"/>
  <c r="K407" i="4"/>
  <c r="L406" i="4"/>
  <c r="K406" i="4"/>
  <c r="L405" i="4"/>
  <c r="K405" i="4"/>
  <c r="L404" i="4"/>
  <c r="K404" i="4"/>
  <c r="L403" i="4"/>
  <c r="K403" i="4"/>
  <c r="L402" i="4"/>
  <c r="K402" i="4"/>
  <c r="L401" i="4"/>
  <c r="K401" i="4"/>
  <c r="L400" i="4"/>
  <c r="K400" i="4"/>
  <c r="L399" i="4"/>
  <c r="K399" i="4"/>
  <c r="L398" i="4"/>
  <c r="K398" i="4"/>
  <c r="L397" i="4"/>
  <c r="K397" i="4"/>
  <c r="L396" i="4"/>
  <c r="K396" i="4"/>
  <c r="L395" i="4"/>
  <c r="K395" i="4"/>
  <c r="L394" i="4"/>
  <c r="K394" i="4"/>
  <c r="L393" i="4"/>
  <c r="K393" i="4"/>
  <c r="L392" i="4"/>
  <c r="K392" i="4"/>
  <c r="L391" i="4"/>
  <c r="K391" i="4"/>
  <c r="L390" i="4"/>
  <c r="K390" i="4"/>
  <c r="L389" i="4"/>
  <c r="K389" i="4"/>
  <c r="L388" i="4"/>
  <c r="K388" i="4"/>
  <c r="L387" i="4"/>
  <c r="K387" i="4"/>
  <c r="L386" i="4"/>
  <c r="K386" i="4"/>
  <c r="L385" i="4"/>
  <c r="K385" i="4"/>
  <c r="L384" i="4"/>
  <c r="K384" i="4"/>
  <c r="L383" i="4"/>
  <c r="K383" i="4"/>
  <c r="L382" i="4"/>
  <c r="K382" i="4"/>
  <c r="L381" i="4"/>
  <c r="K381" i="4"/>
  <c r="L380" i="4"/>
  <c r="K380" i="4"/>
  <c r="L379" i="4"/>
  <c r="K379" i="4"/>
  <c r="L378" i="4"/>
  <c r="K378" i="4"/>
  <c r="L377" i="4"/>
  <c r="K377" i="4"/>
  <c r="L376" i="4"/>
  <c r="K376" i="4"/>
  <c r="L375" i="4"/>
  <c r="K375" i="4"/>
  <c r="L374" i="4"/>
  <c r="K374" i="4"/>
  <c r="L373" i="4"/>
  <c r="K373" i="4"/>
  <c r="L372" i="4"/>
  <c r="K372" i="4"/>
  <c r="L371" i="4"/>
  <c r="K371" i="4"/>
  <c r="L370" i="4"/>
  <c r="K370" i="4"/>
  <c r="L369" i="4"/>
  <c r="K369" i="4"/>
  <c r="L368" i="4"/>
  <c r="K368" i="4"/>
  <c r="L367" i="4"/>
  <c r="K367" i="4"/>
  <c r="L366" i="4"/>
  <c r="K366" i="4"/>
  <c r="L365" i="4"/>
  <c r="K365" i="4"/>
  <c r="L364" i="4"/>
  <c r="K364" i="4"/>
  <c r="L363" i="4"/>
  <c r="K363" i="4"/>
  <c r="L362" i="4"/>
  <c r="K362" i="4"/>
  <c r="L361" i="4"/>
  <c r="K361" i="4"/>
  <c r="L360" i="4"/>
  <c r="K360" i="4"/>
  <c r="L359" i="4"/>
  <c r="K359" i="4"/>
  <c r="L358" i="4"/>
  <c r="K358" i="4"/>
  <c r="L357" i="4"/>
  <c r="K357" i="4"/>
  <c r="L356" i="4"/>
  <c r="K356" i="4"/>
  <c r="L355" i="4"/>
  <c r="K355" i="4"/>
  <c r="L354" i="4"/>
  <c r="K354" i="4"/>
  <c r="L353" i="4"/>
  <c r="K353" i="4"/>
  <c r="L352" i="4"/>
  <c r="K352" i="4"/>
  <c r="L351" i="4"/>
  <c r="K351" i="4"/>
  <c r="L350" i="4"/>
  <c r="K350" i="4"/>
  <c r="L349" i="4"/>
  <c r="K349" i="4"/>
  <c r="L348" i="4"/>
  <c r="K348" i="4"/>
  <c r="L347" i="4"/>
  <c r="K347" i="4"/>
  <c r="L346" i="4"/>
  <c r="K346" i="4"/>
  <c r="L345" i="4"/>
  <c r="K345" i="4"/>
  <c r="L344" i="4"/>
  <c r="K344" i="4"/>
  <c r="L343" i="4"/>
  <c r="K343" i="4"/>
  <c r="L342" i="4"/>
  <c r="K342" i="4"/>
  <c r="L341" i="4"/>
  <c r="K341" i="4"/>
  <c r="L340" i="4"/>
  <c r="K340" i="4"/>
  <c r="L339" i="4"/>
  <c r="K339" i="4"/>
  <c r="L338" i="4"/>
  <c r="K338" i="4"/>
  <c r="L337" i="4"/>
  <c r="K337" i="4"/>
  <c r="L336" i="4"/>
  <c r="K336" i="4"/>
  <c r="L335" i="4"/>
  <c r="K335" i="4"/>
  <c r="L334" i="4"/>
  <c r="K334" i="4"/>
  <c r="L333" i="4"/>
  <c r="K333" i="4"/>
  <c r="L332" i="4"/>
  <c r="K332" i="4"/>
  <c r="L331" i="4"/>
  <c r="K331" i="4"/>
  <c r="L330" i="4"/>
  <c r="K330" i="4"/>
  <c r="L329" i="4"/>
  <c r="K329" i="4"/>
  <c r="L328" i="4"/>
  <c r="K328" i="4"/>
  <c r="L327" i="4"/>
  <c r="K327" i="4"/>
  <c r="L326" i="4"/>
  <c r="K326" i="4"/>
  <c r="L325" i="4"/>
  <c r="K325" i="4"/>
  <c r="L324" i="4"/>
  <c r="K324" i="4"/>
  <c r="L323" i="4"/>
  <c r="K323" i="4"/>
  <c r="L322" i="4"/>
  <c r="K322" i="4"/>
  <c r="L321" i="4"/>
  <c r="K321" i="4"/>
  <c r="L320" i="4"/>
  <c r="K320" i="4"/>
  <c r="L319" i="4"/>
  <c r="K319" i="4"/>
  <c r="L318" i="4"/>
  <c r="K318" i="4"/>
  <c r="L317" i="4"/>
  <c r="K317" i="4"/>
  <c r="L316" i="4"/>
  <c r="K316" i="4"/>
  <c r="L315" i="4"/>
  <c r="K315" i="4"/>
  <c r="L314" i="4"/>
  <c r="K314" i="4"/>
  <c r="L313" i="4"/>
  <c r="K313" i="4"/>
  <c r="L312" i="4"/>
  <c r="K312" i="4"/>
  <c r="L311" i="4"/>
  <c r="K311" i="4"/>
  <c r="L310" i="4"/>
  <c r="K310" i="4"/>
  <c r="L309" i="4"/>
  <c r="K309" i="4"/>
  <c r="L308" i="4"/>
  <c r="K308" i="4"/>
  <c r="L307" i="4"/>
  <c r="K307" i="4"/>
  <c r="L306" i="4"/>
  <c r="K306" i="4"/>
  <c r="L305" i="4"/>
  <c r="K305" i="4"/>
  <c r="L304" i="4"/>
  <c r="K304" i="4"/>
  <c r="L303" i="4"/>
  <c r="K303" i="4"/>
  <c r="L302" i="4"/>
  <c r="K302" i="4"/>
  <c r="L301" i="4"/>
  <c r="K301" i="4"/>
  <c r="L300" i="4"/>
  <c r="K300" i="4"/>
  <c r="L299" i="4"/>
  <c r="K299" i="4"/>
  <c r="L298" i="4"/>
  <c r="K298" i="4"/>
  <c r="L297" i="4"/>
  <c r="K297" i="4"/>
  <c r="L296" i="4"/>
  <c r="K296" i="4"/>
  <c r="L295" i="4"/>
  <c r="K295" i="4"/>
  <c r="L294" i="4"/>
  <c r="K294" i="4"/>
  <c r="L293" i="4"/>
  <c r="K293" i="4"/>
  <c r="L292" i="4"/>
  <c r="K292" i="4"/>
  <c r="L291" i="4"/>
  <c r="K291" i="4"/>
  <c r="L290" i="4"/>
  <c r="K290" i="4"/>
  <c r="L289" i="4"/>
  <c r="K289" i="4"/>
  <c r="L288" i="4"/>
  <c r="K288" i="4"/>
  <c r="L287" i="4"/>
  <c r="K287" i="4"/>
  <c r="L286" i="4"/>
  <c r="K286" i="4"/>
  <c r="L285" i="4"/>
  <c r="K285" i="4"/>
  <c r="L284" i="4"/>
  <c r="K284" i="4"/>
  <c r="L283" i="4"/>
  <c r="K283" i="4"/>
  <c r="L282" i="4"/>
  <c r="K282" i="4"/>
  <c r="L281" i="4"/>
  <c r="K281" i="4"/>
  <c r="L280" i="4"/>
  <c r="K280" i="4"/>
  <c r="L279" i="4"/>
  <c r="K279" i="4"/>
  <c r="L278" i="4"/>
  <c r="K278" i="4"/>
  <c r="L277" i="4"/>
  <c r="K277" i="4"/>
  <c r="L276" i="4"/>
  <c r="K276" i="4"/>
  <c r="L275" i="4"/>
  <c r="K275" i="4"/>
  <c r="L274" i="4"/>
  <c r="K274" i="4"/>
  <c r="L273" i="4"/>
  <c r="K273" i="4"/>
  <c r="L272" i="4"/>
  <c r="K272" i="4"/>
  <c r="L271" i="4"/>
  <c r="K271" i="4"/>
  <c r="L270" i="4"/>
  <c r="K270" i="4"/>
  <c r="L269" i="4"/>
  <c r="K269" i="4"/>
  <c r="L268" i="4"/>
  <c r="K268" i="4"/>
  <c r="L267" i="4"/>
  <c r="K267" i="4"/>
  <c r="L266" i="4"/>
  <c r="K266" i="4"/>
  <c r="L265" i="4"/>
  <c r="K265" i="4"/>
  <c r="L264" i="4"/>
  <c r="K264" i="4"/>
  <c r="L263" i="4"/>
  <c r="K263" i="4"/>
  <c r="L262" i="4"/>
  <c r="K262" i="4"/>
  <c r="L261" i="4"/>
  <c r="K261" i="4"/>
  <c r="L260" i="4"/>
  <c r="K260" i="4"/>
  <c r="L259" i="4"/>
  <c r="K259" i="4"/>
  <c r="L258" i="4"/>
  <c r="K258" i="4"/>
  <c r="L257" i="4"/>
  <c r="K257" i="4"/>
  <c r="L256" i="4"/>
  <c r="K256" i="4"/>
  <c r="L255" i="4"/>
  <c r="K255" i="4"/>
  <c r="L254" i="4"/>
  <c r="K254" i="4"/>
  <c r="L253" i="4"/>
  <c r="K253" i="4"/>
  <c r="L252" i="4"/>
  <c r="K252" i="4"/>
  <c r="L251" i="4"/>
  <c r="K251" i="4"/>
  <c r="L250" i="4"/>
  <c r="K250" i="4"/>
  <c r="L249" i="4"/>
  <c r="K249" i="4"/>
  <c r="L248" i="4"/>
  <c r="K248" i="4"/>
  <c r="L247" i="4"/>
  <c r="K247" i="4"/>
  <c r="L246" i="4"/>
  <c r="K246" i="4"/>
  <c r="L245" i="4"/>
  <c r="K245" i="4"/>
  <c r="L244" i="4"/>
  <c r="K244" i="4"/>
  <c r="L243" i="4"/>
  <c r="K243" i="4"/>
  <c r="L242" i="4"/>
  <c r="K242" i="4"/>
  <c r="L241" i="4"/>
  <c r="K241" i="4"/>
  <c r="L240" i="4"/>
  <c r="K240" i="4"/>
  <c r="L239" i="4"/>
  <c r="K239" i="4"/>
  <c r="L238" i="4"/>
  <c r="K238" i="4"/>
  <c r="L237" i="4"/>
  <c r="K237" i="4"/>
  <c r="L236" i="4"/>
  <c r="K236" i="4"/>
  <c r="L235" i="4"/>
  <c r="K235" i="4"/>
  <c r="L234" i="4"/>
  <c r="K234" i="4"/>
  <c r="L233" i="4"/>
  <c r="K233" i="4"/>
  <c r="L232" i="4"/>
  <c r="K232" i="4"/>
  <c r="L231" i="4"/>
  <c r="K231" i="4"/>
  <c r="L230" i="4"/>
  <c r="K230" i="4"/>
  <c r="L229" i="4"/>
  <c r="K229" i="4"/>
  <c r="L228" i="4"/>
  <c r="K228" i="4"/>
  <c r="L227" i="4"/>
  <c r="K227" i="4"/>
  <c r="L226" i="4"/>
  <c r="K226" i="4"/>
  <c r="L225" i="4"/>
  <c r="K225" i="4"/>
  <c r="L224" i="4"/>
  <c r="K224" i="4"/>
  <c r="L223" i="4"/>
  <c r="K223" i="4"/>
  <c r="L222" i="4"/>
  <c r="K222" i="4"/>
  <c r="L221" i="4"/>
  <c r="K221" i="4"/>
  <c r="L220" i="4"/>
  <c r="K220" i="4"/>
  <c r="L219" i="4"/>
  <c r="K219" i="4"/>
  <c r="L218" i="4"/>
  <c r="K218" i="4"/>
  <c r="L217" i="4"/>
  <c r="K217" i="4"/>
  <c r="L216" i="4"/>
  <c r="K216" i="4"/>
  <c r="L215" i="4"/>
  <c r="K215" i="4"/>
  <c r="L214" i="4"/>
  <c r="K214" i="4"/>
  <c r="L213" i="4"/>
  <c r="K213" i="4"/>
  <c r="L212" i="4"/>
  <c r="K212" i="4"/>
  <c r="L211" i="4"/>
  <c r="K211" i="4"/>
  <c r="L210" i="4"/>
  <c r="K210" i="4"/>
  <c r="L209" i="4"/>
  <c r="K209" i="4"/>
  <c r="L208" i="4"/>
  <c r="K208" i="4"/>
  <c r="L207" i="4"/>
  <c r="K207" i="4"/>
  <c r="L206" i="4"/>
  <c r="K206" i="4"/>
  <c r="L205" i="4"/>
  <c r="K205" i="4"/>
  <c r="L204" i="4"/>
  <c r="K204" i="4"/>
  <c r="L203" i="4"/>
  <c r="K203" i="4"/>
  <c r="L202" i="4"/>
  <c r="K202" i="4"/>
  <c r="L201" i="4"/>
  <c r="K201" i="4"/>
  <c r="L200" i="4"/>
  <c r="K200" i="4"/>
  <c r="L199" i="4"/>
  <c r="K199" i="4"/>
  <c r="L198" i="4"/>
  <c r="K198" i="4"/>
  <c r="L197" i="4"/>
  <c r="K197" i="4"/>
  <c r="L196" i="4"/>
  <c r="K196" i="4"/>
  <c r="L195" i="4"/>
  <c r="K195" i="4"/>
  <c r="L194" i="4"/>
  <c r="K194" i="4"/>
  <c r="L193" i="4"/>
  <c r="K193" i="4"/>
  <c r="L192" i="4"/>
  <c r="K192" i="4"/>
  <c r="L191" i="4"/>
  <c r="K191" i="4"/>
  <c r="L190" i="4"/>
  <c r="K190" i="4"/>
  <c r="L189" i="4"/>
  <c r="K189" i="4"/>
  <c r="L188" i="4"/>
  <c r="K188" i="4"/>
  <c r="L187" i="4"/>
  <c r="K187" i="4"/>
  <c r="L186" i="4"/>
  <c r="K186" i="4"/>
  <c r="L185" i="4"/>
  <c r="K185" i="4"/>
  <c r="L184" i="4"/>
  <c r="K184" i="4"/>
  <c r="L183" i="4"/>
  <c r="K183" i="4"/>
  <c r="L182" i="4"/>
  <c r="K182" i="4"/>
  <c r="L181" i="4"/>
  <c r="K181" i="4"/>
  <c r="L180" i="4"/>
  <c r="K180" i="4"/>
  <c r="L179" i="4"/>
  <c r="K179" i="4"/>
  <c r="L178" i="4"/>
  <c r="K178" i="4"/>
  <c r="L177" i="4"/>
  <c r="K177" i="4"/>
  <c r="L176" i="4"/>
  <c r="K176" i="4"/>
  <c r="L175" i="4"/>
  <c r="K175" i="4"/>
  <c r="L174" i="4"/>
  <c r="K174" i="4"/>
  <c r="L173" i="4"/>
  <c r="K173" i="4"/>
  <c r="L172" i="4"/>
  <c r="K172" i="4"/>
  <c r="L171" i="4"/>
  <c r="K171" i="4"/>
  <c r="L170" i="4"/>
  <c r="K170" i="4"/>
  <c r="L169" i="4"/>
  <c r="K169" i="4"/>
  <c r="L168" i="4"/>
  <c r="K168" i="4"/>
  <c r="L167" i="4"/>
  <c r="K167" i="4"/>
  <c r="L166" i="4"/>
  <c r="K166" i="4"/>
  <c r="L165" i="4"/>
  <c r="K165" i="4"/>
  <c r="L164" i="4"/>
  <c r="K164" i="4"/>
  <c r="L163" i="4"/>
  <c r="K163" i="4"/>
  <c r="L162" i="4"/>
  <c r="K162" i="4"/>
  <c r="L161" i="4"/>
  <c r="K161" i="4"/>
  <c r="L160" i="4"/>
  <c r="K160" i="4"/>
  <c r="L159" i="4"/>
  <c r="K159" i="4"/>
  <c r="L158" i="4"/>
  <c r="K158" i="4"/>
  <c r="L157" i="4"/>
  <c r="K157" i="4"/>
  <c r="L156" i="4"/>
  <c r="K156" i="4"/>
  <c r="L155" i="4"/>
  <c r="K155" i="4"/>
  <c r="L154" i="4"/>
  <c r="K154" i="4"/>
  <c r="L153" i="4"/>
  <c r="K153" i="4"/>
  <c r="L152" i="4"/>
  <c r="K152" i="4"/>
  <c r="L151" i="4"/>
  <c r="K151" i="4"/>
  <c r="L150" i="4"/>
  <c r="K150" i="4"/>
  <c r="L149" i="4"/>
  <c r="K149" i="4"/>
  <c r="L148" i="4"/>
  <c r="K148" i="4"/>
  <c r="L147" i="4"/>
  <c r="K147" i="4"/>
  <c r="L146" i="4"/>
  <c r="K146" i="4"/>
  <c r="L145" i="4"/>
  <c r="K145" i="4"/>
  <c r="L144" i="4"/>
  <c r="K144" i="4"/>
  <c r="L143" i="4"/>
  <c r="K143" i="4"/>
  <c r="L142" i="4"/>
  <c r="K142" i="4"/>
  <c r="L141" i="4"/>
  <c r="K141" i="4"/>
  <c r="L140" i="4"/>
  <c r="K140" i="4"/>
  <c r="L139" i="4"/>
  <c r="K139" i="4"/>
  <c r="L138" i="4"/>
  <c r="K138" i="4"/>
  <c r="L137" i="4"/>
  <c r="K137" i="4"/>
  <c r="L136" i="4"/>
  <c r="K136" i="4"/>
  <c r="L135" i="4"/>
  <c r="K135" i="4"/>
  <c r="L134" i="4"/>
  <c r="K134" i="4"/>
  <c r="L133" i="4"/>
  <c r="K133" i="4"/>
  <c r="L132" i="4"/>
  <c r="K132" i="4"/>
  <c r="L131" i="4"/>
  <c r="K131" i="4"/>
  <c r="L130" i="4"/>
  <c r="K130" i="4"/>
  <c r="L129" i="4"/>
  <c r="K129" i="4"/>
  <c r="L128" i="4"/>
  <c r="K128" i="4"/>
  <c r="L127" i="4"/>
  <c r="K127" i="4"/>
  <c r="L126" i="4"/>
  <c r="K126" i="4"/>
  <c r="L125" i="4"/>
  <c r="K125" i="4"/>
  <c r="L124" i="4"/>
  <c r="K124" i="4"/>
  <c r="L123" i="4"/>
  <c r="K123" i="4"/>
  <c r="L122" i="4"/>
  <c r="K122" i="4"/>
  <c r="L121" i="4"/>
  <c r="K121" i="4"/>
  <c r="L120" i="4"/>
  <c r="K120" i="4"/>
  <c r="L119" i="4"/>
  <c r="K119" i="4"/>
  <c r="L118" i="4"/>
  <c r="K118" i="4"/>
  <c r="L117" i="4"/>
  <c r="K117" i="4"/>
  <c r="L116" i="4"/>
  <c r="K116" i="4"/>
  <c r="L115" i="4"/>
  <c r="K115" i="4"/>
  <c r="L114" i="4"/>
  <c r="K114" i="4"/>
  <c r="L113" i="4"/>
  <c r="K113" i="4"/>
  <c r="L112" i="4"/>
  <c r="K112" i="4"/>
  <c r="L111" i="4"/>
  <c r="K111" i="4"/>
  <c r="L110" i="4"/>
  <c r="K110" i="4"/>
  <c r="L109" i="4"/>
  <c r="K109" i="4"/>
  <c r="L108" i="4"/>
  <c r="K108" i="4"/>
  <c r="L107" i="4"/>
  <c r="K107" i="4"/>
  <c r="L106" i="4"/>
  <c r="K106" i="4"/>
  <c r="L105" i="4"/>
  <c r="K105" i="4"/>
  <c r="L104" i="4"/>
  <c r="K104" i="4"/>
  <c r="L103" i="4"/>
  <c r="K103" i="4"/>
  <c r="L102" i="4"/>
  <c r="K102" i="4"/>
  <c r="L101" i="4"/>
  <c r="K101" i="4"/>
  <c r="L100" i="4"/>
  <c r="K100" i="4"/>
  <c r="L99" i="4"/>
  <c r="K99" i="4"/>
  <c r="L98" i="4"/>
  <c r="K98" i="4"/>
  <c r="L97" i="4"/>
  <c r="K97" i="4"/>
  <c r="L96" i="4"/>
  <c r="K96" i="4"/>
  <c r="L95" i="4"/>
  <c r="K95" i="4"/>
  <c r="L94" i="4"/>
  <c r="K94" i="4"/>
  <c r="L93" i="4"/>
  <c r="K93" i="4"/>
  <c r="L92" i="4"/>
  <c r="K92" i="4"/>
  <c r="L91" i="4"/>
  <c r="K91" i="4"/>
  <c r="L90" i="4"/>
  <c r="K90" i="4"/>
  <c r="L89" i="4"/>
  <c r="K89" i="4"/>
  <c r="L88" i="4"/>
  <c r="K88" i="4"/>
  <c r="L87" i="4"/>
  <c r="K87" i="4"/>
  <c r="L86" i="4"/>
  <c r="K86" i="4"/>
  <c r="L85" i="4"/>
  <c r="K85" i="4"/>
  <c r="L84" i="4"/>
  <c r="K84" i="4"/>
  <c r="L83" i="4"/>
  <c r="K83" i="4"/>
  <c r="L82" i="4"/>
  <c r="K82" i="4"/>
  <c r="L81" i="4"/>
  <c r="K81" i="4"/>
  <c r="L80" i="4"/>
  <c r="K80" i="4"/>
  <c r="L79" i="4"/>
  <c r="K79" i="4"/>
  <c r="L78" i="4"/>
  <c r="K78" i="4"/>
  <c r="L77" i="4"/>
  <c r="K77" i="4"/>
  <c r="L76" i="4"/>
  <c r="K76" i="4"/>
  <c r="L75" i="4"/>
  <c r="K75" i="4"/>
  <c r="L74" i="4"/>
  <c r="K74" i="4"/>
  <c r="L73" i="4"/>
  <c r="K73" i="4"/>
  <c r="L72" i="4"/>
  <c r="K72" i="4"/>
  <c r="L71" i="4"/>
  <c r="K71" i="4"/>
  <c r="L70" i="4"/>
  <c r="K70" i="4"/>
  <c r="L69" i="4"/>
  <c r="K69" i="4"/>
  <c r="L68" i="4"/>
  <c r="K68" i="4"/>
  <c r="L67" i="4"/>
  <c r="K67" i="4"/>
  <c r="L66" i="4"/>
  <c r="K66" i="4"/>
  <c r="L65" i="4"/>
  <c r="K65" i="4"/>
  <c r="L64" i="4"/>
  <c r="K64" i="4"/>
  <c r="L63" i="4"/>
  <c r="K63" i="4"/>
  <c r="L62" i="4"/>
  <c r="K62" i="4"/>
  <c r="L61" i="4"/>
  <c r="K61" i="4"/>
  <c r="L60" i="4"/>
  <c r="K60" i="4"/>
  <c r="L59" i="4"/>
  <c r="K59" i="4"/>
  <c r="L58" i="4"/>
  <c r="K58" i="4"/>
  <c r="L57" i="4"/>
  <c r="K57" i="4"/>
  <c r="L56" i="4"/>
  <c r="K56" i="4"/>
  <c r="L55" i="4"/>
  <c r="K55" i="4"/>
  <c r="L54" i="4"/>
  <c r="K54" i="4"/>
  <c r="L53" i="4"/>
  <c r="K53" i="4"/>
  <c r="L52" i="4"/>
  <c r="K52" i="4"/>
  <c r="L51" i="4"/>
  <c r="K51" i="4"/>
  <c r="L50" i="4"/>
  <c r="K50" i="4"/>
  <c r="L49" i="4"/>
  <c r="K49" i="4"/>
  <c r="L48" i="4"/>
  <c r="K48" i="4"/>
  <c r="L47" i="4"/>
  <c r="K47" i="4"/>
  <c r="L46" i="4"/>
  <c r="K46" i="4"/>
  <c r="L45" i="4"/>
  <c r="K45" i="4"/>
  <c r="L44" i="4"/>
  <c r="K44" i="4"/>
  <c r="L43" i="4"/>
  <c r="K43" i="4"/>
  <c r="L42" i="4"/>
  <c r="K42" i="4"/>
  <c r="L41" i="4"/>
  <c r="K41" i="4"/>
  <c r="L40" i="4"/>
  <c r="K40" i="4"/>
  <c r="L39" i="4"/>
  <c r="K39" i="4"/>
  <c r="L38" i="4"/>
  <c r="K38" i="4"/>
  <c r="L37" i="4"/>
  <c r="K37" i="4"/>
  <c r="L36" i="4"/>
  <c r="K36" i="4"/>
  <c r="L35" i="4"/>
  <c r="K35" i="4"/>
  <c r="L34" i="4"/>
  <c r="K34" i="4"/>
  <c r="L33" i="4"/>
  <c r="K33" i="4"/>
  <c r="L32" i="4"/>
  <c r="K32" i="4"/>
  <c r="L31" i="4"/>
  <c r="K31" i="4"/>
  <c r="L30" i="4"/>
  <c r="K30" i="4"/>
  <c r="L29" i="4"/>
  <c r="K29" i="4"/>
  <c r="L28" i="4"/>
  <c r="K28" i="4"/>
  <c r="L27" i="4"/>
  <c r="K27" i="4"/>
  <c r="L26" i="4"/>
  <c r="K26" i="4"/>
  <c r="L25" i="4"/>
  <c r="K25" i="4"/>
  <c r="L24" i="4"/>
  <c r="K24" i="4"/>
  <c r="L23" i="4"/>
  <c r="K23" i="4"/>
  <c r="L22" i="4"/>
  <c r="K22" i="4"/>
  <c r="L21" i="4"/>
  <c r="K21" i="4"/>
  <c r="L20" i="4"/>
  <c r="K20" i="4"/>
  <c r="L19" i="4"/>
  <c r="K19" i="4"/>
  <c r="L18" i="4"/>
  <c r="K18" i="4"/>
  <c r="L17" i="4"/>
  <c r="K17" i="4"/>
  <c r="L16" i="4"/>
  <c r="K16" i="4"/>
  <c r="L15" i="4"/>
  <c r="K15" i="4"/>
  <c r="L14" i="4"/>
  <c r="K14" i="4"/>
  <c r="L13" i="4"/>
  <c r="K13" i="4"/>
  <c r="L12" i="4"/>
  <c r="K12" i="4"/>
  <c r="L11" i="4"/>
  <c r="K11" i="4"/>
  <c r="L10" i="4"/>
  <c r="K10" i="4"/>
  <c r="L9" i="4"/>
  <c r="K9" i="4"/>
  <c r="L8" i="4"/>
  <c r="K8" i="4"/>
  <c r="L7" i="4"/>
  <c r="K7" i="4"/>
  <c r="L6" i="4"/>
  <c r="K6" i="4"/>
  <c r="L5" i="4"/>
  <c r="K5" i="4"/>
  <c r="L4" i="4"/>
  <c r="K4" i="4"/>
  <c r="L3" i="4"/>
  <c r="K3" i="4"/>
  <c r="L2" i="4"/>
  <c r="K2" i="4"/>
  <c r="C22" i="3"/>
  <c r="C19" i="3"/>
  <c r="B19" i="3"/>
  <c r="F18" i="3"/>
  <c r="E18" i="3"/>
  <c r="D18" i="3"/>
  <c r="G18" i="3" s="1"/>
  <c r="F17" i="3"/>
  <c r="E17" i="3"/>
  <c r="D17" i="3"/>
  <c r="G17" i="3" s="1"/>
  <c r="F16" i="3"/>
  <c r="E16" i="3"/>
  <c r="D16" i="3"/>
  <c r="G16" i="3" s="1"/>
  <c r="F15" i="3"/>
  <c r="E15" i="3"/>
  <c r="D15" i="3"/>
  <c r="G15" i="3" s="1"/>
  <c r="F14" i="3"/>
  <c r="E14" i="3"/>
  <c r="D14" i="3"/>
  <c r="G14" i="3" s="1"/>
  <c r="F13" i="3"/>
  <c r="E13" i="3"/>
  <c r="D13" i="3"/>
  <c r="G13" i="3" s="1"/>
  <c r="F12" i="3"/>
  <c r="E12" i="3"/>
  <c r="D12" i="3"/>
  <c r="G12" i="3" s="1"/>
  <c r="F11" i="3"/>
  <c r="E11" i="3"/>
  <c r="D11" i="3"/>
  <c r="G11" i="3" s="1"/>
  <c r="F10" i="3"/>
  <c r="E10" i="3"/>
  <c r="D10" i="3"/>
  <c r="G10" i="3" s="1"/>
  <c r="F9" i="3"/>
  <c r="E9" i="3"/>
  <c r="D9" i="3"/>
  <c r="G9" i="3" s="1"/>
  <c r="F8" i="3"/>
  <c r="E8" i="3"/>
  <c r="D8" i="3"/>
  <c r="G8" i="3" s="1"/>
  <c r="F7" i="3"/>
  <c r="E7" i="3"/>
  <c r="E19" i="3" s="1"/>
  <c r="D7" i="3"/>
  <c r="D19" i="3" s="1"/>
  <c r="C22" i="2"/>
  <c r="C19" i="2"/>
  <c r="B19" i="2"/>
  <c r="F18" i="2"/>
  <c r="E18" i="2"/>
  <c r="D18" i="2"/>
  <c r="G18" i="2" s="1"/>
  <c r="F17" i="2"/>
  <c r="E17" i="2"/>
  <c r="D17" i="2"/>
  <c r="G17" i="2" s="1"/>
  <c r="F16" i="2"/>
  <c r="E16" i="2"/>
  <c r="D16" i="2"/>
  <c r="G16" i="2" s="1"/>
  <c r="F15" i="2"/>
  <c r="E15" i="2"/>
  <c r="D15" i="2"/>
  <c r="G15" i="2" s="1"/>
  <c r="F14" i="2"/>
  <c r="E14" i="2"/>
  <c r="D14" i="2"/>
  <c r="G14" i="2" s="1"/>
  <c r="F13" i="2"/>
  <c r="E13" i="2"/>
  <c r="D13" i="2"/>
  <c r="G13" i="2" s="1"/>
  <c r="F12" i="2"/>
  <c r="E12" i="2"/>
  <c r="D12" i="2"/>
  <c r="G12" i="2" s="1"/>
  <c r="F11" i="2"/>
  <c r="E11" i="2"/>
  <c r="D11" i="2"/>
  <c r="G11" i="2" s="1"/>
  <c r="F10" i="2"/>
  <c r="E10" i="2"/>
  <c r="D10" i="2"/>
  <c r="G10" i="2" s="1"/>
  <c r="F9" i="2"/>
  <c r="E9" i="2"/>
  <c r="D9" i="2"/>
  <c r="G9" i="2" s="1"/>
  <c r="F8" i="2"/>
  <c r="E8" i="2"/>
  <c r="D8" i="2"/>
  <c r="G8" i="2" s="1"/>
  <c r="F7" i="2"/>
  <c r="E7" i="2"/>
  <c r="E19" i="2" s="1"/>
  <c r="D7" i="2"/>
  <c r="C14" i="1"/>
  <c r="C13" i="1"/>
  <c r="C12" i="1"/>
  <c r="C11" i="1"/>
  <c r="E11" i="12" l="1"/>
  <c r="F8" i="31"/>
  <c r="E13" i="48"/>
  <c r="E9" i="6"/>
  <c r="E10" i="12"/>
  <c r="F12" i="33"/>
  <c r="F12" i="49"/>
  <c r="E9" i="51"/>
  <c r="D10" i="35"/>
  <c r="G10" i="35" s="1"/>
  <c r="E10" i="35"/>
  <c r="D14" i="38"/>
  <c r="G14" i="38" s="1"/>
  <c r="D10" i="14"/>
  <c r="G10" i="14" s="1"/>
  <c r="D10" i="30"/>
  <c r="G10" i="30" s="1"/>
  <c r="E12" i="50"/>
  <c r="D12" i="39"/>
  <c r="G12" i="39" s="1"/>
  <c r="F16" i="6"/>
  <c r="E18" i="10"/>
  <c r="E10" i="30"/>
  <c r="E13" i="50"/>
  <c r="E14" i="34"/>
  <c r="D11" i="41"/>
  <c r="G11" i="41" s="1"/>
  <c r="D15" i="50"/>
  <c r="G15" i="50" s="1"/>
  <c r="D13" i="30"/>
  <c r="G13" i="30" s="1"/>
  <c r="F7" i="49"/>
  <c r="E15" i="50"/>
  <c r="D9" i="27"/>
  <c r="G9" i="27" s="1"/>
  <c r="F14" i="30"/>
  <c r="E16" i="34"/>
  <c r="D16" i="8"/>
  <c r="G16" i="8" s="1"/>
  <c r="F10" i="6"/>
  <c r="E12" i="10"/>
  <c r="D16" i="40"/>
  <c r="G16" i="40" s="1"/>
  <c r="F13" i="48"/>
  <c r="D14" i="36"/>
  <c r="G14" i="36" s="1"/>
  <c r="E14" i="10"/>
  <c r="E9" i="25"/>
  <c r="F18" i="26"/>
  <c r="F12" i="29"/>
  <c r="E16" i="37"/>
  <c r="E16" i="27"/>
  <c r="E14" i="44"/>
  <c r="F8" i="26"/>
  <c r="E18" i="32"/>
  <c r="E8" i="42"/>
  <c r="E18" i="6"/>
  <c r="F17" i="17"/>
  <c r="F10" i="5"/>
  <c r="E8" i="32"/>
  <c r="D9" i="42"/>
  <c r="G9" i="42" s="1"/>
  <c r="E9" i="42"/>
  <c r="E18" i="48"/>
  <c r="E7" i="33"/>
  <c r="E19" i="33" s="1"/>
  <c r="E9" i="32"/>
  <c r="D10" i="42"/>
  <c r="G10" i="42" s="1"/>
  <c r="D10" i="37"/>
  <c r="G10" i="37" s="1"/>
  <c r="D10" i="6"/>
  <c r="G10" i="6" s="1"/>
  <c r="E10" i="32"/>
  <c r="D17" i="8"/>
  <c r="G17" i="8" s="1"/>
  <c r="E11" i="42"/>
  <c r="D10" i="48"/>
  <c r="G10" i="48" s="1"/>
  <c r="E18" i="49"/>
  <c r="D12" i="42"/>
  <c r="G12" i="42" s="1"/>
  <c r="E17" i="50"/>
  <c r="E11" i="32"/>
  <c r="E12" i="42"/>
  <c r="E11" i="48"/>
  <c r="F7" i="50"/>
  <c r="D15" i="35"/>
  <c r="G15" i="35" s="1"/>
  <c r="D13" i="42"/>
  <c r="G13" i="42" s="1"/>
  <c r="E12" i="6"/>
  <c r="F13" i="16"/>
  <c r="D10" i="28"/>
  <c r="G10" i="28" s="1"/>
  <c r="E8" i="34"/>
  <c r="E18" i="50"/>
  <c r="B19" i="50"/>
  <c r="D13" i="48"/>
  <c r="G13" i="48" s="1"/>
  <c r="D14" i="6"/>
  <c r="G14" i="6" s="1"/>
  <c r="D12" i="15"/>
  <c r="G12" i="15" s="1"/>
  <c r="E11" i="23"/>
  <c r="E18" i="30"/>
  <c r="E14" i="32"/>
  <c r="E9" i="50"/>
  <c r="E11" i="20"/>
  <c r="D11" i="23"/>
  <c r="G11" i="23" s="1"/>
  <c r="E11" i="28"/>
  <c r="D14" i="27"/>
  <c r="G14" i="27" s="1"/>
  <c r="E10" i="34"/>
  <c r="E12" i="28"/>
  <c r="D18" i="47"/>
  <c r="G18" i="47" s="1"/>
  <c r="E15" i="6"/>
  <c r="D10" i="19"/>
  <c r="G10" i="19" s="1"/>
  <c r="D13" i="28"/>
  <c r="G13" i="28" s="1"/>
  <c r="F16" i="37"/>
  <c r="E8" i="27"/>
  <c r="F16" i="38"/>
  <c r="D14" i="44"/>
  <c r="G14" i="44" s="1"/>
  <c r="F9" i="7"/>
  <c r="E7" i="28"/>
  <c r="E19" i="28" s="1"/>
  <c r="D16" i="38"/>
  <c r="G16" i="38" s="1"/>
  <c r="E16" i="43"/>
  <c r="E17" i="27"/>
  <c r="F7" i="28"/>
  <c r="E16" i="38"/>
  <c r="E9" i="17"/>
  <c r="E9" i="27"/>
  <c r="F15" i="39"/>
  <c r="E8" i="8"/>
  <c r="E17" i="38"/>
  <c r="D14" i="30"/>
  <c r="G14" i="30" s="1"/>
  <c r="F11" i="41"/>
  <c r="E14" i="30"/>
  <c r="D10" i="32"/>
  <c r="G10" i="32" s="1"/>
  <c r="D18" i="38"/>
  <c r="G18" i="38" s="1"/>
  <c r="E18" i="38"/>
  <c r="F11" i="17"/>
  <c r="D11" i="25"/>
  <c r="G11" i="25" s="1"/>
  <c r="E10" i="37"/>
  <c r="D8" i="38"/>
  <c r="G8" i="38" s="1"/>
  <c r="E10" i="42"/>
  <c r="D11" i="47"/>
  <c r="G11" i="47" s="1"/>
  <c r="D9" i="48"/>
  <c r="G9" i="48" s="1"/>
  <c r="D12" i="7"/>
  <c r="G12" i="7" s="1"/>
  <c r="E8" i="24"/>
  <c r="E15" i="30"/>
  <c r="E17" i="34"/>
  <c r="F10" i="37"/>
  <c r="E8" i="38"/>
  <c r="E11" i="47"/>
  <c r="D15" i="6"/>
  <c r="G15" i="6" s="1"/>
  <c r="E11" i="10"/>
  <c r="E16" i="15"/>
  <c r="F8" i="19"/>
  <c r="D13" i="20"/>
  <c r="G13" i="20" s="1"/>
  <c r="F18" i="29"/>
  <c r="F11" i="42"/>
  <c r="F18" i="44"/>
  <c r="E7" i="49"/>
  <c r="E19" i="49" s="1"/>
  <c r="F17" i="49"/>
  <c r="F12" i="51"/>
  <c r="F7" i="19"/>
  <c r="E9" i="38"/>
  <c r="F18" i="39"/>
  <c r="F13" i="27"/>
  <c r="F10" i="33"/>
  <c r="E9" i="14"/>
  <c r="E13" i="27"/>
  <c r="E10" i="33"/>
  <c r="F17" i="35"/>
  <c r="E10" i="43"/>
  <c r="F12" i="13"/>
  <c r="D13" i="32"/>
  <c r="G13" i="32" s="1"/>
  <c r="F8" i="15"/>
  <c r="F16" i="46"/>
  <c r="F14" i="47"/>
  <c r="E8" i="49"/>
  <c r="F12" i="28"/>
  <c r="E17" i="6"/>
  <c r="E10" i="14"/>
  <c r="D8" i="15"/>
  <c r="G8" i="15" s="1"/>
  <c r="E10" i="19"/>
  <c r="E14" i="27"/>
  <c r="E11" i="43"/>
  <c r="E14" i="51"/>
  <c r="F7" i="6"/>
  <c r="F16" i="22"/>
  <c r="D12" i="43"/>
  <c r="G12" i="43" s="1"/>
  <c r="F10" i="44"/>
  <c r="E8" i="30"/>
  <c r="D12" i="38"/>
  <c r="G12" i="38" s="1"/>
  <c r="E14" i="42"/>
  <c r="D8" i="6"/>
  <c r="G8" i="6" s="1"/>
  <c r="D17" i="12"/>
  <c r="G17" i="12" s="1"/>
  <c r="E18" i="26"/>
  <c r="F16" i="27"/>
  <c r="F7" i="36"/>
  <c r="E12" i="38"/>
  <c r="E15" i="51"/>
  <c r="E8" i="6"/>
  <c r="E14" i="8"/>
  <c r="F17" i="12"/>
  <c r="F14" i="18"/>
  <c r="F9" i="40"/>
  <c r="F9" i="45"/>
  <c r="D8" i="50"/>
  <c r="G8" i="50" s="1"/>
  <c r="F7" i="12"/>
  <c r="D9" i="6"/>
  <c r="G9" i="6" s="1"/>
  <c r="F13" i="19"/>
  <c r="D16" i="32"/>
  <c r="G16" i="32" s="1"/>
  <c r="E13" i="38"/>
  <c r="E16" i="47"/>
  <c r="F14" i="14"/>
  <c r="E9" i="16"/>
  <c r="E14" i="24"/>
  <c r="E14" i="38"/>
  <c r="E10" i="6"/>
  <c r="D10" i="21"/>
  <c r="G10" i="21" s="1"/>
  <c r="D11" i="35"/>
  <c r="G11" i="35" s="1"/>
  <c r="F17" i="23"/>
  <c r="E18" i="27"/>
  <c r="E15" i="33"/>
  <c r="E11" i="35"/>
  <c r="E15" i="43"/>
  <c r="E10" i="50"/>
  <c r="E17" i="23"/>
  <c r="F12" i="35"/>
  <c r="F16" i="43"/>
  <c r="F14" i="44"/>
  <c r="F12" i="45"/>
  <c r="F10" i="46"/>
  <c r="F11" i="9"/>
  <c r="F11" i="18"/>
  <c r="D17" i="9"/>
  <c r="G17" i="9" s="1"/>
  <c r="F15" i="10"/>
  <c r="E13" i="15"/>
  <c r="F7" i="23"/>
  <c r="B19" i="23"/>
  <c r="F9" i="22"/>
  <c r="F17" i="14"/>
  <c r="F14" i="20"/>
  <c r="F10" i="22"/>
  <c r="F15" i="45"/>
  <c r="E12" i="7"/>
  <c r="D12" i="12"/>
  <c r="G12" i="12" s="1"/>
  <c r="F13" i="46"/>
  <c r="F15" i="6"/>
  <c r="F15" i="28"/>
  <c r="E8" i="5"/>
  <c r="D11" i="24"/>
  <c r="G11" i="24" s="1"/>
  <c r="D12" i="29"/>
  <c r="G12" i="29" s="1"/>
  <c r="D11" i="49"/>
  <c r="G11" i="49" s="1"/>
  <c r="E18" i="24"/>
  <c r="E11" i="26"/>
  <c r="E14" i="41"/>
  <c r="E12" i="47"/>
  <c r="E17" i="24"/>
  <c r="E9" i="39"/>
  <c r="D16" i="11"/>
  <c r="G16" i="11" s="1"/>
  <c r="F11" i="13"/>
  <c r="F16" i="20"/>
  <c r="D15" i="25"/>
  <c r="G15" i="25" s="1"/>
  <c r="D12" i="26"/>
  <c r="G12" i="26" s="1"/>
  <c r="D14" i="37"/>
  <c r="G14" i="37" s="1"/>
  <c r="F10" i="39"/>
  <c r="F15" i="41"/>
  <c r="E16" i="11"/>
  <c r="F18" i="24"/>
  <c r="E13" i="47"/>
  <c r="F15" i="50"/>
  <c r="F18" i="32"/>
  <c r="D17" i="41"/>
  <c r="G17" i="41" s="1"/>
  <c r="F13" i="43"/>
  <c r="E18" i="15"/>
  <c r="F8" i="32"/>
  <c r="F7" i="41"/>
  <c r="E17" i="41"/>
  <c r="D12" i="5"/>
  <c r="G12" i="5" s="1"/>
  <c r="D11" i="14"/>
  <c r="G11" i="14" s="1"/>
  <c r="E12" i="39"/>
  <c r="D8" i="25"/>
  <c r="G8" i="25" s="1"/>
  <c r="E17" i="37"/>
  <c r="F13" i="35"/>
  <c r="F8" i="46"/>
  <c r="D9" i="25"/>
  <c r="G9" i="25" s="1"/>
  <c r="D17" i="29"/>
  <c r="G17" i="29" s="1"/>
  <c r="E13" i="35"/>
  <c r="F8" i="50"/>
  <c r="E17" i="29"/>
  <c r="F15" i="30"/>
  <c r="F7" i="33"/>
  <c r="B19" i="33"/>
  <c r="E17" i="47"/>
  <c r="E10" i="15"/>
  <c r="D10" i="20"/>
  <c r="G10" i="20" s="1"/>
  <c r="E14" i="23"/>
  <c r="D18" i="33"/>
  <c r="G18" i="33" s="1"/>
  <c r="F15" i="43"/>
  <c r="F9" i="46"/>
  <c r="D18" i="12"/>
  <c r="G18" i="12" s="1"/>
  <c r="E13" i="14"/>
  <c r="F17" i="26"/>
  <c r="D8" i="29"/>
  <c r="G8" i="29" s="1"/>
  <c r="D18" i="29"/>
  <c r="G18" i="29" s="1"/>
  <c r="F18" i="42"/>
  <c r="F11" i="15"/>
  <c r="E12" i="24"/>
  <c r="F7" i="26"/>
  <c r="D11" i="32"/>
  <c r="G11" i="32" s="1"/>
  <c r="F11" i="32"/>
  <c r="E10" i="41"/>
  <c r="E18" i="47"/>
  <c r="E17" i="8"/>
  <c r="D9" i="12"/>
  <c r="G9" i="12" s="1"/>
  <c r="D14" i="14"/>
  <c r="G14" i="14" s="1"/>
  <c r="F15" i="18"/>
  <c r="D12" i="45"/>
  <c r="G12" i="45" s="1"/>
  <c r="D8" i="47"/>
  <c r="G8" i="47" s="1"/>
  <c r="D15" i="5"/>
  <c r="G15" i="5" s="1"/>
  <c r="F17" i="8"/>
  <c r="D12" i="13"/>
  <c r="G12" i="13" s="1"/>
  <c r="E14" i="14"/>
  <c r="D7" i="26"/>
  <c r="G7" i="26" s="1"/>
  <c r="E12" i="13"/>
  <c r="E13" i="24"/>
  <c r="E7" i="38"/>
  <c r="E19" i="38" s="1"/>
  <c r="E11" i="41"/>
  <c r="F16" i="9"/>
  <c r="D15" i="14"/>
  <c r="G15" i="14" s="1"/>
  <c r="F16" i="18"/>
  <c r="D15" i="23"/>
  <c r="G15" i="23" s="1"/>
  <c r="E17" i="43"/>
  <c r="F15" i="7"/>
  <c r="F11" i="39"/>
  <c r="E16" i="41"/>
  <c r="D16" i="5"/>
  <c r="G16" i="5" s="1"/>
  <c r="F8" i="8"/>
  <c r="F18" i="13"/>
  <c r="E16" i="39"/>
  <c r="E8" i="41"/>
  <c r="D16" i="6"/>
  <c r="G16" i="6" s="1"/>
  <c r="E12" i="12"/>
  <c r="E9" i="13"/>
  <c r="E8" i="23"/>
  <c r="F15" i="24"/>
  <c r="F17" i="30"/>
  <c r="F11" i="44"/>
  <c r="F17" i="46"/>
  <c r="E12" i="48"/>
  <c r="E12" i="51"/>
  <c r="E16" i="6"/>
  <c r="E10" i="17"/>
  <c r="E18" i="23"/>
  <c r="D10" i="29"/>
  <c r="G10" i="29" s="1"/>
  <c r="D15" i="31"/>
  <c r="G15" i="31" s="1"/>
  <c r="E14" i="35"/>
  <c r="D9" i="41"/>
  <c r="G9" i="41" s="1"/>
  <c r="D7" i="6"/>
  <c r="G7" i="6" s="1"/>
  <c r="D13" i="12"/>
  <c r="G13" i="12" s="1"/>
  <c r="F10" i="13"/>
  <c r="E15" i="15"/>
  <c r="E7" i="19"/>
  <c r="E19" i="19" s="1"/>
  <c r="F13" i="28"/>
  <c r="D12" i="32"/>
  <c r="G12" i="32" s="1"/>
  <c r="F15" i="35"/>
  <c r="F14" i="39"/>
  <c r="E9" i="41"/>
  <c r="D9" i="45"/>
  <c r="G9" i="45" s="1"/>
  <c r="E9" i="49"/>
  <c r="D16" i="50"/>
  <c r="G16" i="50" s="1"/>
  <c r="F13" i="51"/>
  <c r="E18" i="41"/>
  <c r="F10" i="17"/>
  <c r="E14" i="20"/>
  <c r="F18" i="23"/>
  <c r="E12" i="25"/>
  <c r="E13" i="28"/>
  <c r="F16" i="34"/>
  <c r="D18" i="37"/>
  <c r="G18" i="37" s="1"/>
  <c r="E13" i="7"/>
  <c r="F15" i="11"/>
  <c r="E17" i="30"/>
  <c r="E15" i="42"/>
  <c r="E15" i="47"/>
  <c r="D9" i="49"/>
  <c r="G9" i="49" s="1"/>
  <c r="E7" i="6"/>
  <c r="E19" i="6" s="1"/>
  <c r="F7" i="10"/>
  <c r="E13" i="12"/>
  <c r="E10" i="13"/>
  <c r="E18" i="14"/>
  <c r="F17" i="19"/>
  <c r="E9" i="23"/>
  <c r="E16" i="24"/>
  <c r="E10" i="26"/>
  <c r="F7" i="27"/>
  <c r="F16" i="31"/>
  <c r="E12" i="32"/>
  <c r="E10" i="38"/>
  <c r="D15" i="43"/>
  <c r="G15" i="43" s="1"/>
  <c r="E7" i="50"/>
  <c r="E19" i="50" s="1"/>
  <c r="E16" i="50"/>
  <c r="E18" i="20"/>
  <c r="E13" i="26"/>
  <c r="D8" i="31"/>
  <c r="G8" i="31" s="1"/>
  <c r="D15" i="32"/>
  <c r="G15" i="32" s="1"/>
  <c r="F9" i="38"/>
  <c r="F15" i="40"/>
  <c r="E8" i="47"/>
  <c r="E17" i="7"/>
  <c r="E11" i="14"/>
  <c r="D16" i="21"/>
  <c r="G16" i="21" s="1"/>
  <c r="E12" i="23"/>
  <c r="F17" i="28"/>
  <c r="E12" i="41"/>
  <c r="D18" i="43"/>
  <c r="G18" i="43" s="1"/>
  <c r="D13" i="49"/>
  <c r="G13" i="49" s="1"/>
  <c r="E12" i="18"/>
  <c r="E15" i="21"/>
  <c r="E9" i="24"/>
  <c r="E17" i="28"/>
  <c r="D11" i="30"/>
  <c r="G11" i="30" s="1"/>
  <c r="E13" i="49"/>
  <c r="F17" i="51"/>
  <c r="E13" i="5"/>
  <c r="D11" i="6"/>
  <c r="G11" i="6" s="1"/>
  <c r="F18" i="7"/>
  <c r="E14" i="26"/>
  <c r="E11" i="30"/>
  <c r="E12" i="37"/>
  <c r="F10" i="38"/>
  <c r="F8" i="39"/>
  <c r="E8" i="43"/>
  <c r="E9" i="47"/>
  <c r="E16" i="48"/>
  <c r="F8" i="7"/>
  <c r="E18" i="7"/>
  <c r="E7" i="12"/>
  <c r="E19" i="12" s="1"/>
  <c r="E9" i="15"/>
  <c r="F11" i="19"/>
  <c r="E13" i="23"/>
  <c r="D18" i="28"/>
  <c r="G18" i="28" s="1"/>
  <c r="E7" i="32"/>
  <c r="E19" i="32" s="1"/>
  <c r="E16" i="32"/>
  <c r="E13" i="33"/>
  <c r="D18" i="44"/>
  <c r="G18" i="44" s="1"/>
  <c r="D11" i="50"/>
  <c r="G11" i="50" s="1"/>
  <c r="D15" i="13"/>
  <c r="G15" i="13" s="1"/>
  <c r="F16" i="17"/>
  <c r="F14" i="23"/>
  <c r="E10" i="24"/>
  <c r="D15" i="26"/>
  <c r="G15" i="26" s="1"/>
  <c r="F12" i="27"/>
  <c r="E18" i="28"/>
  <c r="F11" i="34"/>
  <c r="D7" i="36"/>
  <c r="D19" i="36" s="1"/>
  <c r="D13" i="37"/>
  <c r="G13" i="37" s="1"/>
  <c r="F11" i="38"/>
  <c r="D11" i="40"/>
  <c r="G11" i="40" s="1"/>
  <c r="E10" i="44"/>
  <c r="E14" i="49"/>
  <c r="F18" i="51"/>
  <c r="E14" i="5"/>
  <c r="D14" i="9"/>
  <c r="G14" i="9" s="1"/>
  <c r="D12" i="10"/>
  <c r="G12" i="10" s="1"/>
  <c r="E15" i="13"/>
  <c r="D13" i="14"/>
  <c r="G13" i="14" s="1"/>
  <c r="D14" i="23"/>
  <c r="G14" i="23" s="1"/>
  <c r="E18" i="25"/>
  <c r="E15" i="26"/>
  <c r="F9" i="28"/>
  <c r="F9" i="39"/>
  <c r="E17" i="40"/>
  <c r="F14" i="41"/>
  <c r="E17" i="48"/>
  <c r="D13" i="5"/>
  <c r="G13" i="5" s="1"/>
  <c r="F13" i="5"/>
  <c r="F13" i="47"/>
  <c r="D13" i="47"/>
  <c r="G13" i="47" s="1"/>
  <c r="F8" i="41"/>
  <c r="F13" i="7"/>
  <c r="F7" i="24"/>
  <c r="F13" i="39"/>
  <c r="F12" i="23"/>
  <c r="D13" i="7"/>
  <c r="G13" i="7" s="1"/>
  <c r="F10" i="30"/>
  <c r="E7" i="46"/>
  <c r="E19" i="46" s="1"/>
  <c r="C19" i="46"/>
  <c r="D17" i="25"/>
  <c r="G17" i="25" s="1"/>
  <c r="F17" i="25"/>
  <c r="D17" i="13"/>
  <c r="G17" i="13" s="1"/>
  <c r="F12" i="19"/>
  <c r="E12" i="19"/>
  <c r="D12" i="23"/>
  <c r="G12" i="23" s="1"/>
  <c r="F12" i="5"/>
  <c r="F8" i="6"/>
  <c r="F11" i="12"/>
  <c r="E7" i="31"/>
  <c r="E19" i="31" s="1"/>
  <c r="C19" i="31"/>
  <c r="D8" i="42"/>
  <c r="G8" i="42" s="1"/>
  <c r="F8" i="42"/>
  <c r="D12" i="33"/>
  <c r="G12" i="33" s="1"/>
  <c r="D17" i="33"/>
  <c r="G17" i="33" s="1"/>
  <c r="F18" i="15"/>
  <c r="E15" i="24"/>
  <c r="F11" i="45"/>
  <c r="D14" i="29"/>
  <c r="G14" i="29" s="1"/>
  <c r="F14" i="29"/>
  <c r="F10" i="21"/>
  <c r="F17" i="50"/>
  <c r="D17" i="50"/>
  <c r="G17" i="50" s="1"/>
  <c r="D11" i="11"/>
  <c r="G11" i="11" s="1"/>
  <c r="D14" i="20"/>
  <c r="G14" i="20" s="1"/>
  <c r="F9" i="50"/>
  <c r="D18" i="50"/>
  <c r="G18" i="50" s="1"/>
  <c r="F18" i="50"/>
  <c r="C22" i="11"/>
  <c r="D9" i="50"/>
  <c r="G9" i="50" s="1"/>
  <c r="F13" i="49"/>
  <c r="D12" i="31"/>
  <c r="G12" i="31" s="1"/>
  <c r="D7" i="8"/>
  <c r="G7" i="8" s="1"/>
  <c r="F16" i="16"/>
  <c r="E17" i="22"/>
  <c r="F13" i="8"/>
  <c r="E13" i="8"/>
  <c r="F16" i="11"/>
  <c r="F7" i="22"/>
  <c r="F12" i="24"/>
  <c r="F11" i="21"/>
  <c r="D17" i="19"/>
  <c r="G17" i="19" s="1"/>
  <c r="D13" i="9"/>
  <c r="G13" i="9" s="1"/>
  <c r="F13" i="9"/>
  <c r="F12" i="17"/>
  <c r="E10" i="22"/>
  <c r="B19" i="15"/>
  <c r="D7" i="15"/>
  <c r="E12" i="31"/>
  <c r="E15" i="45"/>
  <c r="E9" i="45"/>
  <c r="E16" i="45"/>
  <c r="F15" i="12"/>
  <c r="F18" i="17"/>
  <c r="F10" i="20"/>
  <c r="F16" i="30"/>
  <c r="E12" i="33"/>
  <c r="F18" i="49"/>
  <c r="D18" i="7"/>
  <c r="G18" i="7" s="1"/>
  <c r="F14" i="15"/>
  <c r="F12" i="16"/>
  <c r="D11" i="20"/>
  <c r="G11" i="20" s="1"/>
  <c r="E11" i="44"/>
  <c r="F17" i="45"/>
  <c r="F10" i="51"/>
  <c r="E7" i="10"/>
  <c r="E19" i="10" s="1"/>
  <c r="F9" i="25"/>
  <c r="E10" i="27"/>
  <c r="F13" i="31"/>
  <c r="D17" i="40"/>
  <c r="G17" i="40" s="1"/>
  <c r="E14" i="48"/>
  <c r="D11" i="9"/>
  <c r="G11" i="9" s="1"/>
  <c r="F16" i="10"/>
  <c r="D15" i="15"/>
  <c r="G15" i="15" s="1"/>
  <c r="F15" i="15"/>
  <c r="F17" i="18"/>
  <c r="F11" i="20"/>
  <c r="D9" i="26"/>
  <c r="G9" i="26" s="1"/>
  <c r="D17" i="26"/>
  <c r="G17" i="26" s="1"/>
  <c r="D17" i="30"/>
  <c r="G17" i="30" s="1"/>
  <c r="E13" i="31"/>
  <c r="D18" i="32"/>
  <c r="G18" i="32" s="1"/>
  <c r="D8" i="40"/>
  <c r="G8" i="40" s="1"/>
  <c r="E7" i="48"/>
  <c r="E19" i="48" s="1"/>
  <c r="E16" i="10"/>
  <c r="D18" i="23"/>
  <c r="G18" i="23" s="1"/>
  <c r="F14" i="24"/>
  <c r="D11" i="27"/>
  <c r="G11" i="27" s="1"/>
  <c r="E8" i="35"/>
  <c r="E8" i="40"/>
  <c r="E9" i="43"/>
  <c r="D7" i="48"/>
  <c r="G7" i="48" s="1"/>
  <c r="D15" i="48"/>
  <c r="G15" i="48" s="1"/>
  <c r="F15" i="48"/>
  <c r="F11" i="51"/>
  <c r="E11" i="7"/>
  <c r="F8" i="10"/>
  <c r="F18" i="18"/>
  <c r="E10" i="25"/>
  <c r="D14" i="31"/>
  <c r="G14" i="31" s="1"/>
  <c r="E14" i="33"/>
  <c r="F18" i="37"/>
  <c r="F8" i="40"/>
  <c r="E12" i="44"/>
  <c r="F7" i="48"/>
  <c r="E15" i="48"/>
  <c r="D9" i="29"/>
  <c r="G9" i="29" s="1"/>
  <c r="F9" i="29"/>
  <c r="D14" i="35"/>
  <c r="G14" i="35" s="1"/>
  <c r="F16" i="40"/>
  <c r="F10" i="9"/>
  <c r="F15" i="21"/>
  <c r="F18" i="27"/>
  <c r="D15" i="10"/>
  <c r="G15" i="10" s="1"/>
  <c r="D7" i="10"/>
  <c r="B19" i="10"/>
  <c r="E15" i="10"/>
  <c r="E12" i="11"/>
  <c r="F9" i="17"/>
  <c r="F9" i="34"/>
  <c r="F17" i="37"/>
  <c r="D11" i="44"/>
  <c r="G11" i="44" s="1"/>
  <c r="G7" i="2"/>
  <c r="D19" i="2"/>
  <c r="E15" i="8"/>
  <c r="E18" i="8"/>
  <c r="D8" i="10"/>
  <c r="G8" i="10" s="1"/>
  <c r="D17" i="10"/>
  <c r="G17" i="10" s="1"/>
  <c r="F17" i="10"/>
  <c r="F14" i="36"/>
  <c r="F12" i="39"/>
  <c r="E18" i="40"/>
  <c r="E11" i="5"/>
  <c r="F12" i="7"/>
  <c r="E16" i="8"/>
  <c r="E14" i="13"/>
  <c r="E8" i="15"/>
  <c r="E7" i="26"/>
  <c r="E19" i="26" s="1"/>
  <c r="E9" i="35"/>
  <c r="E15" i="38"/>
  <c r="F17" i="43"/>
  <c r="D12" i="51"/>
  <c r="G12" i="51" s="1"/>
  <c r="F13" i="30"/>
  <c r="F15" i="5"/>
  <c r="F8" i="9"/>
  <c r="B19" i="11"/>
  <c r="F13" i="12"/>
  <c r="E11" i="15"/>
  <c r="D13" i="21"/>
  <c r="G13" i="21" s="1"/>
  <c r="F15" i="23"/>
  <c r="F15" i="32"/>
  <c r="E15" i="34"/>
  <c r="E11" i="34"/>
  <c r="D13" i="35"/>
  <c r="G13" i="35" s="1"/>
  <c r="F15" i="42"/>
  <c r="F15" i="37"/>
  <c r="E17" i="31"/>
  <c r="F13" i="14"/>
  <c r="F11" i="6"/>
  <c r="E7" i="7"/>
  <c r="E19" i="7" s="1"/>
  <c r="C19" i="7"/>
  <c r="F17" i="9"/>
  <c r="F13" i="10"/>
  <c r="F17" i="20"/>
  <c r="D10" i="22"/>
  <c r="G10" i="22" s="1"/>
  <c r="F17" i="29"/>
  <c r="C22" i="42"/>
  <c r="E18" i="44"/>
  <c r="F13" i="23"/>
  <c r="F17" i="24"/>
  <c r="F10" i="28"/>
  <c r="D17" i="31"/>
  <c r="G17" i="31" s="1"/>
  <c r="D8" i="33"/>
  <c r="G8" i="33" s="1"/>
  <c r="E14" i="36"/>
  <c r="C22" i="15"/>
  <c r="F11" i="35"/>
  <c r="D16" i="36"/>
  <c r="G16" i="36" s="1"/>
  <c r="F7" i="11"/>
  <c r="E17" i="13"/>
  <c r="F15" i="20"/>
  <c r="E12" i="40"/>
  <c r="E12" i="45"/>
  <c r="D9" i="38"/>
  <c r="G9" i="38" s="1"/>
  <c r="F17" i="41"/>
  <c r="E7" i="44"/>
  <c r="E19" i="44" s="1"/>
  <c r="D10" i="15"/>
  <c r="G10" i="15" s="1"/>
  <c r="F10" i="15"/>
  <c r="E18" i="31"/>
  <c r="F17" i="36"/>
  <c r="F14" i="42"/>
  <c r="F7" i="44"/>
  <c r="D18" i="13"/>
  <c r="G18" i="13" s="1"/>
  <c r="E15" i="27"/>
  <c r="F16" i="47"/>
  <c r="E12" i="43"/>
  <c r="D7" i="49"/>
  <c r="G7" i="49" s="1"/>
  <c r="E12" i="26"/>
  <c r="D7" i="5"/>
  <c r="E16" i="5"/>
  <c r="E13" i="10"/>
  <c r="E10" i="11"/>
  <c r="D10" i="13"/>
  <c r="G10" i="13" s="1"/>
  <c r="F10" i="16"/>
  <c r="E17" i="20"/>
  <c r="D14" i="21"/>
  <c r="G14" i="21" s="1"/>
  <c r="E7" i="23"/>
  <c r="E19" i="23" s="1"/>
  <c r="E8" i="29"/>
  <c r="D11" i="33"/>
  <c r="G11" i="33" s="1"/>
  <c r="F18" i="34"/>
  <c r="E15" i="40"/>
  <c r="E13" i="43"/>
  <c r="E17" i="33"/>
  <c r="F14" i="34"/>
  <c r="E11" i="45"/>
  <c r="F12" i="12"/>
  <c r="D17" i="22"/>
  <c r="G17" i="22" s="1"/>
  <c r="F17" i="22"/>
  <c r="F18" i="8"/>
  <c r="D8" i="41"/>
  <c r="G8" i="41" s="1"/>
  <c r="D11" i="21"/>
  <c r="G11" i="21" s="1"/>
  <c r="E8" i="31"/>
  <c r="E8" i="13"/>
  <c r="E9" i="33"/>
  <c r="D15" i="49"/>
  <c r="G15" i="49" s="1"/>
  <c r="E8" i="11"/>
  <c r="F9" i="13"/>
  <c r="D16" i="20"/>
  <c r="G16" i="20" s="1"/>
  <c r="F9" i="24"/>
  <c r="E17" i="36"/>
  <c r="E13" i="40"/>
  <c r="D17" i="7"/>
  <c r="G17" i="7" s="1"/>
  <c r="D8" i="7"/>
  <c r="G8" i="7" s="1"/>
  <c r="E18" i="13"/>
  <c r="E16" i="20"/>
  <c r="E16" i="29"/>
  <c r="D8" i="44"/>
  <c r="G8" i="44" s="1"/>
  <c r="F11" i="50"/>
  <c r="E15" i="7"/>
  <c r="E8" i="7"/>
  <c r="E17" i="25"/>
  <c r="E8" i="44"/>
  <c r="D16" i="47"/>
  <c r="G16" i="47" s="1"/>
  <c r="C19" i="11"/>
  <c r="F12" i="6"/>
  <c r="D12" i="6"/>
  <c r="G12" i="6" s="1"/>
  <c r="D13" i="8"/>
  <c r="G13" i="8" s="1"/>
  <c r="E14" i="12"/>
  <c r="E12" i="15"/>
  <c r="F7" i="17"/>
  <c r="D12" i="19"/>
  <c r="G12" i="19" s="1"/>
  <c r="E16" i="23"/>
  <c r="F13" i="26"/>
  <c r="F14" i="35"/>
  <c r="D10" i="36"/>
  <c r="G10" i="36" s="1"/>
  <c r="F10" i="36"/>
  <c r="D16" i="37"/>
  <c r="G16" i="37" s="1"/>
  <c r="D10" i="44"/>
  <c r="G10" i="44" s="1"/>
  <c r="E17" i="49"/>
  <c r="E8" i="20"/>
  <c r="E14" i="31"/>
  <c r="F11" i="33"/>
  <c r="D7" i="38"/>
  <c r="D19" i="38" s="1"/>
  <c r="E18" i="43"/>
  <c r="E17" i="45"/>
  <c r="F10" i="47"/>
  <c r="E15" i="49"/>
  <c r="D14" i="5"/>
  <c r="G14" i="5" s="1"/>
  <c r="F14" i="10"/>
  <c r="F16" i="36"/>
  <c r="F10" i="41"/>
  <c r="E13" i="44"/>
  <c r="F11" i="47"/>
  <c r="F16" i="49"/>
  <c r="E8" i="10"/>
  <c r="D8" i="23"/>
  <c r="G8" i="23" s="1"/>
  <c r="F8" i="12"/>
  <c r="F15" i="19"/>
  <c r="D12" i="20"/>
  <c r="G12" i="20" s="1"/>
  <c r="E16" i="26"/>
  <c r="E9" i="40"/>
  <c r="F16" i="51"/>
  <c r="E9" i="5"/>
  <c r="E17" i="5"/>
  <c r="E8" i="12"/>
  <c r="E12" i="20"/>
  <c r="E11" i="27"/>
  <c r="E15" i="28"/>
  <c r="C22" i="31"/>
  <c r="D15" i="37"/>
  <c r="G15" i="37" s="1"/>
  <c r="E8" i="48"/>
  <c r="F10" i="49"/>
  <c r="D15" i="7"/>
  <c r="G15" i="7" s="1"/>
  <c r="F10" i="8"/>
  <c r="D18" i="8"/>
  <c r="G18" i="8" s="1"/>
  <c r="E9" i="10"/>
  <c r="D16" i="12"/>
  <c r="G16" i="12" s="1"/>
  <c r="F12" i="20"/>
  <c r="D10" i="24"/>
  <c r="G10" i="24" s="1"/>
  <c r="D8" i="26"/>
  <c r="G8" i="26" s="1"/>
  <c r="E9" i="31"/>
  <c r="F18" i="31"/>
  <c r="D7" i="33"/>
  <c r="D19" i="33" s="1"/>
  <c r="F11" i="36"/>
  <c r="D10" i="38"/>
  <c r="G10" i="38" s="1"/>
  <c r="E17" i="42"/>
  <c r="E17" i="44"/>
  <c r="F14" i="50"/>
  <c r="F10" i="10"/>
  <c r="D14" i="11"/>
  <c r="G14" i="11" s="1"/>
  <c r="E9" i="12"/>
  <c r="F16" i="14"/>
  <c r="D12" i="27"/>
  <c r="G12" i="27" s="1"/>
  <c r="D16" i="28"/>
  <c r="G16" i="28" s="1"/>
  <c r="D16" i="33"/>
  <c r="G16" i="33" s="1"/>
  <c r="F8" i="37"/>
  <c r="E9" i="44"/>
  <c r="F13" i="45"/>
  <c r="D14" i="47"/>
  <c r="G14" i="47" s="1"/>
  <c r="E9" i="48"/>
  <c r="E11" i="49"/>
  <c r="E11" i="50"/>
  <c r="E14" i="50"/>
  <c r="F8" i="51"/>
  <c r="E17" i="10"/>
  <c r="F9" i="18"/>
  <c r="E16" i="42"/>
  <c r="D15" i="28"/>
  <c r="G15" i="28" s="1"/>
  <c r="E7" i="14"/>
  <c r="E19" i="14" s="1"/>
  <c r="D8" i="21"/>
  <c r="G8" i="21" s="1"/>
  <c r="D10" i="5"/>
  <c r="G10" i="5" s="1"/>
  <c r="E13" i="6"/>
  <c r="F11" i="8"/>
  <c r="F14" i="9"/>
  <c r="E10" i="10"/>
  <c r="E14" i="11"/>
  <c r="D18" i="16"/>
  <c r="G18" i="16" s="1"/>
  <c r="E11" i="18"/>
  <c r="E13" i="22"/>
  <c r="F9" i="26"/>
  <c r="E12" i="27"/>
  <c r="E16" i="28"/>
  <c r="D15" i="30"/>
  <c r="G15" i="30" s="1"/>
  <c r="E10" i="31"/>
  <c r="E16" i="33"/>
  <c r="E16" i="35"/>
  <c r="D12" i="36"/>
  <c r="G12" i="36" s="1"/>
  <c r="C22" i="38"/>
  <c r="E18" i="42"/>
  <c r="E14" i="47"/>
  <c r="E8" i="51"/>
  <c r="E16" i="16"/>
  <c r="D18" i="5"/>
  <c r="G18" i="5" s="1"/>
  <c r="E10" i="8"/>
  <c r="D18" i="10"/>
  <c r="G18" i="10" s="1"/>
  <c r="E16" i="12"/>
  <c r="D9" i="23"/>
  <c r="G9" i="23" s="1"/>
  <c r="D18" i="24"/>
  <c r="G18" i="24" s="1"/>
  <c r="E17" i="26"/>
  <c r="B19" i="38"/>
  <c r="E10" i="40"/>
  <c r="D16" i="48"/>
  <c r="G16" i="48" s="1"/>
  <c r="D14" i="50"/>
  <c r="G14" i="50" s="1"/>
  <c r="E11" i="8"/>
  <c r="F18" i="10"/>
  <c r="E17" i="12"/>
  <c r="E8" i="14"/>
  <c r="E18" i="16"/>
  <c r="E13" i="20"/>
  <c r="D9" i="21"/>
  <c r="G9" i="21" s="1"/>
  <c r="F9" i="23"/>
  <c r="E11" i="24"/>
  <c r="F14" i="25"/>
  <c r="E9" i="26"/>
  <c r="F16" i="28"/>
  <c r="F11" i="31"/>
  <c r="F16" i="33"/>
  <c r="D8" i="37"/>
  <c r="G8" i="37" s="1"/>
  <c r="D11" i="38"/>
  <c r="G11" i="38" s="1"/>
  <c r="E11" i="40"/>
  <c r="D18" i="42"/>
  <c r="G18" i="42" s="1"/>
  <c r="F16" i="48"/>
  <c r="E16" i="7"/>
  <c r="F12" i="8"/>
  <c r="E16" i="9"/>
  <c r="D11" i="10"/>
  <c r="G11" i="10" s="1"/>
  <c r="D10" i="12"/>
  <c r="G10" i="12" s="1"/>
  <c r="D18" i="17"/>
  <c r="G18" i="17" s="1"/>
  <c r="D17" i="23"/>
  <c r="G17" i="23" s="1"/>
  <c r="D18" i="26"/>
  <c r="G18" i="26" s="1"/>
  <c r="D13" i="27"/>
  <c r="G13" i="27" s="1"/>
  <c r="E8" i="28"/>
  <c r="D11" i="31"/>
  <c r="G11" i="31" s="1"/>
  <c r="E8" i="33"/>
  <c r="E12" i="34"/>
  <c r="E11" i="38"/>
  <c r="E7" i="47"/>
  <c r="E19" i="47" s="1"/>
  <c r="E12" i="49"/>
  <c r="E15" i="23"/>
  <c r="F15" i="14"/>
  <c r="E14" i="6"/>
  <c r="E9" i="7"/>
  <c r="F9" i="14"/>
  <c r="E17" i="14"/>
  <c r="F9" i="16"/>
  <c r="E16" i="17"/>
  <c r="F12" i="18"/>
  <c r="F9" i="21"/>
  <c r="E11" i="31"/>
  <c r="E15" i="32"/>
  <c r="D17" i="37"/>
  <c r="G17" i="37" s="1"/>
  <c r="F12" i="40"/>
  <c r="E15" i="41"/>
  <c r="D11" i="42"/>
  <c r="G11" i="42" s="1"/>
  <c r="D11" i="43"/>
  <c r="G11" i="43" s="1"/>
  <c r="E14" i="45"/>
  <c r="F8" i="47"/>
  <c r="F15" i="47"/>
  <c r="E10" i="48"/>
  <c r="F7" i="29"/>
  <c r="D7" i="29"/>
  <c r="B19" i="29"/>
  <c r="C22" i="29"/>
  <c r="F8" i="34"/>
  <c r="D8" i="34"/>
  <c r="G8" i="34" s="1"/>
  <c r="B19" i="21"/>
  <c r="F7" i="21"/>
  <c r="D7" i="21"/>
  <c r="C22" i="21"/>
  <c r="D13" i="33"/>
  <c r="G13" i="33" s="1"/>
  <c r="F13" i="33"/>
  <c r="F14" i="13"/>
  <c r="E13" i="42"/>
  <c r="F13" i="42"/>
  <c r="F13" i="44"/>
  <c r="C22" i="44"/>
  <c r="D13" i="44"/>
  <c r="G13" i="44" s="1"/>
  <c r="F13" i="22"/>
  <c r="D13" i="22"/>
  <c r="G13" i="22" s="1"/>
  <c r="D15" i="8"/>
  <c r="G15" i="8" s="1"/>
  <c r="F15" i="8"/>
  <c r="D10" i="46"/>
  <c r="G10" i="46" s="1"/>
  <c r="D14" i="46"/>
  <c r="G14" i="46" s="1"/>
  <c r="D17" i="46"/>
  <c r="G17" i="46" s="1"/>
  <c r="D16" i="46"/>
  <c r="G16" i="46" s="1"/>
  <c r="D9" i="46"/>
  <c r="G9" i="46" s="1"/>
  <c r="D13" i="46"/>
  <c r="G13" i="46" s="1"/>
  <c r="F18" i="21"/>
  <c r="D18" i="21"/>
  <c r="G18" i="21" s="1"/>
  <c r="E8" i="46"/>
  <c r="E16" i="46"/>
  <c r="E17" i="46"/>
  <c r="E13" i="46"/>
  <c r="E18" i="21"/>
  <c r="F10" i="45"/>
  <c r="D10" i="45"/>
  <c r="G10" i="45" s="1"/>
  <c r="F12" i="43"/>
  <c r="E17" i="18"/>
  <c r="E10" i="28"/>
  <c r="F11" i="5"/>
  <c r="D11" i="5"/>
  <c r="G11" i="5" s="1"/>
  <c r="F14" i="19"/>
  <c r="D14" i="19"/>
  <c r="G14" i="19" s="1"/>
  <c r="D13" i="17"/>
  <c r="G13" i="17" s="1"/>
  <c r="F13" i="17"/>
  <c r="F17" i="48"/>
  <c r="D17" i="48"/>
  <c r="G17" i="48" s="1"/>
  <c r="F15" i="31"/>
  <c r="E15" i="31"/>
  <c r="E10" i="21"/>
  <c r="F8" i="5"/>
  <c r="C19" i="30"/>
  <c r="F7" i="30"/>
  <c r="E7" i="30"/>
  <c r="E19" i="30" s="1"/>
  <c r="D18" i="40"/>
  <c r="G18" i="40" s="1"/>
  <c r="F18" i="40"/>
  <c r="F14" i="51"/>
  <c r="D14" i="51"/>
  <c r="G14" i="51" s="1"/>
  <c r="D18" i="18"/>
  <c r="G18" i="18" s="1"/>
  <c r="D16" i="18"/>
  <c r="G16" i="18" s="1"/>
  <c r="D11" i="18"/>
  <c r="G11" i="18" s="1"/>
  <c r="D9" i="18"/>
  <c r="G9" i="18" s="1"/>
  <c r="D14" i="18"/>
  <c r="G14" i="18" s="1"/>
  <c r="D8" i="8"/>
  <c r="G8" i="8" s="1"/>
  <c r="E18" i="18"/>
  <c r="E15" i="18"/>
  <c r="E16" i="18"/>
  <c r="E14" i="18"/>
  <c r="D17" i="5"/>
  <c r="G17" i="5" s="1"/>
  <c r="F17" i="5"/>
  <c r="D12" i="11"/>
  <c r="G12" i="11" s="1"/>
  <c r="F12" i="11"/>
  <c r="F17" i="44"/>
  <c r="D17" i="44"/>
  <c r="G17" i="44" s="1"/>
  <c r="F16" i="25"/>
  <c r="E16" i="25"/>
  <c r="D17" i="18"/>
  <c r="G17" i="18" s="1"/>
  <c r="F15" i="27"/>
  <c r="D15" i="27"/>
  <c r="G15" i="27" s="1"/>
  <c r="E18" i="35"/>
  <c r="F18" i="35"/>
  <c r="D10" i="16"/>
  <c r="G10" i="16" s="1"/>
  <c r="D13" i="16"/>
  <c r="G13" i="16" s="1"/>
  <c r="D17" i="16"/>
  <c r="G17" i="16" s="1"/>
  <c r="D12" i="16"/>
  <c r="G12" i="16" s="1"/>
  <c r="D16" i="16"/>
  <c r="G16" i="16" s="1"/>
  <c r="F11" i="46"/>
  <c r="D11" i="46"/>
  <c r="G11" i="46" s="1"/>
  <c r="D8" i="27"/>
  <c r="G8" i="27" s="1"/>
  <c r="F8" i="27"/>
  <c r="C22" i="27"/>
  <c r="F8" i="14"/>
  <c r="D8" i="14"/>
  <c r="G8" i="14" s="1"/>
  <c r="C22" i="14"/>
  <c r="F15" i="29"/>
  <c r="D11" i="48"/>
  <c r="G11" i="48" s="1"/>
  <c r="F11" i="48"/>
  <c r="E11" i="46"/>
  <c r="B19" i="16"/>
  <c r="F7" i="16"/>
  <c r="D7" i="16"/>
  <c r="C22" i="16"/>
  <c r="D8" i="35"/>
  <c r="G8" i="35" s="1"/>
  <c r="C22" i="35"/>
  <c r="F8" i="35"/>
  <c r="D8" i="48"/>
  <c r="C22" i="48"/>
  <c r="F8" i="48"/>
  <c r="E14" i="9"/>
  <c r="F13" i="15"/>
  <c r="C19" i="16"/>
  <c r="E7" i="16"/>
  <c r="E19" i="16" s="1"/>
  <c r="F9" i="32"/>
  <c r="D9" i="32"/>
  <c r="G9" i="32" s="1"/>
  <c r="C22" i="32"/>
  <c r="F18" i="33"/>
  <c r="E18" i="33"/>
  <c r="F7" i="9"/>
  <c r="C22" i="9"/>
  <c r="B19" i="9"/>
  <c r="F7" i="20"/>
  <c r="F11" i="37"/>
  <c r="D11" i="37"/>
  <c r="G11" i="37" s="1"/>
  <c r="E7" i="9"/>
  <c r="E19" i="9" s="1"/>
  <c r="F10" i="11"/>
  <c r="D13" i="15"/>
  <c r="G13" i="15" s="1"/>
  <c r="F11" i="28"/>
  <c r="D11" i="28"/>
  <c r="G11" i="28" s="1"/>
  <c r="F8" i="30"/>
  <c r="D8" i="30"/>
  <c r="G8" i="30" s="1"/>
  <c r="E11" i="37"/>
  <c r="B19" i="42"/>
  <c r="C22" i="7"/>
  <c r="D7" i="9"/>
  <c r="D7" i="20"/>
  <c r="E16" i="21"/>
  <c r="D17" i="36"/>
  <c r="G17" i="36" s="1"/>
  <c r="D15" i="39"/>
  <c r="G15" i="39" s="1"/>
  <c r="D13" i="39"/>
  <c r="G13" i="39" s="1"/>
  <c r="D14" i="39"/>
  <c r="G14" i="39" s="1"/>
  <c r="D8" i="39"/>
  <c r="G8" i="39" s="1"/>
  <c r="C22" i="5"/>
  <c r="D10" i="11"/>
  <c r="G10" i="11" s="1"/>
  <c r="D12" i="18"/>
  <c r="G12" i="18" s="1"/>
  <c r="E7" i="20"/>
  <c r="E19" i="20" s="1"/>
  <c r="F13" i="24"/>
  <c r="D13" i="24"/>
  <c r="G13" i="24" s="1"/>
  <c r="F15" i="26"/>
  <c r="F17" i="27"/>
  <c r="D17" i="27"/>
  <c r="G17" i="27" s="1"/>
  <c r="D9" i="31"/>
  <c r="G9" i="31" s="1"/>
  <c r="D18" i="34"/>
  <c r="G18" i="34" s="1"/>
  <c r="D9" i="34"/>
  <c r="G9" i="34" s="1"/>
  <c r="D16" i="34"/>
  <c r="G16" i="34" s="1"/>
  <c r="D14" i="34"/>
  <c r="G14" i="34" s="1"/>
  <c r="F13" i="38"/>
  <c r="E15" i="39"/>
  <c r="E13" i="39"/>
  <c r="E8" i="39"/>
  <c r="F9" i="41"/>
  <c r="D7" i="7"/>
  <c r="D16" i="10"/>
  <c r="G16" i="10" s="1"/>
  <c r="E9" i="21"/>
  <c r="F9" i="30"/>
  <c r="F9" i="31"/>
  <c r="D17" i="45"/>
  <c r="G17" i="45" s="1"/>
  <c r="F7" i="7"/>
  <c r="E7" i="8"/>
  <c r="E19" i="8" s="1"/>
  <c r="C19" i="8"/>
  <c r="E8" i="9"/>
  <c r="D11" i="12"/>
  <c r="G11" i="12" s="1"/>
  <c r="F18" i="12"/>
  <c r="E18" i="12"/>
  <c r="D12" i="17"/>
  <c r="G12" i="17" s="1"/>
  <c r="E11" i="19"/>
  <c r="E13" i="19"/>
  <c r="E8" i="19"/>
  <c r="E9" i="19"/>
  <c r="D9" i="24"/>
  <c r="G9" i="24" s="1"/>
  <c r="D7" i="24"/>
  <c r="F16" i="26"/>
  <c r="D16" i="26"/>
  <c r="G16" i="26" s="1"/>
  <c r="E11" i="33"/>
  <c r="D13" i="38"/>
  <c r="G13" i="38" s="1"/>
  <c r="E10" i="49"/>
  <c r="F13" i="6"/>
  <c r="D13" i="6"/>
  <c r="G13" i="6" s="1"/>
  <c r="F14" i="8"/>
  <c r="D14" i="8"/>
  <c r="G14" i="8" s="1"/>
  <c r="D10" i="10"/>
  <c r="G10" i="10" s="1"/>
  <c r="D9" i="16"/>
  <c r="G9" i="16" s="1"/>
  <c r="C22" i="23"/>
  <c r="D13" i="23"/>
  <c r="G13" i="23" s="1"/>
  <c r="E8" i="26"/>
  <c r="D16" i="30"/>
  <c r="G16" i="30" s="1"/>
  <c r="D11" i="36"/>
  <c r="G11" i="36" s="1"/>
  <c r="E14" i="39"/>
  <c r="F7" i="8"/>
  <c r="D9" i="9"/>
  <c r="G9" i="9" s="1"/>
  <c r="F9" i="9"/>
  <c r="E7" i="15"/>
  <c r="E19" i="15" s="1"/>
  <c r="E12" i="17"/>
  <c r="C22" i="19"/>
  <c r="D7" i="19"/>
  <c r="B19" i="19"/>
  <c r="F12" i="22"/>
  <c r="D12" i="22"/>
  <c r="G12" i="22" s="1"/>
  <c r="E12" i="29"/>
  <c r="E9" i="29"/>
  <c r="E11" i="36"/>
  <c r="F7" i="38"/>
  <c r="D18" i="41"/>
  <c r="G18" i="41" s="1"/>
  <c r="F18" i="41"/>
  <c r="F12" i="50"/>
  <c r="D12" i="50"/>
  <c r="G12" i="50" s="1"/>
  <c r="E9" i="9"/>
  <c r="F7" i="15"/>
  <c r="D7" i="23"/>
  <c r="D18" i="27"/>
  <c r="G18" i="27" s="1"/>
  <c r="F13" i="37"/>
  <c r="E13" i="37"/>
  <c r="F14" i="46"/>
  <c r="C22" i="51"/>
  <c r="B19" i="51"/>
  <c r="F7" i="51"/>
  <c r="E8" i="17"/>
  <c r="C22" i="20"/>
  <c r="E10" i="29"/>
  <c r="E13" i="30"/>
  <c r="D18" i="39"/>
  <c r="G18" i="39" s="1"/>
  <c r="F16" i="42"/>
  <c r="D16" i="42"/>
  <c r="G16" i="42" s="1"/>
  <c r="E8" i="50"/>
  <c r="F13" i="36"/>
  <c r="D13" i="36"/>
  <c r="G13" i="36" s="1"/>
  <c r="C24" i="3"/>
  <c r="C23" i="3"/>
  <c r="G7" i="3"/>
  <c r="F17" i="6"/>
  <c r="D17" i="6"/>
  <c r="G17" i="6" s="1"/>
  <c r="D11" i="8"/>
  <c r="G11" i="8" s="1"/>
  <c r="D13" i="10"/>
  <c r="G13" i="10" s="1"/>
  <c r="E15" i="11"/>
  <c r="F10" i="14"/>
  <c r="D16" i="17"/>
  <c r="G16" i="17" s="1"/>
  <c r="E13" i="21"/>
  <c r="E7" i="27"/>
  <c r="E19" i="27" s="1"/>
  <c r="C19" i="27"/>
  <c r="E18" i="39"/>
  <c r="F13" i="40"/>
  <c r="D13" i="40"/>
  <c r="G13" i="40" s="1"/>
  <c r="D7" i="51"/>
  <c r="D14" i="16"/>
  <c r="G14" i="16" s="1"/>
  <c r="F14" i="16"/>
  <c r="E9" i="37"/>
  <c r="F12" i="44"/>
  <c r="D12" i="44"/>
  <c r="G12" i="44" s="1"/>
  <c r="F7" i="42"/>
  <c r="D7" i="42"/>
  <c r="E15" i="37"/>
  <c r="E18" i="37"/>
  <c r="D15" i="33"/>
  <c r="G15" i="33" s="1"/>
  <c r="F15" i="33"/>
  <c r="D13" i="31"/>
  <c r="G13" i="31" s="1"/>
  <c r="F16" i="5"/>
  <c r="E14" i="16"/>
  <c r="F11" i="23"/>
  <c r="D12" i="25"/>
  <c r="G12" i="25" s="1"/>
  <c r="F12" i="25"/>
  <c r="B19" i="31"/>
  <c r="F7" i="31"/>
  <c r="D7" i="31"/>
  <c r="C22" i="36"/>
  <c r="D11" i="39"/>
  <c r="G11" i="39" s="1"/>
  <c r="F10" i="42"/>
  <c r="F15" i="49"/>
  <c r="F16" i="15"/>
  <c r="D17" i="17"/>
  <c r="G17" i="17" s="1"/>
  <c r="D11" i="17"/>
  <c r="G11" i="17" s="1"/>
  <c r="D8" i="17"/>
  <c r="G8" i="17" s="1"/>
  <c r="E14" i="37"/>
  <c r="F14" i="37"/>
  <c r="E17" i="9"/>
  <c r="E13" i="17"/>
  <c r="E15" i="17"/>
  <c r="E11" i="17"/>
  <c r="E17" i="17"/>
  <c r="F10" i="26"/>
  <c r="D10" i="26"/>
  <c r="G10" i="26" s="1"/>
  <c r="F16" i="29"/>
  <c r="E7" i="42"/>
  <c r="E19" i="42" s="1"/>
  <c r="C19" i="42"/>
  <c r="F7" i="46"/>
  <c r="C22" i="46"/>
  <c r="E15" i="46"/>
  <c r="D17" i="47"/>
  <c r="G17" i="47" s="1"/>
  <c r="F17" i="47"/>
  <c r="D8" i="5"/>
  <c r="F14" i="5"/>
  <c r="D14" i="13"/>
  <c r="G14" i="13" s="1"/>
  <c r="E15" i="14"/>
  <c r="F9" i="15"/>
  <c r="D9" i="15"/>
  <c r="G9" i="15" s="1"/>
  <c r="D16" i="15"/>
  <c r="G16" i="15" s="1"/>
  <c r="E10" i="20"/>
  <c r="D18" i="22"/>
  <c r="G18" i="22" s="1"/>
  <c r="D9" i="22"/>
  <c r="G9" i="22" s="1"/>
  <c r="D11" i="22"/>
  <c r="G11" i="22" s="1"/>
  <c r="D12" i="41"/>
  <c r="G12" i="41" s="1"/>
  <c r="F12" i="41"/>
  <c r="F18" i="48"/>
  <c r="D18" i="48"/>
  <c r="G18" i="48" s="1"/>
  <c r="C19" i="51"/>
  <c r="E7" i="51"/>
  <c r="E19" i="51" s="1"/>
  <c r="F15" i="51"/>
  <c r="D9" i="7"/>
  <c r="G9" i="7" s="1"/>
  <c r="D16" i="19"/>
  <c r="G16" i="19" s="1"/>
  <c r="F16" i="19"/>
  <c r="D17" i="20"/>
  <c r="G17" i="20" s="1"/>
  <c r="E7" i="22"/>
  <c r="E19" i="22" s="1"/>
  <c r="E12" i="22"/>
  <c r="E14" i="22"/>
  <c r="F16" i="24"/>
  <c r="F14" i="28"/>
  <c r="D14" i="28"/>
  <c r="G14" i="28" s="1"/>
  <c r="D16" i="29"/>
  <c r="G16" i="29" s="1"/>
  <c r="B19" i="37"/>
  <c r="F7" i="37"/>
  <c r="D7" i="37"/>
  <c r="C22" i="37"/>
  <c r="D9" i="39"/>
  <c r="G9" i="39" s="1"/>
  <c r="D7" i="46"/>
  <c r="F13" i="11"/>
  <c r="D13" i="11"/>
  <c r="G13" i="11" s="1"/>
  <c r="F8" i="13"/>
  <c r="C22" i="13"/>
  <c r="D8" i="13"/>
  <c r="G8" i="13" s="1"/>
  <c r="F17" i="34"/>
  <c r="E13" i="36"/>
  <c r="C19" i="37"/>
  <c r="E7" i="37"/>
  <c r="E19" i="37" s="1"/>
  <c r="D15" i="51"/>
  <c r="G15" i="51" s="1"/>
  <c r="E11" i="9"/>
  <c r="E12" i="16"/>
  <c r="E7" i="17"/>
  <c r="E19" i="17" s="1"/>
  <c r="D15" i="22"/>
  <c r="G15" i="22" s="1"/>
  <c r="D16" i="24"/>
  <c r="G16" i="24" s="1"/>
  <c r="D11" i="26"/>
  <c r="G11" i="26" s="1"/>
  <c r="F11" i="26"/>
  <c r="F13" i="32"/>
  <c r="E13" i="32"/>
  <c r="F9" i="43"/>
  <c r="D9" i="43"/>
  <c r="G9" i="43" s="1"/>
  <c r="D10" i="7"/>
  <c r="G10" i="7" s="1"/>
  <c r="F10" i="7"/>
  <c r="F18" i="9"/>
  <c r="E18" i="9"/>
  <c r="F12" i="21"/>
  <c r="D12" i="21"/>
  <c r="G12" i="21" s="1"/>
  <c r="D10" i="25"/>
  <c r="G10" i="25" s="1"/>
  <c r="F10" i="25"/>
  <c r="D17" i="34"/>
  <c r="G17" i="34" s="1"/>
  <c r="F17" i="38"/>
  <c r="D15" i="42"/>
  <c r="G15" i="42" s="1"/>
  <c r="C19" i="9"/>
  <c r="E16" i="14"/>
  <c r="E12" i="21"/>
  <c r="F18" i="25"/>
  <c r="D18" i="25"/>
  <c r="G18" i="25" s="1"/>
  <c r="F8" i="28"/>
  <c r="C22" i="28"/>
  <c r="D8" i="51"/>
  <c r="G8" i="51" s="1"/>
  <c r="C23" i="2"/>
  <c r="F9" i="6"/>
  <c r="E13" i="16"/>
  <c r="F15" i="17"/>
  <c r="D15" i="17"/>
  <c r="G15" i="17" s="1"/>
  <c r="D15" i="18"/>
  <c r="G15" i="18" s="1"/>
  <c r="D14" i="32"/>
  <c r="G14" i="32" s="1"/>
  <c r="F14" i="32"/>
  <c r="D17" i="38"/>
  <c r="G17" i="38" s="1"/>
  <c r="C19" i="47"/>
  <c r="C24" i="2"/>
  <c r="D12" i="9"/>
  <c r="G12" i="9" s="1"/>
  <c r="F12" i="9"/>
  <c r="D15" i="11"/>
  <c r="G15" i="11" s="1"/>
  <c r="D7" i="11"/>
  <c r="D17" i="11"/>
  <c r="G17" i="11" s="1"/>
  <c r="F14" i="12"/>
  <c r="D14" i="12"/>
  <c r="G14" i="12" s="1"/>
  <c r="E9" i="18"/>
  <c r="E17" i="19"/>
  <c r="B19" i="20"/>
  <c r="D8" i="22"/>
  <c r="G8" i="22" s="1"/>
  <c r="F10" i="24"/>
  <c r="D8" i="28"/>
  <c r="G8" i="28" s="1"/>
  <c r="F10" i="29"/>
  <c r="D11" i="34"/>
  <c r="G11" i="34" s="1"/>
  <c r="E7" i="36"/>
  <c r="E19" i="36" s="1"/>
  <c r="F10" i="43"/>
  <c r="D10" i="43"/>
  <c r="G10" i="43" s="1"/>
  <c r="E12" i="9"/>
  <c r="E18" i="11"/>
  <c r="E13" i="11"/>
  <c r="D8" i="12"/>
  <c r="G8" i="12" s="1"/>
  <c r="D9" i="13"/>
  <c r="G9" i="13" s="1"/>
  <c r="F13" i="21"/>
  <c r="E16" i="22"/>
  <c r="F11" i="25"/>
  <c r="E11" i="25"/>
  <c r="F14" i="27"/>
  <c r="E13" i="9"/>
  <c r="D15" i="12"/>
  <c r="G15" i="12" s="1"/>
  <c r="F11" i="14"/>
  <c r="D9" i="17"/>
  <c r="G9" i="17" s="1"/>
  <c r="E10" i="18"/>
  <c r="F13" i="20"/>
  <c r="E9" i="22"/>
  <c r="C22" i="25"/>
  <c r="F11" i="29"/>
  <c r="D11" i="29"/>
  <c r="G11" i="29" s="1"/>
  <c r="F17" i="33"/>
  <c r="E11" i="39"/>
  <c r="D15" i="41"/>
  <c r="G15" i="41" s="1"/>
  <c r="F18" i="43"/>
  <c r="D15" i="45"/>
  <c r="G15" i="45" s="1"/>
  <c r="D7" i="45"/>
  <c r="E10" i="46"/>
  <c r="E18" i="46"/>
  <c r="D14" i="48"/>
  <c r="G14" i="48" s="1"/>
  <c r="F14" i="48"/>
  <c r="D12" i="35"/>
  <c r="G12" i="35" s="1"/>
  <c r="F12" i="47"/>
  <c r="D12" i="47"/>
  <c r="G12" i="47" s="1"/>
  <c r="D12" i="48"/>
  <c r="G12" i="48" s="1"/>
  <c r="F12" i="48"/>
  <c r="F9" i="5"/>
  <c r="E17" i="11"/>
  <c r="F15" i="16"/>
  <c r="D15" i="16"/>
  <c r="G15" i="16" s="1"/>
  <c r="C22" i="18"/>
  <c r="B19" i="18"/>
  <c r="F7" i="18"/>
  <c r="D18" i="19"/>
  <c r="G18" i="19" s="1"/>
  <c r="F18" i="19"/>
  <c r="B19" i="32"/>
  <c r="F7" i="32"/>
  <c r="F17" i="42"/>
  <c r="D17" i="42"/>
  <c r="G17" i="42" s="1"/>
  <c r="D18" i="45"/>
  <c r="G18" i="45" s="1"/>
  <c r="F13" i="50"/>
  <c r="E14" i="15"/>
  <c r="D8" i="16"/>
  <c r="G8" i="16" s="1"/>
  <c r="F8" i="16"/>
  <c r="E15" i="16"/>
  <c r="F14" i="17"/>
  <c r="C19" i="18"/>
  <c r="E7" i="18"/>
  <c r="E19" i="18" s="1"/>
  <c r="E18" i="19"/>
  <c r="F18" i="20"/>
  <c r="D18" i="20"/>
  <c r="G18" i="20" s="1"/>
  <c r="E11" i="22"/>
  <c r="D17" i="24"/>
  <c r="G17" i="24" s="1"/>
  <c r="D15" i="29"/>
  <c r="G15" i="29" s="1"/>
  <c r="F12" i="34"/>
  <c r="D12" i="34"/>
  <c r="G12" i="34" s="1"/>
  <c r="E12" i="36"/>
  <c r="F17" i="39"/>
  <c r="D10" i="41"/>
  <c r="G10" i="41" s="1"/>
  <c r="D17" i="43"/>
  <c r="G17" i="43" s="1"/>
  <c r="E18" i="45"/>
  <c r="D9" i="5"/>
  <c r="G9" i="5" s="1"/>
  <c r="F14" i="7"/>
  <c r="D14" i="7"/>
  <c r="G14" i="7" s="1"/>
  <c r="F11" i="11"/>
  <c r="F17" i="11"/>
  <c r="F16" i="12"/>
  <c r="E14" i="17"/>
  <c r="D7" i="18"/>
  <c r="F11" i="24"/>
  <c r="D7" i="32"/>
  <c r="F12" i="36"/>
  <c r="E17" i="39"/>
  <c r="F11" i="40"/>
  <c r="F17" i="40"/>
  <c r="D11" i="45"/>
  <c r="G11" i="45" s="1"/>
  <c r="D13" i="50"/>
  <c r="G13" i="50" s="1"/>
  <c r="C22" i="8"/>
  <c r="D16" i="9"/>
  <c r="G16" i="9" s="1"/>
  <c r="D8" i="9"/>
  <c r="G8" i="9" s="1"/>
  <c r="E11" i="11"/>
  <c r="F10" i="12"/>
  <c r="D14" i="17"/>
  <c r="G14" i="17" s="1"/>
  <c r="D11" i="19"/>
  <c r="G11" i="19" s="1"/>
  <c r="D8" i="19"/>
  <c r="G8" i="19" s="1"/>
  <c r="D13" i="19"/>
  <c r="G13" i="19" s="1"/>
  <c r="F11" i="22"/>
  <c r="F9" i="27"/>
  <c r="D12" i="37"/>
  <c r="G12" i="37" s="1"/>
  <c r="F12" i="37"/>
  <c r="D17" i="39"/>
  <c r="G17" i="39" s="1"/>
  <c r="D17" i="51"/>
  <c r="G17" i="51" s="1"/>
  <c r="D16" i="51"/>
  <c r="G16" i="51" s="1"/>
  <c r="D13" i="51"/>
  <c r="G13" i="51" s="1"/>
  <c r="D10" i="51"/>
  <c r="G10" i="51" s="1"/>
  <c r="F11" i="7"/>
  <c r="E11" i="13"/>
  <c r="E16" i="13"/>
  <c r="D17" i="15"/>
  <c r="G17" i="15" s="1"/>
  <c r="F17" i="15"/>
  <c r="E15" i="19"/>
  <c r="E15" i="22"/>
  <c r="F8" i="23"/>
  <c r="F7" i="25"/>
  <c r="D7" i="25"/>
  <c r="D13" i="26"/>
  <c r="G13" i="26" s="1"/>
  <c r="F16" i="32"/>
  <c r="F9" i="33"/>
  <c r="D9" i="33"/>
  <c r="G9" i="33" s="1"/>
  <c r="D9" i="35"/>
  <c r="G9" i="35" s="1"/>
  <c r="F9" i="35"/>
  <c r="F8" i="38"/>
  <c r="C19" i="43"/>
  <c r="E7" i="43"/>
  <c r="E19" i="43" s="1"/>
  <c r="F9" i="48"/>
  <c r="D16" i="49"/>
  <c r="G16" i="49" s="1"/>
  <c r="F8" i="20"/>
  <c r="D8" i="20"/>
  <c r="G8" i="20" s="1"/>
  <c r="F18" i="28"/>
  <c r="E10" i="5"/>
  <c r="E15" i="5"/>
  <c r="E12" i="5"/>
  <c r="E18" i="5"/>
  <c r="F18" i="6"/>
  <c r="E7" i="11"/>
  <c r="E19" i="11" s="1"/>
  <c r="D11" i="15"/>
  <c r="G11" i="15" s="1"/>
  <c r="F18" i="16"/>
  <c r="D9" i="19"/>
  <c r="G9" i="19" s="1"/>
  <c r="F9" i="19"/>
  <c r="D15" i="19"/>
  <c r="G15" i="19" s="1"/>
  <c r="D15" i="21"/>
  <c r="G15" i="21" s="1"/>
  <c r="E7" i="25"/>
  <c r="E19" i="25" s="1"/>
  <c r="F9" i="37"/>
  <c r="D14" i="41"/>
  <c r="G14" i="41" s="1"/>
  <c r="D14" i="42"/>
  <c r="G14" i="42" s="1"/>
  <c r="F7" i="43"/>
  <c r="F9" i="49"/>
  <c r="F16" i="50"/>
  <c r="D9" i="51"/>
  <c r="G9" i="51" s="1"/>
  <c r="F9" i="51"/>
  <c r="D10" i="9"/>
  <c r="G10" i="9" s="1"/>
  <c r="E7" i="13"/>
  <c r="E19" i="13" s="1"/>
  <c r="F13" i="13"/>
  <c r="D13" i="13"/>
  <c r="G13" i="13" s="1"/>
  <c r="F9" i="20"/>
  <c r="D9" i="20"/>
  <c r="G9" i="20" s="1"/>
  <c r="F15" i="25"/>
  <c r="D12" i="30"/>
  <c r="G12" i="30" s="1"/>
  <c r="F12" i="30"/>
  <c r="F17" i="32"/>
  <c r="D17" i="32"/>
  <c r="G17" i="32" s="1"/>
  <c r="D10" i="33"/>
  <c r="G10" i="33" s="1"/>
  <c r="E9" i="34"/>
  <c r="D16" i="35"/>
  <c r="G16" i="35" s="1"/>
  <c r="F16" i="35"/>
  <c r="E16" i="36"/>
  <c r="D9" i="37"/>
  <c r="G9" i="37" s="1"/>
  <c r="E7" i="40"/>
  <c r="E19" i="40" s="1"/>
  <c r="F7" i="40"/>
  <c r="F8" i="44"/>
  <c r="E10" i="47"/>
  <c r="D17" i="49"/>
  <c r="G17" i="49" s="1"/>
  <c r="E14" i="19"/>
  <c r="C19" i="21"/>
  <c r="E7" i="21"/>
  <c r="E19" i="21" s="1"/>
  <c r="F13" i="25"/>
  <c r="D13" i="25"/>
  <c r="G13" i="25" s="1"/>
  <c r="E11" i="29"/>
  <c r="F10" i="31"/>
  <c r="D16" i="43"/>
  <c r="G16" i="43" s="1"/>
  <c r="D7" i="43"/>
  <c r="D14" i="45"/>
  <c r="G14" i="45" s="1"/>
  <c r="F14" i="45"/>
  <c r="D16" i="7"/>
  <c r="G16" i="7" s="1"/>
  <c r="F16" i="7"/>
  <c r="F15" i="9"/>
  <c r="D15" i="9"/>
  <c r="G15" i="9" s="1"/>
  <c r="D18" i="14"/>
  <c r="G18" i="14" s="1"/>
  <c r="F18" i="14"/>
  <c r="F11" i="16"/>
  <c r="D11" i="16"/>
  <c r="G11" i="16" s="1"/>
  <c r="D10" i="18"/>
  <c r="G10" i="18" s="1"/>
  <c r="F10" i="18"/>
  <c r="F8" i="36"/>
  <c r="D8" i="36"/>
  <c r="E8" i="37"/>
  <c r="C22" i="39"/>
  <c r="F7" i="39"/>
  <c r="D7" i="39"/>
  <c r="D13" i="43"/>
  <c r="G13" i="43" s="1"/>
  <c r="E15" i="9"/>
  <c r="E11" i="16"/>
  <c r="F8" i="22"/>
  <c r="E18" i="29"/>
  <c r="F11" i="30"/>
  <c r="D10" i="31"/>
  <c r="G10" i="31" s="1"/>
  <c r="F15" i="34"/>
  <c r="D15" i="34"/>
  <c r="G15" i="34" s="1"/>
  <c r="E8" i="36"/>
  <c r="F14" i="38"/>
  <c r="F9" i="47"/>
  <c r="D9" i="47"/>
  <c r="G9" i="47" s="1"/>
  <c r="D14" i="10"/>
  <c r="G14" i="10" s="1"/>
  <c r="F14" i="11"/>
  <c r="D11" i="13"/>
  <c r="G11" i="13" s="1"/>
  <c r="D16" i="13"/>
  <c r="G16" i="13" s="1"/>
  <c r="E8" i="22"/>
  <c r="F15" i="22"/>
  <c r="D9" i="40"/>
  <c r="G9" i="40" s="1"/>
  <c r="D14" i="40"/>
  <c r="G14" i="40" s="1"/>
  <c r="E9" i="46"/>
  <c r="F18" i="5"/>
  <c r="D11" i="7"/>
  <c r="G11" i="7" s="1"/>
  <c r="D10" i="8"/>
  <c r="G10" i="8" s="1"/>
  <c r="F9" i="10"/>
  <c r="C22" i="10"/>
  <c r="C22" i="24"/>
  <c r="F8" i="24"/>
  <c r="D16" i="27"/>
  <c r="G16" i="27" s="1"/>
  <c r="D7" i="27"/>
  <c r="F15" i="38"/>
  <c r="D15" i="38"/>
  <c r="G15" i="38" s="1"/>
  <c r="D18" i="6"/>
  <c r="G18" i="6" s="1"/>
  <c r="C19" i="5"/>
  <c r="E7" i="5"/>
  <c r="E19" i="5" s="1"/>
  <c r="F7" i="5"/>
  <c r="E10" i="9"/>
  <c r="D9" i="10"/>
  <c r="G9" i="10" s="1"/>
  <c r="D7" i="13"/>
  <c r="F16" i="21"/>
  <c r="D16" i="22"/>
  <c r="G16" i="22" s="1"/>
  <c r="D8" i="24"/>
  <c r="G8" i="24" s="1"/>
  <c r="E8" i="25"/>
  <c r="E15" i="25"/>
  <c r="D18" i="31"/>
  <c r="G18" i="31" s="1"/>
  <c r="F10" i="35"/>
  <c r="E10" i="36"/>
  <c r="D7" i="40"/>
  <c r="F15" i="44"/>
  <c r="E15" i="44"/>
  <c r="D10" i="49"/>
  <c r="G10" i="49" s="1"/>
  <c r="D10" i="50"/>
  <c r="G10" i="50" s="1"/>
  <c r="F10" i="50"/>
  <c r="E8" i="16"/>
  <c r="F17" i="21"/>
  <c r="D17" i="21"/>
  <c r="G17" i="21" s="1"/>
  <c r="F14" i="31"/>
  <c r="F18" i="36"/>
  <c r="D18" i="36"/>
  <c r="G18" i="36" s="1"/>
  <c r="F9" i="42"/>
  <c r="D12" i="46"/>
  <c r="G12" i="46" s="1"/>
  <c r="E16" i="51"/>
  <c r="E13" i="51"/>
  <c r="E10" i="51"/>
  <c r="E12" i="8"/>
  <c r="D18" i="11"/>
  <c r="G18" i="11" s="1"/>
  <c r="E18" i="17"/>
  <c r="E17" i="21"/>
  <c r="D12" i="28"/>
  <c r="G12" i="28" s="1"/>
  <c r="E18" i="36"/>
  <c r="F18" i="45"/>
  <c r="E12" i="46"/>
  <c r="C22" i="6"/>
  <c r="F17" i="16"/>
  <c r="E16" i="19"/>
  <c r="E9" i="20"/>
  <c r="F18" i="22"/>
  <c r="D16" i="23"/>
  <c r="G16" i="23" s="1"/>
  <c r="F16" i="23"/>
  <c r="E13" i="25"/>
  <c r="E7" i="29"/>
  <c r="E19" i="29" s="1"/>
  <c r="F13" i="29"/>
  <c r="E18" i="34"/>
  <c r="D10" i="39"/>
  <c r="G10" i="39" s="1"/>
  <c r="F14" i="40"/>
  <c r="F9" i="44"/>
  <c r="D9" i="44"/>
  <c r="G9" i="44" s="1"/>
  <c r="F8" i="45"/>
  <c r="D8" i="45"/>
  <c r="G8" i="45" s="1"/>
  <c r="E17" i="51"/>
  <c r="D9" i="11"/>
  <c r="G9" i="11" s="1"/>
  <c r="E17" i="16"/>
  <c r="F13" i="18"/>
  <c r="D13" i="18"/>
  <c r="G13" i="18" s="1"/>
  <c r="E18" i="22"/>
  <c r="F10" i="27"/>
  <c r="F9" i="36"/>
  <c r="F15" i="36"/>
  <c r="D15" i="36"/>
  <c r="G15" i="36" s="1"/>
  <c r="E14" i="40"/>
  <c r="C22" i="41"/>
  <c r="E8" i="45"/>
  <c r="D8" i="46"/>
  <c r="G8" i="46" s="1"/>
  <c r="D18" i="49"/>
  <c r="G18" i="49" s="1"/>
  <c r="D12" i="49"/>
  <c r="G12" i="49" s="1"/>
  <c r="D15" i="46"/>
  <c r="G15" i="46" s="1"/>
  <c r="F15" i="46"/>
  <c r="E9" i="11"/>
  <c r="D10" i="17"/>
  <c r="G10" i="17" s="1"/>
  <c r="E8" i="21"/>
  <c r="D15" i="24"/>
  <c r="G15" i="24" s="1"/>
  <c r="E9" i="36"/>
  <c r="F11" i="10"/>
  <c r="F9" i="11"/>
  <c r="D15" i="20"/>
  <c r="G15" i="20" s="1"/>
  <c r="F8" i="21"/>
  <c r="E14" i="21"/>
  <c r="D7" i="22"/>
  <c r="F8" i="25"/>
  <c r="E14" i="25"/>
  <c r="D10" i="27"/>
  <c r="G10" i="27" s="1"/>
  <c r="F14" i="33"/>
  <c r="D14" i="33"/>
  <c r="G14" i="33" s="1"/>
  <c r="E7" i="34"/>
  <c r="E19" i="34" s="1"/>
  <c r="F13" i="34"/>
  <c r="D13" i="34"/>
  <c r="G13" i="34" s="1"/>
  <c r="D9" i="36"/>
  <c r="G9" i="36" s="1"/>
  <c r="F12" i="38"/>
  <c r="D7" i="41"/>
  <c r="F13" i="41"/>
  <c r="D13" i="41"/>
  <c r="G13" i="41" s="1"/>
  <c r="F12" i="42"/>
  <c r="E15" i="20"/>
  <c r="D18" i="30"/>
  <c r="G18" i="30" s="1"/>
  <c r="F18" i="30"/>
  <c r="C22" i="34"/>
  <c r="D7" i="34"/>
  <c r="F14" i="6"/>
  <c r="F16" i="8"/>
  <c r="F17" i="13"/>
  <c r="D9" i="14"/>
  <c r="G9" i="14" s="1"/>
  <c r="D18" i="15"/>
  <c r="G18" i="15" s="1"/>
  <c r="F14" i="21"/>
  <c r="C22" i="22"/>
  <c r="D14" i="25"/>
  <c r="G14" i="25" s="1"/>
  <c r="C22" i="26"/>
  <c r="E9" i="28"/>
  <c r="F8" i="29"/>
  <c r="E14" i="29"/>
  <c r="D7" i="30"/>
  <c r="C22" i="30"/>
  <c r="F10" i="32"/>
  <c r="F8" i="33"/>
  <c r="F7" i="34"/>
  <c r="E13" i="34"/>
  <c r="C19" i="34"/>
  <c r="D17" i="35"/>
  <c r="G17" i="35" s="1"/>
  <c r="D16" i="39"/>
  <c r="G16" i="39" s="1"/>
  <c r="F16" i="39"/>
  <c r="D15" i="40"/>
  <c r="G15" i="40" s="1"/>
  <c r="E7" i="41"/>
  <c r="E19" i="41" s="1"/>
  <c r="E13" i="41"/>
  <c r="F17" i="7"/>
  <c r="D9" i="8"/>
  <c r="G9" i="8" s="1"/>
  <c r="F9" i="8"/>
  <c r="F12" i="15"/>
  <c r="E17" i="15"/>
  <c r="E17" i="32"/>
  <c r="F7" i="45"/>
  <c r="B19" i="45"/>
  <c r="E9" i="8"/>
  <c r="D18" i="9"/>
  <c r="G18" i="9" s="1"/>
  <c r="F9" i="12"/>
  <c r="F7" i="13"/>
  <c r="E10" i="16"/>
  <c r="F8" i="17"/>
  <c r="D17" i="28"/>
  <c r="G17" i="28" s="1"/>
  <c r="F12" i="32"/>
  <c r="E15" i="35"/>
  <c r="F18" i="38"/>
  <c r="C22" i="40"/>
  <c r="F16" i="41"/>
  <c r="D16" i="41"/>
  <c r="G16" i="41" s="1"/>
  <c r="F11" i="43"/>
  <c r="E7" i="45"/>
  <c r="E19" i="45" s="1"/>
  <c r="C19" i="45"/>
  <c r="C22" i="45"/>
  <c r="D15" i="47"/>
  <c r="G15" i="47" s="1"/>
  <c r="F11" i="49"/>
  <c r="F14" i="26"/>
  <c r="D14" i="26"/>
  <c r="G14" i="26" s="1"/>
  <c r="E14" i="28"/>
  <c r="E12" i="35"/>
  <c r="E15" i="36"/>
  <c r="E7" i="39"/>
  <c r="E19" i="39" s="1"/>
  <c r="F10" i="40"/>
  <c r="E10" i="45"/>
  <c r="F14" i="22"/>
  <c r="E9" i="30"/>
  <c r="D8" i="43"/>
  <c r="G8" i="43" s="1"/>
  <c r="F8" i="43"/>
  <c r="C22" i="43"/>
  <c r="F16" i="45"/>
  <c r="F8" i="49"/>
  <c r="F14" i="49"/>
  <c r="F8" i="18"/>
  <c r="D8" i="18"/>
  <c r="G8" i="18" s="1"/>
  <c r="D14" i="24"/>
  <c r="G14" i="24" s="1"/>
  <c r="D9" i="28"/>
  <c r="G9" i="28" s="1"/>
  <c r="D9" i="30"/>
  <c r="G9" i="30" s="1"/>
  <c r="D10" i="34"/>
  <c r="G10" i="34" s="1"/>
  <c r="F10" i="34"/>
  <c r="F7" i="35"/>
  <c r="D7" i="35"/>
  <c r="D10" i="40"/>
  <c r="G10" i="40" s="1"/>
  <c r="F15" i="13"/>
  <c r="F7" i="14"/>
  <c r="D7" i="14"/>
  <c r="E8" i="18"/>
  <c r="E11" i="21"/>
  <c r="D14" i="22"/>
  <c r="G14" i="22" s="1"/>
  <c r="F12" i="31"/>
  <c r="F17" i="31"/>
  <c r="E7" i="35"/>
  <c r="E19" i="35" s="1"/>
  <c r="D18" i="35"/>
  <c r="G18" i="35" s="1"/>
  <c r="F14" i="43"/>
  <c r="D14" i="43"/>
  <c r="G14" i="43" s="1"/>
  <c r="D7" i="44"/>
  <c r="D16" i="45"/>
  <c r="G16" i="45" s="1"/>
  <c r="C22" i="47"/>
  <c r="B19" i="47"/>
  <c r="F7" i="47"/>
  <c r="D7" i="47"/>
  <c r="D8" i="49"/>
  <c r="D14" i="49"/>
  <c r="G14" i="49" s="1"/>
  <c r="C22" i="50"/>
  <c r="D7" i="50"/>
  <c r="E10" i="7"/>
  <c r="D12" i="8"/>
  <c r="G12" i="8" s="1"/>
  <c r="D7" i="12"/>
  <c r="E13" i="13"/>
  <c r="F12" i="26"/>
  <c r="E12" i="30"/>
  <c r="C22" i="33"/>
  <c r="E10" i="39"/>
  <c r="D12" i="40"/>
  <c r="G12" i="40" s="1"/>
  <c r="D18" i="46"/>
  <c r="G18" i="46" s="1"/>
  <c r="F18" i="46"/>
  <c r="D10" i="47"/>
  <c r="G10" i="47" s="1"/>
  <c r="D8" i="11"/>
  <c r="G8" i="11" s="1"/>
  <c r="F8" i="11"/>
  <c r="D12" i="14"/>
  <c r="G12" i="14" s="1"/>
  <c r="E13" i="18"/>
  <c r="D10" i="23"/>
  <c r="G10" i="23" s="1"/>
  <c r="E14" i="43"/>
  <c r="D16" i="44"/>
  <c r="G16" i="44" s="1"/>
  <c r="F12" i="10"/>
  <c r="C22" i="12"/>
  <c r="E12" i="14"/>
  <c r="C22" i="17"/>
  <c r="E10" i="23"/>
  <c r="D12" i="24"/>
  <c r="G12" i="24" s="1"/>
  <c r="D7" i="28"/>
  <c r="E13" i="29"/>
  <c r="E16" i="44"/>
  <c r="E13" i="45"/>
  <c r="E11" i="51"/>
  <c r="D18" i="51"/>
  <c r="G18" i="51" s="1"/>
  <c r="E11" i="6"/>
  <c r="F12" i="14"/>
  <c r="F10" i="23"/>
  <c r="D13" i="29"/>
  <c r="G13" i="29" s="1"/>
  <c r="F16" i="44"/>
  <c r="D13" i="45"/>
  <c r="G13" i="45" s="1"/>
  <c r="F10" i="48"/>
  <c r="C22" i="49"/>
  <c r="D11" i="51"/>
  <c r="G11" i="51" s="1"/>
  <c r="E18" i="51"/>
  <c r="F16" i="13"/>
  <c r="D14" i="15"/>
  <c r="G14" i="15" s="1"/>
  <c r="D7" i="17"/>
  <c r="F10" i="19"/>
  <c r="E7" i="24"/>
  <c r="E19" i="24" s="1"/>
  <c r="F11" i="27"/>
  <c r="D8" i="32"/>
  <c r="G8" i="32" s="1"/>
  <c r="F18" i="47"/>
  <c r="D19" i="26" l="1"/>
  <c r="C26" i="2"/>
  <c r="C25" i="2"/>
  <c r="C26" i="3"/>
  <c r="C25" i="3"/>
  <c r="D19" i="8"/>
  <c r="C24" i="15"/>
  <c r="D19" i="6"/>
  <c r="G7" i="33"/>
  <c r="G7" i="15"/>
  <c r="D19" i="15"/>
  <c r="G7" i="36"/>
  <c r="G7" i="10"/>
  <c r="D19" i="10"/>
  <c r="C24" i="48"/>
  <c r="D19" i="5"/>
  <c r="G7" i="5"/>
  <c r="D19" i="49"/>
  <c r="G7" i="38"/>
  <c r="D19" i="48"/>
  <c r="C24" i="26"/>
  <c r="C24" i="5"/>
  <c r="G7" i="46"/>
  <c r="D19" i="46"/>
  <c r="C24" i="46"/>
  <c r="C23" i="46"/>
  <c r="C23" i="10"/>
  <c r="C24" i="18"/>
  <c r="G7" i="18"/>
  <c r="D19" i="18"/>
  <c r="C23" i="18"/>
  <c r="C24" i="24"/>
  <c r="G7" i="24"/>
  <c r="C23" i="24"/>
  <c r="D19" i="24"/>
  <c r="C24" i="10"/>
  <c r="C23" i="33"/>
  <c r="G7" i="42"/>
  <c r="D19" i="42"/>
  <c r="C24" i="42"/>
  <c r="C23" i="42"/>
  <c r="C24" i="19"/>
  <c r="C23" i="19"/>
  <c r="D19" i="19"/>
  <c r="G7" i="19"/>
  <c r="C24" i="27"/>
  <c r="D19" i="27"/>
  <c r="C23" i="27"/>
  <c r="G7" i="27"/>
  <c r="C24" i="33"/>
  <c r="C23" i="38"/>
  <c r="G7" i="14"/>
  <c r="C24" i="14"/>
  <c r="D19" i="14"/>
  <c r="C23" i="14"/>
  <c r="C23" i="39"/>
  <c r="G7" i="39"/>
  <c r="C24" i="39"/>
  <c r="D19" i="39"/>
  <c r="C24" i="38"/>
  <c r="D19" i="17"/>
  <c r="C23" i="17"/>
  <c r="G7" i="17"/>
  <c r="C24" i="17"/>
  <c r="C24" i="11"/>
  <c r="G7" i="11"/>
  <c r="C23" i="11"/>
  <c r="D19" i="11"/>
  <c r="C24" i="35"/>
  <c r="C23" i="35"/>
  <c r="D19" i="35"/>
  <c r="G7" i="35"/>
  <c r="D19" i="22"/>
  <c r="G7" i="22"/>
  <c r="C23" i="22"/>
  <c r="C24" i="22"/>
  <c r="D19" i="16"/>
  <c r="G7" i="16"/>
  <c r="C24" i="16"/>
  <c r="C23" i="16"/>
  <c r="G7" i="21"/>
  <c r="C24" i="21"/>
  <c r="C23" i="21"/>
  <c r="D19" i="21"/>
  <c r="C24" i="8"/>
  <c r="D19" i="20"/>
  <c r="G7" i="20"/>
  <c r="C24" i="20"/>
  <c r="C23" i="20"/>
  <c r="C23" i="23"/>
  <c r="C24" i="23"/>
  <c r="D19" i="23"/>
  <c r="G7" i="23"/>
  <c r="C24" i="40"/>
  <c r="G7" i="40"/>
  <c r="C23" i="40"/>
  <c r="D19" i="40"/>
  <c r="G7" i="31"/>
  <c r="C24" i="31"/>
  <c r="D19" i="31"/>
  <c r="C23" i="31"/>
  <c r="C23" i="6"/>
  <c r="G7" i="44"/>
  <c r="D19" i="44"/>
  <c r="C24" i="44"/>
  <c r="C23" i="44"/>
  <c r="C23" i="13"/>
  <c r="D19" i="13"/>
  <c r="C24" i="13"/>
  <c r="G7" i="13"/>
  <c r="G8" i="36"/>
  <c r="C24" i="36"/>
  <c r="C23" i="36"/>
  <c r="G8" i="49"/>
  <c r="C23" i="49"/>
  <c r="C23" i="45"/>
  <c r="D19" i="45"/>
  <c r="G7" i="45"/>
  <c r="C24" i="45"/>
  <c r="C24" i="6"/>
  <c r="G8" i="5"/>
  <c r="C23" i="5"/>
  <c r="C23" i="26"/>
  <c r="G7" i="41"/>
  <c r="D19" i="41"/>
  <c r="C23" i="41"/>
  <c r="C24" i="41"/>
  <c r="C23" i="48"/>
  <c r="G8" i="48"/>
  <c r="C24" i="49"/>
  <c r="C24" i="50"/>
  <c r="C23" i="50"/>
  <c r="D19" i="50"/>
  <c r="G7" i="50"/>
  <c r="C23" i="7"/>
  <c r="G7" i="7"/>
  <c r="C24" i="7"/>
  <c r="D19" i="7"/>
  <c r="C24" i="43"/>
  <c r="C23" i="43"/>
  <c r="G7" i="43"/>
  <c r="D19" i="43"/>
  <c r="C23" i="8"/>
  <c r="G7" i="29"/>
  <c r="C24" i="29"/>
  <c r="C23" i="29"/>
  <c r="D19" i="29"/>
  <c r="C24" i="37"/>
  <c r="G7" i="37"/>
  <c r="C23" i="37"/>
  <c r="D19" i="37"/>
  <c r="G7" i="25"/>
  <c r="C24" i="25"/>
  <c r="C23" i="25"/>
  <c r="D19" i="25"/>
  <c r="D19" i="32"/>
  <c r="G7" i="32"/>
  <c r="C24" i="32"/>
  <c r="C23" i="32"/>
  <c r="C23" i="15"/>
  <c r="G7" i="30"/>
  <c r="C24" i="30"/>
  <c r="C23" i="30"/>
  <c r="D19" i="30"/>
  <c r="C24" i="51"/>
  <c r="C23" i="51"/>
  <c r="D19" i="51"/>
  <c r="G7" i="51"/>
  <c r="C24" i="12"/>
  <c r="C23" i="12"/>
  <c r="G7" i="12"/>
  <c r="D19" i="12"/>
  <c r="G7" i="9"/>
  <c r="C24" i="9"/>
  <c r="C23" i="9"/>
  <c r="D19" i="9"/>
  <c r="G7" i="47"/>
  <c r="C24" i="47"/>
  <c r="C23" i="47"/>
  <c r="D19" i="47"/>
  <c r="C24" i="28"/>
  <c r="C23" i="28"/>
  <c r="D19" i="28"/>
  <c r="G7" i="28"/>
  <c r="C24" i="34"/>
  <c r="C23" i="34"/>
  <c r="D19" i="34"/>
  <c r="G7" i="34"/>
  <c r="C26" i="48" l="1"/>
  <c r="C25" i="48"/>
  <c r="C26" i="32"/>
  <c r="C25" i="32"/>
  <c r="C26" i="18"/>
  <c r="C25" i="18"/>
  <c r="C26" i="41"/>
  <c r="C25" i="41"/>
  <c r="C26" i="34"/>
  <c r="C25" i="34"/>
  <c r="C26" i="5"/>
  <c r="C25" i="5"/>
  <c r="C26" i="46"/>
  <c r="C25" i="46"/>
  <c r="C26" i="20"/>
  <c r="C25" i="20"/>
  <c r="C26" i="39"/>
  <c r="C25" i="39"/>
  <c r="C26" i="14"/>
  <c r="C25" i="14"/>
  <c r="C26" i="28"/>
  <c r="C25" i="28"/>
  <c r="C26" i="45"/>
  <c r="C25" i="45"/>
  <c r="C26" i="49"/>
  <c r="C25" i="49"/>
  <c r="C26" i="36"/>
  <c r="C25" i="36"/>
  <c r="C26" i="27"/>
  <c r="C25" i="27"/>
  <c r="C26" i="9"/>
  <c r="C25" i="9"/>
  <c r="C26" i="15"/>
  <c r="C25" i="15"/>
  <c r="C26" i="40"/>
  <c r="C25" i="40"/>
  <c r="C26" i="17"/>
  <c r="C25" i="17"/>
  <c r="C26" i="26"/>
  <c r="C25" i="26"/>
  <c r="C26" i="10"/>
  <c r="C25" i="10"/>
  <c r="C26" i="25"/>
  <c r="C25" i="25"/>
  <c r="C26" i="23"/>
  <c r="C25" i="23"/>
  <c r="C26" i="37"/>
  <c r="C25" i="37"/>
  <c r="C26" i="47"/>
  <c r="C25" i="47"/>
  <c r="C26" i="21"/>
  <c r="C25" i="21"/>
  <c r="C26" i="38"/>
  <c r="C25" i="38"/>
  <c r="C26" i="29"/>
  <c r="C25" i="29"/>
  <c r="C26" i="16"/>
  <c r="C25" i="16"/>
  <c r="C26" i="8"/>
  <c r="C25" i="8"/>
  <c r="C26" i="43"/>
  <c r="C25" i="43"/>
  <c r="C26" i="13"/>
  <c r="C25" i="13"/>
  <c r="C25" i="22"/>
  <c r="C26" i="22"/>
  <c r="C26" i="19"/>
  <c r="C25" i="19"/>
  <c r="C26" i="12"/>
  <c r="C25" i="12"/>
  <c r="C26" i="44"/>
  <c r="C25" i="44"/>
  <c r="C26" i="42"/>
  <c r="C25" i="42"/>
  <c r="C26" i="7"/>
  <c r="C25" i="7"/>
  <c r="C26" i="51"/>
  <c r="C25" i="51"/>
  <c r="C25" i="6"/>
  <c r="C26" i="6"/>
  <c r="C26" i="35"/>
  <c r="C25" i="35"/>
  <c r="C26" i="31"/>
  <c r="C25" i="31"/>
  <c r="C26" i="33"/>
  <c r="C25" i="33"/>
  <c r="C26" i="50"/>
  <c r="C25" i="50"/>
  <c r="C26" i="30"/>
  <c r="C25" i="30"/>
  <c r="C26" i="11"/>
  <c r="C25" i="11"/>
  <c r="C26" i="24"/>
  <c r="C25" i="24"/>
</calcChain>
</file>

<file path=xl/sharedStrings.xml><?xml version="1.0" encoding="utf-8"?>
<sst xmlns="http://schemas.openxmlformats.org/spreadsheetml/2006/main" count="2168" uniqueCount="196">
  <si>
    <t>TR9 rolling flexibility operating region (FOR)</t>
  </si>
  <si>
    <t>WHAT THIS WORKBOOK IS</t>
  </si>
  <si>
    <t>Purpose</t>
  </si>
  <si>
    <t>Sign convention</t>
  </si>
  <si>
    <t>P &gt; 0 = IMPORT from the grid.   P &lt; 0 = EXPORT (surplus sent to the grid).   Q &gt; 0 = the inverters absorb reactive power.   Q &lt; 0 = they inject it.   Units: MW / MVAr (per-unit × 1 MVA base).</t>
  </si>
  <si>
    <t>AT A GLANCE  (LIVE COUNTS FROM 4_ALL_PERIODS)</t>
  </si>
  <si>
    <t>Rolling steps</t>
  </si>
  <si>
    <t>Boundary points solved</t>
  </si>
  <si>
    <t>Solves that are not optimal</t>
  </si>
  <si>
    <t>Points at the 1.10 pu voltage wall</t>
  </si>
  <si>
    <t>CONTENTS — HOW THE TABS ARE ORGANISED</t>
  </si>
  <si>
    <t>1_Summary</t>
  </si>
  <si>
    <t>This page: purpose, sign convention, column glossary and the recipe for building one FOR by hand.</t>
  </si>
  <si>
    <t>2_Sample_00h00</t>
  </si>
  <si>
    <t>Worked example for period 1 = 00:00. The P/Q numbers are typed in, so you can overwrite them and watch the charts move.</t>
  </si>
  <si>
    <t>3_Sample_12h00</t>
  </si>
  <si>
    <t>4_All_periods</t>
  </si>
  <si>
    <t>Master data. All 48 periods × 12 directions = 576 boundary points, with the baseline and the deviation of each.</t>
  </si>
  <si>
    <t>P02_00h30 … P48_23h30</t>
  </si>
  <si>
    <t>One tab per rolling step, each with its own absolute and deviation chart. These read from 4_All_periods, so they follow the master data.</t>
  </si>
  <si>
    <t>COLUMN GLOSSARY</t>
  </si>
  <si>
    <t>now</t>
  </si>
  <si>
    <t>Rolling step = which half-hour we are planning from. 1 = 00:00, 2 = 00:30, … 48 = 23:30.</t>
  </si>
  <si>
    <t>target</t>
  </si>
  <si>
    <t>angle_deg</t>
  </si>
  <si>
    <t>Direction the optimizer pushes in. 0° = as much IMPORT as possible, 90° = as much +Q, 180° = as much EXPORT, 270° = as much −Q. The 12 angles trace the boundary.</t>
  </si>
  <si>
    <t>P</t>
  </si>
  <si>
    <t>Active power at the PCC at that boundary point (MW). + import / − export.</t>
  </si>
  <si>
    <t>Q</t>
  </si>
  <si>
    <t>Reactive power at the PCC at that boundary point (MVAr).</t>
  </si>
  <si>
    <t>proj</t>
  </si>
  <si>
    <t>‘Support’ value = how far the region reaches in the push direction. proj = P·cos(angle) + Q·sin(angle). (Column F recomputes it so you can check.)</t>
  </si>
  <si>
    <t>status</t>
  </si>
  <si>
    <t>Solver result. ‘Optimal’ = a valid boundary point. All 576 are Optimal here.</t>
  </si>
  <si>
    <t>VmaxTrue</t>
  </si>
  <si>
    <t>The TRUE highest voltage anywhere in the network at that point (per-unit). When it equals 1.10000 the over-voltage limit is what stops the region — the binding wall.</t>
  </si>
  <si>
    <t>VminTrue</t>
  </si>
  <si>
    <t>The true lowest network voltage (pu). Watches the under-voltage limit (0.94).  (in the source CSV; not carried into this workbook)</t>
  </si>
  <si>
    <t>OVviol / UVviol</t>
  </si>
  <si>
    <t>Over-/under-voltage violation (pu). ≈0 means the point is genuinely AC-feasible.  (in the source CSV; not carried into this workbook)</t>
  </si>
  <si>
    <t>LinErr</t>
  </si>
  <si>
    <t>Internal linearization-error check (pu). Small = the linear model tracked the exact AC solve.  (in the source CSV; not carried into this workbook)</t>
  </si>
  <si>
    <t>B_P , B_Q</t>
  </si>
  <si>
    <t>dP , dQ</t>
  </si>
  <si>
    <t>STEP BY STEP: HOW TO BUILD ONE FOR BY HAND</t>
  </si>
  <si>
    <t>Step 1</t>
  </si>
  <si>
    <t>Pick a half-hour (a ‘now’ value, e.g. 25 = 12:00).</t>
  </si>
  <si>
    <t>Step 2</t>
  </si>
  <si>
    <t>Read its 12 boundary vertices (angle, P, Q) — columns A,B,C on the sample sheets. Each came from ONE optimization solve that maximised the push in that direction.</t>
  </si>
  <si>
    <t>Step 3</t>
  </si>
  <si>
    <t>Read the baseline B = (B_P, B_Q) for that half-hour (the batteries-off PCC point).</t>
  </si>
  <si>
    <t>Step 4</t>
  </si>
  <si>
    <t>Compute the deviation for every vertex:  dP = P − B_P ,  dQ = Q − B_Q. (Column D,E do this with a formula.)</t>
  </si>
  <si>
    <t>Step 5</t>
  </si>
  <si>
    <t>Plot P vs Q  → the ABSOLUTE FOR (where the region really sits).</t>
  </si>
  <si>
    <t>Step 6</t>
  </si>
  <si>
    <t>Plot dP vs dQ → the DEVIATION FOR (centred on the self-consumption plan). Right of the vertical axis = battery can still charge; left = still discharge.</t>
  </si>
  <si>
    <t>Step 7</t>
  </si>
  <si>
    <t>Read the flexibility off it:  import-reach = max(dP over the 12 points, but ≥0);  export-reach = −min(dP), ≥0.  If both &gt; 0 the region straddles zero (can do both).</t>
  </si>
  <si>
    <t>COLOUR KEY</t>
  </si>
  <si>
    <t>INPUT</t>
  </si>
  <si>
    <t>Numbers straight from the optimizer. Safe to overwrite on the two sample tabs if you want to test a what-if.</t>
  </si>
  <si>
    <t>LIVE FORMULA</t>
  </si>
  <si>
    <t>Calculated cell — click it to see the formula. Recomputes as soon as an input changes.</t>
  </si>
  <si>
    <t>BASELINE  B</t>
  </si>
  <si>
    <t>The batteries-off PCC point (load − PV) that every deviation is measured from.</t>
  </si>
  <si>
    <t>TR9 rolling FOR — period 1 = 00:00  (worked example)</t>
  </si>
  <si>
    <t>BASELINE  B  ≈ load − PV, batteries OFF — the all-idle PCC point (also carries losses). This is the UNCONTROLLABLE PV commitment; the battery deviates around it:</t>
  </si>
  <si>
    <t>B_P (MW) =</t>
  </si>
  <si>
    <t>B_Q (MVAr) =</t>
  </si>
  <si>
    <t>P_abs (MW)</t>
  </si>
  <si>
    <t>Q_abs (MVAr)</t>
  </si>
  <si>
    <t>dP = P − B_P</t>
  </si>
  <si>
    <t>dQ = Q − B_Q</t>
  </si>
  <si>
    <t>proj check</t>
  </si>
  <si>
    <t>battery side</t>
  </si>
  <si>
    <t>(close)</t>
  </si>
  <si>
    <t>Interpretation (all computed live):</t>
  </si>
  <si>
    <t>P width (MW)</t>
  </si>
  <si>
    <t>import-reach (charge)</t>
  </si>
  <si>
    <t>export-reach (dischg)</t>
  </si>
  <si>
    <t>verdict</t>
  </si>
  <si>
    <t>Tip: change any light-blue P/Q or the pink baseline and the amber cells + both charts update automatically.</t>
  </si>
  <si>
    <t>TR9 rolling FOR — period 25 = 12:00  (worked example)</t>
  </si>
  <si>
    <t>hour</t>
  </si>
  <si>
    <t>P (MW)</t>
  </si>
  <si>
    <t>Q (MVAr)</t>
  </si>
  <si>
    <t>VmaxTrue (pu)</t>
  </si>
  <si>
    <t>B_P (MW)</t>
  </si>
  <si>
    <t>B_Q (MVAr)</t>
  </si>
  <si>
    <t>dP = P−B_P</t>
  </si>
  <si>
    <t>dQ = Q−B_Q</t>
  </si>
  <si>
    <t>00:00</t>
  </si>
  <si>
    <t>Optimal</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</si>
  <si>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</si>
  <si>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</si>
  <si>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</si>
  <si>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</si>
  <si>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</si>
  <si>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</si>
  <si>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</si>
  <si>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</si>
  <si>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</si>
  <si>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</si>
  <si>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</si>
  <si>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</si>
  <si>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</si>
  <si>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</si>
  <si>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</si>
  <si>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</si>
  <si>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</si>
  <si>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</si>
  <si>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</si>
  <si>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</si>
  <si>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</si>
  <si>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</si>
  <si>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</si>
  <si>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</si>
  <si>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</si>
  <si>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</si>
  <si>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</si>
  <si>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</si>
  <si>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</si>
  <si>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</si>
  <si>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</si>
  <si>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</si>
  <si>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</si>
  <si>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</si>
  <si>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</si>
  <si>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</si>
  <si>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</si>
  <si>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</si>
  <si>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</si>
  <si>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</si>
  <si>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</si>
  <si>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</si>
  <si>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</si>
  <si>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</si>
  <si>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</si>
  <si>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</si>
  <si>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</si>
  <si>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TR9 rolling FOR — period 2 = 00:30</t>
  </si>
  <si>
    <t>TR9 rolling FOR — period 3 = 01:00</t>
  </si>
  <si>
    <t>TR9 rolling FOR — period 4 = 01:30</t>
  </si>
  <si>
    <t>TR9 rolling FOR — period 5 = 02:00</t>
  </si>
  <si>
    <t>TR9 rolling FOR — period 6 = 02:30</t>
  </si>
  <si>
    <t>TR9 rolling FOR — period 7 = 03:00</t>
  </si>
  <si>
    <t>TR9 rolling FOR — period 8 = 03:30</t>
  </si>
  <si>
    <t>TR9 rolling FOR — period 9 = 04:00</t>
  </si>
  <si>
    <t>TR9 rolling FOR — period 10 = 04:30</t>
  </si>
  <si>
    <t>TR9 rolling FOR — period 11 = 05:00</t>
  </si>
  <si>
    <t>TR9 rolling FOR — period 12 = 05:30</t>
  </si>
  <si>
    <t>TR9 rolling FOR — period 13 = 06:00</t>
  </si>
  <si>
    <t>TR9 rolling FOR — period 14 = 06:30</t>
  </si>
  <si>
    <t>TR9 rolling FOR — period 15 = 07:00</t>
  </si>
  <si>
    <t>TR9 rolling FOR — period 16 = 07:30</t>
  </si>
  <si>
    <t>TR9 rolling FOR — period 17 = 08:00</t>
  </si>
  <si>
    <t>TR9 rolling FOR — period 18 = 08:30</t>
  </si>
  <si>
    <t>TR9 rolling FOR — period 19 = 09:00</t>
  </si>
  <si>
    <t>TR9 rolling FOR — period 20 = 09:30</t>
  </si>
  <si>
    <t>TR9 rolling FOR — period 21 = 10:00</t>
  </si>
  <si>
    <t>TR9 rolling FOR — period 22 = 10:30</t>
  </si>
  <si>
    <t>TR9 rolling FOR — period 23 = 11:00</t>
  </si>
  <si>
    <t>TR9 rolling FOR — period 24 = 11:30</t>
  </si>
  <si>
    <t>TR9 rolling FOR — period 25 = 12:00</t>
  </si>
  <si>
    <t>TR9 rolling FOR — period 26 = 12:30</t>
  </si>
  <si>
    <t>TR9 rolling FOR — period 27 = 13:00</t>
  </si>
  <si>
    <t>TR9 rolling FOR — period 28 = 13:30</t>
  </si>
  <si>
    <t>TR9 rolling FOR — period 29 = 14:00</t>
  </si>
  <si>
    <t>TR9 rolling FOR — period 30 = 14:30</t>
  </si>
  <si>
    <t>TR9 rolling FOR — period 31 = 15:00</t>
  </si>
  <si>
    <t>TR9 rolling FOR — period 32 = 15:30</t>
  </si>
  <si>
    <t>TR9 rolling FOR — period 33 = 16:00</t>
  </si>
  <si>
    <t>TR9 rolling FOR — period 34 = 16:30</t>
  </si>
  <si>
    <t>TR9 rolling FOR — period 35 = 17:00</t>
  </si>
  <si>
    <t>TR9 rolling FOR — period 36 = 17:30</t>
  </si>
  <si>
    <t>TR9 rolling FOR — period 37 = 18:00</t>
  </si>
  <si>
    <t>TR9 rolling FOR — period 38 = 18:30</t>
  </si>
  <si>
    <t>TR9 rolling FOR — period 39 = 19:00</t>
  </si>
  <si>
    <t>TR9 rolling FOR — period 40 = 19:30</t>
  </si>
  <si>
    <t>TR9 rolling FOR — period 41 = 20:00</t>
  </si>
  <si>
    <t>TR9 rolling FOR — period 42 = 20:30</t>
  </si>
  <si>
    <t>TR9 rolling FOR — period 43 = 21:00</t>
  </si>
  <si>
    <t>TR9 rolling FOR — period 44 = 21:30</t>
  </si>
  <si>
    <t>TR9 rolling FOR — period 45 = 22:00</t>
  </si>
  <si>
    <t>TR9 rolling FOR — period 46 = 22:30</t>
  </si>
  <si>
    <t>TR9 rolling FOR — period 47 = 23:00</t>
  </si>
  <si>
    <t>TR9 rolling FOR — period 48 = 23:30</t>
  </si>
  <si>
    <t>Worked example for period 25 = 12:00, in the midday solar window. Same layout, numbers typed in.</t>
  </si>
  <si>
    <t>The service slot being offered = the next half-hour (t+1), so target = now + 1. The last step (now = 48 = 23:30) offers slot 1 = 00:00.</t>
  </si>
  <si>
    <t>Source: rolling FOR solves exported as FOR_rolling_TR9.csv; baselines from FOR_rolling_baseline.csv. P, Q, proj and the baselines are stored rounded to 4 decimals and VmaxTrue to 5, so the proj check agrees with the solver's proj to about 1e-4 rather than exactly. Checked against the exports: all 576 solves optimal, true voltages within 1.10000 / 0.94454 pu and no limit violations. Editing a value on 4_All_periods updates every P## tab and chart that reads it.</t>
  </si>
  <si>
    <t>what stops it</t>
  </si>
  <si>
    <t>Each half-hour of the day has its own FOR: the set of active/reactive power (P,Q) that can be presented at the feeder's point of common coupling for the next time slot, when TR9's batteries are the flexible resource. IMPORTANT: the PCC is the feeder's slack/HV bus, so every (P,Q) here is a whole-feeder quantity — all nine transformers, all 172+ loads and every PV panel — not TR9's own connection point. The eight other transformers are lumped as passive loads in this run, their batteries idle. The optimizer finds the region by pushing the operating point as far as it will go in 12 compass directions (0°,30°,…,330°). Joining those 12 points gives the boundary. This file shows the numbers and the formulas that turn them into the two pictures you have seen (absolute and deviation). Two flexibilities live here and must not be confused: the PV (uncontrollable, already in the baseline) and the battery (controllable — the deviation the operator can move).</t>
  </si>
  <si>
    <t>The BASELINE for that half-hour = the PCC power with every battery ON THE FEEDER switched OFF. It is the whole feeder's passive imbalance: load − PV summed over all nine transformers, plus the network losses. Sanity check at period 25: B_P = −2.2582 MW, the nine transformers' load − PV sum to −2.2803 MW, and the 22 kW gap is losses. TR9 alone is only −0.1784 MW. This is the UNCONTROLLABLE part: the PV / self-consumption commitment already serving local load, neighbours' load and losses — nobody is paid for it. The batteries deviate around this point. Read from FOR_rolling_baseline.csv, one series shared by all nine per-transformer runs.</t>
  </si>
  <si>
    <t>The DEVIATION = P − B_P and Q − B_Q. This is the CONTROLLABLE flexibility a DSO/TSO can dispatch — the effect of TR9's batteries at the PCC (battery power, to within a small network-loss term). PV is NOT here; it is already inside the baseline. dP &gt; 0 = the batteries can still charge (import more); dP &lt; 0 = they can still discharge (export more). Use the deviation, not the absolute point, for fairness allocation and dispatch: the absolute regions of all nine transformers overlap on the shared baseline, so only the deviation separates them. Reference: measured from the batteries-OFF baseline, not from the committed self-consumption schedule.</t>
  </si>
  <si>
    <t>How the region is built, column by column  —  48 half-hourly rolling steps × 12 boundary directions, measured at the feeder PCC with TR9's batteries as the flexible resource.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</si>
</sst>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
    <numFmt numFmtId="165" formatCode="0.0000"/>
    <numFmt numFmtId="166" formatCode="0.00000"/>
  </numFmts>
  <fonts count="19" x14ac:knownFonts="1">
    <font>
      <sz val="11"/>
      <color theme="1"/>
      <name val="Calibri"/>
      <family val="2"/>
      <scheme val="minor"/>
    </font>
    <font>
      <b/>
      <sz val="16"/>
      <color rgb="FF1F3864"/>
      <name val="Calibri"/>
    </font>
    <font>
      <i/>
      <sz val="10.5"/>
      <color rgb="FF595959"/>
      <name val="Calibri"/>
    </font>
    <font>
      <b/>
      <sz val="11.5"/>
      <color rgb="FF1F3864"/>
      <name val="Calibri"/>
    </font>
    <font>
      <b/>
      <sz val="11"/>
      <color rgb="FF000000"/>
      <name val="Calibri"/>
    </font>
    <font>
      <sz val="11"/>
      <color rgb="FF000000"/>
      <name val="Calibri"/>
    </font>
    <font>
      <b/>
      <sz val="11"/>
      <color rgb="FF1F3864"/>
      <name val="Calibri"/>
    </font>
    <font>
      <b/>
      <sz val="10.5"/>
      <color rgb="FF1F3864"/>
      <name val="Consolas"/>
    </font>
    <font>
      <b/>
      <sz val="10.5"/>
      <color rgb="FF1F3864"/>
      <name val="Calibri"/>
    </font>
    <font>
      <i/>
      <sz val="9"/>
      <color rgb="FF595959"/>
      <name val="Calibri"/>
    </font>
    <font>
      <b/>
      <sz val="10.5"/>
      <color rgb="FFFFFFFF"/>
      <name val="Calibri"/>
    </font>
    <font>
      <sz val="10.5"/>
      <color rgb="FF000000"/>
      <name val="Calibri"/>
    </font>
    <font>
      <sz val="9.5"/>
      <color rgb="FF595959"/>
      <name val="Calibri"/>
    </font>
    <font>
      <b/>
      <sz val="11"/>
      <color rgb="FF833C0B"/>
      <name val="Calibri"/>
    </font>
    <font>
      <sz val="10"/>
      <color rgb="FF595959"/>
      <name val="Calibri"/>
    </font>
    <font>
      <sz val="11"/>
      <color rgb="FF595959"/>
      <name val="Calibri"/>
    </font>
    <font>
      <i/>
      <sz val="11"/>
      <color rgb="FF595959"/>
      <name val="Calibri"/>
    </font>
    <font>
      <b/>
      <sz val="11"/>
      <color theme="1"/>
      <name val="Calibri"/>
      <family val="2"/>
      <scheme val="minor"/>
    </font>
    <font>
      <sz val="11"/>
      <color rgb="FF1F3864"/>
      <name val="Calibri"/>
      <family val="2"/>
      <scheme val="minor"/>
    </font>
  </fonts>
  <fills count="10">
    <fill>
      <patternFill patternType="none"/>
    </fill>
    <fill>
      <patternFill patternType="gray125"/>
    </fill>
    <fill>
      <patternFill patternType="solid">
        <fgColor rgb="FFDDEBF7"/>
      </patternFill>
    </fill>
    <fill>
      <patternFill patternType="solid">
        <fgColor rgb="FFF8CBAD"/>
      </patternFill>
    </fill>
    <fill>
      <patternFill patternType="solid">
        <fgColor rgb="FFFFF2CC"/>
      </patternFill>
    </fill>
    <fill>
      <patternFill patternType="solid">
        <fgColor rgb="FF1F3864"/>
      </patternFill>
    </fill>
    <fill>
      <patternFill patternType="solid">
        <fgColor rgb="FFE9EEF6"/>
      </patternFill>
    </fill>
    <fill>
      <patternFill patternType="solid">
        <fgColor rgb="FFFCE4D6"/>
      </patternFill>
    </fill>
    <fill>
      <patternFill patternType="solid">
        <fgColor rgb="FFF2F2F2"/>
      </patternFill>
    </fill>
    <fill>
      <patternFill patternType="solid">
        <fgColor rgb="FFFFF2CC"/>
        <bgColor indexed="64"/>
      </patternFill>
    </fill>
  </fills>
  <borders count="15">
    <border>
      <left/>
      <right/>
      <top/>
      <bottom/>
      <diagonal/>
    </border>
    <border>
      <left/>
      <right/>
      <top/>
      <bottom style="thin">
        <color rgb="FF2E5A97"/>
      </bottom>
      <diagonal/>
    </border>
    <border>
      <left style="thin">
        <color rgb="FFBFBFBF"/>
      </left>
      <right style="thin">
        <color rgb="FFBFBFBF"/>
      </right>
      <top style="hair">
        <color rgb="FFD9D9D9"/>
      </top>
      <bottom style="hair">
        <color rgb="FFD9D9D9"/>
      </bottom>
      <diagonal/>
    </border>
    <border>
      <left style="thin">
        <color rgb="FF1F3864"/>
      </left>
      <right style="thin">
        <color rgb="FF1F3864"/>
      </right>
      <top style="thin">
        <color rgb="FF1F3864"/>
      </top>
      <bottom style="medium">
        <color rgb="FF1F3864"/>
      </bottom>
      <diagonal/>
    </border>
    <border>
      <left style="hair">
        <color rgb="FFD9D9D9"/>
      </left>
      <right style="hair">
        <color rgb="FFD9D9D9"/>
      </right>
      <top style="hair">
        <color rgb="FFD9D9D9"/>
      </top>
      <bottom style="hair">
        <color rgb="FFD9D9D9"/>
      </bottom>
      <diagonal/>
    </border>
    <border>
      <left style="hair">
        <color rgb="FFD9D9D9"/>
      </left>
      <right style="hair">
        <color rgb="FFD9D9D9"/>
      </right>
      <top style="hair">
        <color rgb="FFD9D9D9"/>
      </top>
      <bottom style="thin">
        <color rgb="FF2E5A97"/>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hair">
        <color rgb="FFD9D9D9"/>
      </top>
      <bottom style="thin">
        <color rgb="FF2E5A97"/>
      </bottom>
      <diagonal/>
    </border>
    <border>
      <left style="thin">
        <color rgb="FFBFBFBF"/>
      </left>
      <right style="hair">
        <color rgb="FFD9D9D9"/>
      </right>
      <top style="hair">
        <color rgb="FFD9D9D9"/>
      </top>
      <bottom style="hair">
        <color rgb="FFD9D9D9"/>
      </bottom>
      <diagonal/>
    </border>
    <border>
      <left style="hair">
        <color rgb="FFD9D9D9"/>
      </left>
      <right style="thin">
        <color rgb="FFBFBFBF"/>
      </right>
      <top style="hair">
        <color rgb="FFD9D9D9"/>
      </top>
      <bottom style="hair">
        <color rgb="FFD9D9D9"/>
      </bottom>
      <diagonal/>
    </border>
    <border>
      <left style="thin">
        <color rgb="FFBFBFBF"/>
      </left>
      <right style="hair">
        <color rgb="FFD9D9D9"/>
      </right>
      <top style="hair">
        <color rgb="FFD9D9D9"/>
      </top>
      <bottom style="thin">
        <color rgb="FF2E5A97"/>
      </bottom>
      <diagonal/>
    </border>
    <border>
      <left style="hair">
        <color rgb="FFD9D9D9"/>
      </left>
      <right style="thin">
        <color rgb="FFBFBFBF"/>
      </right>
      <top style="hair">
        <color rgb="FFD9D9D9"/>
      </top>
      <bottom style="thin">
        <color rgb="FF2E5A97"/>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7">
    <xf numFmtId="0" fontId="0" fillId="0" borderId="0" xfId="0"/>
    <xf numFmtId="0" fontId="1" fillId="0" borderId="0" xfId="0" applyFont="1" applyAlignment="1">
      <alignment horizontal="left" vertical="center"/>
    </xf>
    <xf numFmtId="0" fontId="0" fillId="5" borderId="0" xfId="0" applyFill="1"/>
    <xf numFmtId="0" fontId="4" fillId="0" borderId="2" xfId="0" applyFont="1" applyBorder="1" applyAlignment="1">
      <alignment horizontal="left" vertical="top"/>
    </xf>
    <xf numFmtId="0" fontId="5" fillId="0" borderId="2" xfId="0" applyFont="1" applyBorder="1" applyAlignment="1">
      <alignment horizontal="left" vertical="top" wrapText="1"/>
    </xf>
    <xf numFmtId="0" fontId="6" fillId="0" borderId="2" xfId="0" applyFont="1" applyBorder="1" applyAlignment="1">
      <alignment horizontal="left" vertical="center"/>
    </xf>
    <xf numFmtId="0" fontId="7" fillId="0" borderId="2" xfId="0" applyFont="1" applyBorder="1" applyAlignment="1">
      <alignment horizontal="left" vertical="top"/>
    </xf>
    <xf numFmtId="0" fontId="8" fillId="2"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3" borderId="2" xfId="0" applyFont="1" applyFill="1" applyBorder="1" applyAlignment="1">
      <alignment horizontal="center" vertical="center"/>
    </xf>
    <xf numFmtId="0" fontId="6" fillId="0" borderId="0" xfId="0" applyFont="1" applyAlignment="1">
      <alignment horizontal="right" vertical="center"/>
    </xf>
    <xf numFmtId="165" fontId="13" fillId="3" borderId="6" xfId="0" applyNumberFormat="1" applyFont="1" applyFill="1" applyBorder="1" applyAlignment="1">
      <alignment horizontal="center" vertical="center"/>
    </xf>
    <xf numFmtId="0" fontId="10" fillId="5" borderId="3" xfId="0" applyFont="1" applyFill="1" applyBorder="1" applyAlignment="1">
      <alignment horizontal="center" vertical="center" wrapText="1"/>
    </xf>
    <xf numFmtId="164" fontId="6" fillId="0" borderId="2" xfId="0" applyNumberFormat="1" applyFont="1" applyBorder="1" applyAlignment="1">
      <alignment horizontal="center" vertical="center"/>
    </xf>
    <xf numFmtId="165" fontId="5" fillId="2" borderId="2" xfId="0" applyNumberFormat="1" applyFont="1" applyFill="1" applyBorder="1" applyAlignment="1">
      <alignment horizontal="center" vertical="center"/>
    </xf>
    <xf numFmtId="165" fontId="5" fillId="4" borderId="2" xfId="0" applyNumberFormat="1" applyFont="1" applyFill="1" applyBorder="1" applyAlignment="1">
      <alignment horizontal="center" vertical="center"/>
    </xf>
    <xf numFmtId="0" fontId="14" fillId="4" borderId="2" xfId="0" applyFont="1" applyFill="1" applyBorder="1" applyAlignment="1">
      <alignment horizontal="center" vertical="center"/>
    </xf>
    <xf numFmtId="0" fontId="15" fillId="8" borderId="7" xfId="0" applyFont="1" applyFill="1" applyBorder="1" applyAlignment="1">
      <alignment horizontal="center" vertical="center"/>
    </xf>
    <xf numFmtId="165" fontId="16" fillId="8" borderId="7" xfId="0" applyNumberFormat="1" applyFont="1" applyFill="1" applyBorder="1" applyAlignment="1">
      <alignment horizontal="center" vertical="center"/>
    </xf>
    <xf numFmtId="0" fontId="14" fillId="8" borderId="7" xfId="0" applyFont="1" applyFill="1" applyBorder="1" applyAlignment="1">
      <alignment horizontal="center" vertical="center"/>
    </xf>
    <xf numFmtId="165" fontId="6" fillId="4" borderId="2" xfId="0" applyNumberFormat="1" applyFont="1" applyFill="1" applyBorder="1" applyAlignment="1">
      <alignment horizontal="center" vertical="center"/>
    </xf>
    <xf numFmtId="1" fontId="8" fillId="0" borderId="4" xfId="0" applyNumberFormat="1" applyFont="1" applyBorder="1" applyAlignment="1">
      <alignment horizontal="center" vertical="center"/>
    </xf>
    <xf numFmtId="0" fontId="8" fillId="0" borderId="4" xfId="0" applyFont="1" applyBorder="1" applyAlignment="1">
      <alignment horizontal="center" vertical="center"/>
    </xf>
    <xf numFmtId="164" fontId="11" fillId="0" borderId="4" xfId="0" applyNumberFormat="1" applyFont="1" applyBorder="1" applyAlignment="1">
      <alignment horizontal="center" vertical="center"/>
    </xf>
    <xf numFmtId="165" fontId="11" fillId="2" borderId="4" xfId="0" applyNumberFormat="1" applyFont="1" applyFill="1" applyBorder="1" applyAlignment="1">
      <alignment horizontal="center" vertical="center"/>
    </xf>
    <xf numFmtId="165" fontId="11" fillId="0" borderId="4" xfId="0" applyNumberFormat="1" applyFont="1" applyBorder="1" applyAlignment="1">
      <alignment horizontal="center" vertical="center"/>
    </xf>
    <xf numFmtId="0" fontId="12" fillId="0" borderId="4" xfId="0" applyFont="1" applyBorder="1" applyAlignment="1">
      <alignment horizontal="center" vertical="center"/>
    </xf>
    <xf numFmtId="166" fontId="11" fillId="0" borderId="4" xfId="0" applyNumberFormat="1" applyFont="1" applyBorder="1" applyAlignment="1">
      <alignment horizontal="center" vertical="center"/>
    </xf>
    <xf numFmtId="165" fontId="11" fillId="7" borderId="4" xfId="0" applyNumberFormat="1" applyFont="1" applyFill="1" applyBorder="1" applyAlignment="1">
      <alignment horizontal="center" vertical="center"/>
    </xf>
    <xf numFmtId="165" fontId="11" fillId="4" borderId="4" xfId="0" applyNumberFormat="1" applyFont="1" applyFill="1" applyBorder="1" applyAlignment="1">
      <alignment horizontal="center" vertical="center"/>
    </xf>
    <xf numFmtId="1" fontId="8" fillId="0" borderId="5" xfId="0" applyNumberFormat="1" applyFont="1" applyBorder="1" applyAlignment="1">
      <alignment horizontal="center" vertical="center"/>
    </xf>
    <xf numFmtId="0" fontId="8" fillId="0" borderId="5" xfId="0" applyFont="1" applyBorder="1" applyAlignment="1">
      <alignment horizontal="center" vertical="center"/>
    </xf>
    <xf numFmtId="164" fontId="11" fillId="0" borderId="5" xfId="0" applyNumberFormat="1" applyFont="1" applyBorder="1" applyAlignment="1">
      <alignment horizontal="center" vertical="center"/>
    </xf>
    <xf numFmtId="165" fontId="11" fillId="2" borderId="5" xfId="0" applyNumberFormat="1" applyFont="1" applyFill="1" applyBorder="1" applyAlignment="1">
      <alignment horizontal="center" vertical="center"/>
    </xf>
    <xf numFmtId="165" fontId="11" fillId="0" borderId="5" xfId="0" applyNumberFormat="1" applyFont="1" applyBorder="1" applyAlignment="1">
      <alignment horizontal="center" vertical="center"/>
    </xf>
    <xf numFmtId="0" fontId="12" fillId="0" borderId="5" xfId="0" applyFont="1" applyBorder="1" applyAlignment="1">
      <alignment horizontal="center" vertical="center"/>
    </xf>
    <xf numFmtId="166" fontId="11" fillId="0" borderId="5" xfId="0" applyNumberFormat="1" applyFont="1" applyBorder="1" applyAlignment="1">
      <alignment horizontal="center" vertical="center"/>
    </xf>
    <xf numFmtId="165" fontId="11" fillId="7" borderId="5" xfId="0" applyNumberFormat="1" applyFont="1" applyFill="1" applyBorder="1" applyAlignment="1">
      <alignment horizontal="center" vertical="center"/>
    </xf>
    <xf numFmtId="165" fontId="11" fillId="4" borderId="5" xfId="0" applyNumberFormat="1" applyFont="1" applyFill="1" applyBorder="1" applyAlignment="1">
      <alignment horizontal="center" vertical="center"/>
    </xf>
    <xf numFmtId="0" fontId="1" fillId="0" borderId="0" xfId="0" applyFont="1" applyAlignment="1">
      <alignment horizontal="left" vertical="center"/>
    </xf>
    <xf numFmtId="0" fontId="0" fillId="0" borderId="0" xfId="0"/>
    <xf numFmtId="0" fontId="3" fillId="6" borderId="1" xfId="0" applyFont="1" applyFill="1" applyBorder="1" applyAlignment="1">
      <alignment horizontal="left" vertical="center"/>
    </xf>
    <xf numFmtId="0" fontId="0" fillId="6" borderId="1" xfId="0" applyFill="1" applyBorder="1"/>
    <xf numFmtId="0" fontId="9" fillId="0" borderId="0" xfId="0" applyFont="1" applyAlignment="1">
      <alignment horizontal="left" vertical="top" wrapText="1"/>
    </xf>
    <xf numFmtId="0" fontId="2" fillId="0" borderId="0" xfId="0" applyFont="1" applyAlignment="1">
      <alignment horizontal="left" vertical="center"/>
    </xf>
    <xf numFmtId="0" fontId="4" fillId="0" borderId="8" xfId="0" applyFont="1" applyBorder="1" applyAlignment="1">
      <alignment horizontal="left" vertical="center"/>
    </xf>
    <xf numFmtId="0" fontId="0" fillId="0" borderId="9" xfId="0" applyBorder="1"/>
    <xf numFmtId="0" fontId="4" fillId="0" borderId="10" xfId="0" applyFont="1" applyBorder="1" applyAlignment="1">
      <alignment horizontal="left" vertical="center"/>
    </xf>
    <xf numFmtId="0" fontId="0" fillId="0" borderId="11" xfId="0" applyBorder="1"/>
    <xf numFmtId="0" fontId="9" fillId="0" borderId="0" xfId="0" applyFont="1" applyAlignment="1">
      <alignment horizontal="left" vertical="center"/>
    </xf>
    <xf numFmtId="0" fontId="9" fillId="0" borderId="0" xfId="0" applyFont="1" applyAlignment="1">
      <alignment horizontal="left" vertical="center" wrapText="1"/>
    </xf>
    <xf numFmtId="0" fontId="17" fillId="9" borderId="6" xfId="0" applyFont="1" applyFill="1" applyBorder="1" applyAlignment="1">
      <alignment horizontal="left"/>
    </xf>
    <xf numFmtId="0" fontId="0" fillId="9" borderId="6" xfId="0" applyFill="1" applyBorder="1" applyAlignment="1">
      <alignment horizontal="left"/>
    </xf>
    <xf numFmtId="0" fontId="18" fillId="9" borderId="6" xfId="0" applyFont="1" applyFill="1" applyBorder="1" applyAlignment="1">
      <alignment horizontal="left"/>
    </xf>
    <xf numFmtId="0" fontId="6" fillId="9" borderId="12" xfId="0" applyFont="1" applyFill="1" applyBorder="1" applyAlignment="1">
      <alignment horizontal="left" vertical="center"/>
    </xf>
    <xf numFmtId="0" fontId="6" fillId="9" borderId="13" xfId="0" applyFont="1" applyFill="1" applyBorder="1" applyAlignment="1">
      <alignment horizontal="left" vertical="center"/>
    </xf>
    <xf numFmtId="0" fontId="6" fillId="9" borderId="14" xfId="0" applyFont="1" applyFill="1" applyBorder="1" applyAlignment="1">
      <alignment horizontal="left" vertical="center"/>
    </xf>
  </cellXfs>
  <cellStyles count="1">
    <cellStyle name="Normal" xfId="0" builtinId="0"/>
  </cellStyles>
  <dxfs count="100">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5700"/>
      </font>
    </dxf>
    <dxf>
      <font>
        <b/>
        <color rgb="FF1F6F3D"/>
      </font>
    </dxf>
    <dxf>
      <font>
        <b/>
        <color rgb="FF9C0006"/>
      </font>
      <fill>
        <patternFill patternType="solid">
          <fgColor rgb="FFFCE4E4"/>
        </patternFill>
      </fill>
    </dxf>
    <dxf>
      <font>
        <b/>
        <color rgb="FF9C0006"/>
      </font>
      <fill>
        <patternFill patternType="solid">
          <fgColor rgb="FFFCE4E4"/>
        </patternFill>
      </fill>
    </dxf>
    <dxf>
      <font>
        <b/>
        <color rgb="FF9C5700"/>
      </font>
    </dxf>
    <dxf>
      <font>
        <b/>
        <color rgb="FF1F6F3D"/>
      </font>
    </dxf>
    <dxf>
      <font>
        <b/>
        <color rgb="FF9C5700"/>
      </font>
    </dxf>
    <dxf>
      <font>
        <b/>
        <color rgb="FF1F6F3D"/>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00:00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'2_Sample_00h00'!$B$7:$B$19</c:f>
              <c:numCache>
                <c:formatCode>0.0000</c:formatCode>
                <c:ptCount val="13"/>
                <c:pt idx="0">
                  <c:v>0.77500000000000002</c:v>
                </c:pt>
                <c:pt idx="1">
                  <c:v>0.72850000000000004</c:v>
                </c:pt>
                <c:pt idx="2">
                  <c:v>0.60729999999999995</c:v>
                </c:pt>
                <c:pt idx="3">
                  <c:v>0.45540000000000003</c:v>
                </c:pt>
                <c:pt idx="4">
                  <c:v>0.2923</c:v>
                </c:pt>
                <c:pt idx="5">
                  <c:v>0.25779999999999997</c:v>
                </c:pt>
                <c:pt idx="6">
                  <c:v>0.25509999999999999</c:v>
                </c:pt>
                <c:pt idx="7">
                  <c:v>0.26669999999999999</c:v>
                </c:pt>
                <c:pt idx="8">
                  <c:v>0.30649999999999999</c:v>
                </c:pt>
                <c:pt idx="9">
                  <c:v>0.44679999999999997</c:v>
                </c:pt>
                <c:pt idx="10">
                  <c:v>0.6119</c:v>
                </c:pt>
                <c:pt idx="11">
                  <c:v>0.73270000000000002</c:v>
                </c:pt>
                <c:pt idx="12">
                  <c:v>0.77500000000000002</c:v>
                </c:pt>
              </c:numCache>
            </c:numRef>
          </c:xVal>
          <c:yVal>
            <c:numRef>
              <c:f>'2_Sample_00h00'!$C$7:$C$19</c:f>
              <c:numCache>
                <c:formatCode>0.0000</c:formatCode>
                <c:ptCount val="13"/>
                <c:pt idx="0">
                  <c:v>8.5300000000000001E-2</c:v>
                </c:pt>
                <c:pt idx="1">
                  <c:v>0.25330000000000003</c:v>
                </c:pt>
                <c:pt idx="2">
                  <c:v>0.3755</c:v>
                </c:pt>
                <c:pt idx="3">
                  <c:v>0.41460000000000002</c:v>
                </c:pt>
                <c:pt idx="4">
                  <c:v>0.37130000000000002</c:v>
                </c:pt>
                <c:pt idx="5">
                  <c:v>0.34770000000000001</c:v>
                </c:pt>
                <c:pt idx="6">
                  <c:v>-0.1119</c:v>
                </c:pt>
                <c:pt idx="7">
                  <c:v>-0.1651</c:v>
                </c:pt>
                <c:pt idx="8">
                  <c:v>-0.19400000000000001</c:v>
                </c:pt>
                <c:pt idx="9">
                  <c:v>-0.22969999999999999</c:v>
                </c:pt>
                <c:pt idx="10">
                  <c:v>-0.18540000000000001</c:v>
                </c:pt>
                <c:pt idx="11">
                  <c:v>-6.4699999999999994E-2</c:v>
                </c:pt>
                <c:pt idx="12">
                  <c:v>8.5300000000000001E-2</c:v>
                </c:pt>
              </c:numCache>
            </c:numRef>
          </c:yVal>
          <c:smooth val="0"/>
          <c:extLst>
            <c:ext xmlns:c16="http://schemas.microsoft.com/office/drawing/2014/chart" uri="{C3380CC4-5D6E-409C-BE32-E72D297353CC}">
              <c16:uniqueId val="{00000000-1058-4511-B81A-6121F5985B9B}"/>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'2_Sample_00h00'!$B$4</c:f>
              <c:numCache>
                <c:formatCode>0.0000</c:formatCode>
                <c:ptCount val="1"/>
                <c:pt idx="0">
                  <c:v>0.5454</c:v>
                </c:pt>
              </c:numCache>
            </c:numRef>
          </c:xVal>
          <c:yVal>
            <c:numRef>
              <c:f>'2_Sample_00h00'!$D$4</c:f>
              <c:numCache>
                <c:formatCode>0.0000</c:formatCode>
                <c:ptCount val="1"/>
                <c:pt idx="0">
                  <c:v>0.112</c:v>
                </c:pt>
              </c:numCache>
            </c:numRef>
          </c:yVal>
          <c:smooth val="1"/>
          <c:extLst>
            <c:ext xmlns:c16="http://schemas.microsoft.com/office/drawing/2014/chart" uri="{C3380CC4-5D6E-409C-BE32-E72D297353CC}">
              <c16:uniqueId val="{00000001-1058-4511-B81A-6121F5985B9B}"/>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'2_Sample_00h00'!$D$7:$D$19</c:f>
              <c:numCache>
                <c:formatCode>0.0000</c:formatCode>
                <c:ptCount val="13"/>
                <c:pt idx="0">
                  <c:v>0.22960000000000003</c:v>
                </c:pt>
                <c:pt idx="1">
                  <c:v>0.18310000000000004</c:v>
                </c:pt>
                <c:pt idx="2">
                  <c:v>6.1899999999999955E-2</c:v>
                </c:pt>
                <c:pt idx="3">
                  <c:v>-8.9999999999999969E-2</c:v>
                </c:pt>
                <c:pt idx="4">
                  <c:v>-0.25309999999999999</c:v>
                </c:pt>
                <c:pt idx="5">
                  <c:v>-0.28760000000000002</c:v>
                </c:pt>
                <c:pt idx="6">
                  <c:v>-0.2903</c:v>
                </c:pt>
                <c:pt idx="7">
                  <c:v>-0.2787</c:v>
                </c:pt>
                <c:pt idx="8">
                  <c:v>-0.2389</c:v>
                </c:pt>
                <c:pt idx="9">
                  <c:v>-9.8600000000000021E-2</c:v>
                </c:pt>
                <c:pt idx="10">
                  <c:v>6.6500000000000004E-2</c:v>
                </c:pt>
                <c:pt idx="11">
                  <c:v>0.18730000000000002</c:v>
                </c:pt>
                <c:pt idx="12">
                  <c:v>0.22960000000000003</c:v>
                </c:pt>
              </c:numCache>
            </c:numRef>
          </c:xVal>
          <c:yVal>
            <c:numRef>
              <c:f>'2_Sample_00h00'!$E$7:$E$19</c:f>
              <c:numCache>
                <c:formatCode>0.0000</c:formatCode>
                <c:ptCount val="13"/>
                <c:pt idx="0">
                  <c:v>-2.6700000000000002E-2</c:v>
                </c:pt>
                <c:pt idx="1">
                  <c:v>0.14130000000000004</c:v>
                </c:pt>
                <c:pt idx="2">
                  <c:v>0.26350000000000001</c:v>
                </c:pt>
                <c:pt idx="3">
                  <c:v>0.30260000000000004</c:v>
                </c:pt>
                <c:pt idx="4">
                  <c:v>0.25930000000000003</c:v>
                </c:pt>
                <c:pt idx="5">
                  <c:v>0.23570000000000002</c:v>
                </c:pt>
                <c:pt idx="6">
                  <c:v>-0.22389999999999999</c:v>
                </c:pt>
                <c:pt idx="7">
                  <c:v>-0.27710000000000001</c:v>
                </c:pt>
                <c:pt idx="8">
                  <c:v>-0.30599999999999999</c:v>
                </c:pt>
                <c:pt idx="9">
                  <c:v>-0.3417</c:v>
                </c:pt>
                <c:pt idx="10">
                  <c:v>-0.2974</c:v>
                </c:pt>
                <c:pt idx="11">
                  <c:v>-0.1767</c:v>
                </c:pt>
                <c:pt idx="12">
                  <c:v>-2.6700000000000002E-2</c:v>
                </c:pt>
              </c:numCache>
            </c:numRef>
          </c:yVal>
          <c:smooth val="0"/>
          <c:extLst>
            <c:ext xmlns:c16="http://schemas.microsoft.com/office/drawing/2014/chart" uri="{C3380CC4-5D6E-409C-BE32-E72D297353CC}">
              <c16:uniqueId val="{00000000-21D4-4B6A-9C8D-BF706BA69CAD}"/>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12:00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'3_Sample_12h00'!$B$7:$B$19</c:f>
              <c:numCache>
                <c:formatCode>0.0000</c:formatCode>
                <c:ptCount val="13"/>
                <c:pt idx="0">
                  <c:v>-2.2589999999999999</c:v>
                </c:pt>
                <c:pt idx="1">
                  <c:v>-2.274</c:v>
                </c:pt>
                <c:pt idx="2">
                  <c:v>-2.2778</c:v>
                </c:pt>
                <c:pt idx="3">
                  <c:v>-2.3207</c:v>
                </c:pt>
                <c:pt idx="4">
                  <c:v>-2.4081000000000001</c:v>
                </c:pt>
                <c:pt idx="5">
                  <c:v>-2.5087999999999999</c:v>
                </c:pt>
                <c:pt idx="6">
                  <c:v>-2.5455999999999999</c:v>
                </c:pt>
                <c:pt idx="7">
                  <c:v>-2.5268999999999999</c:v>
                </c:pt>
                <c:pt idx="8">
                  <c:v>-2.3268</c:v>
                </c:pt>
                <c:pt idx="9">
                  <c:v>-2.2763</c:v>
                </c:pt>
                <c:pt idx="10">
                  <c:v>-2.2673000000000001</c:v>
                </c:pt>
                <c:pt idx="11">
                  <c:v>-2.2673000000000001</c:v>
                </c:pt>
                <c:pt idx="12">
                  <c:v>-2.2589999999999999</c:v>
                </c:pt>
              </c:numCache>
            </c:numRef>
          </c:xVal>
          <c:yVal>
            <c:numRef>
              <c:f>'3_Sample_12h00'!$C$7:$C$19</c:f>
              <c:numCache>
                <c:formatCode>0.0000</c:formatCode>
                <c:ptCount val="13"/>
                <c:pt idx="0">
                  <c:v>0.24709999999999999</c:v>
                </c:pt>
                <c:pt idx="1">
                  <c:v>0.51500000000000001</c:v>
                </c:pt>
                <c:pt idx="2">
                  <c:v>0.51829999999999998</c:v>
                </c:pt>
                <c:pt idx="3">
                  <c:v>0.52270000000000005</c:v>
                </c:pt>
                <c:pt idx="4">
                  <c:v>0.50329999999999997</c:v>
                </c:pt>
                <c:pt idx="5">
                  <c:v>0.39600000000000002</c:v>
                </c:pt>
                <c:pt idx="6">
                  <c:v>0.27739999999999998</c:v>
                </c:pt>
                <c:pt idx="7">
                  <c:v>0.2235</c:v>
                </c:pt>
                <c:pt idx="8">
                  <c:v>1.2200000000000001E-2</c:v>
                </c:pt>
                <c:pt idx="9">
                  <c:v>-8.9999999999999998E-4</c:v>
                </c:pt>
                <c:pt idx="10">
                  <c:v>-2.9999999999999997E-4</c:v>
                </c:pt>
                <c:pt idx="11">
                  <c:v>-2.9999999999999997E-4</c:v>
                </c:pt>
                <c:pt idx="12">
                  <c:v>0.24709999999999999</c:v>
                </c:pt>
              </c:numCache>
            </c:numRef>
          </c:yVal>
          <c:smooth val="0"/>
          <c:extLst>
            <c:ext xmlns:c16="http://schemas.microsoft.com/office/drawing/2014/chart" uri="{C3380CC4-5D6E-409C-BE32-E72D297353CC}">
              <c16:uniqueId val="{00000000-F7E8-4FF6-8711-D89B37A60619}"/>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'3_Sample_12h00'!$B$4</c:f>
              <c:numCache>
                <c:formatCode>0.0000</c:formatCode>
                <c:ptCount val="1"/>
                <c:pt idx="0">
                  <c:v>-2.2582</c:v>
                </c:pt>
              </c:numCache>
            </c:numRef>
          </c:xVal>
          <c:yVal>
            <c:numRef>
              <c:f>'3_Sample_12h00'!$D$4</c:f>
              <c:numCache>
                <c:formatCode>0.0000</c:formatCode>
                <c:ptCount val="1"/>
                <c:pt idx="0">
                  <c:v>0.20730000000000001</c:v>
                </c:pt>
              </c:numCache>
            </c:numRef>
          </c:yVal>
          <c:smooth val="1"/>
          <c:extLst>
            <c:ext xmlns:c16="http://schemas.microsoft.com/office/drawing/2014/chart" uri="{C3380CC4-5D6E-409C-BE32-E72D297353CC}">
              <c16:uniqueId val="{00000001-F7E8-4FF6-8711-D89B37A60619}"/>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'3_Sample_12h00'!$D$7:$D$19</c:f>
              <c:numCache>
                <c:formatCode>0.0000</c:formatCode>
                <c:ptCount val="13"/>
                <c:pt idx="0">
                  <c:v>-7.9999999999991189E-4</c:v>
                </c:pt>
                <c:pt idx="1">
                  <c:v>-1.5800000000000036E-2</c:v>
                </c:pt>
                <c:pt idx="2">
                  <c:v>-1.9600000000000062E-2</c:v>
                </c:pt>
                <c:pt idx="3">
                  <c:v>-6.25E-2</c:v>
                </c:pt>
                <c:pt idx="4">
                  <c:v>-0.14990000000000014</c:v>
                </c:pt>
                <c:pt idx="5">
                  <c:v>-0.25059999999999993</c:v>
                </c:pt>
                <c:pt idx="6">
                  <c:v>-0.28739999999999988</c:v>
                </c:pt>
                <c:pt idx="7">
                  <c:v>-0.26869999999999994</c:v>
                </c:pt>
                <c:pt idx="8">
                  <c:v>-6.8599999999999994E-2</c:v>
                </c:pt>
                <c:pt idx="9">
                  <c:v>-1.8100000000000005E-2</c:v>
                </c:pt>
                <c:pt idx="10">
                  <c:v>-9.100000000000108E-3</c:v>
                </c:pt>
                <c:pt idx="11">
                  <c:v>-9.100000000000108E-3</c:v>
                </c:pt>
                <c:pt idx="12">
                  <c:v>-7.9999999999991189E-4</c:v>
                </c:pt>
              </c:numCache>
            </c:numRef>
          </c:xVal>
          <c:yVal>
            <c:numRef>
              <c:f>'3_Sample_12h00'!$E$7:$E$19</c:f>
              <c:numCache>
                <c:formatCode>0.0000</c:formatCode>
                <c:ptCount val="13"/>
                <c:pt idx="0">
                  <c:v>3.9799999999999974E-2</c:v>
                </c:pt>
                <c:pt idx="1">
                  <c:v>0.30769999999999997</c:v>
                </c:pt>
                <c:pt idx="2">
                  <c:v>0.31099999999999994</c:v>
                </c:pt>
                <c:pt idx="3">
                  <c:v>0.31540000000000001</c:v>
                </c:pt>
                <c:pt idx="4">
                  <c:v>0.29599999999999993</c:v>
                </c:pt>
                <c:pt idx="5">
                  <c:v>0.18870000000000001</c:v>
                </c:pt>
                <c:pt idx="6">
                  <c:v>7.0099999999999968E-2</c:v>
                </c:pt>
                <c:pt idx="7">
                  <c:v>1.6199999999999992E-2</c:v>
                </c:pt>
                <c:pt idx="8">
                  <c:v>-0.19510000000000002</c:v>
                </c:pt>
                <c:pt idx="9">
                  <c:v>-0.20820000000000002</c:v>
                </c:pt>
                <c:pt idx="10">
                  <c:v>-0.20760000000000001</c:v>
                </c:pt>
                <c:pt idx="11">
                  <c:v>-0.20760000000000001</c:v>
                </c:pt>
                <c:pt idx="12">
                  <c:v>3.9799999999999974E-2</c:v>
                </c:pt>
              </c:numCache>
            </c:numRef>
          </c:yVal>
          <c:smooth val="0"/>
          <c:extLst>
            <c:ext xmlns:c16="http://schemas.microsoft.com/office/drawing/2014/chart" uri="{C3380CC4-5D6E-409C-BE32-E72D297353CC}">
              <c16:uniqueId val="{00000000-7CA9-440E-9BF1-20144B908F0F}"/>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00:30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P02_00h30!$B$7:$B$19</c:f>
              <c:numCache>
                <c:formatCode>0.0000</c:formatCode>
                <c:ptCount val="13"/>
                <c:pt idx="0">
                  <c:v>0.68510000000000004</c:v>
                </c:pt>
                <c:pt idx="1">
                  <c:v>0.63670000000000004</c:v>
                </c:pt>
                <c:pt idx="2">
                  <c:v>0.52200000000000002</c:v>
                </c:pt>
                <c:pt idx="3">
                  <c:v>0.36459999999999998</c:v>
                </c:pt>
                <c:pt idx="4">
                  <c:v>0.21010000000000001</c:v>
                </c:pt>
                <c:pt idx="5">
                  <c:v>0.187</c:v>
                </c:pt>
                <c:pt idx="6">
                  <c:v>0.1845</c:v>
                </c:pt>
                <c:pt idx="7">
                  <c:v>0.1963</c:v>
                </c:pt>
                <c:pt idx="8">
                  <c:v>0.22969999999999999</c:v>
                </c:pt>
                <c:pt idx="9">
                  <c:v>0.3579</c:v>
                </c:pt>
                <c:pt idx="10">
                  <c:v>0.5222</c:v>
                </c:pt>
                <c:pt idx="11">
                  <c:v>0.64239999999999997</c:v>
                </c:pt>
                <c:pt idx="12">
                  <c:v>0.68510000000000004</c:v>
                </c:pt>
              </c:numCache>
            </c:numRef>
          </c:xVal>
          <c:yVal>
            <c:numRef>
              <c:f>P02_00h30!$C$7:$C$19</c:f>
              <c:numCache>
                <c:formatCode>0.0000</c:formatCode>
                <c:ptCount val="13"/>
                <c:pt idx="0">
                  <c:v>6.7599999999999993E-2</c:v>
                </c:pt>
                <c:pt idx="1">
                  <c:v>0.2389</c:v>
                </c:pt>
                <c:pt idx="2">
                  <c:v>0.35499999999999998</c:v>
                </c:pt>
                <c:pt idx="3">
                  <c:v>0.39629999999999999</c:v>
                </c:pt>
                <c:pt idx="4">
                  <c:v>0.35649999999999998</c:v>
                </c:pt>
                <c:pt idx="5">
                  <c:v>0.34129999999999999</c:v>
                </c:pt>
                <c:pt idx="6">
                  <c:v>-0.14430000000000001</c:v>
                </c:pt>
                <c:pt idx="7">
                  <c:v>-0.1915</c:v>
                </c:pt>
                <c:pt idx="8">
                  <c:v>-0.21540000000000001</c:v>
                </c:pt>
                <c:pt idx="9">
                  <c:v>-0.2485</c:v>
                </c:pt>
                <c:pt idx="10">
                  <c:v>-0.2044</c:v>
                </c:pt>
                <c:pt idx="11">
                  <c:v>-8.4199999999999997E-2</c:v>
                </c:pt>
                <c:pt idx="12">
                  <c:v>6.7599999999999993E-2</c:v>
                </c:pt>
              </c:numCache>
            </c:numRef>
          </c:yVal>
          <c:smooth val="0"/>
          <c:extLst>
            <c:ext xmlns:c16="http://schemas.microsoft.com/office/drawing/2014/chart" uri="{C3380CC4-5D6E-409C-BE32-E72D297353CC}">
              <c16:uniqueId val="{00000000-0A81-46B0-98F4-7B073E780163}"/>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P02_00h30!$B$4</c:f>
              <c:numCache>
                <c:formatCode>0.0000</c:formatCode>
                <c:ptCount val="1"/>
                <c:pt idx="0">
                  <c:v>0.4511</c:v>
                </c:pt>
              </c:numCache>
            </c:numRef>
          </c:xVal>
          <c:yVal>
            <c:numRef>
              <c:f>P02_00h30!$D$4</c:f>
              <c:numCache>
                <c:formatCode>0.0000</c:formatCode>
                <c:ptCount val="1"/>
                <c:pt idx="0">
                  <c:v>9.2399999999999996E-2</c:v>
                </c:pt>
              </c:numCache>
            </c:numRef>
          </c:yVal>
          <c:smooth val="1"/>
          <c:extLst>
            <c:ext xmlns:c16="http://schemas.microsoft.com/office/drawing/2014/chart" uri="{C3380CC4-5D6E-409C-BE32-E72D297353CC}">
              <c16:uniqueId val="{00000001-0A81-46B0-98F4-7B073E780163}"/>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P02_00h30!$D$7:$D$19</c:f>
              <c:numCache>
                <c:formatCode>0.0000</c:formatCode>
                <c:ptCount val="13"/>
                <c:pt idx="0">
                  <c:v>0.23400000000000004</c:v>
                </c:pt>
                <c:pt idx="1">
                  <c:v>0.18560000000000004</c:v>
                </c:pt>
                <c:pt idx="2">
                  <c:v>7.0900000000000019E-2</c:v>
                </c:pt>
                <c:pt idx="3">
                  <c:v>-8.6500000000000021E-2</c:v>
                </c:pt>
                <c:pt idx="4">
                  <c:v>-0.24099999999999999</c:v>
                </c:pt>
                <c:pt idx="5">
                  <c:v>-0.2641</c:v>
                </c:pt>
                <c:pt idx="6">
                  <c:v>-0.2666</c:v>
                </c:pt>
                <c:pt idx="7">
                  <c:v>-0.25480000000000003</c:v>
                </c:pt>
                <c:pt idx="8">
                  <c:v>-0.22140000000000001</c:v>
                </c:pt>
                <c:pt idx="9">
                  <c:v>-9.3200000000000005E-2</c:v>
                </c:pt>
                <c:pt idx="10">
                  <c:v>7.1099999999999997E-2</c:v>
                </c:pt>
                <c:pt idx="11">
                  <c:v>0.19129999999999997</c:v>
                </c:pt>
                <c:pt idx="12">
                  <c:v>0.23400000000000004</c:v>
                </c:pt>
              </c:numCache>
            </c:numRef>
          </c:xVal>
          <c:yVal>
            <c:numRef>
              <c:f>P02_00h30!$E$7:$E$19</c:f>
              <c:numCache>
                <c:formatCode>0.0000</c:formatCode>
                <c:ptCount val="13"/>
                <c:pt idx="0">
                  <c:v>-2.4800000000000003E-2</c:v>
                </c:pt>
                <c:pt idx="1">
                  <c:v>0.14650000000000002</c:v>
                </c:pt>
                <c:pt idx="2">
                  <c:v>0.2626</c:v>
                </c:pt>
                <c:pt idx="3">
                  <c:v>0.3039</c:v>
                </c:pt>
                <c:pt idx="4">
                  <c:v>0.2641</c:v>
                </c:pt>
                <c:pt idx="5">
                  <c:v>0.24890000000000001</c:v>
                </c:pt>
                <c:pt idx="6">
                  <c:v>-0.23670000000000002</c:v>
                </c:pt>
                <c:pt idx="7">
                  <c:v>-0.28389999999999999</c:v>
                </c:pt>
                <c:pt idx="8">
                  <c:v>-0.30780000000000002</c:v>
                </c:pt>
                <c:pt idx="9">
                  <c:v>-0.34089999999999998</c:v>
                </c:pt>
                <c:pt idx="10">
                  <c:v>-0.29680000000000001</c:v>
                </c:pt>
                <c:pt idx="11">
                  <c:v>-0.17659999999999998</c:v>
                </c:pt>
                <c:pt idx="12">
                  <c:v>-2.4800000000000003E-2</c:v>
                </c:pt>
              </c:numCache>
            </c:numRef>
          </c:yVal>
          <c:smooth val="0"/>
          <c:extLst>
            <c:ext xmlns:c16="http://schemas.microsoft.com/office/drawing/2014/chart" uri="{C3380CC4-5D6E-409C-BE32-E72D297353CC}">
              <c16:uniqueId val="{00000000-6EAA-4FBD-92C4-462EF272772D}"/>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01:00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P03_01h00!$B$7:$B$19</c:f>
              <c:numCache>
                <c:formatCode>0.0000</c:formatCode>
                <c:ptCount val="13"/>
                <c:pt idx="0">
                  <c:v>0.66900000000000004</c:v>
                </c:pt>
                <c:pt idx="1">
                  <c:v>0.62060000000000004</c:v>
                </c:pt>
                <c:pt idx="2">
                  <c:v>0.50370000000000004</c:v>
                </c:pt>
                <c:pt idx="3">
                  <c:v>0.34849999999999998</c:v>
                </c:pt>
                <c:pt idx="4">
                  <c:v>0.20039999999999999</c:v>
                </c:pt>
                <c:pt idx="5">
                  <c:v>0.1855</c:v>
                </c:pt>
                <c:pt idx="6">
                  <c:v>0.18329999999999999</c:v>
                </c:pt>
                <c:pt idx="7">
                  <c:v>0.19409999999999999</c:v>
                </c:pt>
                <c:pt idx="8">
                  <c:v>0.21679999999999999</c:v>
                </c:pt>
                <c:pt idx="9">
                  <c:v>0.34229999999999999</c:v>
                </c:pt>
                <c:pt idx="10">
                  <c:v>0.50639999999999996</c:v>
                </c:pt>
                <c:pt idx="11">
                  <c:v>0.62660000000000005</c:v>
                </c:pt>
                <c:pt idx="12">
                  <c:v>0.66900000000000004</c:v>
                </c:pt>
              </c:numCache>
            </c:numRef>
          </c:xVal>
          <c:yVal>
            <c:numRef>
              <c:f>P03_01h00!$C$7:$C$19</c:f>
              <c:numCache>
                <c:formatCode>0.0000</c:formatCode>
                <c:ptCount val="13"/>
                <c:pt idx="0">
                  <c:v>6.3100000000000003E-2</c:v>
                </c:pt>
                <c:pt idx="1">
                  <c:v>0.2354</c:v>
                </c:pt>
                <c:pt idx="2">
                  <c:v>0.3528</c:v>
                </c:pt>
                <c:pt idx="3">
                  <c:v>0.3931</c:v>
                </c:pt>
                <c:pt idx="4">
                  <c:v>0.3553</c:v>
                </c:pt>
                <c:pt idx="5">
                  <c:v>0.34570000000000001</c:v>
                </c:pt>
                <c:pt idx="6">
                  <c:v>-0.1595</c:v>
                </c:pt>
                <c:pt idx="7">
                  <c:v>-0.2041</c:v>
                </c:pt>
                <c:pt idx="8">
                  <c:v>-0.22009999999999999</c:v>
                </c:pt>
                <c:pt idx="9">
                  <c:v>-0.25180000000000002</c:v>
                </c:pt>
                <c:pt idx="10">
                  <c:v>-0.2077</c:v>
                </c:pt>
                <c:pt idx="11">
                  <c:v>-8.77E-2</c:v>
                </c:pt>
                <c:pt idx="12">
                  <c:v>6.3100000000000003E-2</c:v>
                </c:pt>
              </c:numCache>
            </c:numRef>
          </c:yVal>
          <c:smooth val="0"/>
          <c:extLst>
            <c:ext xmlns:c16="http://schemas.microsoft.com/office/drawing/2014/chart" uri="{C3380CC4-5D6E-409C-BE32-E72D297353CC}">
              <c16:uniqueId val="{00000000-EFEC-4B4B-A248-6E42361D6AA9}"/>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P03_01h00!$B$4</c:f>
              <c:numCache>
                <c:formatCode>0.0000</c:formatCode>
                <c:ptCount val="1"/>
                <c:pt idx="0">
                  <c:v>0.36120000000000002</c:v>
                </c:pt>
              </c:numCache>
            </c:numRef>
          </c:xVal>
          <c:yVal>
            <c:numRef>
              <c:f>P03_01h00!$D$4</c:f>
              <c:numCache>
                <c:formatCode>0.0000</c:formatCode>
                <c:ptCount val="1"/>
                <c:pt idx="0">
                  <c:v>7.3899999999999993E-2</c:v>
                </c:pt>
              </c:numCache>
            </c:numRef>
          </c:yVal>
          <c:smooth val="1"/>
          <c:extLst>
            <c:ext xmlns:c16="http://schemas.microsoft.com/office/drawing/2014/chart" uri="{C3380CC4-5D6E-409C-BE32-E72D297353CC}">
              <c16:uniqueId val="{00000001-EFEC-4B4B-A248-6E42361D6AA9}"/>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P03_01h00!$D$7:$D$19</c:f>
              <c:numCache>
                <c:formatCode>0.0000</c:formatCode>
                <c:ptCount val="13"/>
                <c:pt idx="0">
                  <c:v>0.30780000000000002</c:v>
                </c:pt>
                <c:pt idx="1">
                  <c:v>0.25940000000000002</c:v>
                </c:pt>
                <c:pt idx="2">
                  <c:v>0.14250000000000002</c:v>
                </c:pt>
                <c:pt idx="3">
                  <c:v>-1.2700000000000045E-2</c:v>
                </c:pt>
                <c:pt idx="4">
                  <c:v>-0.16080000000000003</c:v>
                </c:pt>
                <c:pt idx="5">
                  <c:v>-0.17570000000000002</c:v>
                </c:pt>
                <c:pt idx="6">
                  <c:v>-0.17790000000000003</c:v>
                </c:pt>
                <c:pt idx="7">
                  <c:v>-0.16710000000000003</c:v>
                </c:pt>
                <c:pt idx="8">
                  <c:v>-0.14440000000000003</c:v>
                </c:pt>
                <c:pt idx="9">
                  <c:v>-1.8900000000000028E-2</c:v>
                </c:pt>
                <c:pt idx="10">
                  <c:v>0.14519999999999994</c:v>
                </c:pt>
                <c:pt idx="11">
                  <c:v>0.26540000000000002</c:v>
                </c:pt>
                <c:pt idx="12">
                  <c:v>0.30780000000000002</c:v>
                </c:pt>
              </c:numCache>
            </c:numRef>
          </c:xVal>
          <c:yVal>
            <c:numRef>
              <c:f>P03_01h00!$E$7:$E$19</c:f>
              <c:numCache>
                <c:formatCode>0.0000</c:formatCode>
                <c:ptCount val="13"/>
                <c:pt idx="0">
                  <c:v>-1.079999999999999E-2</c:v>
                </c:pt>
                <c:pt idx="1">
                  <c:v>0.1615</c:v>
                </c:pt>
                <c:pt idx="2">
                  <c:v>0.27890000000000004</c:v>
                </c:pt>
                <c:pt idx="3">
                  <c:v>0.31920000000000004</c:v>
                </c:pt>
                <c:pt idx="4">
                  <c:v>0.28139999999999998</c:v>
                </c:pt>
                <c:pt idx="5">
                  <c:v>0.27180000000000004</c:v>
                </c:pt>
                <c:pt idx="6">
                  <c:v>-0.2334</c:v>
                </c:pt>
                <c:pt idx="7">
                  <c:v>-0.27800000000000002</c:v>
                </c:pt>
                <c:pt idx="8">
                  <c:v>-0.29399999999999998</c:v>
                </c:pt>
                <c:pt idx="9">
                  <c:v>-0.32569999999999999</c:v>
                </c:pt>
                <c:pt idx="10">
                  <c:v>-0.28159999999999996</c:v>
                </c:pt>
                <c:pt idx="11">
                  <c:v>-0.16159999999999999</c:v>
                </c:pt>
                <c:pt idx="12">
                  <c:v>-1.079999999999999E-2</c:v>
                </c:pt>
              </c:numCache>
            </c:numRef>
          </c:yVal>
          <c:smooth val="0"/>
          <c:extLst>
            <c:ext xmlns:c16="http://schemas.microsoft.com/office/drawing/2014/chart" uri="{C3380CC4-5D6E-409C-BE32-E72D297353CC}">
              <c16:uniqueId val="{00000000-6380-4478-8828-745F8006C243}"/>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01:30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P04_01h30!$B$7:$B$19</c:f>
              <c:numCache>
                <c:formatCode>0.0000</c:formatCode>
                <c:ptCount val="13"/>
                <c:pt idx="0">
                  <c:v>0.63800000000000001</c:v>
                </c:pt>
                <c:pt idx="1">
                  <c:v>0.58940000000000003</c:v>
                </c:pt>
                <c:pt idx="2">
                  <c:v>0.47389999999999999</c:v>
                </c:pt>
                <c:pt idx="3">
                  <c:v>0.31759999999999999</c:v>
                </c:pt>
                <c:pt idx="4">
                  <c:v>0.17510000000000001</c:v>
                </c:pt>
                <c:pt idx="5">
                  <c:v>0.16700000000000001</c:v>
                </c:pt>
                <c:pt idx="6">
                  <c:v>0.1648</c:v>
                </c:pt>
                <c:pt idx="7">
                  <c:v>0.17399999999999999</c:v>
                </c:pt>
                <c:pt idx="8">
                  <c:v>0.1923</c:v>
                </c:pt>
                <c:pt idx="9">
                  <c:v>0.31159999999999999</c:v>
                </c:pt>
                <c:pt idx="10">
                  <c:v>0.47560000000000002</c:v>
                </c:pt>
                <c:pt idx="11">
                  <c:v>0.59570000000000001</c:v>
                </c:pt>
                <c:pt idx="12">
                  <c:v>0.63800000000000001</c:v>
                </c:pt>
              </c:numCache>
            </c:numRef>
          </c:xVal>
          <c:yVal>
            <c:numRef>
              <c:f>P04_01h30!$C$7:$C$19</c:f>
              <c:numCache>
                <c:formatCode>0.0000</c:formatCode>
                <c:ptCount val="13"/>
                <c:pt idx="0">
                  <c:v>5.6099999999999997E-2</c:v>
                </c:pt>
                <c:pt idx="1">
                  <c:v>0.2293</c:v>
                </c:pt>
                <c:pt idx="2">
                  <c:v>0.34589999999999999</c:v>
                </c:pt>
                <c:pt idx="3">
                  <c:v>0.38679999999999998</c:v>
                </c:pt>
                <c:pt idx="4">
                  <c:v>0.35099999999999998</c:v>
                </c:pt>
                <c:pt idx="5">
                  <c:v>0.34589999999999999</c:v>
                </c:pt>
                <c:pt idx="6">
                  <c:v>-0.18049999999999999</c:v>
                </c:pt>
                <c:pt idx="7">
                  <c:v>-0.2157</c:v>
                </c:pt>
                <c:pt idx="8">
                  <c:v>-0.22850000000000001</c:v>
                </c:pt>
                <c:pt idx="9">
                  <c:v>-0.25819999999999999</c:v>
                </c:pt>
                <c:pt idx="10">
                  <c:v>-0.2142</c:v>
                </c:pt>
                <c:pt idx="11">
                  <c:v>-9.4200000000000006E-2</c:v>
                </c:pt>
                <c:pt idx="12">
                  <c:v>5.6099999999999997E-2</c:v>
                </c:pt>
              </c:numCache>
            </c:numRef>
          </c:yVal>
          <c:smooth val="0"/>
          <c:extLst>
            <c:ext xmlns:c16="http://schemas.microsoft.com/office/drawing/2014/chart" uri="{C3380CC4-5D6E-409C-BE32-E72D297353CC}">
              <c16:uniqueId val="{00000000-F1D8-4D3F-8886-1EE5F3F27A35}"/>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P04_01h30!$B$4</c:f>
              <c:numCache>
                <c:formatCode>0.0000</c:formatCode>
                <c:ptCount val="1"/>
                <c:pt idx="0">
                  <c:v>0.3453</c:v>
                </c:pt>
              </c:numCache>
            </c:numRef>
          </c:xVal>
          <c:yVal>
            <c:numRef>
              <c:f>P04_01h30!$D$4</c:f>
              <c:numCache>
                <c:formatCode>0.0000</c:formatCode>
                <c:ptCount val="1"/>
                <c:pt idx="0">
                  <c:v>7.0699999999999999E-2</c:v>
                </c:pt>
              </c:numCache>
            </c:numRef>
          </c:yVal>
          <c:smooth val="1"/>
          <c:extLst>
            <c:ext xmlns:c16="http://schemas.microsoft.com/office/drawing/2014/chart" uri="{C3380CC4-5D6E-409C-BE32-E72D297353CC}">
              <c16:uniqueId val="{00000001-F1D8-4D3F-8886-1EE5F3F27A35}"/>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P04_01h30!$D$7:$D$19</c:f>
              <c:numCache>
                <c:formatCode>0.0000</c:formatCode>
                <c:ptCount val="13"/>
                <c:pt idx="0">
                  <c:v>0.29270000000000002</c:v>
                </c:pt>
                <c:pt idx="1">
                  <c:v>0.24410000000000004</c:v>
                </c:pt>
                <c:pt idx="2">
                  <c:v>0.12859999999999999</c:v>
                </c:pt>
                <c:pt idx="3">
                  <c:v>-2.7700000000000002E-2</c:v>
                </c:pt>
                <c:pt idx="4">
                  <c:v>-0.17019999999999999</c:v>
                </c:pt>
                <c:pt idx="5">
                  <c:v>-0.17829999999999999</c:v>
                </c:pt>
                <c:pt idx="6">
                  <c:v>-0.18049999999999999</c:v>
                </c:pt>
                <c:pt idx="7">
                  <c:v>-0.17130000000000001</c:v>
                </c:pt>
                <c:pt idx="8">
                  <c:v>-0.153</c:v>
                </c:pt>
                <c:pt idx="9">
                  <c:v>-3.3700000000000008E-2</c:v>
                </c:pt>
                <c:pt idx="10">
                  <c:v>0.13030000000000003</c:v>
                </c:pt>
                <c:pt idx="11">
                  <c:v>0.25040000000000001</c:v>
                </c:pt>
                <c:pt idx="12">
                  <c:v>0.29270000000000002</c:v>
                </c:pt>
              </c:numCache>
            </c:numRef>
          </c:xVal>
          <c:yVal>
            <c:numRef>
              <c:f>P04_01h30!$E$7:$E$19</c:f>
              <c:numCache>
                <c:formatCode>0.0000</c:formatCode>
                <c:ptCount val="13"/>
                <c:pt idx="0">
                  <c:v>-1.4600000000000002E-2</c:v>
                </c:pt>
                <c:pt idx="1">
                  <c:v>0.15860000000000002</c:v>
                </c:pt>
                <c:pt idx="2">
                  <c:v>0.2752</c:v>
                </c:pt>
                <c:pt idx="3">
                  <c:v>0.31609999999999999</c:v>
                </c:pt>
                <c:pt idx="4">
                  <c:v>0.28029999999999999</c:v>
                </c:pt>
                <c:pt idx="5">
                  <c:v>0.2752</c:v>
                </c:pt>
                <c:pt idx="6">
                  <c:v>-0.25119999999999998</c:v>
                </c:pt>
                <c:pt idx="7">
                  <c:v>-0.28639999999999999</c:v>
                </c:pt>
                <c:pt idx="8">
                  <c:v>-0.29920000000000002</c:v>
                </c:pt>
                <c:pt idx="9">
                  <c:v>-0.32889999999999997</c:v>
                </c:pt>
                <c:pt idx="10">
                  <c:v>-0.28489999999999999</c:v>
                </c:pt>
                <c:pt idx="11">
                  <c:v>-0.16489999999999999</c:v>
                </c:pt>
                <c:pt idx="12">
                  <c:v>-1.4600000000000002E-2</c:v>
                </c:pt>
              </c:numCache>
            </c:numRef>
          </c:yVal>
          <c:smooth val="0"/>
          <c:extLst>
            <c:ext xmlns:c16="http://schemas.microsoft.com/office/drawing/2014/chart" uri="{C3380CC4-5D6E-409C-BE32-E72D297353CC}">
              <c16:uniqueId val="{00000000-0B2D-4EEC-B97D-92EBC64869B2}"/>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02:00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P05_02h00!$B$7:$B$19</c:f>
              <c:numCache>
                <c:formatCode>0.0000</c:formatCode>
                <c:ptCount val="13"/>
                <c:pt idx="0">
                  <c:v>0.62929999999999997</c:v>
                </c:pt>
                <c:pt idx="1">
                  <c:v>0.58089999999999997</c:v>
                </c:pt>
                <c:pt idx="2">
                  <c:v>0.46529999999999999</c:v>
                </c:pt>
                <c:pt idx="3">
                  <c:v>0.30840000000000001</c:v>
                </c:pt>
                <c:pt idx="4">
                  <c:v>0.1734</c:v>
                </c:pt>
                <c:pt idx="5">
                  <c:v>0.16930000000000001</c:v>
                </c:pt>
                <c:pt idx="6">
                  <c:v>0.16719999999999999</c:v>
                </c:pt>
                <c:pt idx="7">
                  <c:v>0.1762</c:v>
                </c:pt>
                <c:pt idx="8">
                  <c:v>0.1915</c:v>
                </c:pt>
                <c:pt idx="9">
                  <c:v>0.30280000000000001</c:v>
                </c:pt>
                <c:pt idx="10">
                  <c:v>0.4667</c:v>
                </c:pt>
                <c:pt idx="11">
                  <c:v>0.5867</c:v>
                </c:pt>
                <c:pt idx="12">
                  <c:v>0.62929999999999997</c:v>
                </c:pt>
              </c:numCache>
            </c:numRef>
          </c:xVal>
          <c:yVal>
            <c:numRef>
              <c:f>P05_02h00!$C$7:$C$19</c:f>
              <c:numCache>
                <c:formatCode>0.0000</c:formatCode>
                <c:ptCount val="13"/>
                <c:pt idx="0">
                  <c:v>5.5500000000000001E-2</c:v>
                </c:pt>
                <c:pt idx="1">
                  <c:v>0.2273</c:v>
                </c:pt>
                <c:pt idx="2">
                  <c:v>0.34399999999999997</c:v>
                </c:pt>
                <c:pt idx="3">
                  <c:v>0.3851</c:v>
                </c:pt>
                <c:pt idx="4">
                  <c:v>0.35260000000000002</c:v>
                </c:pt>
                <c:pt idx="5">
                  <c:v>0.35</c:v>
                </c:pt>
                <c:pt idx="6">
                  <c:v>-0.18859999999999999</c:v>
                </c:pt>
                <c:pt idx="7">
                  <c:v>-0.22309999999999999</c:v>
                </c:pt>
                <c:pt idx="8">
                  <c:v>-0.23369999999999999</c:v>
                </c:pt>
                <c:pt idx="9">
                  <c:v>-0.2601</c:v>
                </c:pt>
                <c:pt idx="10">
                  <c:v>-0.21609999999999999</c:v>
                </c:pt>
                <c:pt idx="11">
                  <c:v>-9.6299999999999997E-2</c:v>
                </c:pt>
                <c:pt idx="12">
                  <c:v>5.5500000000000001E-2</c:v>
                </c:pt>
              </c:numCache>
            </c:numRef>
          </c:yVal>
          <c:smooth val="0"/>
          <c:extLst>
            <c:ext xmlns:c16="http://schemas.microsoft.com/office/drawing/2014/chart" uri="{C3380CC4-5D6E-409C-BE32-E72D297353CC}">
              <c16:uniqueId val="{00000000-BD74-4D84-B9BC-E32FD32E34B1}"/>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P05_02h00!$B$4</c:f>
              <c:numCache>
                <c:formatCode>0.0000</c:formatCode>
                <c:ptCount val="1"/>
                <c:pt idx="0">
                  <c:v>0.31459999999999999</c:v>
                </c:pt>
              </c:numCache>
            </c:numRef>
          </c:xVal>
          <c:yVal>
            <c:numRef>
              <c:f>P05_02h00!$D$4</c:f>
              <c:numCache>
                <c:formatCode>0.0000</c:formatCode>
                <c:ptCount val="1"/>
                <c:pt idx="0">
                  <c:v>6.4299999999999996E-2</c:v>
                </c:pt>
              </c:numCache>
            </c:numRef>
          </c:yVal>
          <c:smooth val="1"/>
          <c:extLst>
            <c:ext xmlns:c16="http://schemas.microsoft.com/office/drawing/2014/chart" uri="{C3380CC4-5D6E-409C-BE32-E72D297353CC}">
              <c16:uniqueId val="{00000001-BD74-4D84-B9BC-E32FD32E34B1}"/>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P05_02h00!$D$7:$D$19</c:f>
              <c:numCache>
                <c:formatCode>0.0000</c:formatCode>
                <c:ptCount val="13"/>
                <c:pt idx="0">
                  <c:v>0.31469999999999998</c:v>
                </c:pt>
                <c:pt idx="1">
                  <c:v>0.26629999999999998</c:v>
                </c:pt>
                <c:pt idx="2">
                  <c:v>0.1507</c:v>
                </c:pt>
                <c:pt idx="3">
                  <c:v>-6.1999999999999833E-3</c:v>
                </c:pt>
                <c:pt idx="4">
                  <c:v>-0.14119999999999999</c:v>
                </c:pt>
                <c:pt idx="5">
                  <c:v>-0.14529999999999998</c:v>
                </c:pt>
                <c:pt idx="6">
                  <c:v>-0.1474</c:v>
                </c:pt>
                <c:pt idx="7">
                  <c:v>-0.1384</c:v>
                </c:pt>
                <c:pt idx="8">
                  <c:v>-0.12309999999999999</c:v>
                </c:pt>
                <c:pt idx="9">
                  <c:v>-1.1799999999999977E-2</c:v>
                </c:pt>
                <c:pt idx="10">
                  <c:v>0.15210000000000001</c:v>
                </c:pt>
                <c:pt idx="11">
                  <c:v>0.27210000000000001</c:v>
                </c:pt>
                <c:pt idx="12">
                  <c:v>0.31469999999999998</c:v>
                </c:pt>
              </c:numCache>
            </c:numRef>
          </c:xVal>
          <c:yVal>
            <c:numRef>
              <c:f>P05_02h00!$E$7:$E$19</c:f>
              <c:numCache>
                <c:formatCode>0.0000</c:formatCode>
                <c:ptCount val="13"/>
                <c:pt idx="0">
                  <c:v>-8.7999999999999953E-3</c:v>
                </c:pt>
                <c:pt idx="1">
                  <c:v>0.16300000000000001</c:v>
                </c:pt>
                <c:pt idx="2">
                  <c:v>0.27969999999999995</c:v>
                </c:pt>
                <c:pt idx="3">
                  <c:v>0.32079999999999997</c:v>
                </c:pt>
                <c:pt idx="4">
                  <c:v>0.2883</c:v>
                </c:pt>
                <c:pt idx="5">
                  <c:v>0.28569999999999995</c:v>
                </c:pt>
                <c:pt idx="6">
                  <c:v>-0.25290000000000001</c:v>
                </c:pt>
                <c:pt idx="7">
                  <c:v>-0.28739999999999999</c:v>
                </c:pt>
                <c:pt idx="8">
                  <c:v>-0.29799999999999999</c:v>
                </c:pt>
                <c:pt idx="9">
                  <c:v>-0.32440000000000002</c:v>
                </c:pt>
                <c:pt idx="10">
                  <c:v>-0.28039999999999998</c:v>
                </c:pt>
                <c:pt idx="11">
                  <c:v>-0.16059999999999999</c:v>
                </c:pt>
                <c:pt idx="12">
                  <c:v>-8.7999999999999953E-3</c:v>
                </c:pt>
              </c:numCache>
            </c:numRef>
          </c:yVal>
          <c:smooth val="0"/>
          <c:extLst>
            <c:ext xmlns:c16="http://schemas.microsoft.com/office/drawing/2014/chart" uri="{C3380CC4-5D6E-409C-BE32-E72D297353CC}">
              <c16:uniqueId val="{00000000-5E55-414A-BEB2-71ACC3F21D4C}"/>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02:30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P06_02h30!$B$7:$B$19</c:f>
              <c:numCache>
                <c:formatCode>0.0000</c:formatCode>
                <c:ptCount val="13"/>
                <c:pt idx="0">
                  <c:v>0.63280000000000003</c:v>
                </c:pt>
                <c:pt idx="1">
                  <c:v>0.58450000000000002</c:v>
                </c:pt>
                <c:pt idx="2">
                  <c:v>0.46710000000000002</c:v>
                </c:pt>
                <c:pt idx="3">
                  <c:v>0.31219999999999998</c:v>
                </c:pt>
                <c:pt idx="4">
                  <c:v>0.1862</c:v>
                </c:pt>
                <c:pt idx="5">
                  <c:v>0.18379999999999999</c:v>
                </c:pt>
                <c:pt idx="6">
                  <c:v>0.18160000000000001</c:v>
                </c:pt>
                <c:pt idx="7">
                  <c:v>0.18990000000000001</c:v>
                </c:pt>
                <c:pt idx="8">
                  <c:v>0.1993</c:v>
                </c:pt>
                <c:pt idx="9">
                  <c:v>0.30659999999999998</c:v>
                </c:pt>
                <c:pt idx="10">
                  <c:v>0.47049999999999997</c:v>
                </c:pt>
                <c:pt idx="11">
                  <c:v>0.59050000000000002</c:v>
                </c:pt>
                <c:pt idx="12">
                  <c:v>0.63280000000000003</c:v>
                </c:pt>
              </c:numCache>
            </c:numRef>
          </c:xVal>
          <c:yVal>
            <c:numRef>
              <c:f>P06_02h30!$C$7:$C$19</c:f>
              <c:numCache>
                <c:formatCode>0.0000</c:formatCode>
                <c:ptCount val="13"/>
                <c:pt idx="0">
                  <c:v>5.5E-2</c:v>
                </c:pt>
                <c:pt idx="1">
                  <c:v>0.22750000000000001</c:v>
                </c:pt>
                <c:pt idx="2">
                  <c:v>0.34560000000000002</c:v>
                </c:pt>
                <c:pt idx="3">
                  <c:v>0.38579999999999998</c:v>
                </c:pt>
                <c:pt idx="4">
                  <c:v>0.35709999999999997</c:v>
                </c:pt>
                <c:pt idx="5">
                  <c:v>0.35560000000000003</c:v>
                </c:pt>
                <c:pt idx="6">
                  <c:v>-0.19969999999999999</c:v>
                </c:pt>
                <c:pt idx="7">
                  <c:v>-0.2288</c:v>
                </c:pt>
                <c:pt idx="8">
                  <c:v>-0.23530000000000001</c:v>
                </c:pt>
                <c:pt idx="9">
                  <c:v>-0.25929999999999997</c:v>
                </c:pt>
                <c:pt idx="10">
                  <c:v>-0.21529999999999999</c:v>
                </c:pt>
                <c:pt idx="11">
                  <c:v>-9.5399999999999999E-2</c:v>
                </c:pt>
                <c:pt idx="12">
                  <c:v>5.5E-2</c:v>
                </c:pt>
              </c:numCache>
            </c:numRef>
          </c:yVal>
          <c:smooth val="0"/>
          <c:extLst>
            <c:ext xmlns:c16="http://schemas.microsoft.com/office/drawing/2014/chart" uri="{C3380CC4-5D6E-409C-BE32-E72D297353CC}">
              <c16:uniqueId val="{00000000-99E8-43D7-9FD0-D1A407A936F7}"/>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P06_02h30!$B$4</c:f>
              <c:numCache>
                <c:formatCode>0.0000</c:formatCode>
                <c:ptCount val="1"/>
                <c:pt idx="0">
                  <c:v>0.30549999999999999</c:v>
                </c:pt>
              </c:numCache>
            </c:numRef>
          </c:xVal>
          <c:yVal>
            <c:numRef>
              <c:f>P06_02h30!$D$4</c:f>
              <c:numCache>
                <c:formatCode>0.0000</c:formatCode>
                <c:ptCount val="1"/>
                <c:pt idx="0">
                  <c:v>6.25E-2</c:v>
                </c:pt>
              </c:numCache>
            </c:numRef>
          </c:yVal>
          <c:smooth val="1"/>
          <c:extLst>
            <c:ext xmlns:c16="http://schemas.microsoft.com/office/drawing/2014/chart" uri="{C3380CC4-5D6E-409C-BE32-E72D297353CC}">
              <c16:uniqueId val="{00000001-99E8-43D7-9FD0-D1A407A936F7}"/>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P06_02h30!$D$7:$D$19</c:f>
              <c:numCache>
                <c:formatCode>0.0000</c:formatCode>
                <c:ptCount val="13"/>
                <c:pt idx="0">
                  <c:v>0.32730000000000004</c:v>
                </c:pt>
                <c:pt idx="1">
                  <c:v>0.27900000000000003</c:v>
                </c:pt>
                <c:pt idx="2">
                  <c:v>0.16160000000000002</c:v>
                </c:pt>
                <c:pt idx="3">
                  <c:v>6.6999999999999837E-3</c:v>
                </c:pt>
                <c:pt idx="4">
                  <c:v>-0.11929999999999999</c:v>
                </c:pt>
                <c:pt idx="5">
                  <c:v>-0.1217</c:v>
                </c:pt>
                <c:pt idx="6">
                  <c:v>-0.12389999999999998</c:v>
                </c:pt>
                <c:pt idx="7">
                  <c:v>-0.11559999999999998</c:v>
                </c:pt>
                <c:pt idx="8">
                  <c:v>-0.10619999999999999</c:v>
                </c:pt>
                <c:pt idx="9">
                  <c:v>1.0999999999999899E-3</c:v>
                </c:pt>
                <c:pt idx="10">
                  <c:v>0.16499999999999998</c:v>
                </c:pt>
                <c:pt idx="11">
                  <c:v>0.28500000000000003</c:v>
                </c:pt>
                <c:pt idx="12">
                  <c:v>0.32730000000000004</c:v>
                </c:pt>
              </c:numCache>
            </c:numRef>
          </c:xVal>
          <c:yVal>
            <c:numRef>
              <c:f>P06_02h30!$E$7:$E$19</c:f>
              <c:numCache>
                <c:formatCode>0.0000</c:formatCode>
                <c:ptCount val="13"/>
                <c:pt idx="0">
                  <c:v>-7.4999999999999997E-3</c:v>
                </c:pt>
                <c:pt idx="1">
                  <c:v>0.16500000000000001</c:v>
                </c:pt>
                <c:pt idx="2">
                  <c:v>0.28310000000000002</c:v>
                </c:pt>
                <c:pt idx="3">
                  <c:v>0.32329999999999998</c:v>
                </c:pt>
                <c:pt idx="4">
                  <c:v>0.29459999999999997</c:v>
                </c:pt>
                <c:pt idx="5">
                  <c:v>0.29310000000000003</c:v>
                </c:pt>
                <c:pt idx="6">
                  <c:v>-0.26219999999999999</c:v>
                </c:pt>
                <c:pt idx="7">
                  <c:v>-0.2913</c:v>
                </c:pt>
                <c:pt idx="8">
                  <c:v>-0.29780000000000001</c:v>
                </c:pt>
                <c:pt idx="9">
                  <c:v>-0.32179999999999997</c:v>
                </c:pt>
                <c:pt idx="10">
                  <c:v>-0.27779999999999999</c:v>
                </c:pt>
                <c:pt idx="11">
                  <c:v>-0.15789999999999998</c:v>
                </c:pt>
                <c:pt idx="12">
                  <c:v>-7.4999999999999997E-3</c:v>
                </c:pt>
              </c:numCache>
            </c:numRef>
          </c:yVal>
          <c:smooth val="0"/>
          <c:extLst>
            <c:ext xmlns:c16="http://schemas.microsoft.com/office/drawing/2014/chart" uri="{C3380CC4-5D6E-409C-BE32-E72D297353CC}">
              <c16:uniqueId val="{00000000-9525-48BC-8DA9-17A7115C0097}"/>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03:00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P07_03h00!$B$7:$B$19</c:f>
              <c:numCache>
                <c:formatCode>0.0000</c:formatCode>
                <c:ptCount val="13"/>
                <c:pt idx="0">
                  <c:v>0.63600000000000001</c:v>
                </c:pt>
                <c:pt idx="1">
                  <c:v>0.58750000000000002</c:v>
                </c:pt>
                <c:pt idx="2">
                  <c:v>0.47239999999999999</c:v>
                </c:pt>
                <c:pt idx="3">
                  <c:v>0.31519999999999998</c:v>
                </c:pt>
                <c:pt idx="4">
                  <c:v>0.1996</c:v>
                </c:pt>
                <c:pt idx="5">
                  <c:v>0.19819999999999999</c:v>
                </c:pt>
                <c:pt idx="6">
                  <c:v>0.1958</c:v>
                </c:pt>
                <c:pt idx="7">
                  <c:v>0.2031</c:v>
                </c:pt>
                <c:pt idx="8">
                  <c:v>0.21099999999999999</c:v>
                </c:pt>
                <c:pt idx="9">
                  <c:v>0.30940000000000001</c:v>
                </c:pt>
                <c:pt idx="10">
                  <c:v>0.4733</c:v>
                </c:pt>
                <c:pt idx="11">
                  <c:v>0.59340000000000004</c:v>
                </c:pt>
                <c:pt idx="12">
                  <c:v>0.63600000000000001</c:v>
                </c:pt>
              </c:numCache>
            </c:numRef>
          </c:xVal>
          <c:yVal>
            <c:numRef>
              <c:f>P07_03h00!$C$7:$C$19</c:f>
              <c:numCache>
                <c:formatCode>0.0000</c:formatCode>
                <c:ptCount val="13"/>
                <c:pt idx="0">
                  <c:v>5.7700000000000001E-2</c:v>
                </c:pt>
                <c:pt idx="1">
                  <c:v>0.22939999999999999</c:v>
                </c:pt>
                <c:pt idx="2">
                  <c:v>0.34589999999999999</c:v>
                </c:pt>
                <c:pt idx="3">
                  <c:v>0.3871</c:v>
                </c:pt>
                <c:pt idx="4">
                  <c:v>0.3624</c:v>
                </c:pt>
                <c:pt idx="5">
                  <c:v>0.36149999999999999</c:v>
                </c:pt>
                <c:pt idx="6">
                  <c:v>-0.2016</c:v>
                </c:pt>
                <c:pt idx="7">
                  <c:v>-0.23100000000000001</c:v>
                </c:pt>
                <c:pt idx="8">
                  <c:v>-0.23630000000000001</c:v>
                </c:pt>
                <c:pt idx="9">
                  <c:v>-0.25800000000000001</c:v>
                </c:pt>
                <c:pt idx="10">
                  <c:v>-0.214</c:v>
                </c:pt>
                <c:pt idx="11">
                  <c:v>-9.4100000000000003E-2</c:v>
                </c:pt>
                <c:pt idx="12">
                  <c:v>5.7700000000000001E-2</c:v>
                </c:pt>
              </c:numCache>
            </c:numRef>
          </c:yVal>
          <c:smooth val="0"/>
          <c:extLst>
            <c:ext xmlns:c16="http://schemas.microsoft.com/office/drawing/2014/chart" uri="{C3380CC4-5D6E-409C-BE32-E72D297353CC}">
              <c16:uniqueId val="{00000000-628B-49B7-B35E-62FA2F84E51F}"/>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P07_03h00!$B$4</c:f>
              <c:numCache>
                <c:formatCode>0.0000</c:formatCode>
                <c:ptCount val="1"/>
                <c:pt idx="0">
                  <c:v>0.30930000000000002</c:v>
                </c:pt>
              </c:numCache>
            </c:numRef>
          </c:xVal>
          <c:yVal>
            <c:numRef>
              <c:f>P07_03h00!$D$4</c:f>
              <c:numCache>
                <c:formatCode>0.0000</c:formatCode>
                <c:ptCount val="1"/>
                <c:pt idx="0">
                  <c:v>6.3200000000000006E-2</c:v>
                </c:pt>
              </c:numCache>
            </c:numRef>
          </c:yVal>
          <c:smooth val="1"/>
          <c:extLst>
            <c:ext xmlns:c16="http://schemas.microsoft.com/office/drawing/2014/chart" uri="{C3380CC4-5D6E-409C-BE32-E72D297353CC}">
              <c16:uniqueId val="{00000001-628B-49B7-B35E-62FA2F84E51F}"/>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P07_03h00!$D$7:$D$19</c:f>
              <c:numCache>
                <c:formatCode>0.0000</c:formatCode>
                <c:ptCount val="13"/>
                <c:pt idx="0">
                  <c:v>0.32669999999999999</c:v>
                </c:pt>
                <c:pt idx="1">
                  <c:v>0.2782</c:v>
                </c:pt>
                <c:pt idx="2">
                  <c:v>0.16309999999999997</c:v>
                </c:pt>
                <c:pt idx="3">
                  <c:v>5.8999999999999608E-3</c:v>
                </c:pt>
                <c:pt idx="4">
                  <c:v>-0.10970000000000002</c:v>
                </c:pt>
                <c:pt idx="5">
                  <c:v>-0.11110000000000003</c:v>
                </c:pt>
                <c:pt idx="6">
                  <c:v>-0.11350000000000002</c:v>
                </c:pt>
                <c:pt idx="7">
                  <c:v>-0.10620000000000002</c:v>
                </c:pt>
                <c:pt idx="8">
                  <c:v>-9.8300000000000026E-2</c:v>
                </c:pt>
                <c:pt idx="9">
                  <c:v>9.9999999999988987E-5</c:v>
                </c:pt>
                <c:pt idx="10">
                  <c:v>0.16399999999999998</c:v>
                </c:pt>
                <c:pt idx="11">
                  <c:v>0.28410000000000002</c:v>
                </c:pt>
                <c:pt idx="12">
                  <c:v>0.32669999999999999</c:v>
                </c:pt>
              </c:numCache>
            </c:numRef>
          </c:xVal>
          <c:yVal>
            <c:numRef>
              <c:f>P07_03h00!$E$7:$E$19</c:f>
              <c:numCache>
                <c:formatCode>0.0000</c:formatCode>
                <c:ptCount val="13"/>
                <c:pt idx="0">
                  <c:v>-5.5000000000000049E-3</c:v>
                </c:pt>
                <c:pt idx="1">
                  <c:v>0.16619999999999999</c:v>
                </c:pt>
                <c:pt idx="2">
                  <c:v>0.28269999999999995</c:v>
                </c:pt>
                <c:pt idx="3">
                  <c:v>0.32389999999999997</c:v>
                </c:pt>
                <c:pt idx="4">
                  <c:v>0.29920000000000002</c:v>
                </c:pt>
                <c:pt idx="5">
                  <c:v>0.29830000000000001</c:v>
                </c:pt>
                <c:pt idx="6">
                  <c:v>-0.26480000000000004</c:v>
                </c:pt>
                <c:pt idx="7">
                  <c:v>-0.29420000000000002</c:v>
                </c:pt>
                <c:pt idx="8">
                  <c:v>-0.29949999999999999</c:v>
                </c:pt>
                <c:pt idx="9">
                  <c:v>-0.32120000000000004</c:v>
                </c:pt>
                <c:pt idx="10">
                  <c:v>-0.2772</c:v>
                </c:pt>
                <c:pt idx="11">
                  <c:v>-0.1573</c:v>
                </c:pt>
                <c:pt idx="12">
                  <c:v>-5.5000000000000049E-3</c:v>
                </c:pt>
              </c:numCache>
            </c:numRef>
          </c:yVal>
          <c:smooth val="0"/>
          <c:extLst>
            <c:ext xmlns:c16="http://schemas.microsoft.com/office/drawing/2014/chart" uri="{C3380CC4-5D6E-409C-BE32-E72D297353CC}">
              <c16:uniqueId val="{00000000-839F-4E3A-9CE9-5BFCFAE324B2}"/>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03:30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P08_03h30!$B$7:$B$19</c:f>
              <c:numCache>
                <c:formatCode>0.0000</c:formatCode>
                <c:ptCount val="13"/>
                <c:pt idx="0">
                  <c:v>0.56769999999999998</c:v>
                </c:pt>
                <c:pt idx="1">
                  <c:v>0.51910000000000001</c:v>
                </c:pt>
                <c:pt idx="2">
                  <c:v>0.40389999999999998</c:v>
                </c:pt>
                <c:pt idx="3">
                  <c:v>0.24679999999999999</c:v>
                </c:pt>
                <c:pt idx="4">
                  <c:v>0.1424</c:v>
                </c:pt>
                <c:pt idx="5">
                  <c:v>0.1414</c:v>
                </c:pt>
                <c:pt idx="6">
                  <c:v>0.1394</c:v>
                </c:pt>
                <c:pt idx="7">
                  <c:v>0.14580000000000001</c:v>
                </c:pt>
                <c:pt idx="8">
                  <c:v>0.15329999999999999</c:v>
                </c:pt>
                <c:pt idx="9">
                  <c:v>0.24199999999999999</c:v>
                </c:pt>
                <c:pt idx="10">
                  <c:v>0.40550000000000003</c:v>
                </c:pt>
                <c:pt idx="11">
                  <c:v>0.5252</c:v>
                </c:pt>
                <c:pt idx="12">
                  <c:v>0.56769999999999998</c:v>
                </c:pt>
              </c:numCache>
            </c:numRef>
          </c:xVal>
          <c:yVal>
            <c:numRef>
              <c:f>P08_03h30!$C$7:$C$19</c:f>
              <c:numCache>
                <c:formatCode>0.0000</c:formatCode>
                <c:ptCount val="13"/>
                <c:pt idx="0">
                  <c:v>5.1200000000000002E-2</c:v>
                </c:pt>
                <c:pt idx="1">
                  <c:v>0.22409999999999999</c:v>
                </c:pt>
                <c:pt idx="2">
                  <c:v>0.3407</c:v>
                </c:pt>
                <c:pt idx="3">
                  <c:v>0.38200000000000001</c:v>
                </c:pt>
                <c:pt idx="4">
                  <c:v>0.36099999999999999</c:v>
                </c:pt>
                <c:pt idx="5">
                  <c:v>0.3604</c:v>
                </c:pt>
                <c:pt idx="6">
                  <c:v>-0.2162</c:v>
                </c:pt>
                <c:pt idx="7">
                  <c:v>-0.23949999999999999</c:v>
                </c:pt>
                <c:pt idx="8">
                  <c:v>-0.24460000000000001</c:v>
                </c:pt>
                <c:pt idx="9">
                  <c:v>-0.26340000000000002</c:v>
                </c:pt>
                <c:pt idx="10">
                  <c:v>-0.2195</c:v>
                </c:pt>
                <c:pt idx="11">
                  <c:v>-9.98E-2</c:v>
                </c:pt>
                <c:pt idx="12">
                  <c:v>5.1200000000000002E-2</c:v>
                </c:pt>
              </c:numCache>
            </c:numRef>
          </c:yVal>
          <c:smooth val="0"/>
          <c:extLst>
            <c:ext xmlns:c16="http://schemas.microsoft.com/office/drawing/2014/chart" uri="{C3380CC4-5D6E-409C-BE32-E72D297353CC}">
              <c16:uniqueId val="{00000000-6037-415F-A044-ED062C1C0F24}"/>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P08_03h30!$B$4</c:f>
              <c:numCache>
                <c:formatCode>0.0000</c:formatCode>
                <c:ptCount val="1"/>
                <c:pt idx="0">
                  <c:v>0.31230000000000002</c:v>
                </c:pt>
              </c:numCache>
            </c:numRef>
          </c:xVal>
          <c:yVal>
            <c:numRef>
              <c:f>P08_03h30!$D$4</c:f>
              <c:numCache>
                <c:formatCode>0.0000</c:formatCode>
                <c:ptCount val="1"/>
                <c:pt idx="0">
                  <c:v>6.4500000000000002E-2</c:v>
                </c:pt>
              </c:numCache>
            </c:numRef>
          </c:yVal>
          <c:smooth val="1"/>
          <c:extLst>
            <c:ext xmlns:c16="http://schemas.microsoft.com/office/drawing/2014/chart" uri="{C3380CC4-5D6E-409C-BE32-E72D297353CC}">
              <c16:uniqueId val="{00000001-6037-415F-A044-ED062C1C0F24}"/>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P08_03h30!$D$7:$D$19</c:f>
              <c:numCache>
                <c:formatCode>0.0000</c:formatCode>
                <c:ptCount val="13"/>
                <c:pt idx="0">
                  <c:v>0.25539999999999996</c:v>
                </c:pt>
                <c:pt idx="1">
                  <c:v>0.20679999999999998</c:v>
                </c:pt>
                <c:pt idx="2">
                  <c:v>9.1599999999999959E-2</c:v>
                </c:pt>
                <c:pt idx="3">
                  <c:v>-6.550000000000003E-2</c:v>
                </c:pt>
                <c:pt idx="4">
                  <c:v>-0.16990000000000002</c:v>
                </c:pt>
                <c:pt idx="5">
                  <c:v>-0.17090000000000002</c:v>
                </c:pt>
                <c:pt idx="6">
                  <c:v>-0.17290000000000003</c:v>
                </c:pt>
                <c:pt idx="7">
                  <c:v>-0.16650000000000001</c:v>
                </c:pt>
                <c:pt idx="8">
                  <c:v>-0.15900000000000003</c:v>
                </c:pt>
                <c:pt idx="9">
                  <c:v>-7.0300000000000029E-2</c:v>
                </c:pt>
                <c:pt idx="10">
                  <c:v>9.3200000000000005E-2</c:v>
                </c:pt>
                <c:pt idx="11">
                  <c:v>0.21289999999999998</c:v>
                </c:pt>
                <c:pt idx="12">
                  <c:v>0.25539999999999996</c:v>
                </c:pt>
              </c:numCache>
            </c:numRef>
          </c:xVal>
          <c:yVal>
            <c:numRef>
              <c:f>P08_03h30!$E$7:$E$19</c:f>
              <c:numCache>
                <c:formatCode>0.0000</c:formatCode>
                <c:ptCount val="13"/>
                <c:pt idx="0">
                  <c:v>-1.3299999999999999E-2</c:v>
                </c:pt>
                <c:pt idx="1">
                  <c:v>0.15959999999999999</c:v>
                </c:pt>
                <c:pt idx="2">
                  <c:v>0.2762</c:v>
                </c:pt>
                <c:pt idx="3">
                  <c:v>0.3175</c:v>
                </c:pt>
                <c:pt idx="4">
                  <c:v>0.29649999999999999</c:v>
                </c:pt>
                <c:pt idx="5">
                  <c:v>0.2959</c:v>
                </c:pt>
                <c:pt idx="6">
                  <c:v>-0.28070000000000001</c:v>
                </c:pt>
                <c:pt idx="7">
                  <c:v>-0.30399999999999999</c:v>
                </c:pt>
                <c:pt idx="8">
                  <c:v>-0.30910000000000004</c:v>
                </c:pt>
                <c:pt idx="9">
                  <c:v>-0.32790000000000002</c:v>
                </c:pt>
                <c:pt idx="10">
                  <c:v>-0.28400000000000003</c:v>
                </c:pt>
                <c:pt idx="11">
                  <c:v>-0.1643</c:v>
                </c:pt>
                <c:pt idx="12">
                  <c:v>-1.3299999999999999E-2</c:v>
                </c:pt>
              </c:numCache>
            </c:numRef>
          </c:yVal>
          <c:smooth val="0"/>
          <c:extLst>
            <c:ext xmlns:c16="http://schemas.microsoft.com/office/drawing/2014/chart" uri="{C3380CC4-5D6E-409C-BE32-E72D297353CC}">
              <c16:uniqueId val="{00000000-F78C-4B18-B713-CDC6F3ED5891}"/>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04:00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P09_04h00!$B$7:$B$19</c:f>
              <c:numCache>
                <c:formatCode>0.0000</c:formatCode>
                <c:ptCount val="13"/>
                <c:pt idx="0">
                  <c:v>0.40810000000000002</c:v>
                </c:pt>
                <c:pt idx="1">
                  <c:v>0.36070000000000002</c:v>
                </c:pt>
                <c:pt idx="2">
                  <c:v>0.24560000000000001</c:v>
                </c:pt>
                <c:pt idx="3">
                  <c:v>8.6199999999999999E-2</c:v>
                </c:pt>
                <c:pt idx="4">
                  <c:v>-1.0699999999999999E-2</c:v>
                </c:pt>
                <c:pt idx="5">
                  <c:v>-1.1599999999999999E-2</c:v>
                </c:pt>
                <c:pt idx="6">
                  <c:v>-1.3100000000000001E-2</c:v>
                </c:pt>
                <c:pt idx="7">
                  <c:v>-5.8999999999999999E-3</c:v>
                </c:pt>
                <c:pt idx="8">
                  <c:v>2.5999999999999999E-3</c:v>
                </c:pt>
                <c:pt idx="9">
                  <c:v>8.3900000000000002E-2</c:v>
                </c:pt>
                <c:pt idx="10">
                  <c:v>0.2455</c:v>
                </c:pt>
                <c:pt idx="11">
                  <c:v>0.3649</c:v>
                </c:pt>
                <c:pt idx="12">
                  <c:v>0.40810000000000002</c:v>
                </c:pt>
              </c:numCache>
            </c:numRef>
          </c:xVal>
          <c:yVal>
            <c:numRef>
              <c:f>P09_04h00!$C$7:$C$19</c:f>
              <c:numCache>
                <c:formatCode>0.0000</c:formatCode>
                <c:ptCount val="13"/>
                <c:pt idx="0">
                  <c:v>5.8799999999999998E-2</c:v>
                </c:pt>
                <c:pt idx="1">
                  <c:v>0.22550000000000001</c:v>
                </c:pt>
                <c:pt idx="2">
                  <c:v>0.34210000000000002</c:v>
                </c:pt>
                <c:pt idx="3">
                  <c:v>0.38429999999999997</c:v>
                </c:pt>
                <c:pt idx="4">
                  <c:v>0.36559999999999998</c:v>
                </c:pt>
                <c:pt idx="5">
                  <c:v>0.36509999999999998</c:v>
                </c:pt>
                <c:pt idx="6">
                  <c:v>-0.2082</c:v>
                </c:pt>
                <c:pt idx="7">
                  <c:v>-0.23849999999999999</c:v>
                </c:pt>
                <c:pt idx="8">
                  <c:v>-0.24410000000000001</c:v>
                </c:pt>
                <c:pt idx="9">
                  <c:v>-0.26200000000000001</c:v>
                </c:pt>
                <c:pt idx="10">
                  <c:v>-0.21840000000000001</c:v>
                </c:pt>
                <c:pt idx="11">
                  <c:v>-9.9000000000000005E-2</c:v>
                </c:pt>
                <c:pt idx="12">
                  <c:v>5.8799999999999998E-2</c:v>
                </c:pt>
              </c:numCache>
            </c:numRef>
          </c:yVal>
          <c:smooth val="0"/>
          <c:extLst>
            <c:ext xmlns:c16="http://schemas.microsoft.com/office/drawing/2014/chart" uri="{C3380CC4-5D6E-409C-BE32-E72D297353CC}">
              <c16:uniqueId val="{00000000-387D-44D5-8A11-00F3C8A02647}"/>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P09_04h00!$B$4</c:f>
              <c:numCache>
                <c:formatCode>0.0000</c:formatCode>
                <c:ptCount val="1"/>
                <c:pt idx="0">
                  <c:v>0.24429999999999999</c:v>
                </c:pt>
              </c:numCache>
            </c:numRef>
          </c:xVal>
          <c:yVal>
            <c:numRef>
              <c:f>P09_04h00!$D$4</c:f>
              <c:numCache>
                <c:formatCode>0.0000</c:formatCode>
                <c:ptCount val="1"/>
                <c:pt idx="0">
                  <c:v>5.9299999999999999E-2</c:v>
                </c:pt>
              </c:numCache>
            </c:numRef>
          </c:yVal>
          <c:smooth val="1"/>
          <c:extLst>
            <c:ext xmlns:c16="http://schemas.microsoft.com/office/drawing/2014/chart" uri="{C3380CC4-5D6E-409C-BE32-E72D297353CC}">
              <c16:uniqueId val="{00000001-387D-44D5-8A11-00F3C8A02647}"/>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P09_04h00!$D$7:$D$19</c:f>
              <c:numCache>
                <c:formatCode>0.0000</c:formatCode>
                <c:ptCount val="13"/>
                <c:pt idx="0">
                  <c:v>0.16380000000000003</c:v>
                </c:pt>
                <c:pt idx="1">
                  <c:v>0.11640000000000003</c:v>
                </c:pt>
                <c:pt idx="2">
                  <c:v>1.3000000000000234E-3</c:v>
                </c:pt>
                <c:pt idx="3">
                  <c:v>-0.15809999999999999</c:v>
                </c:pt>
                <c:pt idx="4">
                  <c:v>-0.255</c:v>
                </c:pt>
                <c:pt idx="5">
                  <c:v>-0.25590000000000002</c:v>
                </c:pt>
                <c:pt idx="6">
                  <c:v>-0.25739999999999996</c:v>
                </c:pt>
                <c:pt idx="7">
                  <c:v>-0.25019999999999998</c:v>
                </c:pt>
                <c:pt idx="8">
                  <c:v>-0.2417</c:v>
                </c:pt>
                <c:pt idx="9">
                  <c:v>-0.16039999999999999</c:v>
                </c:pt>
                <c:pt idx="10">
                  <c:v>1.2000000000000066E-3</c:v>
                </c:pt>
                <c:pt idx="11">
                  <c:v>0.12060000000000001</c:v>
                </c:pt>
                <c:pt idx="12">
                  <c:v>0.16380000000000003</c:v>
                </c:pt>
              </c:numCache>
            </c:numRef>
          </c:xVal>
          <c:yVal>
            <c:numRef>
              <c:f>P09_04h00!$E$7:$E$19</c:f>
              <c:numCache>
                <c:formatCode>0.0000</c:formatCode>
                <c:ptCount val="13"/>
                <c:pt idx="0">
                  <c:v>-5.0000000000000044E-4</c:v>
                </c:pt>
                <c:pt idx="1">
                  <c:v>0.16620000000000001</c:v>
                </c:pt>
                <c:pt idx="2">
                  <c:v>0.2828</c:v>
                </c:pt>
                <c:pt idx="3">
                  <c:v>0.32499999999999996</c:v>
                </c:pt>
                <c:pt idx="4">
                  <c:v>0.30629999999999996</c:v>
                </c:pt>
                <c:pt idx="5">
                  <c:v>0.30579999999999996</c:v>
                </c:pt>
                <c:pt idx="6">
                  <c:v>-0.26750000000000002</c:v>
                </c:pt>
                <c:pt idx="7">
                  <c:v>-0.29780000000000001</c:v>
                </c:pt>
                <c:pt idx="8">
                  <c:v>-0.3034</c:v>
                </c:pt>
                <c:pt idx="9">
                  <c:v>-0.32130000000000003</c:v>
                </c:pt>
                <c:pt idx="10">
                  <c:v>-0.2777</c:v>
                </c:pt>
                <c:pt idx="11">
                  <c:v>-0.1583</c:v>
                </c:pt>
                <c:pt idx="12">
                  <c:v>-5.0000000000000044E-4</c:v>
                </c:pt>
              </c:numCache>
            </c:numRef>
          </c:yVal>
          <c:smooth val="0"/>
          <c:extLst>
            <c:ext xmlns:c16="http://schemas.microsoft.com/office/drawing/2014/chart" uri="{C3380CC4-5D6E-409C-BE32-E72D297353CC}">
              <c16:uniqueId val="{00000000-09DD-4154-9B1B-194D68AB8AE6}"/>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04:30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P10_04h30!$B$7:$B$19</c:f>
              <c:numCache>
                <c:formatCode>0.0000</c:formatCode>
                <c:ptCount val="13"/>
                <c:pt idx="0">
                  <c:v>0.18149999999999999</c:v>
                </c:pt>
                <c:pt idx="1">
                  <c:v>0.13589999999999999</c:v>
                </c:pt>
                <c:pt idx="2">
                  <c:v>1.9099999999999999E-2</c:v>
                </c:pt>
                <c:pt idx="3">
                  <c:v>-0.14080000000000001</c:v>
                </c:pt>
                <c:pt idx="4">
                  <c:v>-0.24060000000000001</c:v>
                </c:pt>
                <c:pt idx="5">
                  <c:v>-0.24229999999999999</c:v>
                </c:pt>
                <c:pt idx="6">
                  <c:v>-0.24379999999999999</c:v>
                </c:pt>
                <c:pt idx="7">
                  <c:v>-0.23250000000000001</c:v>
                </c:pt>
                <c:pt idx="8">
                  <c:v>-0.2198</c:v>
                </c:pt>
                <c:pt idx="9">
                  <c:v>-0.13469999999999999</c:v>
                </c:pt>
                <c:pt idx="10">
                  <c:v>1.95E-2</c:v>
                </c:pt>
                <c:pt idx="11">
                  <c:v>0.13800000000000001</c:v>
                </c:pt>
                <c:pt idx="12">
                  <c:v>0.18149999999999999</c:v>
                </c:pt>
              </c:numCache>
            </c:numRef>
          </c:xVal>
          <c:yVal>
            <c:numRef>
              <c:f>P10_04h30!$C$7:$C$19</c:f>
              <c:numCache>
                <c:formatCode>0.0000</c:formatCode>
                <c:ptCount val="13"/>
                <c:pt idx="0">
                  <c:v>5.8999999999999997E-2</c:v>
                </c:pt>
                <c:pt idx="1">
                  <c:v>0.22189999999999999</c:v>
                </c:pt>
                <c:pt idx="2">
                  <c:v>0.33950000000000002</c:v>
                </c:pt>
                <c:pt idx="3">
                  <c:v>0.38219999999999998</c:v>
                </c:pt>
                <c:pt idx="4">
                  <c:v>0.36230000000000001</c:v>
                </c:pt>
                <c:pt idx="5">
                  <c:v>0.36130000000000001</c:v>
                </c:pt>
                <c:pt idx="6">
                  <c:v>0.15049999999999999</c:v>
                </c:pt>
                <c:pt idx="7">
                  <c:v>-0.2319</c:v>
                </c:pt>
                <c:pt idx="8">
                  <c:v>-0.24279999999999999</c:v>
                </c:pt>
                <c:pt idx="9">
                  <c:v>-0.26479999999999998</c:v>
                </c:pt>
                <c:pt idx="10">
                  <c:v>-0.222</c:v>
                </c:pt>
                <c:pt idx="11">
                  <c:v>-0.10340000000000001</c:v>
                </c:pt>
                <c:pt idx="12">
                  <c:v>5.8999999999999997E-2</c:v>
                </c:pt>
              </c:numCache>
            </c:numRef>
          </c:yVal>
          <c:smooth val="0"/>
          <c:extLst>
            <c:ext xmlns:c16="http://schemas.microsoft.com/office/drawing/2014/chart" uri="{C3380CC4-5D6E-409C-BE32-E72D297353CC}">
              <c16:uniqueId val="{00000000-97A7-4700-A69F-68B516C1CE9C}"/>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P10_04h30!$B$4</c:f>
              <c:numCache>
                <c:formatCode>0.0000</c:formatCode>
                <c:ptCount val="1"/>
                <c:pt idx="0">
                  <c:v>8.4599999999999995E-2</c:v>
                </c:pt>
              </c:numCache>
            </c:numRef>
          </c:xVal>
          <c:yVal>
            <c:numRef>
              <c:f>P10_04h30!$D$4</c:f>
              <c:numCache>
                <c:formatCode>0.0000</c:formatCode>
                <c:ptCount val="1"/>
                <c:pt idx="0">
                  <c:v>6.1199999999999997E-2</c:v>
                </c:pt>
              </c:numCache>
            </c:numRef>
          </c:yVal>
          <c:smooth val="1"/>
          <c:extLst>
            <c:ext xmlns:c16="http://schemas.microsoft.com/office/drawing/2014/chart" uri="{C3380CC4-5D6E-409C-BE32-E72D297353CC}">
              <c16:uniqueId val="{00000001-97A7-4700-A69F-68B516C1CE9C}"/>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P10_04h30!$D$7:$D$19</c:f>
              <c:numCache>
                <c:formatCode>0.0000</c:formatCode>
                <c:ptCount val="13"/>
                <c:pt idx="0">
                  <c:v>9.69E-2</c:v>
                </c:pt>
                <c:pt idx="1">
                  <c:v>5.1299999999999998E-2</c:v>
                </c:pt>
                <c:pt idx="2">
                  <c:v>-6.5500000000000003E-2</c:v>
                </c:pt>
                <c:pt idx="3">
                  <c:v>-0.22539999999999999</c:v>
                </c:pt>
                <c:pt idx="4">
                  <c:v>-0.32519999999999999</c:v>
                </c:pt>
                <c:pt idx="5">
                  <c:v>-0.32689999999999997</c:v>
                </c:pt>
                <c:pt idx="6">
                  <c:v>-0.32839999999999997</c:v>
                </c:pt>
                <c:pt idx="7">
                  <c:v>-0.31709999999999999</c:v>
                </c:pt>
                <c:pt idx="8">
                  <c:v>-0.3044</c:v>
                </c:pt>
                <c:pt idx="9">
                  <c:v>-0.21929999999999999</c:v>
                </c:pt>
                <c:pt idx="10">
                  <c:v>-6.5099999999999991E-2</c:v>
                </c:pt>
                <c:pt idx="11">
                  <c:v>5.3400000000000017E-2</c:v>
                </c:pt>
                <c:pt idx="12">
                  <c:v>9.69E-2</c:v>
                </c:pt>
              </c:numCache>
            </c:numRef>
          </c:xVal>
          <c:yVal>
            <c:numRef>
              <c:f>P10_04h30!$E$7:$E$19</c:f>
              <c:numCache>
                <c:formatCode>0.0000</c:formatCode>
                <c:ptCount val="13"/>
                <c:pt idx="0">
                  <c:v>-2.2000000000000006E-3</c:v>
                </c:pt>
                <c:pt idx="1">
                  <c:v>0.16069999999999998</c:v>
                </c:pt>
                <c:pt idx="2">
                  <c:v>0.27830000000000005</c:v>
                </c:pt>
                <c:pt idx="3">
                  <c:v>0.32100000000000001</c:v>
                </c:pt>
                <c:pt idx="4">
                  <c:v>0.30110000000000003</c:v>
                </c:pt>
                <c:pt idx="5">
                  <c:v>0.30010000000000003</c:v>
                </c:pt>
                <c:pt idx="6">
                  <c:v>8.929999999999999E-2</c:v>
                </c:pt>
                <c:pt idx="7">
                  <c:v>-0.29309999999999997</c:v>
                </c:pt>
                <c:pt idx="8">
                  <c:v>-0.30399999999999999</c:v>
                </c:pt>
                <c:pt idx="9">
                  <c:v>-0.32599999999999996</c:v>
                </c:pt>
                <c:pt idx="10">
                  <c:v>-0.28320000000000001</c:v>
                </c:pt>
                <c:pt idx="11">
                  <c:v>-0.1646</c:v>
                </c:pt>
                <c:pt idx="12">
                  <c:v>-2.2000000000000006E-3</c:v>
                </c:pt>
              </c:numCache>
            </c:numRef>
          </c:yVal>
          <c:smooth val="0"/>
          <c:extLst>
            <c:ext xmlns:c16="http://schemas.microsoft.com/office/drawing/2014/chart" uri="{C3380CC4-5D6E-409C-BE32-E72D297353CC}">
              <c16:uniqueId val="{00000000-93FB-4ED1-AA5F-895A6DBF0528}"/>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05:00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P11_05h00!$B$7:$B$19</c:f>
              <c:numCache>
                <c:formatCode>0.0000</c:formatCode>
                <c:ptCount val="13"/>
                <c:pt idx="0">
                  <c:v>-5.9400000000000001E-2</c:v>
                </c:pt>
                <c:pt idx="1">
                  <c:v>-0.10390000000000001</c:v>
                </c:pt>
                <c:pt idx="2">
                  <c:v>-0.2218</c:v>
                </c:pt>
                <c:pt idx="3">
                  <c:v>-0.3821</c:v>
                </c:pt>
                <c:pt idx="4">
                  <c:v>-0.49519999999999997</c:v>
                </c:pt>
                <c:pt idx="5">
                  <c:v>-0.501</c:v>
                </c:pt>
                <c:pt idx="6">
                  <c:v>-0.50329999999999997</c:v>
                </c:pt>
                <c:pt idx="7">
                  <c:v>-0.48249999999999998</c:v>
                </c:pt>
                <c:pt idx="8">
                  <c:v>-0.4456</c:v>
                </c:pt>
                <c:pt idx="9">
                  <c:v>-0.36919999999999997</c:v>
                </c:pt>
                <c:pt idx="10">
                  <c:v>-0.2208</c:v>
                </c:pt>
                <c:pt idx="11">
                  <c:v>-0.10290000000000001</c:v>
                </c:pt>
                <c:pt idx="12">
                  <c:v>-5.9400000000000001E-2</c:v>
                </c:pt>
              </c:numCache>
            </c:numRef>
          </c:xVal>
          <c:yVal>
            <c:numRef>
              <c:f>P11_05h00!$C$7:$C$19</c:f>
              <c:numCache>
                <c:formatCode>0.0000</c:formatCode>
                <c:ptCount val="13"/>
                <c:pt idx="0">
                  <c:v>6.2100000000000002E-2</c:v>
                </c:pt>
                <c:pt idx="1">
                  <c:v>0.22600000000000001</c:v>
                </c:pt>
                <c:pt idx="2">
                  <c:v>0.34439999999999998</c:v>
                </c:pt>
                <c:pt idx="3">
                  <c:v>0.38740000000000002</c:v>
                </c:pt>
                <c:pt idx="4">
                  <c:v>0.3629</c:v>
                </c:pt>
                <c:pt idx="5">
                  <c:v>0.35899999999999999</c:v>
                </c:pt>
                <c:pt idx="6">
                  <c:v>0.17549999999999999</c:v>
                </c:pt>
                <c:pt idx="7">
                  <c:v>-0.20580000000000001</c:v>
                </c:pt>
                <c:pt idx="8">
                  <c:v>-0.24010000000000001</c:v>
                </c:pt>
                <c:pt idx="9">
                  <c:v>-0.26040000000000002</c:v>
                </c:pt>
                <c:pt idx="10">
                  <c:v>-0.2185</c:v>
                </c:pt>
                <c:pt idx="11">
                  <c:v>-0.10050000000000001</c:v>
                </c:pt>
                <c:pt idx="12">
                  <c:v>6.2100000000000002E-2</c:v>
                </c:pt>
              </c:numCache>
            </c:numRef>
          </c:yVal>
          <c:smooth val="0"/>
          <c:extLst>
            <c:ext xmlns:c16="http://schemas.microsoft.com/office/drawing/2014/chart" uri="{C3380CC4-5D6E-409C-BE32-E72D297353CC}">
              <c16:uniqueId val="{00000000-54E8-4899-B255-E63809B65656}"/>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P11_05h00!$B$4</c:f>
              <c:numCache>
                <c:formatCode>0.0000</c:formatCode>
                <c:ptCount val="1"/>
                <c:pt idx="0">
                  <c:v>-0.14130000000000001</c:v>
                </c:pt>
              </c:numCache>
            </c:numRef>
          </c:xVal>
          <c:yVal>
            <c:numRef>
              <c:f>P11_05h00!$D$4</c:f>
              <c:numCache>
                <c:formatCode>0.0000</c:formatCode>
                <c:ptCount val="1"/>
                <c:pt idx="0">
                  <c:v>5.8500000000000003E-2</c:v>
                </c:pt>
              </c:numCache>
            </c:numRef>
          </c:yVal>
          <c:smooth val="1"/>
          <c:extLst>
            <c:ext xmlns:c16="http://schemas.microsoft.com/office/drawing/2014/chart" uri="{C3380CC4-5D6E-409C-BE32-E72D297353CC}">
              <c16:uniqueId val="{00000001-54E8-4899-B255-E63809B65656}"/>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P11_05h00!$D$7:$D$19</c:f>
              <c:numCache>
                <c:formatCode>0.0000</c:formatCode>
                <c:ptCount val="13"/>
                <c:pt idx="0">
                  <c:v>8.1900000000000001E-2</c:v>
                </c:pt>
                <c:pt idx="1">
                  <c:v>3.7400000000000003E-2</c:v>
                </c:pt>
                <c:pt idx="2">
                  <c:v>-8.0499999999999988E-2</c:v>
                </c:pt>
                <c:pt idx="3">
                  <c:v>-0.24079999999999999</c:v>
                </c:pt>
                <c:pt idx="4">
                  <c:v>-0.35389999999999999</c:v>
                </c:pt>
                <c:pt idx="5">
                  <c:v>-0.35970000000000002</c:v>
                </c:pt>
                <c:pt idx="6">
                  <c:v>-0.36199999999999999</c:v>
                </c:pt>
                <c:pt idx="7">
                  <c:v>-0.34119999999999995</c:v>
                </c:pt>
                <c:pt idx="8">
                  <c:v>-0.30430000000000001</c:v>
                </c:pt>
                <c:pt idx="9">
                  <c:v>-0.22789999999999996</c:v>
                </c:pt>
                <c:pt idx="10">
                  <c:v>-7.9499999999999987E-2</c:v>
                </c:pt>
                <c:pt idx="11">
                  <c:v>3.8400000000000004E-2</c:v>
                </c:pt>
                <c:pt idx="12">
                  <c:v>8.1900000000000001E-2</c:v>
                </c:pt>
              </c:numCache>
            </c:numRef>
          </c:xVal>
          <c:yVal>
            <c:numRef>
              <c:f>P11_05h00!$E$7:$E$19</c:f>
              <c:numCache>
                <c:formatCode>0.0000</c:formatCode>
                <c:ptCount val="13"/>
                <c:pt idx="0">
                  <c:v>3.599999999999999E-3</c:v>
                </c:pt>
                <c:pt idx="1">
                  <c:v>0.16750000000000001</c:v>
                </c:pt>
                <c:pt idx="2">
                  <c:v>0.28589999999999999</c:v>
                </c:pt>
                <c:pt idx="3">
                  <c:v>0.32890000000000003</c:v>
                </c:pt>
                <c:pt idx="4">
                  <c:v>0.3044</c:v>
                </c:pt>
                <c:pt idx="5">
                  <c:v>0.30049999999999999</c:v>
                </c:pt>
                <c:pt idx="6">
                  <c:v>0.11699999999999999</c:v>
                </c:pt>
                <c:pt idx="7">
                  <c:v>-0.26430000000000003</c:v>
                </c:pt>
                <c:pt idx="8">
                  <c:v>-0.29860000000000003</c:v>
                </c:pt>
                <c:pt idx="9">
                  <c:v>-0.31890000000000002</c:v>
                </c:pt>
                <c:pt idx="10">
                  <c:v>-0.27700000000000002</c:v>
                </c:pt>
                <c:pt idx="11">
                  <c:v>-0.159</c:v>
                </c:pt>
                <c:pt idx="12">
                  <c:v>3.599999999999999E-3</c:v>
                </c:pt>
              </c:numCache>
            </c:numRef>
          </c:yVal>
          <c:smooth val="0"/>
          <c:extLst>
            <c:ext xmlns:c16="http://schemas.microsoft.com/office/drawing/2014/chart" uri="{C3380CC4-5D6E-409C-BE32-E72D297353CC}">
              <c16:uniqueId val="{00000000-3648-42E6-BCD2-2E6D8EC3584E}"/>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05:30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P12_05h30!$B$7:$B$19</c:f>
              <c:numCache>
                <c:formatCode>0.0000</c:formatCode>
                <c:ptCount val="13"/>
                <c:pt idx="0">
                  <c:v>-0.3256</c:v>
                </c:pt>
                <c:pt idx="1">
                  <c:v>-0.36969999999999997</c:v>
                </c:pt>
                <c:pt idx="2">
                  <c:v>-0.48899999999999999</c:v>
                </c:pt>
                <c:pt idx="3">
                  <c:v>-0.64870000000000005</c:v>
                </c:pt>
                <c:pt idx="4">
                  <c:v>-0.77900000000000003</c:v>
                </c:pt>
                <c:pt idx="5">
                  <c:v>-0.79990000000000006</c:v>
                </c:pt>
                <c:pt idx="6">
                  <c:v>-0.80269999999999997</c:v>
                </c:pt>
                <c:pt idx="7">
                  <c:v>-0.77649999999999997</c:v>
                </c:pt>
                <c:pt idx="8">
                  <c:v>-0.70120000000000005</c:v>
                </c:pt>
                <c:pt idx="9">
                  <c:v>-0.61829999999999996</c:v>
                </c:pt>
                <c:pt idx="10">
                  <c:v>-0.48620000000000002</c:v>
                </c:pt>
                <c:pt idx="11">
                  <c:v>-0.36919999999999997</c:v>
                </c:pt>
                <c:pt idx="12">
                  <c:v>-0.3256</c:v>
                </c:pt>
              </c:numCache>
            </c:numRef>
          </c:xVal>
          <c:yVal>
            <c:numRef>
              <c:f>P12_05h30!$C$7:$C$19</c:f>
              <c:numCache>
                <c:formatCode>0.0000</c:formatCode>
                <c:ptCount val="13"/>
                <c:pt idx="0">
                  <c:v>6.5699999999999995E-2</c:v>
                </c:pt>
                <c:pt idx="1">
                  <c:v>0.23080000000000001</c:v>
                </c:pt>
                <c:pt idx="2">
                  <c:v>0.35020000000000001</c:v>
                </c:pt>
                <c:pt idx="3">
                  <c:v>0.39319999999999999</c:v>
                </c:pt>
                <c:pt idx="4">
                  <c:v>0.36199999999999999</c:v>
                </c:pt>
                <c:pt idx="5">
                  <c:v>0.34610000000000002</c:v>
                </c:pt>
                <c:pt idx="6">
                  <c:v>0.184</c:v>
                </c:pt>
                <c:pt idx="7">
                  <c:v>-0.153</c:v>
                </c:pt>
                <c:pt idx="8">
                  <c:v>-0.23069999999999999</c:v>
                </c:pt>
                <c:pt idx="9">
                  <c:v>-0.25459999999999999</c:v>
                </c:pt>
                <c:pt idx="10">
                  <c:v>-0.21460000000000001</c:v>
                </c:pt>
                <c:pt idx="11">
                  <c:v>-9.74E-2</c:v>
                </c:pt>
                <c:pt idx="12">
                  <c:v>6.5699999999999995E-2</c:v>
                </c:pt>
              </c:numCache>
            </c:numRef>
          </c:yVal>
          <c:smooth val="0"/>
          <c:extLst>
            <c:ext xmlns:c16="http://schemas.microsoft.com/office/drawing/2014/chart" uri="{C3380CC4-5D6E-409C-BE32-E72D297353CC}">
              <c16:uniqueId val="{00000000-7613-41C4-A76A-46F63095A1FA}"/>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P12_05h30!$B$4</c:f>
              <c:numCache>
                <c:formatCode>0.0000</c:formatCode>
                <c:ptCount val="1"/>
                <c:pt idx="0">
                  <c:v>-0.38129999999999997</c:v>
                </c:pt>
              </c:numCache>
            </c:numRef>
          </c:xVal>
          <c:yVal>
            <c:numRef>
              <c:f>P12_05h30!$D$4</c:f>
              <c:numCache>
                <c:formatCode>0.0000</c:formatCode>
                <c:ptCount val="1"/>
                <c:pt idx="0">
                  <c:v>6.3100000000000003E-2</c:v>
                </c:pt>
              </c:numCache>
            </c:numRef>
          </c:yVal>
          <c:smooth val="1"/>
          <c:extLst>
            <c:ext xmlns:c16="http://schemas.microsoft.com/office/drawing/2014/chart" uri="{C3380CC4-5D6E-409C-BE32-E72D297353CC}">
              <c16:uniqueId val="{00000001-7613-41C4-A76A-46F63095A1FA}"/>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P12_05h30!$D$7:$D$19</c:f>
              <c:numCache>
                <c:formatCode>0.0000</c:formatCode>
                <c:ptCount val="13"/>
                <c:pt idx="0">
                  <c:v>5.5699999999999972E-2</c:v>
                </c:pt>
                <c:pt idx="1">
                  <c:v>1.1599999999999999E-2</c:v>
                </c:pt>
                <c:pt idx="2">
                  <c:v>-0.10770000000000002</c:v>
                </c:pt>
                <c:pt idx="3">
                  <c:v>-0.26740000000000008</c:v>
                </c:pt>
                <c:pt idx="4">
                  <c:v>-0.39770000000000005</c:v>
                </c:pt>
                <c:pt idx="5">
                  <c:v>-0.41860000000000008</c:v>
                </c:pt>
                <c:pt idx="6">
                  <c:v>-0.4214</c:v>
                </c:pt>
                <c:pt idx="7">
                  <c:v>-0.3952</c:v>
                </c:pt>
                <c:pt idx="8">
                  <c:v>-0.31990000000000007</c:v>
                </c:pt>
                <c:pt idx="9">
                  <c:v>-0.23699999999999999</c:v>
                </c:pt>
                <c:pt idx="10">
                  <c:v>-0.10490000000000005</c:v>
                </c:pt>
                <c:pt idx="11">
                  <c:v>1.21E-2</c:v>
                </c:pt>
                <c:pt idx="12">
                  <c:v>5.5699999999999972E-2</c:v>
                </c:pt>
              </c:numCache>
            </c:numRef>
          </c:xVal>
          <c:yVal>
            <c:numRef>
              <c:f>P12_05h30!$E$7:$E$19</c:f>
              <c:numCache>
                <c:formatCode>0.0000</c:formatCode>
                <c:ptCount val="13"/>
                <c:pt idx="0">
                  <c:v>2.5999999999999912E-3</c:v>
                </c:pt>
                <c:pt idx="1">
                  <c:v>0.16770000000000002</c:v>
                </c:pt>
                <c:pt idx="2">
                  <c:v>0.28710000000000002</c:v>
                </c:pt>
                <c:pt idx="3">
                  <c:v>0.3301</c:v>
                </c:pt>
                <c:pt idx="4">
                  <c:v>0.2989</c:v>
                </c:pt>
                <c:pt idx="5">
                  <c:v>0.28300000000000003</c:v>
                </c:pt>
                <c:pt idx="6">
                  <c:v>0.12089999999999999</c:v>
                </c:pt>
                <c:pt idx="7">
                  <c:v>-0.21610000000000001</c:v>
                </c:pt>
                <c:pt idx="8">
                  <c:v>-0.29380000000000001</c:v>
                </c:pt>
                <c:pt idx="9">
                  <c:v>-0.31769999999999998</c:v>
                </c:pt>
                <c:pt idx="10">
                  <c:v>-0.2777</c:v>
                </c:pt>
                <c:pt idx="11">
                  <c:v>-0.1605</c:v>
                </c:pt>
                <c:pt idx="12">
                  <c:v>2.5999999999999912E-3</c:v>
                </c:pt>
              </c:numCache>
            </c:numRef>
          </c:yVal>
          <c:smooth val="0"/>
          <c:extLst>
            <c:ext xmlns:c16="http://schemas.microsoft.com/office/drawing/2014/chart" uri="{C3380CC4-5D6E-409C-BE32-E72D297353CC}">
              <c16:uniqueId val="{00000000-E0BD-44E6-A1B5-4099ABABD75A}"/>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06:00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P13_06h00!$B$7:$B$19</c:f>
              <c:numCache>
                <c:formatCode>0.0000</c:formatCode>
                <c:ptCount val="13"/>
                <c:pt idx="0">
                  <c:v>-0.57010000000000005</c:v>
                </c:pt>
                <c:pt idx="1">
                  <c:v>-0.61450000000000005</c:v>
                </c:pt>
                <c:pt idx="2">
                  <c:v>-0.73429999999999995</c:v>
                </c:pt>
                <c:pt idx="3">
                  <c:v>-0.89319999999999999</c:v>
                </c:pt>
                <c:pt idx="4">
                  <c:v>-1.0382</c:v>
                </c:pt>
                <c:pt idx="5">
                  <c:v>-1.0913999999999999</c:v>
                </c:pt>
                <c:pt idx="6">
                  <c:v>-1.0983000000000001</c:v>
                </c:pt>
                <c:pt idx="7">
                  <c:v>-1.0577000000000001</c:v>
                </c:pt>
                <c:pt idx="8">
                  <c:v>-0.9335</c:v>
                </c:pt>
                <c:pt idx="9">
                  <c:v>-0.84289999999999998</c:v>
                </c:pt>
                <c:pt idx="10">
                  <c:v>-0.7298</c:v>
                </c:pt>
                <c:pt idx="11">
                  <c:v>-0.61360000000000003</c:v>
                </c:pt>
                <c:pt idx="12">
                  <c:v>-0.57010000000000005</c:v>
                </c:pt>
              </c:numCache>
            </c:numRef>
          </c:xVal>
          <c:yVal>
            <c:numRef>
              <c:f>P13_06h00!$C$7:$C$19</c:f>
              <c:numCache>
                <c:formatCode>0.0000</c:formatCode>
                <c:ptCount val="13"/>
                <c:pt idx="0">
                  <c:v>7.4099999999999999E-2</c:v>
                </c:pt>
                <c:pt idx="1">
                  <c:v>0.24149999999999999</c:v>
                </c:pt>
                <c:pt idx="2">
                  <c:v>0.36159999999999998</c:v>
                </c:pt>
                <c:pt idx="3">
                  <c:v>0.40439999999999998</c:v>
                </c:pt>
                <c:pt idx="4">
                  <c:v>0.36720000000000003</c:v>
                </c:pt>
                <c:pt idx="5">
                  <c:v>0.31950000000000001</c:v>
                </c:pt>
                <c:pt idx="6">
                  <c:v>0.19209999999999999</c:v>
                </c:pt>
                <c:pt idx="7">
                  <c:v>-8.5400000000000004E-2</c:v>
                </c:pt>
                <c:pt idx="8">
                  <c:v>-0.21410000000000001</c:v>
                </c:pt>
                <c:pt idx="9">
                  <c:v>-0.24110000000000001</c:v>
                </c:pt>
                <c:pt idx="10">
                  <c:v>-0.2051</c:v>
                </c:pt>
                <c:pt idx="11">
                  <c:v>-8.8599999999999998E-2</c:v>
                </c:pt>
                <c:pt idx="12">
                  <c:v>7.4099999999999999E-2</c:v>
                </c:pt>
              </c:numCache>
            </c:numRef>
          </c:yVal>
          <c:smooth val="0"/>
          <c:extLst>
            <c:ext xmlns:c16="http://schemas.microsoft.com/office/drawing/2014/chart" uri="{C3380CC4-5D6E-409C-BE32-E72D297353CC}">
              <c16:uniqueId val="{00000000-D1E6-4183-9A52-06946B0BEABC}"/>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P13_06h00!$B$4</c:f>
              <c:numCache>
                <c:formatCode>0.0000</c:formatCode>
                <c:ptCount val="1"/>
                <c:pt idx="0">
                  <c:v>-0.64649999999999996</c:v>
                </c:pt>
              </c:numCache>
            </c:numRef>
          </c:xVal>
          <c:yVal>
            <c:numRef>
              <c:f>P13_06h00!$D$4</c:f>
              <c:numCache>
                <c:formatCode>0.0000</c:formatCode>
                <c:ptCount val="1"/>
                <c:pt idx="0">
                  <c:v>6.8099999999999994E-2</c:v>
                </c:pt>
              </c:numCache>
            </c:numRef>
          </c:yVal>
          <c:smooth val="1"/>
          <c:extLst>
            <c:ext xmlns:c16="http://schemas.microsoft.com/office/drawing/2014/chart" uri="{C3380CC4-5D6E-409C-BE32-E72D297353CC}">
              <c16:uniqueId val="{00000001-D1E6-4183-9A52-06946B0BEABC}"/>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P13_06h00!$D$7:$D$19</c:f>
              <c:numCache>
                <c:formatCode>0.0000</c:formatCode>
                <c:ptCount val="13"/>
                <c:pt idx="0">
                  <c:v>7.6399999999999912E-2</c:v>
                </c:pt>
                <c:pt idx="1">
                  <c:v>3.1999999999999917E-2</c:v>
                </c:pt>
                <c:pt idx="2">
                  <c:v>-8.7799999999999989E-2</c:v>
                </c:pt>
                <c:pt idx="3">
                  <c:v>-0.24670000000000003</c:v>
                </c:pt>
                <c:pt idx="4">
                  <c:v>-0.39170000000000005</c:v>
                </c:pt>
                <c:pt idx="5">
                  <c:v>-0.44489999999999996</c:v>
                </c:pt>
                <c:pt idx="6">
                  <c:v>-0.45180000000000009</c:v>
                </c:pt>
                <c:pt idx="7">
                  <c:v>-0.41120000000000012</c:v>
                </c:pt>
                <c:pt idx="8">
                  <c:v>-0.28700000000000003</c:v>
                </c:pt>
                <c:pt idx="9">
                  <c:v>-0.19640000000000002</c:v>
                </c:pt>
                <c:pt idx="10">
                  <c:v>-8.3300000000000041E-2</c:v>
                </c:pt>
                <c:pt idx="11">
                  <c:v>3.2899999999999929E-2</c:v>
                </c:pt>
                <c:pt idx="12">
                  <c:v>7.6399999999999912E-2</c:v>
                </c:pt>
              </c:numCache>
            </c:numRef>
          </c:xVal>
          <c:yVal>
            <c:numRef>
              <c:f>P13_06h00!$E$7:$E$19</c:f>
              <c:numCache>
                <c:formatCode>0.0000</c:formatCode>
                <c:ptCount val="13"/>
                <c:pt idx="0">
                  <c:v>6.0000000000000053E-3</c:v>
                </c:pt>
                <c:pt idx="1">
                  <c:v>0.1734</c:v>
                </c:pt>
                <c:pt idx="2">
                  <c:v>0.29349999999999998</c:v>
                </c:pt>
                <c:pt idx="3">
                  <c:v>0.33629999999999999</c:v>
                </c:pt>
                <c:pt idx="4">
                  <c:v>0.29910000000000003</c:v>
                </c:pt>
                <c:pt idx="5">
                  <c:v>0.25140000000000001</c:v>
                </c:pt>
                <c:pt idx="6">
                  <c:v>0.124</c:v>
                </c:pt>
                <c:pt idx="7">
                  <c:v>-0.1535</c:v>
                </c:pt>
                <c:pt idx="8">
                  <c:v>-0.28220000000000001</c:v>
                </c:pt>
                <c:pt idx="9">
                  <c:v>-0.30920000000000003</c:v>
                </c:pt>
                <c:pt idx="10">
                  <c:v>-0.2732</c:v>
                </c:pt>
                <c:pt idx="11">
                  <c:v>-0.15670000000000001</c:v>
                </c:pt>
                <c:pt idx="12">
                  <c:v>6.0000000000000053E-3</c:v>
                </c:pt>
              </c:numCache>
            </c:numRef>
          </c:yVal>
          <c:smooth val="0"/>
          <c:extLst>
            <c:ext xmlns:c16="http://schemas.microsoft.com/office/drawing/2014/chart" uri="{C3380CC4-5D6E-409C-BE32-E72D297353CC}">
              <c16:uniqueId val="{00000000-202E-459A-9E23-F719FCD032D3}"/>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06:30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P14_06h30!$B$7:$B$19</c:f>
              <c:numCache>
                <c:formatCode>0.0000</c:formatCode>
                <c:ptCount val="13"/>
                <c:pt idx="0">
                  <c:v>-0.7611</c:v>
                </c:pt>
                <c:pt idx="1">
                  <c:v>-0.79959999999999998</c:v>
                </c:pt>
                <c:pt idx="2">
                  <c:v>-0.91700000000000004</c:v>
                </c:pt>
                <c:pt idx="3">
                  <c:v>-1.0753999999999999</c:v>
                </c:pt>
                <c:pt idx="4">
                  <c:v>-1.2249000000000001</c:v>
                </c:pt>
                <c:pt idx="5">
                  <c:v>-1.3063</c:v>
                </c:pt>
                <c:pt idx="6">
                  <c:v>-1.3249</c:v>
                </c:pt>
                <c:pt idx="7">
                  <c:v>-1.2779</c:v>
                </c:pt>
                <c:pt idx="8">
                  <c:v>-1.1045</c:v>
                </c:pt>
                <c:pt idx="9">
                  <c:v>-1.0124</c:v>
                </c:pt>
                <c:pt idx="10">
                  <c:v>-0.91169999999999995</c:v>
                </c:pt>
                <c:pt idx="11">
                  <c:v>-0.79810000000000003</c:v>
                </c:pt>
                <c:pt idx="12">
                  <c:v>-0.7611</c:v>
                </c:pt>
              </c:numCache>
            </c:numRef>
          </c:xVal>
          <c:yVal>
            <c:numRef>
              <c:f>P14_06h30!$C$7:$C$19</c:f>
              <c:numCache>
                <c:formatCode>0.0000</c:formatCode>
                <c:ptCount val="13"/>
                <c:pt idx="0">
                  <c:v>7.8899999999999998E-2</c:v>
                </c:pt>
                <c:pt idx="1">
                  <c:v>0.26790000000000003</c:v>
                </c:pt>
                <c:pt idx="2">
                  <c:v>0.38479999999999998</c:v>
                </c:pt>
                <c:pt idx="3">
                  <c:v>0.42749999999999999</c:v>
                </c:pt>
                <c:pt idx="4">
                  <c:v>0.38829999999999998</c:v>
                </c:pt>
                <c:pt idx="5">
                  <c:v>0.31169999999999998</c:v>
                </c:pt>
                <c:pt idx="6">
                  <c:v>0.20449999999999999</c:v>
                </c:pt>
                <c:pt idx="7">
                  <c:v>-3.5000000000000001E-3</c:v>
                </c:pt>
                <c:pt idx="8">
                  <c:v>-0.18859999999999999</c:v>
                </c:pt>
                <c:pt idx="9">
                  <c:v>-0.21640000000000001</c:v>
                </c:pt>
                <c:pt idx="10">
                  <c:v>-0.18340000000000001</c:v>
                </c:pt>
                <c:pt idx="11">
                  <c:v>-7.0199999999999999E-2</c:v>
                </c:pt>
                <c:pt idx="12">
                  <c:v>7.8899999999999998E-2</c:v>
                </c:pt>
              </c:numCache>
            </c:numRef>
          </c:yVal>
          <c:smooth val="0"/>
          <c:extLst>
            <c:ext xmlns:c16="http://schemas.microsoft.com/office/drawing/2014/chart" uri="{C3380CC4-5D6E-409C-BE32-E72D297353CC}">
              <c16:uniqueId val="{00000000-82BC-4DF7-9674-A01BFFDDCFB5}"/>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P14_06h30!$B$4</c:f>
              <c:numCache>
                <c:formatCode>0.0000</c:formatCode>
                <c:ptCount val="1"/>
                <c:pt idx="0">
                  <c:v>-0.88990000000000002</c:v>
                </c:pt>
              </c:numCache>
            </c:numRef>
          </c:xVal>
          <c:yVal>
            <c:numRef>
              <c:f>P14_06h30!$D$4</c:f>
              <c:numCache>
                <c:formatCode>0.0000</c:formatCode>
                <c:ptCount val="1"/>
                <c:pt idx="0">
                  <c:v>7.8700000000000006E-2</c:v>
                </c:pt>
              </c:numCache>
            </c:numRef>
          </c:yVal>
          <c:smooth val="1"/>
          <c:extLst>
            <c:ext xmlns:c16="http://schemas.microsoft.com/office/drawing/2014/chart" uri="{C3380CC4-5D6E-409C-BE32-E72D297353CC}">
              <c16:uniqueId val="{00000001-82BC-4DF7-9674-A01BFFDDCFB5}"/>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P14_06h30!$D$7:$D$19</c:f>
              <c:numCache>
                <c:formatCode>0.0000</c:formatCode>
                <c:ptCount val="13"/>
                <c:pt idx="0">
                  <c:v>0.12880000000000003</c:v>
                </c:pt>
                <c:pt idx="1">
                  <c:v>9.0300000000000047E-2</c:v>
                </c:pt>
                <c:pt idx="2">
                  <c:v>-2.7100000000000013E-2</c:v>
                </c:pt>
                <c:pt idx="3">
                  <c:v>-0.18549999999999989</c:v>
                </c:pt>
                <c:pt idx="4">
                  <c:v>-0.33500000000000008</c:v>
                </c:pt>
                <c:pt idx="5">
                  <c:v>-0.41639999999999999</c:v>
                </c:pt>
                <c:pt idx="6">
                  <c:v>-0.43499999999999994</c:v>
                </c:pt>
                <c:pt idx="7">
                  <c:v>-0.38800000000000001</c:v>
                </c:pt>
                <c:pt idx="8">
                  <c:v>-0.21460000000000001</c:v>
                </c:pt>
                <c:pt idx="9">
                  <c:v>-0.12249999999999994</c:v>
                </c:pt>
                <c:pt idx="10">
                  <c:v>-2.1799999999999931E-2</c:v>
                </c:pt>
                <c:pt idx="11">
                  <c:v>9.1799999999999993E-2</c:v>
                </c:pt>
                <c:pt idx="12">
                  <c:v>0.12880000000000003</c:v>
                </c:pt>
              </c:numCache>
            </c:numRef>
          </c:xVal>
          <c:yVal>
            <c:numRef>
              <c:f>P14_06h30!$E$7:$E$19</c:f>
              <c:numCache>
                <c:formatCode>0.0000</c:formatCode>
                <c:ptCount val="13"/>
                <c:pt idx="0">
                  <c:v>1.9999999999999185E-4</c:v>
                </c:pt>
                <c:pt idx="1">
                  <c:v>0.18920000000000003</c:v>
                </c:pt>
                <c:pt idx="2">
                  <c:v>0.30609999999999998</c:v>
                </c:pt>
                <c:pt idx="3">
                  <c:v>0.3488</c:v>
                </c:pt>
                <c:pt idx="4">
                  <c:v>0.30959999999999999</c:v>
                </c:pt>
                <c:pt idx="5">
                  <c:v>0.23299999999999998</c:v>
                </c:pt>
                <c:pt idx="6">
                  <c:v>0.12579999999999997</c:v>
                </c:pt>
                <c:pt idx="7">
                  <c:v>-8.2200000000000009E-2</c:v>
                </c:pt>
                <c:pt idx="8">
                  <c:v>-0.26729999999999998</c:v>
                </c:pt>
                <c:pt idx="9">
                  <c:v>-0.29510000000000003</c:v>
                </c:pt>
                <c:pt idx="10">
                  <c:v>-0.2621</c:v>
                </c:pt>
                <c:pt idx="11">
                  <c:v>-0.1489</c:v>
                </c:pt>
                <c:pt idx="12">
                  <c:v>1.9999999999999185E-4</c:v>
                </c:pt>
              </c:numCache>
            </c:numRef>
          </c:yVal>
          <c:smooth val="0"/>
          <c:extLst>
            <c:ext xmlns:c16="http://schemas.microsoft.com/office/drawing/2014/chart" uri="{C3380CC4-5D6E-409C-BE32-E72D297353CC}">
              <c16:uniqueId val="{00000000-34D6-4088-A0D5-17F1B0780DA8}"/>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07:00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P15_07h00!$B$7:$B$19</c:f>
              <c:numCache>
                <c:formatCode>0.0000</c:formatCode>
                <c:ptCount val="13"/>
                <c:pt idx="0">
                  <c:v>-1.0116000000000001</c:v>
                </c:pt>
                <c:pt idx="1">
                  <c:v>-1.0374000000000001</c:v>
                </c:pt>
                <c:pt idx="2">
                  <c:v>-1.1291</c:v>
                </c:pt>
                <c:pt idx="3">
                  <c:v>-1.2838000000000001</c:v>
                </c:pt>
                <c:pt idx="4">
                  <c:v>-1.4361999999999999</c:v>
                </c:pt>
                <c:pt idx="5">
                  <c:v>-1.5228999999999999</c:v>
                </c:pt>
                <c:pt idx="6">
                  <c:v>-1.5503</c:v>
                </c:pt>
                <c:pt idx="7">
                  <c:v>-1.5024999999999999</c:v>
                </c:pt>
                <c:pt idx="8">
                  <c:v>-1.3016000000000001</c:v>
                </c:pt>
                <c:pt idx="9">
                  <c:v>-1.2103999999999999</c:v>
                </c:pt>
                <c:pt idx="10">
                  <c:v>-1.123</c:v>
                </c:pt>
                <c:pt idx="11">
                  <c:v>-1.0357000000000001</c:v>
                </c:pt>
                <c:pt idx="12">
                  <c:v>-1.0116000000000001</c:v>
                </c:pt>
              </c:numCache>
            </c:numRef>
          </c:xVal>
          <c:yVal>
            <c:numRef>
              <c:f>P15_07h00!$C$7:$C$19</c:f>
              <c:numCache>
                <c:formatCode>0.0000</c:formatCode>
                <c:ptCount val="13"/>
                <c:pt idx="0">
                  <c:v>7.7399999999999997E-2</c:v>
                </c:pt>
                <c:pt idx="1">
                  <c:v>0.31559999999999999</c:v>
                </c:pt>
                <c:pt idx="2">
                  <c:v>0.4042</c:v>
                </c:pt>
                <c:pt idx="3">
                  <c:v>0.44529999999999997</c:v>
                </c:pt>
                <c:pt idx="4">
                  <c:v>0.40500000000000003</c:v>
                </c:pt>
                <c:pt idx="5">
                  <c:v>0.32300000000000001</c:v>
                </c:pt>
                <c:pt idx="6">
                  <c:v>0.21240000000000001</c:v>
                </c:pt>
                <c:pt idx="7">
                  <c:v>4.8599999999999997E-2</c:v>
                </c:pt>
                <c:pt idx="8">
                  <c:v>-0.16930000000000001</c:v>
                </c:pt>
                <c:pt idx="9">
                  <c:v>-0.19670000000000001</c:v>
                </c:pt>
                <c:pt idx="10">
                  <c:v>-0.16830000000000001</c:v>
                </c:pt>
                <c:pt idx="11">
                  <c:v>-8.4000000000000005E-2</c:v>
                </c:pt>
                <c:pt idx="12">
                  <c:v>7.7399999999999997E-2</c:v>
                </c:pt>
              </c:numCache>
            </c:numRef>
          </c:yVal>
          <c:smooth val="0"/>
          <c:extLst>
            <c:ext xmlns:c16="http://schemas.microsoft.com/office/drawing/2014/chart" uri="{C3380CC4-5D6E-409C-BE32-E72D297353CC}">
              <c16:uniqueId val="{00000000-FD73-4846-A219-91F2279463B8}"/>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P15_07h00!$B$4</c:f>
              <c:numCache>
                <c:formatCode>0.0000</c:formatCode>
                <c:ptCount val="1"/>
                <c:pt idx="0">
                  <c:v>-1.0712999999999999</c:v>
                </c:pt>
              </c:numCache>
            </c:numRef>
          </c:xVal>
          <c:yVal>
            <c:numRef>
              <c:f>P15_07h00!$D$4</c:f>
              <c:numCache>
                <c:formatCode>0.0000</c:formatCode>
                <c:ptCount val="1"/>
                <c:pt idx="0">
                  <c:v>0.1012</c:v>
                </c:pt>
              </c:numCache>
            </c:numRef>
          </c:yVal>
          <c:smooth val="1"/>
          <c:extLst>
            <c:ext xmlns:c16="http://schemas.microsoft.com/office/drawing/2014/chart" uri="{C3380CC4-5D6E-409C-BE32-E72D297353CC}">
              <c16:uniqueId val="{00000001-FD73-4846-A219-91F2279463B8}"/>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P15_07h00!$D$7:$D$19</c:f>
              <c:numCache>
                <c:formatCode>0.0000</c:formatCode>
                <c:ptCount val="13"/>
                <c:pt idx="0">
                  <c:v>5.9699999999999864E-2</c:v>
                </c:pt>
                <c:pt idx="1">
                  <c:v>3.3899999999999819E-2</c:v>
                </c:pt>
                <c:pt idx="2">
                  <c:v>-5.7800000000000074E-2</c:v>
                </c:pt>
                <c:pt idx="3">
                  <c:v>-0.21250000000000013</c:v>
                </c:pt>
                <c:pt idx="4">
                  <c:v>-0.3649</c:v>
                </c:pt>
                <c:pt idx="5">
                  <c:v>-0.4516</c:v>
                </c:pt>
                <c:pt idx="6">
                  <c:v>-0.47900000000000009</c:v>
                </c:pt>
                <c:pt idx="7">
                  <c:v>-0.43120000000000003</c:v>
                </c:pt>
                <c:pt idx="8">
                  <c:v>-0.23030000000000017</c:v>
                </c:pt>
                <c:pt idx="9">
                  <c:v>-0.1391</c:v>
                </c:pt>
                <c:pt idx="10">
                  <c:v>-5.1700000000000079E-2</c:v>
                </c:pt>
                <c:pt idx="11">
                  <c:v>3.5599999999999854E-2</c:v>
                </c:pt>
                <c:pt idx="12">
                  <c:v>5.9699999999999864E-2</c:v>
                </c:pt>
              </c:numCache>
            </c:numRef>
          </c:xVal>
          <c:yVal>
            <c:numRef>
              <c:f>P15_07h00!$E$7:$E$19</c:f>
              <c:numCache>
                <c:formatCode>0.0000</c:formatCode>
                <c:ptCount val="13"/>
                <c:pt idx="0">
                  <c:v>-2.3800000000000002E-2</c:v>
                </c:pt>
                <c:pt idx="1">
                  <c:v>0.21439999999999998</c:v>
                </c:pt>
                <c:pt idx="2">
                  <c:v>0.30299999999999999</c:v>
                </c:pt>
                <c:pt idx="3">
                  <c:v>0.34409999999999996</c:v>
                </c:pt>
                <c:pt idx="4">
                  <c:v>0.30380000000000001</c:v>
                </c:pt>
                <c:pt idx="5">
                  <c:v>0.2218</c:v>
                </c:pt>
                <c:pt idx="6">
                  <c:v>0.11120000000000001</c:v>
                </c:pt>
                <c:pt idx="7">
                  <c:v>-5.2600000000000001E-2</c:v>
                </c:pt>
                <c:pt idx="8">
                  <c:v>-0.27050000000000002</c:v>
                </c:pt>
                <c:pt idx="9">
                  <c:v>-0.2979</c:v>
                </c:pt>
                <c:pt idx="10">
                  <c:v>-0.26950000000000002</c:v>
                </c:pt>
                <c:pt idx="11">
                  <c:v>-0.1852</c:v>
                </c:pt>
                <c:pt idx="12">
                  <c:v>-2.3800000000000002E-2</c:v>
                </c:pt>
              </c:numCache>
            </c:numRef>
          </c:yVal>
          <c:smooth val="0"/>
          <c:extLst>
            <c:ext xmlns:c16="http://schemas.microsoft.com/office/drawing/2014/chart" uri="{C3380CC4-5D6E-409C-BE32-E72D297353CC}">
              <c16:uniqueId val="{00000000-65DE-4D64-B8A7-4FCD99FF81B8}"/>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07:30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P16_07h30!$B$7:$B$19</c:f>
              <c:numCache>
                <c:formatCode>0.0000</c:formatCode>
                <c:ptCount val="13"/>
                <c:pt idx="0">
                  <c:v>-1.2052</c:v>
                </c:pt>
                <c:pt idx="1">
                  <c:v>-1.2235</c:v>
                </c:pt>
                <c:pt idx="2">
                  <c:v>-1.2769999999999999</c:v>
                </c:pt>
                <c:pt idx="3">
                  <c:v>-1.4036</c:v>
                </c:pt>
                <c:pt idx="4">
                  <c:v>-1.5561</c:v>
                </c:pt>
                <c:pt idx="5">
                  <c:v>-1.6375999999999999</c:v>
                </c:pt>
                <c:pt idx="6">
                  <c:v>-1.6686000000000001</c:v>
                </c:pt>
                <c:pt idx="7">
                  <c:v>-1.6226</c:v>
                </c:pt>
                <c:pt idx="8">
                  <c:v>-1.4061999999999999</c:v>
                </c:pt>
                <c:pt idx="9">
                  <c:v>-1.3223</c:v>
                </c:pt>
                <c:pt idx="10">
                  <c:v>-1.2708999999999999</c:v>
                </c:pt>
                <c:pt idx="11">
                  <c:v>-1.2211000000000001</c:v>
                </c:pt>
                <c:pt idx="12">
                  <c:v>-1.2052</c:v>
                </c:pt>
              </c:numCache>
            </c:numRef>
          </c:xVal>
          <c:yVal>
            <c:numRef>
              <c:f>P16_07h30!$C$7:$C$19</c:f>
              <c:numCache>
                <c:formatCode>0.0000</c:formatCode>
                <c:ptCount val="13"/>
                <c:pt idx="0">
                  <c:v>0.08</c:v>
                </c:pt>
                <c:pt idx="1">
                  <c:v>0.39539999999999997</c:v>
                </c:pt>
                <c:pt idx="2">
                  <c:v>0.44569999999999999</c:v>
                </c:pt>
                <c:pt idx="3">
                  <c:v>0.47660000000000002</c:v>
                </c:pt>
                <c:pt idx="4">
                  <c:v>0.43619999999999998</c:v>
                </c:pt>
                <c:pt idx="5">
                  <c:v>0.35110000000000002</c:v>
                </c:pt>
                <c:pt idx="6">
                  <c:v>0.24460000000000001</c:v>
                </c:pt>
                <c:pt idx="7">
                  <c:v>9.3200000000000005E-2</c:v>
                </c:pt>
                <c:pt idx="8">
                  <c:v>-0.13780000000000001</c:v>
                </c:pt>
                <c:pt idx="9">
                  <c:v>-0.16250000000000001</c:v>
                </c:pt>
                <c:pt idx="10">
                  <c:v>-0.14749999999999999</c:v>
                </c:pt>
                <c:pt idx="11">
                  <c:v>-0.1</c:v>
                </c:pt>
                <c:pt idx="12">
                  <c:v>0.08</c:v>
                </c:pt>
              </c:numCache>
            </c:numRef>
          </c:yVal>
          <c:smooth val="0"/>
          <c:extLst>
            <c:ext xmlns:c16="http://schemas.microsoft.com/office/drawing/2014/chart" uri="{C3380CC4-5D6E-409C-BE32-E72D297353CC}">
              <c16:uniqueId val="{00000000-A223-4101-94C1-39B260CB76BE}"/>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P16_07h30!$B$4</c:f>
              <c:numCache>
                <c:formatCode>0.0000</c:formatCode>
                <c:ptCount val="1"/>
                <c:pt idx="0">
                  <c:v>-1.2791999999999999</c:v>
                </c:pt>
              </c:numCache>
            </c:numRef>
          </c:xVal>
          <c:yVal>
            <c:numRef>
              <c:f>P16_07h30!$D$4</c:f>
              <c:numCache>
                <c:formatCode>0.0000</c:formatCode>
                <c:ptCount val="1"/>
                <c:pt idx="0">
                  <c:v>0.11849999999999999</c:v>
                </c:pt>
              </c:numCache>
            </c:numRef>
          </c:yVal>
          <c:smooth val="1"/>
          <c:extLst>
            <c:ext xmlns:c16="http://schemas.microsoft.com/office/drawing/2014/chart" uri="{C3380CC4-5D6E-409C-BE32-E72D297353CC}">
              <c16:uniqueId val="{00000001-A223-4101-94C1-39B260CB76BE}"/>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P16_07h30!$D$7:$D$19</c:f>
              <c:numCache>
                <c:formatCode>0.0000</c:formatCode>
                <c:ptCount val="13"/>
                <c:pt idx="0">
                  <c:v>7.3999999999999844E-2</c:v>
                </c:pt>
                <c:pt idx="1">
                  <c:v>5.5699999999999861E-2</c:v>
                </c:pt>
                <c:pt idx="2">
                  <c:v>2.1999999999999797E-3</c:v>
                </c:pt>
                <c:pt idx="3">
                  <c:v>-0.12440000000000007</c:v>
                </c:pt>
                <c:pt idx="4">
                  <c:v>-0.27690000000000015</c:v>
                </c:pt>
                <c:pt idx="5">
                  <c:v>-0.35840000000000005</c:v>
                </c:pt>
                <c:pt idx="6">
                  <c:v>-0.38940000000000019</c:v>
                </c:pt>
                <c:pt idx="7">
                  <c:v>-0.34340000000000015</c:v>
                </c:pt>
                <c:pt idx="8">
                  <c:v>-0.127</c:v>
                </c:pt>
                <c:pt idx="9">
                  <c:v>-4.3100000000000138E-2</c:v>
                </c:pt>
                <c:pt idx="10">
                  <c:v>8.2999999999999741E-3</c:v>
                </c:pt>
                <c:pt idx="11">
                  <c:v>5.8099999999999818E-2</c:v>
                </c:pt>
                <c:pt idx="12">
                  <c:v>7.3999999999999844E-2</c:v>
                </c:pt>
              </c:numCache>
            </c:numRef>
          </c:xVal>
          <c:yVal>
            <c:numRef>
              <c:f>P16_07h30!$E$7:$E$19</c:f>
              <c:numCache>
                <c:formatCode>0.0000</c:formatCode>
                <c:ptCount val="13"/>
                <c:pt idx="0">
                  <c:v>-3.8499999999999993E-2</c:v>
                </c:pt>
                <c:pt idx="1">
                  <c:v>0.27689999999999998</c:v>
                </c:pt>
                <c:pt idx="2">
                  <c:v>0.32719999999999999</c:v>
                </c:pt>
                <c:pt idx="3">
                  <c:v>0.35810000000000003</c:v>
                </c:pt>
                <c:pt idx="4">
                  <c:v>0.31769999999999998</c:v>
                </c:pt>
                <c:pt idx="5">
                  <c:v>0.23260000000000003</c:v>
                </c:pt>
                <c:pt idx="6">
                  <c:v>0.12610000000000002</c:v>
                </c:pt>
                <c:pt idx="7">
                  <c:v>-2.5299999999999989E-2</c:v>
                </c:pt>
                <c:pt idx="8">
                  <c:v>-0.25629999999999997</c:v>
                </c:pt>
                <c:pt idx="9">
                  <c:v>-0.28100000000000003</c:v>
                </c:pt>
                <c:pt idx="10">
                  <c:v>-0.26600000000000001</c:v>
                </c:pt>
                <c:pt idx="11">
                  <c:v>-0.2185</c:v>
                </c:pt>
                <c:pt idx="12">
                  <c:v>-3.8499999999999993E-2</c:v>
                </c:pt>
              </c:numCache>
            </c:numRef>
          </c:yVal>
          <c:smooth val="0"/>
          <c:extLst>
            <c:ext xmlns:c16="http://schemas.microsoft.com/office/drawing/2014/chart" uri="{C3380CC4-5D6E-409C-BE32-E72D297353CC}">
              <c16:uniqueId val="{00000000-6F39-43B0-AC34-2F67BC694BDA}"/>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08:00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P17_08h00!$B$7:$B$19</c:f>
              <c:numCache>
                <c:formatCode>0.0000</c:formatCode>
                <c:ptCount val="13"/>
                <c:pt idx="0">
                  <c:v>-1.3987000000000001</c:v>
                </c:pt>
                <c:pt idx="1">
                  <c:v>-1.4173</c:v>
                </c:pt>
                <c:pt idx="2">
                  <c:v>-1.4505999999999999</c:v>
                </c:pt>
                <c:pt idx="3">
                  <c:v>-1.5449999999999999</c:v>
                </c:pt>
                <c:pt idx="4">
                  <c:v>-1.6891</c:v>
                </c:pt>
                <c:pt idx="5">
                  <c:v>-1.7717000000000001</c:v>
                </c:pt>
                <c:pt idx="6">
                  <c:v>-1.8061</c:v>
                </c:pt>
                <c:pt idx="7">
                  <c:v>-1.7656000000000001</c:v>
                </c:pt>
                <c:pt idx="8">
                  <c:v>-1.5288999999999999</c:v>
                </c:pt>
                <c:pt idx="9">
                  <c:v>-1.4643999999999999</c:v>
                </c:pt>
                <c:pt idx="10">
                  <c:v>-1.4322999999999999</c:v>
                </c:pt>
                <c:pt idx="11">
                  <c:v>-1.413</c:v>
                </c:pt>
                <c:pt idx="12">
                  <c:v>-1.3987000000000001</c:v>
                </c:pt>
              </c:numCache>
            </c:numRef>
          </c:xVal>
          <c:yVal>
            <c:numRef>
              <c:f>P17_08h00!$C$7:$C$19</c:f>
              <c:numCache>
                <c:formatCode>0.0000</c:formatCode>
                <c:ptCount val="13"/>
                <c:pt idx="0">
                  <c:v>0.12089999999999999</c:v>
                </c:pt>
                <c:pt idx="1">
                  <c:v>0.44879999999999998</c:v>
                </c:pt>
                <c:pt idx="2">
                  <c:v>0.48049999999999998</c:v>
                </c:pt>
                <c:pt idx="3">
                  <c:v>0.50109999999999999</c:v>
                </c:pt>
                <c:pt idx="4">
                  <c:v>0.4647</c:v>
                </c:pt>
                <c:pt idx="5">
                  <c:v>0.37419999999999998</c:v>
                </c:pt>
                <c:pt idx="6">
                  <c:v>0.25990000000000002</c:v>
                </c:pt>
                <c:pt idx="7">
                  <c:v>0.1399</c:v>
                </c:pt>
                <c:pt idx="8">
                  <c:v>-0.1046</c:v>
                </c:pt>
                <c:pt idx="9">
                  <c:v>-0.12609999999999999</c:v>
                </c:pt>
                <c:pt idx="10">
                  <c:v>-0.1192</c:v>
                </c:pt>
                <c:pt idx="11">
                  <c:v>-9.9500000000000005E-2</c:v>
                </c:pt>
                <c:pt idx="12">
                  <c:v>0.12089999999999999</c:v>
                </c:pt>
              </c:numCache>
            </c:numRef>
          </c:yVal>
          <c:smooth val="0"/>
          <c:extLst>
            <c:ext xmlns:c16="http://schemas.microsoft.com/office/drawing/2014/chart" uri="{C3380CC4-5D6E-409C-BE32-E72D297353CC}">
              <c16:uniqueId val="{00000000-635C-4752-9987-6419E35DA02B}"/>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P17_08h00!$B$4</c:f>
              <c:numCache>
                <c:formatCode>0.0000</c:formatCode>
                <c:ptCount val="1"/>
                <c:pt idx="0">
                  <c:v>-1.399</c:v>
                </c:pt>
              </c:numCache>
            </c:numRef>
          </c:xVal>
          <c:yVal>
            <c:numRef>
              <c:f>P17_08h00!$D$4</c:f>
              <c:numCache>
                <c:formatCode>0.0000</c:formatCode>
                <c:ptCount val="1"/>
                <c:pt idx="0">
                  <c:v>0.14940000000000001</c:v>
                </c:pt>
              </c:numCache>
            </c:numRef>
          </c:yVal>
          <c:smooth val="1"/>
          <c:extLst>
            <c:ext xmlns:c16="http://schemas.microsoft.com/office/drawing/2014/chart" uri="{C3380CC4-5D6E-409C-BE32-E72D297353CC}">
              <c16:uniqueId val="{00000001-635C-4752-9987-6419E35DA02B}"/>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P17_08h00!$D$7:$D$19</c:f>
              <c:numCache>
                <c:formatCode>0.0000</c:formatCode>
                <c:ptCount val="13"/>
                <c:pt idx="0">
                  <c:v>2.9999999999996696E-4</c:v>
                </c:pt>
                <c:pt idx="1">
                  <c:v>-1.8299999999999983E-2</c:v>
                </c:pt>
                <c:pt idx="2">
                  <c:v>-5.1599999999999868E-2</c:v>
                </c:pt>
                <c:pt idx="3">
                  <c:v>-0.14599999999999991</c:v>
                </c:pt>
                <c:pt idx="4">
                  <c:v>-0.29010000000000002</c:v>
                </c:pt>
                <c:pt idx="5">
                  <c:v>-0.37270000000000003</c:v>
                </c:pt>
                <c:pt idx="6">
                  <c:v>-0.40710000000000002</c:v>
                </c:pt>
                <c:pt idx="7">
                  <c:v>-0.36660000000000004</c:v>
                </c:pt>
                <c:pt idx="8">
                  <c:v>-0.1298999999999999</c:v>
                </c:pt>
                <c:pt idx="9">
                  <c:v>-6.5399999999999903E-2</c:v>
                </c:pt>
                <c:pt idx="10">
                  <c:v>-3.3299999999999885E-2</c:v>
                </c:pt>
                <c:pt idx="11">
                  <c:v>-1.4000000000000012E-2</c:v>
                </c:pt>
                <c:pt idx="12">
                  <c:v>2.9999999999996696E-4</c:v>
                </c:pt>
              </c:numCache>
            </c:numRef>
          </c:xVal>
          <c:yVal>
            <c:numRef>
              <c:f>P17_08h00!$E$7:$E$19</c:f>
              <c:numCache>
                <c:formatCode>0.0000</c:formatCode>
                <c:ptCount val="13"/>
                <c:pt idx="0">
                  <c:v>-2.8500000000000011E-2</c:v>
                </c:pt>
                <c:pt idx="1">
                  <c:v>0.2994</c:v>
                </c:pt>
                <c:pt idx="2">
                  <c:v>0.33109999999999995</c:v>
                </c:pt>
                <c:pt idx="3">
                  <c:v>0.35170000000000001</c:v>
                </c:pt>
                <c:pt idx="4">
                  <c:v>0.31530000000000002</c:v>
                </c:pt>
                <c:pt idx="5">
                  <c:v>0.22479999999999997</c:v>
                </c:pt>
                <c:pt idx="6">
                  <c:v>0.11050000000000001</c:v>
                </c:pt>
                <c:pt idx="7">
                  <c:v>-9.5000000000000084E-3</c:v>
                </c:pt>
                <c:pt idx="8">
                  <c:v>-0.254</c:v>
                </c:pt>
                <c:pt idx="9">
                  <c:v>-0.27549999999999997</c:v>
                </c:pt>
                <c:pt idx="10">
                  <c:v>-0.26860000000000001</c:v>
                </c:pt>
                <c:pt idx="11">
                  <c:v>-0.24890000000000001</c:v>
                </c:pt>
                <c:pt idx="12">
                  <c:v>-2.8500000000000011E-2</c:v>
                </c:pt>
              </c:numCache>
            </c:numRef>
          </c:yVal>
          <c:smooth val="0"/>
          <c:extLst>
            <c:ext xmlns:c16="http://schemas.microsoft.com/office/drawing/2014/chart" uri="{C3380CC4-5D6E-409C-BE32-E72D297353CC}">
              <c16:uniqueId val="{00000000-D916-468E-93CE-CD1701EE44D7}"/>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08:30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P18_08h30!$B$7:$B$19</c:f>
              <c:numCache>
                <c:formatCode>0.0000</c:formatCode>
                <c:ptCount val="13"/>
                <c:pt idx="0">
                  <c:v>-1.6019000000000001</c:v>
                </c:pt>
                <c:pt idx="1">
                  <c:v>-1.617</c:v>
                </c:pt>
                <c:pt idx="2">
                  <c:v>-1.639</c:v>
                </c:pt>
                <c:pt idx="3">
                  <c:v>-1.7135</c:v>
                </c:pt>
                <c:pt idx="4">
                  <c:v>-1.8528</c:v>
                </c:pt>
                <c:pt idx="5">
                  <c:v>-1.9365000000000001</c:v>
                </c:pt>
                <c:pt idx="6">
                  <c:v>-1.9716</c:v>
                </c:pt>
                <c:pt idx="7">
                  <c:v>-1.9374</c:v>
                </c:pt>
                <c:pt idx="8">
                  <c:v>-1.7003999999999999</c:v>
                </c:pt>
                <c:pt idx="9">
                  <c:v>-1.6485000000000001</c:v>
                </c:pt>
                <c:pt idx="10">
                  <c:v>-1.6177999999999999</c:v>
                </c:pt>
                <c:pt idx="11">
                  <c:v>-1.6107</c:v>
                </c:pt>
                <c:pt idx="12">
                  <c:v>-1.6019000000000001</c:v>
                </c:pt>
              </c:numCache>
            </c:numRef>
          </c:xVal>
          <c:yVal>
            <c:numRef>
              <c:f>P18_08h30!$C$7:$C$19</c:f>
              <c:numCache>
                <c:formatCode>0.0000</c:formatCode>
                <c:ptCount val="13"/>
                <c:pt idx="0">
                  <c:v>0.16669999999999999</c:v>
                </c:pt>
                <c:pt idx="1">
                  <c:v>0.4768</c:v>
                </c:pt>
                <c:pt idx="2">
                  <c:v>0.49790000000000001</c:v>
                </c:pt>
                <c:pt idx="3">
                  <c:v>0.51219999999999999</c:v>
                </c:pt>
                <c:pt idx="4">
                  <c:v>0.47760000000000002</c:v>
                </c:pt>
                <c:pt idx="5">
                  <c:v>0.38590000000000002</c:v>
                </c:pt>
                <c:pt idx="6">
                  <c:v>0.2697</c:v>
                </c:pt>
                <c:pt idx="7">
                  <c:v>0.16980000000000001</c:v>
                </c:pt>
                <c:pt idx="8">
                  <c:v>-7.7899999999999997E-2</c:v>
                </c:pt>
                <c:pt idx="9">
                  <c:v>-9.4700000000000006E-2</c:v>
                </c:pt>
                <c:pt idx="10">
                  <c:v>-8.9200000000000002E-2</c:v>
                </c:pt>
                <c:pt idx="11">
                  <c:v>-8.2600000000000007E-2</c:v>
                </c:pt>
                <c:pt idx="12">
                  <c:v>0.16669999999999999</c:v>
                </c:pt>
              </c:numCache>
            </c:numRef>
          </c:yVal>
          <c:smooth val="0"/>
          <c:extLst>
            <c:ext xmlns:c16="http://schemas.microsoft.com/office/drawing/2014/chart" uri="{C3380CC4-5D6E-409C-BE32-E72D297353CC}">
              <c16:uniqueId val="{00000000-82AE-4B4C-A120-28CAAB242236}"/>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P18_08h30!$B$4</c:f>
              <c:numCache>
                <c:formatCode>0.0000</c:formatCode>
                <c:ptCount val="1"/>
                <c:pt idx="0">
                  <c:v>-1.5391999999999999</c:v>
                </c:pt>
              </c:numCache>
            </c:numRef>
          </c:xVal>
          <c:yVal>
            <c:numRef>
              <c:f>P18_08h30!$D$4</c:f>
              <c:numCache>
                <c:formatCode>0.0000</c:formatCode>
                <c:ptCount val="1"/>
                <c:pt idx="0">
                  <c:v>0.17330000000000001</c:v>
                </c:pt>
              </c:numCache>
            </c:numRef>
          </c:yVal>
          <c:smooth val="1"/>
          <c:extLst>
            <c:ext xmlns:c16="http://schemas.microsoft.com/office/drawing/2014/chart" uri="{C3380CC4-5D6E-409C-BE32-E72D297353CC}">
              <c16:uniqueId val="{00000001-82AE-4B4C-A120-28CAAB242236}"/>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P18_08h30!$D$7:$D$19</c:f>
              <c:numCache>
                <c:formatCode>0.0000</c:formatCode>
                <c:ptCount val="13"/>
                <c:pt idx="0">
                  <c:v>-6.27000000000002E-2</c:v>
                </c:pt>
                <c:pt idx="1">
                  <c:v>-7.7800000000000091E-2</c:v>
                </c:pt>
                <c:pt idx="2">
                  <c:v>-9.9800000000000111E-2</c:v>
                </c:pt>
                <c:pt idx="3">
                  <c:v>-0.17430000000000012</c:v>
                </c:pt>
                <c:pt idx="4">
                  <c:v>-0.3136000000000001</c:v>
                </c:pt>
                <c:pt idx="5">
                  <c:v>-0.39730000000000021</c:v>
                </c:pt>
                <c:pt idx="6">
                  <c:v>-0.43240000000000012</c:v>
                </c:pt>
                <c:pt idx="7">
                  <c:v>-0.39820000000000011</c:v>
                </c:pt>
                <c:pt idx="8">
                  <c:v>-0.16120000000000001</c:v>
                </c:pt>
                <c:pt idx="9">
                  <c:v>-0.10930000000000017</c:v>
                </c:pt>
                <c:pt idx="10">
                  <c:v>-7.8600000000000003E-2</c:v>
                </c:pt>
                <c:pt idx="11">
                  <c:v>-7.1500000000000119E-2</c:v>
                </c:pt>
                <c:pt idx="12">
                  <c:v>-6.27000000000002E-2</c:v>
                </c:pt>
              </c:numCache>
            </c:numRef>
          </c:xVal>
          <c:yVal>
            <c:numRef>
              <c:f>P18_08h30!$E$7:$E$19</c:f>
              <c:numCache>
                <c:formatCode>0.0000</c:formatCode>
                <c:ptCount val="13"/>
                <c:pt idx="0">
                  <c:v>-6.6000000000000225E-3</c:v>
                </c:pt>
                <c:pt idx="1">
                  <c:v>0.30349999999999999</c:v>
                </c:pt>
                <c:pt idx="2">
                  <c:v>0.3246</c:v>
                </c:pt>
                <c:pt idx="3">
                  <c:v>0.33889999999999998</c:v>
                </c:pt>
                <c:pt idx="4">
                  <c:v>0.30430000000000001</c:v>
                </c:pt>
                <c:pt idx="5">
                  <c:v>0.21260000000000001</c:v>
                </c:pt>
                <c:pt idx="6">
                  <c:v>9.6399999999999986E-2</c:v>
                </c:pt>
                <c:pt idx="7">
                  <c:v>-3.5000000000000031E-3</c:v>
                </c:pt>
                <c:pt idx="8">
                  <c:v>-0.25119999999999998</c:v>
                </c:pt>
                <c:pt idx="9">
                  <c:v>-0.26800000000000002</c:v>
                </c:pt>
                <c:pt idx="10">
                  <c:v>-0.26250000000000001</c:v>
                </c:pt>
                <c:pt idx="11">
                  <c:v>-0.25590000000000002</c:v>
                </c:pt>
                <c:pt idx="12">
                  <c:v>-6.6000000000000225E-3</c:v>
                </c:pt>
              </c:numCache>
            </c:numRef>
          </c:yVal>
          <c:smooth val="0"/>
          <c:extLst>
            <c:ext xmlns:c16="http://schemas.microsoft.com/office/drawing/2014/chart" uri="{C3380CC4-5D6E-409C-BE32-E72D297353CC}">
              <c16:uniqueId val="{00000000-AD81-4C70-8F97-46A1F0045382}"/>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09:00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P19_09h00!$B$7:$B$19</c:f>
              <c:numCache>
                <c:formatCode>0.0000</c:formatCode>
                <c:ptCount val="13"/>
                <c:pt idx="0">
                  <c:v>-1.7446999999999999</c:v>
                </c:pt>
                <c:pt idx="1">
                  <c:v>-1.7591000000000001</c:v>
                </c:pt>
                <c:pt idx="2">
                  <c:v>-1.7726999999999999</c:v>
                </c:pt>
                <c:pt idx="3">
                  <c:v>-1.8355999999999999</c:v>
                </c:pt>
                <c:pt idx="4">
                  <c:v>-1.9666999999999999</c:v>
                </c:pt>
                <c:pt idx="5">
                  <c:v>-2.052</c:v>
                </c:pt>
                <c:pt idx="6">
                  <c:v>-2.0897000000000001</c:v>
                </c:pt>
                <c:pt idx="7">
                  <c:v>-2.0581</c:v>
                </c:pt>
                <c:pt idx="8">
                  <c:v>-1.8299000000000001</c:v>
                </c:pt>
                <c:pt idx="9">
                  <c:v>-1.7843</c:v>
                </c:pt>
                <c:pt idx="10">
                  <c:v>-1.7551000000000001</c:v>
                </c:pt>
                <c:pt idx="11">
                  <c:v>-1.7528999999999999</c:v>
                </c:pt>
                <c:pt idx="12">
                  <c:v>-1.7446999999999999</c:v>
                </c:pt>
              </c:numCache>
            </c:numRef>
          </c:xVal>
          <c:yVal>
            <c:numRef>
              <c:f>P19_09h00!$C$7:$C$19</c:f>
              <c:numCache>
                <c:formatCode>0.0000</c:formatCode>
                <c:ptCount val="13"/>
                <c:pt idx="0">
                  <c:v>0.19420000000000001</c:v>
                </c:pt>
                <c:pt idx="1">
                  <c:v>0.50380000000000003</c:v>
                </c:pt>
                <c:pt idx="2">
                  <c:v>0.51590000000000003</c:v>
                </c:pt>
                <c:pt idx="3">
                  <c:v>0.52669999999999995</c:v>
                </c:pt>
                <c:pt idx="4">
                  <c:v>0.49509999999999998</c:v>
                </c:pt>
                <c:pt idx="5">
                  <c:v>0.40439999999999998</c:v>
                </c:pt>
                <c:pt idx="6">
                  <c:v>0.28239999999999998</c:v>
                </c:pt>
                <c:pt idx="7">
                  <c:v>0.18709999999999999</c:v>
                </c:pt>
                <c:pt idx="8">
                  <c:v>-4.9200000000000001E-2</c:v>
                </c:pt>
                <c:pt idx="9">
                  <c:v>-6.4100000000000004E-2</c:v>
                </c:pt>
                <c:pt idx="10">
                  <c:v>-0.06</c:v>
                </c:pt>
                <c:pt idx="11">
                  <c:v>-5.79E-2</c:v>
                </c:pt>
                <c:pt idx="12">
                  <c:v>0.19420000000000001</c:v>
                </c:pt>
              </c:numCache>
            </c:numRef>
          </c:yVal>
          <c:smooth val="0"/>
          <c:extLst>
            <c:ext xmlns:c16="http://schemas.microsoft.com/office/drawing/2014/chart" uri="{C3380CC4-5D6E-409C-BE32-E72D297353CC}">
              <c16:uniqueId val="{00000000-73BE-4E32-96F7-DF5FDB03F9B5}"/>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P19_09h00!$B$4</c:f>
              <c:numCache>
                <c:formatCode>0.0000</c:formatCode>
                <c:ptCount val="1"/>
                <c:pt idx="0">
                  <c:v>-1.7076</c:v>
                </c:pt>
              </c:numCache>
            </c:numRef>
          </c:xVal>
          <c:yVal>
            <c:numRef>
              <c:f>P19_09h00!$D$4</c:f>
              <c:numCache>
                <c:formatCode>0.0000</c:formatCode>
                <c:ptCount val="1"/>
                <c:pt idx="0">
                  <c:v>0.1842</c:v>
                </c:pt>
              </c:numCache>
            </c:numRef>
          </c:yVal>
          <c:smooth val="1"/>
          <c:extLst>
            <c:ext xmlns:c16="http://schemas.microsoft.com/office/drawing/2014/chart" uri="{C3380CC4-5D6E-409C-BE32-E72D297353CC}">
              <c16:uniqueId val="{00000001-73BE-4E32-96F7-DF5FDB03F9B5}"/>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P19_09h00!$D$7:$D$19</c:f>
              <c:numCache>
                <c:formatCode>0.0000</c:formatCode>
                <c:ptCount val="13"/>
                <c:pt idx="0">
                  <c:v>-3.7099999999999911E-2</c:v>
                </c:pt>
                <c:pt idx="1">
                  <c:v>-5.1500000000000101E-2</c:v>
                </c:pt>
                <c:pt idx="2">
                  <c:v>-6.5099999999999936E-2</c:v>
                </c:pt>
                <c:pt idx="3">
                  <c:v>-0.12799999999999989</c:v>
                </c:pt>
                <c:pt idx="4">
                  <c:v>-0.25909999999999989</c:v>
                </c:pt>
                <c:pt idx="5">
                  <c:v>-0.34440000000000004</c:v>
                </c:pt>
                <c:pt idx="6">
                  <c:v>-0.38210000000000011</c:v>
                </c:pt>
                <c:pt idx="7">
                  <c:v>-0.35050000000000003</c:v>
                </c:pt>
                <c:pt idx="8">
                  <c:v>-0.12230000000000008</c:v>
                </c:pt>
                <c:pt idx="9">
                  <c:v>-7.669999999999999E-2</c:v>
                </c:pt>
                <c:pt idx="10">
                  <c:v>-4.7500000000000098E-2</c:v>
                </c:pt>
                <c:pt idx="11">
                  <c:v>-4.5299999999999896E-2</c:v>
                </c:pt>
                <c:pt idx="12">
                  <c:v>-3.7099999999999911E-2</c:v>
                </c:pt>
              </c:numCache>
            </c:numRef>
          </c:xVal>
          <c:yVal>
            <c:numRef>
              <c:f>P19_09h00!$E$7:$E$19</c:f>
              <c:numCache>
                <c:formatCode>0.0000</c:formatCode>
                <c:ptCount val="13"/>
                <c:pt idx="0">
                  <c:v>1.0000000000000009E-2</c:v>
                </c:pt>
                <c:pt idx="1">
                  <c:v>0.3196</c:v>
                </c:pt>
                <c:pt idx="2">
                  <c:v>0.33169999999999999</c:v>
                </c:pt>
                <c:pt idx="3">
                  <c:v>0.34249999999999992</c:v>
                </c:pt>
                <c:pt idx="4">
                  <c:v>0.31089999999999995</c:v>
                </c:pt>
                <c:pt idx="5">
                  <c:v>0.22019999999999998</c:v>
                </c:pt>
                <c:pt idx="6">
                  <c:v>9.8199999999999982E-2</c:v>
                </c:pt>
                <c:pt idx="7">
                  <c:v>2.8999999999999859E-3</c:v>
                </c:pt>
                <c:pt idx="8">
                  <c:v>-0.2334</c:v>
                </c:pt>
                <c:pt idx="9">
                  <c:v>-0.24830000000000002</c:v>
                </c:pt>
                <c:pt idx="10">
                  <c:v>-0.2442</c:v>
                </c:pt>
                <c:pt idx="11">
                  <c:v>-0.24210000000000001</c:v>
                </c:pt>
                <c:pt idx="12">
                  <c:v>1.0000000000000009E-2</c:v>
                </c:pt>
              </c:numCache>
            </c:numRef>
          </c:yVal>
          <c:smooth val="0"/>
          <c:extLst>
            <c:ext xmlns:c16="http://schemas.microsoft.com/office/drawing/2014/chart" uri="{C3380CC4-5D6E-409C-BE32-E72D297353CC}">
              <c16:uniqueId val="{00000000-6B9C-4184-9518-873FE1723693}"/>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09:30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P20_09h30!$B$7:$B$19</c:f>
              <c:numCache>
                <c:formatCode>0.0000</c:formatCode>
                <c:ptCount val="13"/>
                <c:pt idx="0">
                  <c:v>-1.9368000000000001</c:v>
                </c:pt>
                <c:pt idx="1">
                  <c:v>-1.9515</c:v>
                </c:pt>
                <c:pt idx="2">
                  <c:v>-1.9592000000000001</c:v>
                </c:pt>
                <c:pt idx="3">
                  <c:v>-2.0154999999999998</c:v>
                </c:pt>
                <c:pt idx="4">
                  <c:v>-2.1263000000000001</c:v>
                </c:pt>
                <c:pt idx="5">
                  <c:v>-2.2239</c:v>
                </c:pt>
                <c:pt idx="6">
                  <c:v>-2.2601</c:v>
                </c:pt>
                <c:pt idx="7">
                  <c:v>-2.2296999999999998</c:v>
                </c:pt>
                <c:pt idx="8">
                  <c:v>-2.0114999999999998</c:v>
                </c:pt>
                <c:pt idx="9">
                  <c:v>-1.9615</c:v>
                </c:pt>
                <c:pt idx="10">
                  <c:v>-1.9459</c:v>
                </c:pt>
                <c:pt idx="11">
                  <c:v>-1.9454</c:v>
                </c:pt>
                <c:pt idx="12">
                  <c:v>-1.9368000000000001</c:v>
                </c:pt>
              </c:numCache>
            </c:numRef>
          </c:xVal>
          <c:yVal>
            <c:numRef>
              <c:f>P20_09h30!$C$7:$C$19</c:f>
              <c:numCache>
                <c:formatCode>0.0000</c:formatCode>
                <c:ptCount val="13"/>
                <c:pt idx="0">
                  <c:v>0.21709999999999999</c:v>
                </c:pt>
                <c:pt idx="1">
                  <c:v>0.5111</c:v>
                </c:pt>
                <c:pt idx="2">
                  <c:v>0.51829999999999998</c:v>
                </c:pt>
                <c:pt idx="3">
                  <c:v>0.52659999999999996</c:v>
                </c:pt>
                <c:pt idx="4">
                  <c:v>0.50249999999999995</c:v>
                </c:pt>
                <c:pt idx="5">
                  <c:v>0.39839999999999998</c:v>
                </c:pt>
                <c:pt idx="6">
                  <c:v>0.27889999999999998</c:v>
                </c:pt>
                <c:pt idx="7">
                  <c:v>0.1958</c:v>
                </c:pt>
                <c:pt idx="8">
                  <c:v>-2.87E-2</c:v>
                </c:pt>
                <c:pt idx="9">
                  <c:v>-4.2799999999999998E-2</c:v>
                </c:pt>
                <c:pt idx="10">
                  <c:v>-4.0399999999999998E-2</c:v>
                </c:pt>
                <c:pt idx="11">
                  <c:v>-3.9899999999999998E-2</c:v>
                </c:pt>
                <c:pt idx="12">
                  <c:v>0.21709999999999999</c:v>
                </c:pt>
              </c:numCache>
            </c:numRef>
          </c:yVal>
          <c:smooth val="0"/>
          <c:extLst>
            <c:ext xmlns:c16="http://schemas.microsoft.com/office/drawing/2014/chart" uri="{C3380CC4-5D6E-409C-BE32-E72D297353CC}">
              <c16:uniqueId val="{00000000-CA09-467E-A13B-C883F8592CEB}"/>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P20_09h30!$B$4</c:f>
              <c:numCache>
                <c:formatCode>0.0000</c:formatCode>
                <c:ptCount val="1"/>
                <c:pt idx="0">
                  <c:v>-1.8297000000000001</c:v>
                </c:pt>
              </c:numCache>
            </c:numRef>
          </c:xVal>
          <c:yVal>
            <c:numRef>
              <c:f>P20_09h30!$D$4</c:f>
              <c:numCache>
                <c:formatCode>0.0000</c:formatCode>
                <c:ptCount val="1"/>
                <c:pt idx="0">
                  <c:v>0.19850000000000001</c:v>
                </c:pt>
              </c:numCache>
            </c:numRef>
          </c:yVal>
          <c:smooth val="1"/>
          <c:extLst>
            <c:ext xmlns:c16="http://schemas.microsoft.com/office/drawing/2014/chart" uri="{C3380CC4-5D6E-409C-BE32-E72D297353CC}">
              <c16:uniqueId val="{00000001-CA09-467E-A13B-C883F8592CEB}"/>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P20_09h30!$D$7:$D$19</c:f>
              <c:numCache>
                <c:formatCode>0.0000</c:formatCode>
                <c:ptCount val="13"/>
                <c:pt idx="0">
                  <c:v>-0.10709999999999997</c:v>
                </c:pt>
                <c:pt idx="1">
                  <c:v>-0.12179999999999991</c:v>
                </c:pt>
                <c:pt idx="2">
                  <c:v>-0.12949999999999995</c:v>
                </c:pt>
                <c:pt idx="3">
                  <c:v>-0.18579999999999974</c:v>
                </c:pt>
                <c:pt idx="4">
                  <c:v>-0.29659999999999997</c:v>
                </c:pt>
                <c:pt idx="5">
                  <c:v>-0.39419999999999988</c:v>
                </c:pt>
                <c:pt idx="6">
                  <c:v>-0.43039999999999989</c:v>
                </c:pt>
                <c:pt idx="7">
                  <c:v>-0.39999999999999969</c:v>
                </c:pt>
                <c:pt idx="8">
                  <c:v>-0.18179999999999974</c:v>
                </c:pt>
                <c:pt idx="9">
                  <c:v>-0.13179999999999992</c:v>
                </c:pt>
                <c:pt idx="10">
                  <c:v>-0.11619999999999986</c:v>
                </c:pt>
                <c:pt idx="11">
                  <c:v>-0.11569999999999991</c:v>
                </c:pt>
                <c:pt idx="12">
                  <c:v>-0.10709999999999997</c:v>
                </c:pt>
              </c:numCache>
            </c:numRef>
          </c:xVal>
          <c:yVal>
            <c:numRef>
              <c:f>P20_09h30!$E$7:$E$19</c:f>
              <c:numCache>
                <c:formatCode>0.0000</c:formatCode>
                <c:ptCount val="13"/>
                <c:pt idx="0">
                  <c:v>1.8599999999999978E-2</c:v>
                </c:pt>
                <c:pt idx="1">
                  <c:v>0.31259999999999999</c:v>
                </c:pt>
                <c:pt idx="2">
                  <c:v>0.31979999999999997</c:v>
                </c:pt>
                <c:pt idx="3">
                  <c:v>0.32809999999999995</c:v>
                </c:pt>
                <c:pt idx="4">
                  <c:v>0.30399999999999994</c:v>
                </c:pt>
                <c:pt idx="5">
                  <c:v>0.19989999999999997</c:v>
                </c:pt>
                <c:pt idx="6">
                  <c:v>8.0399999999999971E-2</c:v>
                </c:pt>
                <c:pt idx="7">
                  <c:v>-2.7000000000000079E-3</c:v>
                </c:pt>
                <c:pt idx="8">
                  <c:v>-0.22720000000000001</c:v>
                </c:pt>
                <c:pt idx="9">
                  <c:v>-0.24130000000000001</c:v>
                </c:pt>
                <c:pt idx="10">
                  <c:v>-0.2389</c:v>
                </c:pt>
                <c:pt idx="11">
                  <c:v>-0.2384</c:v>
                </c:pt>
                <c:pt idx="12">
                  <c:v>1.8599999999999978E-2</c:v>
                </c:pt>
              </c:numCache>
            </c:numRef>
          </c:yVal>
          <c:smooth val="0"/>
          <c:extLst>
            <c:ext xmlns:c16="http://schemas.microsoft.com/office/drawing/2014/chart" uri="{C3380CC4-5D6E-409C-BE32-E72D297353CC}">
              <c16:uniqueId val="{00000000-BE38-4EB5-BCB7-66082CA77EEC}"/>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10:00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P21_10h00!$B$7:$B$19</c:f>
              <c:numCache>
                <c:formatCode>0.0000</c:formatCode>
                <c:ptCount val="13"/>
                <c:pt idx="0">
                  <c:v>-2.0918999999999999</c:v>
                </c:pt>
                <c:pt idx="1">
                  <c:v>-2.1074999999999999</c:v>
                </c:pt>
                <c:pt idx="2">
                  <c:v>-2.1131000000000002</c:v>
                </c:pt>
                <c:pt idx="3">
                  <c:v>-2.1619000000000002</c:v>
                </c:pt>
                <c:pt idx="4">
                  <c:v>-2.2578</c:v>
                </c:pt>
                <c:pt idx="5">
                  <c:v>-2.3591000000000002</c:v>
                </c:pt>
                <c:pt idx="6">
                  <c:v>-2.3956</c:v>
                </c:pt>
                <c:pt idx="7">
                  <c:v>-2.3738999999999999</c:v>
                </c:pt>
                <c:pt idx="8">
                  <c:v>-2.1623000000000001</c:v>
                </c:pt>
                <c:pt idx="9">
                  <c:v>-2.1143000000000001</c:v>
                </c:pt>
                <c:pt idx="10">
                  <c:v>-2.1012</c:v>
                </c:pt>
                <c:pt idx="11">
                  <c:v>-2.1008</c:v>
                </c:pt>
                <c:pt idx="12">
                  <c:v>-2.0918999999999999</c:v>
                </c:pt>
              </c:numCache>
            </c:numRef>
          </c:xVal>
          <c:yVal>
            <c:numRef>
              <c:f>P21_10h00!$C$7:$C$19</c:f>
              <c:numCache>
                <c:formatCode>0.0000</c:formatCode>
                <c:ptCount val="13"/>
                <c:pt idx="0">
                  <c:v>0.24540000000000001</c:v>
                </c:pt>
                <c:pt idx="1">
                  <c:v>0.51600000000000001</c:v>
                </c:pt>
                <c:pt idx="2">
                  <c:v>0.52110000000000001</c:v>
                </c:pt>
                <c:pt idx="3">
                  <c:v>0.5272</c:v>
                </c:pt>
                <c:pt idx="4">
                  <c:v>0.50690000000000002</c:v>
                </c:pt>
                <c:pt idx="5">
                  <c:v>0.39950000000000002</c:v>
                </c:pt>
                <c:pt idx="6">
                  <c:v>0.28060000000000002</c:v>
                </c:pt>
                <c:pt idx="7">
                  <c:v>0.21540000000000001</c:v>
                </c:pt>
                <c:pt idx="8">
                  <c:v>-3.3999999999999998E-3</c:v>
                </c:pt>
                <c:pt idx="9">
                  <c:v>-1.6299999999999999E-2</c:v>
                </c:pt>
                <c:pt idx="10">
                  <c:v>-1.47E-2</c:v>
                </c:pt>
                <c:pt idx="11">
                  <c:v>-1.44E-2</c:v>
                </c:pt>
                <c:pt idx="12">
                  <c:v>0.24540000000000001</c:v>
                </c:pt>
              </c:numCache>
            </c:numRef>
          </c:yVal>
          <c:smooth val="0"/>
          <c:extLst>
            <c:ext xmlns:c16="http://schemas.microsoft.com/office/drawing/2014/chart" uri="{C3380CC4-5D6E-409C-BE32-E72D297353CC}">
              <c16:uniqueId val="{00000000-0A3C-46AE-93C9-788CDDFADF59}"/>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P21_10h00!$B$4</c:f>
              <c:numCache>
                <c:formatCode>0.0000</c:formatCode>
                <c:ptCount val="1"/>
                <c:pt idx="0">
                  <c:v>-2.0084</c:v>
                </c:pt>
              </c:numCache>
            </c:numRef>
          </c:xVal>
          <c:yVal>
            <c:numRef>
              <c:f>P21_10h00!$D$4</c:f>
              <c:numCache>
                <c:formatCode>0.0000</c:formatCode>
                <c:ptCount val="1"/>
                <c:pt idx="0">
                  <c:v>0.1978</c:v>
                </c:pt>
              </c:numCache>
            </c:numRef>
          </c:yVal>
          <c:smooth val="1"/>
          <c:extLst>
            <c:ext xmlns:c16="http://schemas.microsoft.com/office/drawing/2014/chart" uri="{C3380CC4-5D6E-409C-BE32-E72D297353CC}">
              <c16:uniqueId val="{00000001-0A3C-46AE-93C9-788CDDFADF59}"/>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P21_10h00!$D$7:$D$19</c:f>
              <c:numCache>
                <c:formatCode>0.0000</c:formatCode>
                <c:ptCount val="13"/>
                <c:pt idx="0">
                  <c:v>-8.3499999999999908E-2</c:v>
                </c:pt>
                <c:pt idx="1">
                  <c:v>-9.9099999999999966E-2</c:v>
                </c:pt>
                <c:pt idx="2">
                  <c:v>-0.10470000000000024</c:v>
                </c:pt>
                <c:pt idx="3">
                  <c:v>-0.15350000000000019</c:v>
                </c:pt>
                <c:pt idx="4">
                  <c:v>-0.24940000000000007</c:v>
                </c:pt>
                <c:pt idx="5">
                  <c:v>-0.35070000000000023</c:v>
                </c:pt>
                <c:pt idx="6">
                  <c:v>-0.38719999999999999</c:v>
                </c:pt>
                <c:pt idx="7">
                  <c:v>-0.36549999999999994</c:v>
                </c:pt>
                <c:pt idx="8">
                  <c:v>-0.15390000000000015</c:v>
                </c:pt>
                <c:pt idx="9">
                  <c:v>-0.10590000000000011</c:v>
                </c:pt>
                <c:pt idx="10">
                  <c:v>-9.2799999999999994E-2</c:v>
                </c:pt>
                <c:pt idx="11">
                  <c:v>-9.2400000000000038E-2</c:v>
                </c:pt>
                <c:pt idx="12">
                  <c:v>-8.3499999999999908E-2</c:v>
                </c:pt>
              </c:numCache>
            </c:numRef>
          </c:xVal>
          <c:yVal>
            <c:numRef>
              <c:f>P21_10h00!$E$7:$E$19</c:f>
              <c:numCache>
                <c:formatCode>0.0000</c:formatCode>
                <c:ptCount val="13"/>
                <c:pt idx="0">
                  <c:v>4.7600000000000003E-2</c:v>
                </c:pt>
                <c:pt idx="1">
                  <c:v>0.31820000000000004</c:v>
                </c:pt>
                <c:pt idx="2">
                  <c:v>0.32330000000000003</c:v>
                </c:pt>
                <c:pt idx="3">
                  <c:v>0.32940000000000003</c:v>
                </c:pt>
                <c:pt idx="4">
                  <c:v>0.30910000000000004</c:v>
                </c:pt>
                <c:pt idx="5">
                  <c:v>0.20170000000000002</c:v>
                </c:pt>
                <c:pt idx="6">
                  <c:v>8.2800000000000012E-2</c:v>
                </c:pt>
                <c:pt idx="7">
                  <c:v>1.7600000000000005E-2</c:v>
                </c:pt>
                <c:pt idx="8">
                  <c:v>-0.20119999999999999</c:v>
                </c:pt>
                <c:pt idx="9">
                  <c:v>-0.21410000000000001</c:v>
                </c:pt>
                <c:pt idx="10">
                  <c:v>-0.21249999999999999</c:v>
                </c:pt>
                <c:pt idx="11">
                  <c:v>-0.2122</c:v>
                </c:pt>
                <c:pt idx="12">
                  <c:v>4.7600000000000003E-2</c:v>
                </c:pt>
              </c:numCache>
            </c:numRef>
          </c:yVal>
          <c:smooth val="0"/>
          <c:extLst>
            <c:ext xmlns:c16="http://schemas.microsoft.com/office/drawing/2014/chart" uri="{C3380CC4-5D6E-409C-BE32-E72D297353CC}">
              <c16:uniqueId val="{00000000-3091-4628-80F2-AF2008E3C1D3}"/>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10:30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P22_10h30!$B$7:$B$19</c:f>
              <c:numCache>
                <c:formatCode>0.0000</c:formatCode>
                <c:ptCount val="13"/>
                <c:pt idx="0">
                  <c:v>-2.1819999999999999</c:v>
                </c:pt>
                <c:pt idx="1">
                  <c:v>-2.1974</c:v>
                </c:pt>
                <c:pt idx="2">
                  <c:v>-2.202</c:v>
                </c:pt>
                <c:pt idx="3">
                  <c:v>-2.2462</c:v>
                </c:pt>
                <c:pt idx="4">
                  <c:v>-2.3433999999999999</c:v>
                </c:pt>
                <c:pt idx="5">
                  <c:v>-2.4451000000000001</c:v>
                </c:pt>
                <c:pt idx="6">
                  <c:v>-2.4799000000000002</c:v>
                </c:pt>
                <c:pt idx="7">
                  <c:v>-2.4622999999999999</c:v>
                </c:pt>
                <c:pt idx="8">
                  <c:v>-2.2563</c:v>
                </c:pt>
                <c:pt idx="9">
                  <c:v>-2.2000000000000002</c:v>
                </c:pt>
                <c:pt idx="10">
                  <c:v>-2.1916000000000002</c:v>
                </c:pt>
                <c:pt idx="11">
                  <c:v>-2.1913</c:v>
                </c:pt>
                <c:pt idx="12">
                  <c:v>-2.1819999999999999</c:v>
                </c:pt>
              </c:numCache>
            </c:numRef>
          </c:xVal>
          <c:yVal>
            <c:numRef>
              <c:f>P22_10h30!$C$7:$C$19</c:f>
              <c:numCache>
                <c:formatCode>0.0000</c:formatCode>
                <c:ptCount val="13"/>
                <c:pt idx="0">
                  <c:v>0.25280000000000002</c:v>
                </c:pt>
                <c:pt idx="1">
                  <c:v>0.51929999999999998</c:v>
                </c:pt>
                <c:pt idx="2">
                  <c:v>0.52359999999999995</c:v>
                </c:pt>
                <c:pt idx="3">
                  <c:v>0.5282</c:v>
                </c:pt>
                <c:pt idx="4">
                  <c:v>0.50729999999999997</c:v>
                </c:pt>
                <c:pt idx="5">
                  <c:v>0.39950000000000002</c:v>
                </c:pt>
                <c:pt idx="6">
                  <c:v>0.28179999999999999</c:v>
                </c:pt>
                <c:pt idx="7">
                  <c:v>0.22700000000000001</c:v>
                </c:pt>
                <c:pt idx="8">
                  <c:v>8.6E-3</c:v>
                </c:pt>
                <c:pt idx="9">
                  <c:v>-6.7000000000000002E-3</c:v>
                </c:pt>
                <c:pt idx="10">
                  <c:v>-5.7000000000000002E-3</c:v>
                </c:pt>
                <c:pt idx="11">
                  <c:v>-5.4999999999999997E-3</c:v>
                </c:pt>
                <c:pt idx="12">
                  <c:v>0.25280000000000002</c:v>
                </c:pt>
              </c:numCache>
            </c:numRef>
          </c:yVal>
          <c:smooth val="0"/>
          <c:extLst>
            <c:ext xmlns:c16="http://schemas.microsoft.com/office/drawing/2014/chart" uri="{C3380CC4-5D6E-409C-BE32-E72D297353CC}">
              <c16:uniqueId val="{00000000-B9C7-4212-AFF2-6FA29333BBD9}"/>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P22_10h30!$B$4</c:f>
              <c:numCache>
                <c:formatCode>0.0000</c:formatCode>
                <c:ptCount val="1"/>
                <c:pt idx="0">
                  <c:v>-2.1535000000000002</c:v>
                </c:pt>
              </c:numCache>
            </c:numRef>
          </c:xVal>
          <c:yVal>
            <c:numRef>
              <c:f>P22_10h30!$D$4</c:f>
              <c:numCache>
                <c:formatCode>0.0000</c:formatCode>
                <c:ptCount val="1"/>
                <c:pt idx="0">
                  <c:v>0.19769999999999999</c:v>
                </c:pt>
              </c:numCache>
            </c:numRef>
          </c:yVal>
          <c:smooth val="1"/>
          <c:extLst>
            <c:ext xmlns:c16="http://schemas.microsoft.com/office/drawing/2014/chart" uri="{C3380CC4-5D6E-409C-BE32-E72D297353CC}">
              <c16:uniqueId val="{00000001-B9C7-4212-AFF2-6FA29333BBD9}"/>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P22_10h30!$D$7:$D$19</c:f>
              <c:numCache>
                <c:formatCode>0.0000</c:formatCode>
                <c:ptCount val="13"/>
                <c:pt idx="0">
                  <c:v>-2.8499999999999748E-2</c:v>
                </c:pt>
                <c:pt idx="1">
                  <c:v>-4.3899999999999828E-2</c:v>
                </c:pt>
                <c:pt idx="2">
                  <c:v>-4.8499999999999766E-2</c:v>
                </c:pt>
                <c:pt idx="3">
                  <c:v>-9.2699999999999783E-2</c:v>
                </c:pt>
                <c:pt idx="4">
                  <c:v>-0.18989999999999974</c:v>
                </c:pt>
                <c:pt idx="5">
                  <c:v>-0.29159999999999986</c:v>
                </c:pt>
                <c:pt idx="6">
                  <c:v>-0.32640000000000002</c:v>
                </c:pt>
                <c:pt idx="7">
                  <c:v>-0.30879999999999974</c:v>
                </c:pt>
                <c:pt idx="8">
                  <c:v>-0.10279999999999978</c:v>
                </c:pt>
                <c:pt idx="9">
                  <c:v>-4.6499999999999986E-2</c:v>
                </c:pt>
                <c:pt idx="10">
                  <c:v>-3.8100000000000023E-2</c:v>
                </c:pt>
                <c:pt idx="11">
                  <c:v>-3.7799999999999834E-2</c:v>
                </c:pt>
                <c:pt idx="12">
                  <c:v>-2.8499999999999748E-2</c:v>
                </c:pt>
              </c:numCache>
            </c:numRef>
          </c:xVal>
          <c:yVal>
            <c:numRef>
              <c:f>P22_10h30!$E$7:$E$19</c:f>
              <c:numCache>
                <c:formatCode>0.0000</c:formatCode>
                <c:ptCount val="13"/>
                <c:pt idx="0">
                  <c:v>5.5100000000000038E-2</c:v>
                </c:pt>
                <c:pt idx="1">
                  <c:v>0.3216</c:v>
                </c:pt>
                <c:pt idx="2">
                  <c:v>0.32589999999999997</c:v>
                </c:pt>
                <c:pt idx="3">
                  <c:v>0.33050000000000002</c:v>
                </c:pt>
                <c:pt idx="4">
                  <c:v>0.30959999999999999</c:v>
                </c:pt>
                <c:pt idx="5">
                  <c:v>0.20180000000000003</c:v>
                </c:pt>
                <c:pt idx="6">
                  <c:v>8.4100000000000008E-2</c:v>
                </c:pt>
                <c:pt idx="7">
                  <c:v>2.930000000000002E-2</c:v>
                </c:pt>
                <c:pt idx="8">
                  <c:v>-0.18909999999999999</c:v>
                </c:pt>
                <c:pt idx="9">
                  <c:v>-0.2044</c:v>
                </c:pt>
                <c:pt idx="10">
                  <c:v>-0.2034</c:v>
                </c:pt>
                <c:pt idx="11">
                  <c:v>-0.20319999999999999</c:v>
                </c:pt>
                <c:pt idx="12">
                  <c:v>5.5100000000000038E-2</c:v>
                </c:pt>
              </c:numCache>
            </c:numRef>
          </c:yVal>
          <c:smooth val="0"/>
          <c:extLst>
            <c:ext xmlns:c16="http://schemas.microsoft.com/office/drawing/2014/chart" uri="{C3380CC4-5D6E-409C-BE32-E72D297353CC}">
              <c16:uniqueId val="{00000000-E33C-4DFD-BE38-5662F922926C}"/>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11:00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P23_11h00!$B$7:$B$19</c:f>
              <c:numCache>
                <c:formatCode>0.0000</c:formatCode>
                <c:ptCount val="13"/>
                <c:pt idx="0">
                  <c:v>-2.1943000000000001</c:v>
                </c:pt>
                <c:pt idx="1">
                  <c:v>-2.2088999999999999</c:v>
                </c:pt>
                <c:pt idx="2">
                  <c:v>-2.2122000000000002</c:v>
                </c:pt>
                <c:pt idx="3">
                  <c:v>-2.2553999999999998</c:v>
                </c:pt>
                <c:pt idx="4">
                  <c:v>-2.3519000000000001</c:v>
                </c:pt>
                <c:pt idx="5">
                  <c:v>-2.4550000000000001</c:v>
                </c:pt>
                <c:pt idx="6">
                  <c:v>-2.4908000000000001</c:v>
                </c:pt>
                <c:pt idx="7">
                  <c:v>-2.4702999999999999</c:v>
                </c:pt>
                <c:pt idx="8">
                  <c:v>-2.2595000000000001</c:v>
                </c:pt>
                <c:pt idx="9">
                  <c:v>-2.2094999999999998</c:v>
                </c:pt>
                <c:pt idx="10">
                  <c:v>-2.2033999999999998</c:v>
                </c:pt>
                <c:pt idx="11">
                  <c:v>-2.2033999999999998</c:v>
                </c:pt>
                <c:pt idx="12">
                  <c:v>-2.1943000000000001</c:v>
                </c:pt>
              </c:numCache>
            </c:numRef>
          </c:xVal>
          <c:yVal>
            <c:numRef>
              <c:f>P23_11h00!$C$7:$C$19</c:f>
              <c:numCache>
                <c:formatCode>0.0000</c:formatCode>
                <c:ptCount val="13"/>
                <c:pt idx="0">
                  <c:v>0.26329999999999998</c:v>
                </c:pt>
                <c:pt idx="1">
                  <c:v>0.52769999999999995</c:v>
                </c:pt>
                <c:pt idx="2">
                  <c:v>0.53059999999999996</c:v>
                </c:pt>
                <c:pt idx="3">
                  <c:v>0.53500000000000003</c:v>
                </c:pt>
                <c:pt idx="4">
                  <c:v>0.51470000000000005</c:v>
                </c:pt>
                <c:pt idx="5">
                  <c:v>0.40739999999999998</c:v>
                </c:pt>
                <c:pt idx="6">
                  <c:v>0.2878</c:v>
                </c:pt>
                <c:pt idx="7">
                  <c:v>0.2276</c:v>
                </c:pt>
                <c:pt idx="8">
                  <c:v>8.6999999999999994E-3</c:v>
                </c:pt>
                <c:pt idx="9">
                  <c:v>-6.3E-3</c:v>
                </c:pt>
                <c:pt idx="10">
                  <c:v>-5.4999999999999997E-3</c:v>
                </c:pt>
                <c:pt idx="11">
                  <c:v>-5.4999999999999997E-3</c:v>
                </c:pt>
                <c:pt idx="12">
                  <c:v>0.26329999999999998</c:v>
                </c:pt>
              </c:numCache>
            </c:numRef>
          </c:yVal>
          <c:smooth val="0"/>
          <c:extLst>
            <c:ext xmlns:c16="http://schemas.microsoft.com/office/drawing/2014/chart" uri="{C3380CC4-5D6E-409C-BE32-E72D297353CC}">
              <c16:uniqueId val="{00000000-36C5-44FA-8068-AA364CE7A95C}"/>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P23_11h00!$B$4</c:f>
              <c:numCache>
                <c:formatCode>0.0000</c:formatCode>
                <c:ptCount val="1"/>
                <c:pt idx="0">
                  <c:v>-2.2382</c:v>
                </c:pt>
              </c:numCache>
            </c:numRef>
          </c:xVal>
          <c:yVal>
            <c:numRef>
              <c:f>P23_11h00!$D$4</c:f>
              <c:numCache>
                <c:formatCode>0.0000</c:formatCode>
                <c:ptCount val="1"/>
                <c:pt idx="0">
                  <c:v>0.1988</c:v>
                </c:pt>
              </c:numCache>
            </c:numRef>
          </c:yVal>
          <c:smooth val="1"/>
          <c:extLst>
            <c:ext xmlns:c16="http://schemas.microsoft.com/office/drawing/2014/chart" uri="{C3380CC4-5D6E-409C-BE32-E72D297353CC}">
              <c16:uniqueId val="{00000001-36C5-44FA-8068-AA364CE7A95C}"/>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P23_11h00!$D$7:$D$19</c:f>
              <c:numCache>
                <c:formatCode>0.0000</c:formatCode>
                <c:ptCount val="13"/>
                <c:pt idx="0">
                  <c:v>4.3899999999999828E-2</c:v>
                </c:pt>
                <c:pt idx="1">
                  <c:v>2.9300000000000104E-2</c:v>
                </c:pt>
                <c:pt idx="2">
                  <c:v>2.5999999999999801E-2</c:v>
                </c:pt>
                <c:pt idx="3">
                  <c:v>-1.7199999999999882E-2</c:v>
                </c:pt>
                <c:pt idx="4">
                  <c:v>-0.11370000000000013</c:v>
                </c:pt>
                <c:pt idx="5">
                  <c:v>-0.2168000000000001</c:v>
                </c:pt>
                <c:pt idx="6">
                  <c:v>-0.25260000000000016</c:v>
                </c:pt>
                <c:pt idx="7">
                  <c:v>-0.23209999999999997</c:v>
                </c:pt>
                <c:pt idx="8">
                  <c:v>-2.1300000000000097E-2</c:v>
                </c:pt>
                <c:pt idx="9">
                  <c:v>2.870000000000017E-2</c:v>
                </c:pt>
                <c:pt idx="10">
                  <c:v>3.4800000000000164E-2</c:v>
                </c:pt>
                <c:pt idx="11">
                  <c:v>3.4800000000000164E-2</c:v>
                </c:pt>
                <c:pt idx="12">
                  <c:v>4.3899999999999828E-2</c:v>
                </c:pt>
              </c:numCache>
            </c:numRef>
          </c:xVal>
          <c:yVal>
            <c:numRef>
              <c:f>P23_11h00!$E$7:$E$19</c:f>
              <c:numCache>
                <c:formatCode>0.0000</c:formatCode>
                <c:ptCount val="13"/>
                <c:pt idx="0">
                  <c:v>6.4499999999999974E-2</c:v>
                </c:pt>
                <c:pt idx="1">
                  <c:v>0.32889999999999997</c:v>
                </c:pt>
                <c:pt idx="2">
                  <c:v>0.33179999999999998</c:v>
                </c:pt>
                <c:pt idx="3">
                  <c:v>0.33620000000000005</c:v>
                </c:pt>
                <c:pt idx="4">
                  <c:v>0.31590000000000007</c:v>
                </c:pt>
                <c:pt idx="5">
                  <c:v>0.20859999999999998</c:v>
                </c:pt>
                <c:pt idx="6">
                  <c:v>8.8999999999999996E-2</c:v>
                </c:pt>
                <c:pt idx="7">
                  <c:v>2.8799999999999992E-2</c:v>
                </c:pt>
                <c:pt idx="8">
                  <c:v>-0.19009999999999999</c:v>
                </c:pt>
                <c:pt idx="9">
                  <c:v>-0.2051</c:v>
                </c:pt>
                <c:pt idx="10">
                  <c:v>-0.20430000000000001</c:v>
                </c:pt>
                <c:pt idx="11">
                  <c:v>-0.20430000000000001</c:v>
                </c:pt>
                <c:pt idx="12">
                  <c:v>6.4499999999999974E-2</c:v>
                </c:pt>
              </c:numCache>
            </c:numRef>
          </c:yVal>
          <c:smooth val="0"/>
          <c:extLst>
            <c:ext xmlns:c16="http://schemas.microsoft.com/office/drawing/2014/chart" uri="{C3380CC4-5D6E-409C-BE32-E72D297353CC}">
              <c16:uniqueId val="{00000000-6328-4C26-834E-D9796806DFFA}"/>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11:30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P24_11h30!$B$7:$B$19</c:f>
              <c:numCache>
                <c:formatCode>0.0000</c:formatCode>
                <c:ptCount val="13"/>
                <c:pt idx="0">
                  <c:v>-2.2023000000000001</c:v>
                </c:pt>
                <c:pt idx="1">
                  <c:v>-2.2181000000000002</c:v>
                </c:pt>
                <c:pt idx="2">
                  <c:v>-2.2227000000000001</c:v>
                </c:pt>
                <c:pt idx="3">
                  <c:v>-2.2673000000000001</c:v>
                </c:pt>
                <c:pt idx="4">
                  <c:v>-2.3534000000000002</c:v>
                </c:pt>
                <c:pt idx="5">
                  <c:v>-2.4544999999999999</c:v>
                </c:pt>
                <c:pt idx="6">
                  <c:v>-2.492</c:v>
                </c:pt>
                <c:pt idx="7">
                  <c:v>-2.4748000000000001</c:v>
                </c:pt>
                <c:pt idx="8">
                  <c:v>-2.2690000000000001</c:v>
                </c:pt>
                <c:pt idx="9">
                  <c:v>-2.2187000000000001</c:v>
                </c:pt>
                <c:pt idx="10">
                  <c:v>-2.2113999999999998</c:v>
                </c:pt>
                <c:pt idx="11">
                  <c:v>-2.2113</c:v>
                </c:pt>
                <c:pt idx="12">
                  <c:v>-2.2023000000000001</c:v>
                </c:pt>
              </c:numCache>
            </c:numRef>
          </c:xVal>
          <c:yVal>
            <c:numRef>
              <c:f>P24_11h30!$C$7:$C$19</c:f>
              <c:numCache>
                <c:formatCode>0.0000</c:formatCode>
                <c:ptCount val="13"/>
                <c:pt idx="0">
                  <c:v>0.26219999999999999</c:v>
                </c:pt>
                <c:pt idx="1">
                  <c:v>0.52829999999999999</c:v>
                </c:pt>
                <c:pt idx="2">
                  <c:v>0.53259999999999996</c:v>
                </c:pt>
                <c:pt idx="3">
                  <c:v>0.53739999999999999</c:v>
                </c:pt>
                <c:pt idx="4">
                  <c:v>0.51839999999999997</c:v>
                </c:pt>
                <c:pt idx="5">
                  <c:v>0.41060000000000002</c:v>
                </c:pt>
                <c:pt idx="6">
                  <c:v>0.2903</c:v>
                </c:pt>
                <c:pt idx="7">
                  <c:v>0.2379</c:v>
                </c:pt>
                <c:pt idx="8">
                  <c:v>2.01E-2</c:v>
                </c:pt>
                <c:pt idx="9">
                  <c:v>5.1000000000000004E-3</c:v>
                </c:pt>
                <c:pt idx="10">
                  <c:v>5.4999999999999997E-3</c:v>
                </c:pt>
                <c:pt idx="11">
                  <c:v>5.4999999999999997E-3</c:v>
                </c:pt>
                <c:pt idx="12">
                  <c:v>0.26219999999999999</c:v>
                </c:pt>
              </c:numCache>
            </c:numRef>
          </c:yVal>
          <c:smooth val="0"/>
          <c:extLst>
            <c:ext xmlns:c16="http://schemas.microsoft.com/office/drawing/2014/chart" uri="{C3380CC4-5D6E-409C-BE32-E72D297353CC}">
              <c16:uniqueId val="{00000000-B2CF-45DF-863A-A891A6DBC5BB}"/>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P24_11h30!$B$4</c:f>
              <c:numCache>
                <c:formatCode>0.0000</c:formatCode>
                <c:ptCount val="1"/>
                <c:pt idx="0">
                  <c:v>-2.2475999999999998</c:v>
                </c:pt>
              </c:numCache>
            </c:numRef>
          </c:xVal>
          <c:yVal>
            <c:numRef>
              <c:f>P24_11h30!$D$4</c:f>
              <c:numCache>
                <c:formatCode>0.0000</c:formatCode>
                <c:ptCount val="1"/>
                <c:pt idx="0">
                  <c:v>0.2056</c:v>
                </c:pt>
              </c:numCache>
            </c:numRef>
          </c:yVal>
          <c:smooth val="1"/>
          <c:extLst>
            <c:ext xmlns:c16="http://schemas.microsoft.com/office/drawing/2014/chart" uri="{C3380CC4-5D6E-409C-BE32-E72D297353CC}">
              <c16:uniqueId val="{00000001-B2CF-45DF-863A-A891A6DBC5BB}"/>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P24_11h30!$D$7:$D$19</c:f>
              <c:numCache>
                <c:formatCode>0.0000</c:formatCode>
                <c:ptCount val="13"/>
                <c:pt idx="0">
                  <c:v>4.5299999999999674E-2</c:v>
                </c:pt>
                <c:pt idx="1">
                  <c:v>2.9499999999999638E-2</c:v>
                </c:pt>
                <c:pt idx="2">
                  <c:v>2.48999999999997E-2</c:v>
                </c:pt>
                <c:pt idx="3">
                  <c:v>-1.9700000000000273E-2</c:v>
                </c:pt>
                <c:pt idx="4">
                  <c:v>-0.10580000000000034</c:v>
                </c:pt>
                <c:pt idx="5">
                  <c:v>-0.20690000000000008</c:v>
                </c:pt>
                <c:pt idx="6">
                  <c:v>-0.24440000000000017</c:v>
                </c:pt>
                <c:pt idx="7">
                  <c:v>-0.22720000000000029</c:v>
                </c:pt>
                <c:pt idx="8">
                  <c:v>-2.1400000000000308E-2</c:v>
                </c:pt>
                <c:pt idx="9">
                  <c:v>2.8899999999999704E-2</c:v>
                </c:pt>
                <c:pt idx="10">
                  <c:v>3.620000000000001E-2</c:v>
                </c:pt>
                <c:pt idx="11">
                  <c:v>3.6299999999999777E-2</c:v>
                </c:pt>
                <c:pt idx="12">
                  <c:v>4.5299999999999674E-2</c:v>
                </c:pt>
              </c:numCache>
            </c:numRef>
          </c:xVal>
          <c:yVal>
            <c:numRef>
              <c:f>P24_11h30!$E$7:$E$19</c:f>
              <c:numCache>
                <c:formatCode>0.0000</c:formatCode>
                <c:ptCount val="13"/>
                <c:pt idx="0">
                  <c:v>5.6599999999999984E-2</c:v>
                </c:pt>
                <c:pt idx="1">
                  <c:v>0.32269999999999999</c:v>
                </c:pt>
                <c:pt idx="2">
                  <c:v>0.32699999999999996</c:v>
                </c:pt>
                <c:pt idx="3">
                  <c:v>0.33179999999999998</c:v>
                </c:pt>
                <c:pt idx="4">
                  <c:v>0.31279999999999997</c:v>
                </c:pt>
                <c:pt idx="5">
                  <c:v>0.20500000000000002</c:v>
                </c:pt>
                <c:pt idx="6">
                  <c:v>8.4699999999999998E-2</c:v>
                </c:pt>
                <c:pt idx="7">
                  <c:v>3.2299999999999995E-2</c:v>
                </c:pt>
                <c:pt idx="8">
                  <c:v>-0.1855</c:v>
                </c:pt>
                <c:pt idx="9">
                  <c:v>-0.20050000000000001</c:v>
                </c:pt>
                <c:pt idx="10">
                  <c:v>-0.2001</c:v>
                </c:pt>
                <c:pt idx="11">
                  <c:v>-0.2001</c:v>
                </c:pt>
                <c:pt idx="12">
                  <c:v>5.6599999999999984E-2</c:v>
                </c:pt>
              </c:numCache>
            </c:numRef>
          </c:yVal>
          <c:smooth val="0"/>
          <c:extLst>
            <c:ext xmlns:c16="http://schemas.microsoft.com/office/drawing/2014/chart" uri="{C3380CC4-5D6E-409C-BE32-E72D297353CC}">
              <c16:uniqueId val="{00000000-805F-4C67-B8B9-246AB91B2BD7}"/>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12:00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P25_12h00!$B$7:$B$19</c:f>
              <c:numCache>
                <c:formatCode>0.0000</c:formatCode>
                <c:ptCount val="13"/>
                <c:pt idx="0">
                  <c:v>-2.2589999999999999</c:v>
                </c:pt>
                <c:pt idx="1">
                  <c:v>-2.274</c:v>
                </c:pt>
                <c:pt idx="2">
                  <c:v>-2.2778</c:v>
                </c:pt>
                <c:pt idx="3">
                  <c:v>-2.3207</c:v>
                </c:pt>
                <c:pt idx="4">
                  <c:v>-2.4081000000000001</c:v>
                </c:pt>
                <c:pt idx="5">
                  <c:v>-2.5087999999999999</c:v>
                </c:pt>
                <c:pt idx="6">
                  <c:v>-2.5455999999999999</c:v>
                </c:pt>
                <c:pt idx="7">
                  <c:v>-2.5268999999999999</c:v>
                </c:pt>
                <c:pt idx="8">
                  <c:v>-2.3268</c:v>
                </c:pt>
                <c:pt idx="9">
                  <c:v>-2.2763</c:v>
                </c:pt>
                <c:pt idx="10">
                  <c:v>-2.2673000000000001</c:v>
                </c:pt>
                <c:pt idx="11">
                  <c:v>-2.2673000000000001</c:v>
                </c:pt>
                <c:pt idx="12">
                  <c:v>-2.2589999999999999</c:v>
                </c:pt>
              </c:numCache>
            </c:numRef>
          </c:xVal>
          <c:yVal>
            <c:numRef>
              <c:f>P25_12h00!$C$7:$C$19</c:f>
              <c:numCache>
                <c:formatCode>0.0000</c:formatCode>
                <c:ptCount val="13"/>
                <c:pt idx="0">
                  <c:v>0.24709999999999999</c:v>
                </c:pt>
                <c:pt idx="1">
                  <c:v>0.51500000000000001</c:v>
                </c:pt>
                <c:pt idx="2">
                  <c:v>0.51829999999999998</c:v>
                </c:pt>
                <c:pt idx="3">
                  <c:v>0.52270000000000005</c:v>
                </c:pt>
                <c:pt idx="4">
                  <c:v>0.50329999999999997</c:v>
                </c:pt>
                <c:pt idx="5">
                  <c:v>0.39600000000000002</c:v>
                </c:pt>
                <c:pt idx="6">
                  <c:v>0.27739999999999998</c:v>
                </c:pt>
                <c:pt idx="7">
                  <c:v>0.2235</c:v>
                </c:pt>
                <c:pt idx="8">
                  <c:v>1.2200000000000001E-2</c:v>
                </c:pt>
                <c:pt idx="9">
                  <c:v>-8.9999999999999998E-4</c:v>
                </c:pt>
                <c:pt idx="10">
                  <c:v>-2.9999999999999997E-4</c:v>
                </c:pt>
                <c:pt idx="11">
                  <c:v>-2.9999999999999997E-4</c:v>
                </c:pt>
                <c:pt idx="12">
                  <c:v>0.24709999999999999</c:v>
                </c:pt>
              </c:numCache>
            </c:numRef>
          </c:yVal>
          <c:smooth val="0"/>
          <c:extLst>
            <c:ext xmlns:c16="http://schemas.microsoft.com/office/drawing/2014/chart" uri="{C3380CC4-5D6E-409C-BE32-E72D297353CC}">
              <c16:uniqueId val="{00000000-618A-44E2-93DF-1BD2012F22DF}"/>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P25_12h00!$B$4</c:f>
              <c:numCache>
                <c:formatCode>0.0000</c:formatCode>
                <c:ptCount val="1"/>
                <c:pt idx="0">
                  <c:v>-2.2582</c:v>
                </c:pt>
              </c:numCache>
            </c:numRef>
          </c:xVal>
          <c:yVal>
            <c:numRef>
              <c:f>P25_12h00!$D$4</c:f>
              <c:numCache>
                <c:formatCode>0.0000</c:formatCode>
                <c:ptCount val="1"/>
                <c:pt idx="0">
                  <c:v>0.20730000000000001</c:v>
                </c:pt>
              </c:numCache>
            </c:numRef>
          </c:yVal>
          <c:smooth val="1"/>
          <c:extLst>
            <c:ext xmlns:c16="http://schemas.microsoft.com/office/drawing/2014/chart" uri="{C3380CC4-5D6E-409C-BE32-E72D297353CC}">
              <c16:uniqueId val="{00000001-618A-44E2-93DF-1BD2012F22DF}"/>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P25_12h00!$D$7:$D$19</c:f>
              <c:numCache>
                <c:formatCode>0.0000</c:formatCode>
                <c:ptCount val="13"/>
                <c:pt idx="0">
                  <c:v>-7.9999999999991189E-4</c:v>
                </c:pt>
                <c:pt idx="1">
                  <c:v>-1.5800000000000036E-2</c:v>
                </c:pt>
                <c:pt idx="2">
                  <c:v>-1.9600000000000062E-2</c:v>
                </c:pt>
                <c:pt idx="3">
                  <c:v>-6.25E-2</c:v>
                </c:pt>
                <c:pt idx="4">
                  <c:v>-0.14990000000000014</c:v>
                </c:pt>
                <c:pt idx="5">
                  <c:v>-0.25059999999999993</c:v>
                </c:pt>
                <c:pt idx="6">
                  <c:v>-0.28739999999999988</c:v>
                </c:pt>
                <c:pt idx="7">
                  <c:v>-0.26869999999999994</c:v>
                </c:pt>
                <c:pt idx="8">
                  <c:v>-6.8599999999999994E-2</c:v>
                </c:pt>
                <c:pt idx="9">
                  <c:v>-1.8100000000000005E-2</c:v>
                </c:pt>
                <c:pt idx="10">
                  <c:v>-9.100000000000108E-3</c:v>
                </c:pt>
                <c:pt idx="11">
                  <c:v>-9.100000000000108E-3</c:v>
                </c:pt>
                <c:pt idx="12">
                  <c:v>-7.9999999999991189E-4</c:v>
                </c:pt>
              </c:numCache>
            </c:numRef>
          </c:xVal>
          <c:yVal>
            <c:numRef>
              <c:f>P25_12h00!$E$7:$E$19</c:f>
              <c:numCache>
                <c:formatCode>0.0000</c:formatCode>
                <c:ptCount val="13"/>
                <c:pt idx="0">
                  <c:v>3.9799999999999974E-2</c:v>
                </c:pt>
                <c:pt idx="1">
                  <c:v>0.30769999999999997</c:v>
                </c:pt>
                <c:pt idx="2">
                  <c:v>0.31099999999999994</c:v>
                </c:pt>
                <c:pt idx="3">
                  <c:v>0.31540000000000001</c:v>
                </c:pt>
                <c:pt idx="4">
                  <c:v>0.29599999999999993</c:v>
                </c:pt>
                <c:pt idx="5">
                  <c:v>0.18870000000000001</c:v>
                </c:pt>
                <c:pt idx="6">
                  <c:v>7.0099999999999968E-2</c:v>
                </c:pt>
                <c:pt idx="7">
                  <c:v>1.6199999999999992E-2</c:v>
                </c:pt>
                <c:pt idx="8">
                  <c:v>-0.19510000000000002</c:v>
                </c:pt>
                <c:pt idx="9">
                  <c:v>-0.20820000000000002</c:v>
                </c:pt>
                <c:pt idx="10">
                  <c:v>-0.20760000000000001</c:v>
                </c:pt>
                <c:pt idx="11">
                  <c:v>-0.20760000000000001</c:v>
                </c:pt>
                <c:pt idx="12">
                  <c:v>3.9799999999999974E-2</c:v>
                </c:pt>
              </c:numCache>
            </c:numRef>
          </c:yVal>
          <c:smooth val="0"/>
          <c:extLst>
            <c:ext xmlns:c16="http://schemas.microsoft.com/office/drawing/2014/chart" uri="{C3380CC4-5D6E-409C-BE32-E72D297353CC}">
              <c16:uniqueId val="{00000000-6A8C-4109-A2B1-82C299B96D96}"/>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12:30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P26_12h30!$B$7:$B$19</c:f>
              <c:numCache>
                <c:formatCode>0.0000</c:formatCode>
                <c:ptCount val="13"/>
                <c:pt idx="0">
                  <c:v>-2.1732999999999998</c:v>
                </c:pt>
                <c:pt idx="1">
                  <c:v>-2.1882999999999999</c:v>
                </c:pt>
                <c:pt idx="2">
                  <c:v>-2.1907000000000001</c:v>
                </c:pt>
                <c:pt idx="3">
                  <c:v>-2.2332000000000001</c:v>
                </c:pt>
                <c:pt idx="4">
                  <c:v>-2.3327</c:v>
                </c:pt>
                <c:pt idx="5">
                  <c:v>-2.4318</c:v>
                </c:pt>
                <c:pt idx="6">
                  <c:v>-2.4666999999999999</c:v>
                </c:pt>
                <c:pt idx="7">
                  <c:v>-2.444</c:v>
                </c:pt>
                <c:pt idx="8">
                  <c:v>-2.2511000000000001</c:v>
                </c:pt>
                <c:pt idx="9">
                  <c:v>-2.1928000000000001</c:v>
                </c:pt>
                <c:pt idx="10">
                  <c:v>-2.1821000000000002</c:v>
                </c:pt>
                <c:pt idx="11">
                  <c:v>-2.1819999999999999</c:v>
                </c:pt>
                <c:pt idx="12">
                  <c:v>-2.1732999999999998</c:v>
                </c:pt>
              </c:numCache>
            </c:numRef>
          </c:xVal>
          <c:yVal>
            <c:numRef>
              <c:f>P26_12h30!$C$7:$C$19</c:f>
              <c:numCache>
                <c:formatCode>0.0000</c:formatCode>
                <c:ptCount val="13"/>
                <c:pt idx="0">
                  <c:v>0.24490000000000001</c:v>
                </c:pt>
                <c:pt idx="1">
                  <c:v>0.51500000000000001</c:v>
                </c:pt>
                <c:pt idx="2">
                  <c:v>0.51719999999999999</c:v>
                </c:pt>
                <c:pt idx="3">
                  <c:v>0.52149999999999996</c:v>
                </c:pt>
                <c:pt idx="4">
                  <c:v>0.50029999999999997</c:v>
                </c:pt>
                <c:pt idx="5">
                  <c:v>0.39410000000000001</c:v>
                </c:pt>
                <c:pt idx="6">
                  <c:v>0.27750000000000002</c:v>
                </c:pt>
                <c:pt idx="7">
                  <c:v>0.2162</c:v>
                </c:pt>
                <c:pt idx="8">
                  <c:v>9.4999999999999998E-3</c:v>
                </c:pt>
                <c:pt idx="9">
                  <c:v>-5.1999999999999998E-3</c:v>
                </c:pt>
                <c:pt idx="10">
                  <c:v>-4.1999999999999997E-3</c:v>
                </c:pt>
                <c:pt idx="11">
                  <c:v>-4.1999999999999997E-3</c:v>
                </c:pt>
                <c:pt idx="12">
                  <c:v>0.24490000000000001</c:v>
                </c:pt>
              </c:numCache>
            </c:numRef>
          </c:yVal>
          <c:smooth val="0"/>
          <c:extLst>
            <c:ext xmlns:c16="http://schemas.microsoft.com/office/drawing/2014/chart" uri="{C3380CC4-5D6E-409C-BE32-E72D297353CC}">
              <c16:uniqueId val="{00000000-8A84-4DDE-B900-948265D1FA2E}"/>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P26_12h30!$B$4</c:f>
              <c:numCache>
                <c:formatCode>0.0000</c:formatCode>
                <c:ptCount val="1"/>
                <c:pt idx="0">
                  <c:v>-2.3117000000000001</c:v>
                </c:pt>
              </c:numCache>
            </c:numRef>
          </c:xVal>
          <c:yVal>
            <c:numRef>
              <c:f>P26_12h30!$D$4</c:f>
              <c:numCache>
                <c:formatCode>0.0000</c:formatCode>
                <c:ptCount val="1"/>
                <c:pt idx="0">
                  <c:v>0.19259999999999999</c:v>
                </c:pt>
              </c:numCache>
            </c:numRef>
          </c:yVal>
          <c:smooth val="1"/>
          <c:extLst>
            <c:ext xmlns:c16="http://schemas.microsoft.com/office/drawing/2014/chart" uri="{C3380CC4-5D6E-409C-BE32-E72D297353CC}">
              <c16:uniqueId val="{00000001-8A84-4DDE-B900-948265D1FA2E}"/>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P26_12h30!$D$7:$D$19</c:f>
              <c:numCache>
                <c:formatCode>0.0000</c:formatCode>
                <c:ptCount val="13"/>
                <c:pt idx="0">
                  <c:v>0.1384000000000003</c:v>
                </c:pt>
                <c:pt idx="1">
                  <c:v>0.12340000000000018</c:v>
                </c:pt>
                <c:pt idx="2">
                  <c:v>0.121</c:v>
                </c:pt>
                <c:pt idx="3">
                  <c:v>7.8500000000000014E-2</c:v>
                </c:pt>
                <c:pt idx="4">
                  <c:v>-2.0999999999999908E-2</c:v>
                </c:pt>
                <c:pt idx="5">
                  <c:v>-0.12009999999999987</c:v>
                </c:pt>
                <c:pt idx="6">
                  <c:v>-0.1549999999999998</c:v>
                </c:pt>
                <c:pt idx="7">
                  <c:v>-0.13229999999999986</c:v>
                </c:pt>
                <c:pt idx="8">
                  <c:v>6.0599999999999987E-2</c:v>
                </c:pt>
                <c:pt idx="9">
                  <c:v>0.11890000000000001</c:v>
                </c:pt>
                <c:pt idx="10">
                  <c:v>0.12959999999999994</c:v>
                </c:pt>
                <c:pt idx="11">
                  <c:v>0.12970000000000015</c:v>
                </c:pt>
                <c:pt idx="12">
                  <c:v>0.1384000000000003</c:v>
                </c:pt>
              </c:numCache>
            </c:numRef>
          </c:xVal>
          <c:yVal>
            <c:numRef>
              <c:f>P26_12h30!$E$7:$E$19</c:f>
              <c:numCache>
                <c:formatCode>0.0000</c:formatCode>
                <c:ptCount val="13"/>
                <c:pt idx="0">
                  <c:v>5.2300000000000013E-2</c:v>
                </c:pt>
                <c:pt idx="1">
                  <c:v>0.32240000000000002</c:v>
                </c:pt>
                <c:pt idx="2">
                  <c:v>0.3246</c:v>
                </c:pt>
                <c:pt idx="3">
                  <c:v>0.32889999999999997</c:v>
                </c:pt>
                <c:pt idx="4">
                  <c:v>0.30769999999999997</c:v>
                </c:pt>
                <c:pt idx="5">
                  <c:v>0.20150000000000001</c:v>
                </c:pt>
                <c:pt idx="6">
                  <c:v>8.4900000000000031E-2</c:v>
                </c:pt>
                <c:pt idx="7">
                  <c:v>2.360000000000001E-2</c:v>
                </c:pt>
                <c:pt idx="8">
                  <c:v>-0.18309999999999998</c:v>
                </c:pt>
                <c:pt idx="9">
                  <c:v>-0.1978</c:v>
                </c:pt>
                <c:pt idx="10">
                  <c:v>-0.1968</c:v>
                </c:pt>
                <c:pt idx="11">
                  <c:v>-0.1968</c:v>
                </c:pt>
                <c:pt idx="12">
                  <c:v>5.2300000000000013E-2</c:v>
                </c:pt>
              </c:numCache>
            </c:numRef>
          </c:yVal>
          <c:smooth val="0"/>
          <c:extLst>
            <c:ext xmlns:c16="http://schemas.microsoft.com/office/drawing/2014/chart" uri="{C3380CC4-5D6E-409C-BE32-E72D297353CC}">
              <c16:uniqueId val="{00000000-E3D1-42B6-B8D2-E36D925AD7C3}"/>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13:00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P27_13h00!$B$7:$B$19</c:f>
              <c:numCache>
                <c:formatCode>0.0000</c:formatCode>
                <c:ptCount val="13"/>
                <c:pt idx="0">
                  <c:v>-2.1206999999999998</c:v>
                </c:pt>
                <c:pt idx="1">
                  <c:v>-2.1353</c:v>
                </c:pt>
                <c:pt idx="2">
                  <c:v>-2.1383000000000001</c:v>
                </c:pt>
                <c:pt idx="3">
                  <c:v>-2.1802999999999999</c:v>
                </c:pt>
                <c:pt idx="4">
                  <c:v>-2.2892000000000001</c:v>
                </c:pt>
                <c:pt idx="5">
                  <c:v>-2.3816000000000002</c:v>
                </c:pt>
                <c:pt idx="6">
                  <c:v>-2.4184999999999999</c:v>
                </c:pt>
                <c:pt idx="7">
                  <c:v>-2.3969</c:v>
                </c:pt>
                <c:pt idx="8">
                  <c:v>-2.1877</c:v>
                </c:pt>
                <c:pt idx="9">
                  <c:v>-2.1373000000000002</c:v>
                </c:pt>
                <c:pt idx="10">
                  <c:v>-2.1286999999999998</c:v>
                </c:pt>
                <c:pt idx="11">
                  <c:v>-2.1286999999999998</c:v>
                </c:pt>
                <c:pt idx="12">
                  <c:v>-2.1206999999999998</c:v>
                </c:pt>
              </c:numCache>
            </c:numRef>
          </c:xVal>
          <c:yVal>
            <c:numRef>
              <c:f>P27_13h00!$C$7:$C$19</c:f>
              <c:numCache>
                <c:formatCode>0.0000</c:formatCode>
                <c:ptCount val="13"/>
                <c:pt idx="0">
                  <c:v>0.22639999999999999</c:v>
                </c:pt>
                <c:pt idx="1">
                  <c:v>0.50119999999999998</c:v>
                </c:pt>
                <c:pt idx="2">
                  <c:v>0.50380000000000003</c:v>
                </c:pt>
                <c:pt idx="3">
                  <c:v>0.50790000000000002</c:v>
                </c:pt>
                <c:pt idx="4">
                  <c:v>0.48480000000000001</c:v>
                </c:pt>
                <c:pt idx="5">
                  <c:v>0.38650000000000001</c:v>
                </c:pt>
                <c:pt idx="6">
                  <c:v>0.2631</c:v>
                </c:pt>
                <c:pt idx="7">
                  <c:v>0.20480000000000001</c:v>
                </c:pt>
                <c:pt idx="8">
                  <c:v>-1.4200000000000001E-2</c:v>
                </c:pt>
                <c:pt idx="9">
                  <c:v>-2.7900000000000001E-2</c:v>
                </c:pt>
                <c:pt idx="10">
                  <c:v>-2.7E-2</c:v>
                </c:pt>
                <c:pt idx="11">
                  <c:v>-2.7E-2</c:v>
                </c:pt>
                <c:pt idx="12">
                  <c:v>0.22639999999999999</c:v>
                </c:pt>
              </c:numCache>
            </c:numRef>
          </c:yVal>
          <c:smooth val="0"/>
          <c:extLst>
            <c:ext xmlns:c16="http://schemas.microsoft.com/office/drawing/2014/chart" uri="{C3380CC4-5D6E-409C-BE32-E72D297353CC}">
              <c16:uniqueId val="{00000000-82B5-49AE-9BFE-E12D8CCB72D3}"/>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P27_13h00!$B$4</c:f>
              <c:numCache>
                <c:formatCode>0.0000</c:formatCode>
                <c:ptCount val="1"/>
                <c:pt idx="0">
                  <c:v>-2.2250999999999999</c:v>
                </c:pt>
              </c:numCache>
            </c:numRef>
          </c:xVal>
          <c:yVal>
            <c:numRef>
              <c:f>P27_13h00!$D$4</c:f>
              <c:numCache>
                <c:formatCode>0.0000</c:formatCode>
                <c:ptCount val="1"/>
                <c:pt idx="0">
                  <c:v>0.1918</c:v>
                </c:pt>
              </c:numCache>
            </c:numRef>
          </c:yVal>
          <c:smooth val="1"/>
          <c:extLst>
            <c:ext xmlns:c16="http://schemas.microsoft.com/office/drawing/2014/chart" uri="{C3380CC4-5D6E-409C-BE32-E72D297353CC}">
              <c16:uniqueId val="{00000001-82B5-49AE-9BFE-E12D8CCB72D3}"/>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P27_13h00!$D$7:$D$19</c:f>
              <c:numCache>
                <c:formatCode>0.0000</c:formatCode>
                <c:ptCount val="13"/>
                <c:pt idx="0">
                  <c:v>0.10440000000000005</c:v>
                </c:pt>
                <c:pt idx="1">
                  <c:v>8.979999999999988E-2</c:v>
                </c:pt>
                <c:pt idx="2">
                  <c:v>8.6799999999999766E-2</c:v>
                </c:pt>
                <c:pt idx="3">
                  <c:v>4.4799999999999951E-2</c:v>
                </c:pt>
                <c:pt idx="4">
                  <c:v>-6.4100000000000268E-2</c:v>
                </c:pt>
                <c:pt idx="5">
                  <c:v>-0.15650000000000031</c:v>
                </c:pt>
                <c:pt idx="6">
                  <c:v>-0.19340000000000002</c:v>
                </c:pt>
                <c:pt idx="7">
                  <c:v>-0.17180000000000017</c:v>
                </c:pt>
                <c:pt idx="8">
                  <c:v>3.7399999999999878E-2</c:v>
                </c:pt>
                <c:pt idx="9">
                  <c:v>8.7799999999999656E-2</c:v>
                </c:pt>
                <c:pt idx="10">
                  <c:v>9.6400000000000041E-2</c:v>
                </c:pt>
                <c:pt idx="11">
                  <c:v>9.6400000000000041E-2</c:v>
                </c:pt>
                <c:pt idx="12">
                  <c:v>0.10440000000000005</c:v>
                </c:pt>
              </c:numCache>
            </c:numRef>
          </c:xVal>
          <c:yVal>
            <c:numRef>
              <c:f>P27_13h00!$E$7:$E$19</c:f>
              <c:numCache>
                <c:formatCode>0.0000</c:formatCode>
                <c:ptCount val="13"/>
                <c:pt idx="0">
                  <c:v>3.4599999999999992E-2</c:v>
                </c:pt>
                <c:pt idx="1">
                  <c:v>0.30940000000000001</c:v>
                </c:pt>
                <c:pt idx="2">
                  <c:v>0.31200000000000006</c:v>
                </c:pt>
                <c:pt idx="3">
                  <c:v>0.31610000000000005</c:v>
                </c:pt>
                <c:pt idx="4">
                  <c:v>0.29300000000000004</c:v>
                </c:pt>
                <c:pt idx="5">
                  <c:v>0.19470000000000001</c:v>
                </c:pt>
                <c:pt idx="6">
                  <c:v>7.1300000000000002E-2</c:v>
                </c:pt>
                <c:pt idx="7">
                  <c:v>1.3000000000000012E-2</c:v>
                </c:pt>
                <c:pt idx="8">
                  <c:v>-0.20599999999999999</c:v>
                </c:pt>
                <c:pt idx="9">
                  <c:v>-0.21970000000000001</c:v>
                </c:pt>
                <c:pt idx="10">
                  <c:v>-0.21879999999999999</c:v>
                </c:pt>
                <c:pt idx="11">
                  <c:v>-0.21879999999999999</c:v>
                </c:pt>
                <c:pt idx="12">
                  <c:v>3.4599999999999992E-2</c:v>
                </c:pt>
              </c:numCache>
            </c:numRef>
          </c:yVal>
          <c:smooth val="0"/>
          <c:extLst>
            <c:ext xmlns:c16="http://schemas.microsoft.com/office/drawing/2014/chart" uri="{C3380CC4-5D6E-409C-BE32-E72D297353CC}">
              <c16:uniqueId val="{00000000-BE73-477D-A984-7E27B45CC496}"/>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13:30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P28_13h30!$B$7:$B$19</c:f>
              <c:numCache>
                <c:formatCode>0.0000</c:formatCode>
                <c:ptCount val="13"/>
                <c:pt idx="0">
                  <c:v>-1.996</c:v>
                </c:pt>
                <c:pt idx="1">
                  <c:v>-2.0099</c:v>
                </c:pt>
                <c:pt idx="2">
                  <c:v>-2.0122</c:v>
                </c:pt>
                <c:pt idx="3">
                  <c:v>-2.0529999999999999</c:v>
                </c:pt>
                <c:pt idx="4">
                  <c:v>-2.1648000000000001</c:v>
                </c:pt>
                <c:pt idx="5">
                  <c:v>-2.2625999999999999</c:v>
                </c:pt>
                <c:pt idx="6">
                  <c:v>-2.2978999999999998</c:v>
                </c:pt>
                <c:pt idx="7">
                  <c:v>-2.2698</c:v>
                </c:pt>
                <c:pt idx="8">
                  <c:v>-2.0626000000000002</c:v>
                </c:pt>
                <c:pt idx="9">
                  <c:v>-2.012</c:v>
                </c:pt>
                <c:pt idx="10">
                  <c:v>-2.0038999999999998</c:v>
                </c:pt>
                <c:pt idx="11">
                  <c:v>-2.0038999999999998</c:v>
                </c:pt>
                <c:pt idx="12">
                  <c:v>-1.996</c:v>
                </c:pt>
              </c:numCache>
            </c:numRef>
          </c:xVal>
          <c:yVal>
            <c:numRef>
              <c:f>P28_13h30!$C$7:$C$19</c:f>
              <c:numCache>
                <c:formatCode>0.0000</c:formatCode>
                <c:ptCount val="13"/>
                <c:pt idx="0">
                  <c:v>0.2162</c:v>
                </c:pt>
                <c:pt idx="1">
                  <c:v>0.49840000000000001</c:v>
                </c:pt>
                <c:pt idx="2">
                  <c:v>0.50049999999999994</c:v>
                </c:pt>
                <c:pt idx="3">
                  <c:v>0.50429999999999997</c:v>
                </c:pt>
                <c:pt idx="4">
                  <c:v>0.48010000000000003</c:v>
                </c:pt>
                <c:pt idx="5">
                  <c:v>0.376</c:v>
                </c:pt>
                <c:pt idx="6">
                  <c:v>0.2581</c:v>
                </c:pt>
                <c:pt idx="7">
                  <c:v>0.18390000000000001</c:v>
                </c:pt>
                <c:pt idx="8">
                  <c:v>-0.03</c:v>
                </c:pt>
                <c:pt idx="9">
                  <c:v>-4.3700000000000003E-2</c:v>
                </c:pt>
                <c:pt idx="10">
                  <c:v>-4.3099999999999999E-2</c:v>
                </c:pt>
                <c:pt idx="11">
                  <c:v>-4.3099999999999999E-2</c:v>
                </c:pt>
                <c:pt idx="12">
                  <c:v>0.2162</c:v>
                </c:pt>
              </c:numCache>
            </c:numRef>
          </c:yVal>
          <c:smooth val="0"/>
          <c:extLst>
            <c:ext xmlns:c16="http://schemas.microsoft.com/office/drawing/2014/chart" uri="{C3380CC4-5D6E-409C-BE32-E72D297353CC}">
              <c16:uniqueId val="{00000000-A99E-4ABE-9CC8-EC599791F17A}"/>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P28_13h30!$B$4</c:f>
              <c:numCache>
                <c:formatCode>0.0000</c:formatCode>
                <c:ptCount val="1"/>
                <c:pt idx="0">
                  <c:v>-2.1720000000000002</c:v>
                </c:pt>
              </c:numCache>
            </c:numRef>
          </c:xVal>
          <c:yVal>
            <c:numRef>
              <c:f>P28_13h30!$D$4</c:f>
              <c:numCache>
                <c:formatCode>0.0000</c:formatCode>
                <c:ptCount val="1"/>
                <c:pt idx="0">
                  <c:v>0.17829999999999999</c:v>
                </c:pt>
              </c:numCache>
            </c:numRef>
          </c:yVal>
          <c:smooth val="1"/>
          <c:extLst>
            <c:ext xmlns:c16="http://schemas.microsoft.com/office/drawing/2014/chart" uri="{C3380CC4-5D6E-409C-BE32-E72D297353CC}">
              <c16:uniqueId val="{00000001-A99E-4ABE-9CC8-EC599791F17A}"/>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P28_13h30!$D$7:$D$19</c:f>
              <c:numCache>
                <c:formatCode>0.0000</c:formatCode>
                <c:ptCount val="13"/>
                <c:pt idx="0">
                  <c:v>0.17600000000000016</c:v>
                </c:pt>
                <c:pt idx="1">
                  <c:v>0.16210000000000013</c:v>
                </c:pt>
                <c:pt idx="2">
                  <c:v>0.15980000000000016</c:v>
                </c:pt>
                <c:pt idx="3">
                  <c:v>0.11900000000000022</c:v>
                </c:pt>
                <c:pt idx="4">
                  <c:v>7.2000000000000952E-3</c:v>
                </c:pt>
                <c:pt idx="5">
                  <c:v>-9.0599999999999792E-2</c:v>
                </c:pt>
                <c:pt idx="6">
                  <c:v>-0.12589999999999968</c:v>
                </c:pt>
                <c:pt idx="7">
                  <c:v>-9.7799999999999887E-2</c:v>
                </c:pt>
                <c:pt idx="8">
                  <c:v>0.10939999999999994</c:v>
                </c:pt>
                <c:pt idx="9">
                  <c:v>0.16000000000000014</c:v>
                </c:pt>
                <c:pt idx="10">
                  <c:v>0.16810000000000036</c:v>
                </c:pt>
                <c:pt idx="11">
                  <c:v>0.16810000000000036</c:v>
                </c:pt>
                <c:pt idx="12">
                  <c:v>0.17600000000000016</c:v>
                </c:pt>
              </c:numCache>
            </c:numRef>
          </c:xVal>
          <c:yVal>
            <c:numRef>
              <c:f>P28_13h30!$E$7:$E$19</c:f>
              <c:numCache>
                <c:formatCode>0.0000</c:formatCode>
                <c:ptCount val="13"/>
                <c:pt idx="0">
                  <c:v>3.7900000000000017E-2</c:v>
                </c:pt>
                <c:pt idx="1">
                  <c:v>0.32010000000000005</c:v>
                </c:pt>
                <c:pt idx="2">
                  <c:v>0.32219999999999993</c:v>
                </c:pt>
                <c:pt idx="3">
                  <c:v>0.32599999999999996</c:v>
                </c:pt>
                <c:pt idx="4">
                  <c:v>0.30180000000000007</c:v>
                </c:pt>
                <c:pt idx="5">
                  <c:v>0.19770000000000001</c:v>
                </c:pt>
                <c:pt idx="6">
                  <c:v>7.980000000000001E-2</c:v>
                </c:pt>
                <c:pt idx="7">
                  <c:v>5.6000000000000216E-3</c:v>
                </c:pt>
                <c:pt idx="8">
                  <c:v>-0.20829999999999999</c:v>
                </c:pt>
                <c:pt idx="9">
                  <c:v>-0.22199999999999998</c:v>
                </c:pt>
                <c:pt idx="10">
                  <c:v>-0.22139999999999999</c:v>
                </c:pt>
                <c:pt idx="11">
                  <c:v>-0.22139999999999999</c:v>
                </c:pt>
                <c:pt idx="12">
                  <c:v>3.7900000000000017E-2</c:v>
                </c:pt>
              </c:numCache>
            </c:numRef>
          </c:yVal>
          <c:smooth val="0"/>
          <c:extLst>
            <c:ext xmlns:c16="http://schemas.microsoft.com/office/drawing/2014/chart" uri="{C3380CC4-5D6E-409C-BE32-E72D297353CC}">
              <c16:uniqueId val="{00000000-B142-4D9D-98AC-C8269761CB43}"/>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14:00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P29_14h00!$B$7:$B$19</c:f>
              <c:numCache>
                <c:formatCode>0.0000</c:formatCode>
                <c:ptCount val="13"/>
                <c:pt idx="0">
                  <c:v>-1.8440000000000001</c:v>
                </c:pt>
                <c:pt idx="1">
                  <c:v>-1.8574999999999999</c:v>
                </c:pt>
                <c:pt idx="2">
                  <c:v>-1.8588</c:v>
                </c:pt>
                <c:pt idx="3">
                  <c:v>-1.8987000000000001</c:v>
                </c:pt>
                <c:pt idx="4">
                  <c:v>-2.0198999999999998</c:v>
                </c:pt>
                <c:pt idx="5">
                  <c:v>-2.1153</c:v>
                </c:pt>
                <c:pt idx="6">
                  <c:v>-2.15</c:v>
                </c:pt>
                <c:pt idx="7">
                  <c:v>-2.1227</c:v>
                </c:pt>
                <c:pt idx="8">
                  <c:v>-1.9133</c:v>
                </c:pt>
                <c:pt idx="9">
                  <c:v>-1.8613999999999999</c:v>
                </c:pt>
                <c:pt idx="10">
                  <c:v>-1.8522000000000001</c:v>
                </c:pt>
                <c:pt idx="11">
                  <c:v>-1.8522000000000001</c:v>
                </c:pt>
                <c:pt idx="12">
                  <c:v>-1.8440000000000001</c:v>
                </c:pt>
              </c:numCache>
            </c:numRef>
          </c:xVal>
          <c:yVal>
            <c:numRef>
              <c:f>P29_14h00!$C$7:$C$19</c:f>
              <c:numCache>
                <c:formatCode>0.0000</c:formatCode>
                <c:ptCount val="13"/>
                <c:pt idx="0">
                  <c:v>0.2122</c:v>
                </c:pt>
                <c:pt idx="1">
                  <c:v>0.49259999999999998</c:v>
                </c:pt>
                <c:pt idx="2">
                  <c:v>0.49349999999999999</c:v>
                </c:pt>
                <c:pt idx="3">
                  <c:v>0.49709999999999999</c:v>
                </c:pt>
                <c:pt idx="4">
                  <c:v>0.47</c:v>
                </c:pt>
                <c:pt idx="5">
                  <c:v>0.36780000000000002</c:v>
                </c:pt>
                <c:pt idx="6">
                  <c:v>0.25430000000000003</c:v>
                </c:pt>
                <c:pt idx="7">
                  <c:v>0.1726</c:v>
                </c:pt>
                <c:pt idx="8">
                  <c:v>-4.7500000000000001E-2</c:v>
                </c:pt>
                <c:pt idx="9">
                  <c:v>-6.25E-2</c:v>
                </c:pt>
                <c:pt idx="10">
                  <c:v>-6.1800000000000001E-2</c:v>
                </c:pt>
                <c:pt idx="11">
                  <c:v>-6.1800000000000001E-2</c:v>
                </c:pt>
                <c:pt idx="12">
                  <c:v>0.2122</c:v>
                </c:pt>
              </c:numCache>
            </c:numRef>
          </c:yVal>
          <c:smooth val="0"/>
          <c:extLst>
            <c:ext xmlns:c16="http://schemas.microsoft.com/office/drawing/2014/chart" uri="{C3380CC4-5D6E-409C-BE32-E72D297353CC}">
              <c16:uniqueId val="{00000000-CB6D-4D79-B8CC-11FAEBDD944D}"/>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P29_14h00!$B$4</c:f>
              <c:numCache>
                <c:formatCode>0.0000</c:formatCode>
                <c:ptCount val="1"/>
                <c:pt idx="0">
                  <c:v>-2.0453999999999999</c:v>
                </c:pt>
              </c:numCache>
            </c:numRef>
          </c:xVal>
          <c:yVal>
            <c:numRef>
              <c:f>P29_14h00!$D$4</c:f>
              <c:numCache>
                <c:formatCode>0.0000</c:formatCode>
                <c:ptCount val="1"/>
                <c:pt idx="0">
                  <c:v>0.17519999999999999</c:v>
                </c:pt>
              </c:numCache>
            </c:numRef>
          </c:yVal>
          <c:smooth val="1"/>
          <c:extLst>
            <c:ext xmlns:c16="http://schemas.microsoft.com/office/drawing/2014/chart" uri="{C3380CC4-5D6E-409C-BE32-E72D297353CC}">
              <c16:uniqueId val="{00000001-CB6D-4D79-B8CC-11FAEBDD944D}"/>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P29_14h00!$D$7:$D$19</c:f>
              <c:numCache>
                <c:formatCode>0.0000</c:formatCode>
                <c:ptCount val="13"/>
                <c:pt idx="0">
                  <c:v>0.2013999999999998</c:v>
                </c:pt>
                <c:pt idx="1">
                  <c:v>0.18789999999999996</c:v>
                </c:pt>
                <c:pt idx="2">
                  <c:v>0.18659999999999988</c:v>
                </c:pt>
                <c:pt idx="3">
                  <c:v>0.14669999999999983</c:v>
                </c:pt>
                <c:pt idx="4">
                  <c:v>2.5500000000000078E-2</c:v>
                </c:pt>
                <c:pt idx="5">
                  <c:v>-6.9900000000000073E-2</c:v>
                </c:pt>
                <c:pt idx="6">
                  <c:v>-0.10460000000000003</c:v>
                </c:pt>
                <c:pt idx="7">
                  <c:v>-7.7300000000000146E-2</c:v>
                </c:pt>
                <c:pt idx="8">
                  <c:v>0.13209999999999988</c:v>
                </c:pt>
                <c:pt idx="9">
                  <c:v>0.18399999999999994</c:v>
                </c:pt>
                <c:pt idx="10">
                  <c:v>0.19319999999999982</c:v>
                </c:pt>
                <c:pt idx="11">
                  <c:v>0.19319999999999982</c:v>
                </c:pt>
                <c:pt idx="12">
                  <c:v>0.2013999999999998</c:v>
                </c:pt>
              </c:numCache>
            </c:numRef>
          </c:xVal>
          <c:yVal>
            <c:numRef>
              <c:f>P29_14h00!$E$7:$E$19</c:f>
              <c:numCache>
                <c:formatCode>0.0000</c:formatCode>
                <c:ptCount val="13"/>
                <c:pt idx="0">
                  <c:v>3.7000000000000005E-2</c:v>
                </c:pt>
                <c:pt idx="1">
                  <c:v>0.31740000000000002</c:v>
                </c:pt>
                <c:pt idx="2">
                  <c:v>0.31830000000000003</c:v>
                </c:pt>
                <c:pt idx="3">
                  <c:v>0.32189999999999996</c:v>
                </c:pt>
                <c:pt idx="4">
                  <c:v>0.29479999999999995</c:v>
                </c:pt>
                <c:pt idx="5">
                  <c:v>0.19260000000000002</c:v>
                </c:pt>
                <c:pt idx="6">
                  <c:v>7.9100000000000031E-2</c:v>
                </c:pt>
                <c:pt idx="7">
                  <c:v>-2.5999999999999912E-3</c:v>
                </c:pt>
                <c:pt idx="8">
                  <c:v>-0.22270000000000001</c:v>
                </c:pt>
                <c:pt idx="9">
                  <c:v>-0.23769999999999999</c:v>
                </c:pt>
                <c:pt idx="10">
                  <c:v>-0.23699999999999999</c:v>
                </c:pt>
                <c:pt idx="11">
                  <c:v>-0.23699999999999999</c:v>
                </c:pt>
                <c:pt idx="12">
                  <c:v>3.7000000000000005E-2</c:v>
                </c:pt>
              </c:numCache>
            </c:numRef>
          </c:yVal>
          <c:smooth val="0"/>
          <c:extLst>
            <c:ext xmlns:c16="http://schemas.microsoft.com/office/drawing/2014/chart" uri="{C3380CC4-5D6E-409C-BE32-E72D297353CC}">
              <c16:uniqueId val="{00000000-B28C-45DC-A613-F8E2F97604AD}"/>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14:30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P30_14h30!$B$7:$B$19</c:f>
              <c:numCache>
                <c:formatCode>0.0000</c:formatCode>
                <c:ptCount val="13"/>
                <c:pt idx="0">
                  <c:v>-1.6777</c:v>
                </c:pt>
                <c:pt idx="1">
                  <c:v>-1.6899</c:v>
                </c:pt>
                <c:pt idx="2">
                  <c:v>-1.6899</c:v>
                </c:pt>
                <c:pt idx="3">
                  <c:v>-1.7286999999999999</c:v>
                </c:pt>
                <c:pt idx="4">
                  <c:v>-1.8640000000000001</c:v>
                </c:pt>
                <c:pt idx="5">
                  <c:v>-1.9530000000000001</c:v>
                </c:pt>
                <c:pt idx="6">
                  <c:v>-1.9896</c:v>
                </c:pt>
                <c:pt idx="7">
                  <c:v>-1.9571000000000001</c:v>
                </c:pt>
                <c:pt idx="8">
                  <c:v>-1.7497</c:v>
                </c:pt>
                <c:pt idx="9">
                  <c:v>-1.6934</c:v>
                </c:pt>
                <c:pt idx="10">
                  <c:v>-1.6852</c:v>
                </c:pt>
                <c:pt idx="11">
                  <c:v>-1.6852</c:v>
                </c:pt>
                <c:pt idx="12">
                  <c:v>-1.6777</c:v>
                </c:pt>
              </c:numCache>
            </c:numRef>
          </c:xVal>
          <c:yVal>
            <c:numRef>
              <c:f>P30_14h30!$C$7:$C$19</c:f>
              <c:numCache>
                <c:formatCode>0.0000</c:formatCode>
                <c:ptCount val="13"/>
                <c:pt idx="0">
                  <c:v>0.18379999999999999</c:v>
                </c:pt>
                <c:pt idx="1">
                  <c:v>0.48959999999999998</c:v>
                </c:pt>
                <c:pt idx="2">
                  <c:v>0.48959999999999998</c:v>
                </c:pt>
                <c:pt idx="3">
                  <c:v>0.49280000000000002</c:v>
                </c:pt>
                <c:pt idx="4">
                  <c:v>0.46</c:v>
                </c:pt>
                <c:pt idx="5">
                  <c:v>0.36940000000000001</c:v>
                </c:pt>
                <c:pt idx="6">
                  <c:v>0.25480000000000003</c:v>
                </c:pt>
                <c:pt idx="7">
                  <c:v>0.1479</c:v>
                </c:pt>
                <c:pt idx="8">
                  <c:v>-6.8099999999999994E-2</c:v>
                </c:pt>
                <c:pt idx="9">
                  <c:v>-8.48E-2</c:v>
                </c:pt>
                <c:pt idx="10">
                  <c:v>-8.4199999999999997E-2</c:v>
                </c:pt>
                <c:pt idx="11">
                  <c:v>-8.4199999999999997E-2</c:v>
                </c:pt>
                <c:pt idx="12">
                  <c:v>0.18379999999999999</c:v>
                </c:pt>
              </c:numCache>
            </c:numRef>
          </c:yVal>
          <c:smooth val="0"/>
          <c:extLst>
            <c:ext xmlns:c16="http://schemas.microsoft.com/office/drawing/2014/chart" uri="{C3380CC4-5D6E-409C-BE32-E72D297353CC}">
              <c16:uniqueId val="{00000000-5624-4BE8-9279-E2F611D3473B}"/>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P30_14h30!$B$4</c:f>
              <c:numCache>
                <c:formatCode>0.0000</c:formatCode>
                <c:ptCount val="1"/>
                <c:pt idx="0">
                  <c:v>-1.8918999999999999</c:v>
                </c:pt>
              </c:numCache>
            </c:numRef>
          </c:xVal>
          <c:yVal>
            <c:numRef>
              <c:f>P30_14h30!$D$4</c:f>
              <c:numCache>
                <c:formatCode>0.0000</c:formatCode>
                <c:ptCount val="1"/>
                <c:pt idx="0">
                  <c:v>0.16839999999999999</c:v>
                </c:pt>
              </c:numCache>
            </c:numRef>
          </c:yVal>
          <c:smooth val="1"/>
          <c:extLst>
            <c:ext xmlns:c16="http://schemas.microsoft.com/office/drawing/2014/chart" uri="{C3380CC4-5D6E-409C-BE32-E72D297353CC}">
              <c16:uniqueId val="{00000001-5624-4BE8-9279-E2F611D3473B}"/>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P30_14h30!$D$7:$D$19</c:f>
              <c:numCache>
                <c:formatCode>0.0000</c:formatCode>
                <c:ptCount val="13"/>
                <c:pt idx="0">
                  <c:v>0.21419999999999995</c:v>
                </c:pt>
                <c:pt idx="1">
                  <c:v>0.20199999999999996</c:v>
                </c:pt>
                <c:pt idx="2">
                  <c:v>0.20199999999999996</c:v>
                </c:pt>
                <c:pt idx="3">
                  <c:v>0.16320000000000001</c:v>
                </c:pt>
                <c:pt idx="4">
                  <c:v>2.7899999999999814E-2</c:v>
                </c:pt>
                <c:pt idx="5">
                  <c:v>-6.1100000000000154E-2</c:v>
                </c:pt>
                <c:pt idx="6">
                  <c:v>-9.770000000000012E-2</c:v>
                </c:pt>
                <c:pt idx="7">
                  <c:v>-6.5200000000000147E-2</c:v>
                </c:pt>
                <c:pt idx="8">
                  <c:v>0.14219999999999988</c:v>
                </c:pt>
                <c:pt idx="9">
                  <c:v>0.1984999999999999</c:v>
                </c:pt>
                <c:pt idx="10">
                  <c:v>0.20669999999999988</c:v>
                </c:pt>
                <c:pt idx="11">
                  <c:v>0.20669999999999988</c:v>
                </c:pt>
                <c:pt idx="12">
                  <c:v>0.21419999999999995</c:v>
                </c:pt>
              </c:numCache>
            </c:numRef>
          </c:xVal>
          <c:yVal>
            <c:numRef>
              <c:f>P30_14h30!$E$7:$E$19</c:f>
              <c:numCache>
                <c:formatCode>0.0000</c:formatCode>
                <c:ptCount val="13"/>
                <c:pt idx="0">
                  <c:v>1.5399999999999997E-2</c:v>
                </c:pt>
                <c:pt idx="1">
                  <c:v>0.32119999999999999</c:v>
                </c:pt>
                <c:pt idx="2">
                  <c:v>0.32119999999999999</c:v>
                </c:pt>
                <c:pt idx="3">
                  <c:v>0.32440000000000002</c:v>
                </c:pt>
                <c:pt idx="4">
                  <c:v>0.29160000000000003</c:v>
                </c:pt>
                <c:pt idx="5">
                  <c:v>0.20100000000000001</c:v>
                </c:pt>
                <c:pt idx="6">
                  <c:v>8.6400000000000032E-2</c:v>
                </c:pt>
                <c:pt idx="7">
                  <c:v>-2.049999999999999E-2</c:v>
                </c:pt>
                <c:pt idx="8">
                  <c:v>-0.23649999999999999</c:v>
                </c:pt>
                <c:pt idx="9">
                  <c:v>-0.25319999999999998</c:v>
                </c:pt>
                <c:pt idx="10">
                  <c:v>-0.25259999999999999</c:v>
                </c:pt>
                <c:pt idx="11">
                  <c:v>-0.25259999999999999</c:v>
                </c:pt>
                <c:pt idx="12">
                  <c:v>1.5399999999999997E-2</c:v>
                </c:pt>
              </c:numCache>
            </c:numRef>
          </c:yVal>
          <c:smooth val="0"/>
          <c:extLst>
            <c:ext xmlns:c16="http://schemas.microsoft.com/office/drawing/2014/chart" uri="{C3380CC4-5D6E-409C-BE32-E72D297353CC}">
              <c16:uniqueId val="{00000000-7BB7-4502-AD72-D95A8DB7BE95}"/>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15:00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P31_15h00!$B$7:$B$19</c:f>
              <c:numCache>
                <c:formatCode>0.0000</c:formatCode>
                <c:ptCount val="13"/>
                <c:pt idx="0">
                  <c:v>-1.4843999999999999</c:v>
                </c:pt>
                <c:pt idx="1">
                  <c:v>-1.4959</c:v>
                </c:pt>
                <c:pt idx="2">
                  <c:v>-1.4963</c:v>
                </c:pt>
                <c:pt idx="3">
                  <c:v>-1.5354000000000001</c:v>
                </c:pt>
                <c:pt idx="4">
                  <c:v>-1.6803999999999999</c:v>
                </c:pt>
                <c:pt idx="5">
                  <c:v>-1.7649999999999999</c:v>
                </c:pt>
                <c:pt idx="6">
                  <c:v>-1.8030999999999999</c:v>
                </c:pt>
                <c:pt idx="7">
                  <c:v>-1.7685</c:v>
                </c:pt>
                <c:pt idx="8">
                  <c:v>-1.5546</c:v>
                </c:pt>
                <c:pt idx="9">
                  <c:v>-1.5024999999999999</c:v>
                </c:pt>
                <c:pt idx="10">
                  <c:v>-1.4915</c:v>
                </c:pt>
                <c:pt idx="11">
                  <c:v>-1.4915</c:v>
                </c:pt>
                <c:pt idx="12">
                  <c:v>-1.4843999999999999</c:v>
                </c:pt>
              </c:numCache>
            </c:numRef>
          </c:xVal>
          <c:yVal>
            <c:numRef>
              <c:f>P31_15h00!$C$7:$C$19</c:f>
              <c:numCache>
                <c:formatCode>0.0000</c:formatCode>
                <c:ptCount val="13"/>
                <c:pt idx="0">
                  <c:v>0.18079999999999999</c:v>
                </c:pt>
                <c:pt idx="1">
                  <c:v>0.48139999999999999</c:v>
                </c:pt>
                <c:pt idx="2">
                  <c:v>0.48170000000000002</c:v>
                </c:pt>
                <c:pt idx="3">
                  <c:v>0.48480000000000001</c:v>
                </c:pt>
                <c:pt idx="4">
                  <c:v>0.44800000000000001</c:v>
                </c:pt>
                <c:pt idx="5">
                  <c:v>0.36120000000000002</c:v>
                </c:pt>
                <c:pt idx="6">
                  <c:v>0.24160000000000001</c:v>
                </c:pt>
                <c:pt idx="7">
                  <c:v>0.1351</c:v>
                </c:pt>
                <c:pt idx="8">
                  <c:v>-8.7800000000000003E-2</c:v>
                </c:pt>
                <c:pt idx="9">
                  <c:v>-0.1055</c:v>
                </c:pt>
                <c:pt idx="10">
                  <c:v>-0.1046</c:v>
                </c:pt>
                <c:pt idx="11">
                  <c:v>-0.1046</c:v>
                </c:pt>
                <c:pt idx="12">
                  <c:v>0.18079999999999999</c:v>
                </c:pt>
              </c:numCache>
            </c:numRef>
          </c:yVal>
          <c:smooth val="0"/>
          <c:extLst>
            <c:ext xmlns:c16="http://schemas.microsoft.com/office/drawing/2014/chart" uri="{C3380CC4-5D6E-409C-BE32-E72D297353CC}">
              <c16:uniqueId val="{00000000-6308-4AEA-BE0B-5A9A283F7B48}"/>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P31_15h00!$B$4</c:f>
              <c:numCache>
                <c:formatCode>0.0000</c:formatCode>
                <c:ptCount val="1"/>
                <c:pt idx="0">
                  <c:v>-1.7230000000000001</c:v>
                </c:pt>
              </c:numCache>
            </c:numRef>
          </c:xVal>
          <c:yVal>
            <c:numRef>
              <c:f>P31_15h00!$D$4</c:f>
              <c:numCache>
                <c:formatCode>0.0000</c:formatCode>
                <c:ptCount val="1"/>
                <c:pt idx="0">
                  <c:v>0.1648</c:v>
                </c:pt>
              </c:numCache>
            </c:numRef>
          </c:yVal>
          <c:smooth val="1"/>
          <c:extLst>
            <c:ext xmlns:c16="http://schemas.microsoft.com/office/drawing/2014/chart" uri="{C3380CC4-5D6E-409C-BE32-E72D297353CC}">
              <c16:uniqueId val="{00000001-6308-4AEA-BE0B-5A9A283F7B48}"/>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P31_15h00!$D$7:$D$19</c:f>
              <c:numCache>
                <c:formatCode>0.0000</c:formatCode>
                <c:ptCount val="13"/>
                <c:pt idx="0">
                  <c:v>0.23860000000000015</c:v>
                </c:pt>
                <c:pt idx="1">
                  <c:v>0.22710000000000008</c:v>
                </c:pt>
                <c:pt idx="2">
                  <c:v>0.22670000000000012</c:v>
                </c:pt>
                <c:pt idx="3">
                  <c:v>0.18759999999999999</c:v>
                </c:pt>
                <c:pt idx="4">
                  <c:v>4.2600000000000193E-2</c:v>
                </c:pt>
                <c:pt idx="5">
                  <c:v>-4.1999999999999815E-2</c:v>
                </c:pt>
                <c:pt idx="6">
                  <c:v>-8.0099999999999838E-2</c:v>
                </c:pt>
                <c:pt idx="7">
                  <c:v>-4.5499999999999874E-2</c:v>
                </c:pt>
                <c:pt idx="8">
                  <c:v>0.16840000000000011</c:v>
                </c:pt>
                <c:pt idx="9">
                  <c:v>0.22050000000000014</c:v>
                </c:pt>
                <c:pt idx="10">
                  <c:v>0.23150000000000004</c:v>
                </c:pt>
                <c:pt idx="11">
                  <c:v>0.23150000000000004</c:v>
                </c:pt>
                <c:pt idx="12">
                  <c:v>0.23860000000000015</c:v>
                </c:pt>
              </c:numCache>
            </c:numRef>
          </c:xVal>
          <c:yVal>
            <c:numRef>
              <c:f>P31_15h00!$E$7:$E$19</c:f>
              <c:numCache>
                <c:formatCode>0.0000</c:formatCode>
                <c:ptCount val="13"/>
                <c:pt idx="0">
                  <c:v>1.5999999999999986E-2</c:v>
                </c:pt>
                <c:pt idx="1">
                  <c:v>0.31659999999999999</c:v>
                </c:pt>
                <c:pt idx="2">
                  <c:v>0.31690000000000002</c:v>
                </c:pt>
                <c:pt idx="3">
                  <c:v>0.32</c:v>
                </c:pt>
                <c:pt idx="4">
                  <c:v>0.28320000000000001</c:v>
                </c:pt>
                <c:pt idx="5">
                  <c:v>0.19640000000000002</c:v>
                </c:pt>
                <c:pt idx="6">
                  <c:v>7.6800000000000007E-2</c:v>
                </c:pt>
                <c:pt idx="7">
                  <c:v>-2.9700000000000004E-2</c:v>
                </c:pt>
                <c:pt idx="8">
                  <c:v>-0.25259999999999999</c:v>
                </c:pt>
                <c:pt idx="9">
                  <c:v>-0.27029999999999998</c:v>
                </c:pt>
                <c:pt idx="10">
                  <c:v>-0.26939999999999997</c:v>
                </c:pt>
                <c:pt idx="11">
                  <c:v>-0.26939999999999997</c:v>
                </c:pt>
                <c:pt idx="12">
                  <c:v>1.5999999999999986E-2</c:v>
                </c:pt>
              </c:numCache>
            </c:numRef>
          </c:yVal>
          <c:smooth val="0"/>
          <c:extLst>
            <c:ext xmlns:c16="http://schemas.microsoft.com/office/drawing/2014/chart" uri="{C3380CC4-5D6E-409C-BE32-E72D297353CC}">
              <c16:uniqueId val="{00000000-0539-459E-A967-C9520AEF6F67}"/>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15:30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P32_15h30!$B$7:$B$19</c:f>
              <c:numCache>
                <c:formatCode>0.0000</c:formatCode>
                <c:ptCount val="13"/>
                <c:pt idx="0">
                  <c:v>-1.1769000000000001</c:v>
                </c:pt>
                <c:pt idx="1">
                  <c:v>-1.1865000000000001</c:v>
                </c:pt>
                <c:pt idx="2">
                  <c:v>-1.1879</c:v>
                </c:pt>
                <c:pt idx="3">
                  <c:v>-1.2237</c:v>
                </c:pt>
                <c:pt idx="4">
                  <c:v>-1.3791</c:v>
                </c:pt>
                <c:pt idx="5">
                  <c:v>-1.4749000000000001</c:v>
                </c:pt>
                <c:pt idx="6">
                  <c:v>-1.5085</c:v>
                </c:pt>
                <c:pt idx="7">
                  <c:v>-1.4708000000000001</c:v>
                </c:pt>
                <c:pt idx="8">
                  <c:v>-1.258</c:v>
                </c:pt>
                <c:pt idx="9">
                  <c:v>-1.1984999999999999</c:v>
                </c:pt>
                <c:pt idx="10">
                  <c:v>-1.1847000000000001</c:v>
                </c:pt>
                <c:pt idx="11">
                  <c:v>-1.1839</c:v>
                </c:pt>
                <c:pt idx="12">
                  <c:v>-1.1769000000000001</c:v>
                </c:pt>
              </c:numCache>
            </c:numRef>
          </c:xVal>
          <c:yVal>
            <c:numRef>
              <c:f>P32_15h30!$C$7:$C$19</c:f>
              <c:numCache>
                <c:formatCode>0.0000</c:formatCode>
                <c:ptCount val="13"/>
                <c:pt idx="0">
                  <c:v>0.1653</c:v>
                </c:pt>
                <c:pt idx="1">
                  <c:v>0.48880000000000001</c:v>
                </c:pt>
                <c:pt idx="2">
                  <c:v>0.49020000000000002</c:v>
                </c:pt>
                <c:pt idx="3">
                  <c:v>0.49259999999999998</c:v>
                </c:pt>
                <c:pt idx="4">
                  <c:v>0.45090000000000002</c:v>
                </c:pt>
                <c:pt idx="5">
                  <c:v>0.35639999999999999</c:v>
                </c:pt>
                <c:pt idx="6">
                  <c:v>0.25180000000000002</c:v>
                </c:pt>
                <c:pt idx="7">
                  <c:v>0.12570000000000001</c:v>
                </c:pt>
                <c:pt idx="8">
                  <c:v>-9.7600000000000006E-2</c:v>
                </c:pt>
                <c:pt idx="9">
                  <c:v>-0.1173</c:v>
                </c:pt>
                <c:pt idx="10">
                  <c:v>-0.1157</c:v>
                </c:pt>
                <c:pt idx="11">
                  <c:v>-0.1149</c:v>
                </c:pt>
                <c:pt idx="12">
                  <c:v>0.1653</c:v>
                </c:pt>
              </c:numCache>
            </c:numRef>
          </c:yVal>
          <c:smooth val="0"/>
          <c:extLst>
            <c:ext xmlns:c16="http://schemas.microsoft.com/office/drawing/2014/chart" uri="{C3380CC4-5D6E-409C-BE32-E72D297353CC}">
              <c16:uniqueId val="{00000000-D80B-4D77-8AA7-DC86845193A3}"/>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P32_15h30!$B$4</c:f>
              <c:numCache>
                <c:formatCode>0.0000</c:formatCode>
                <c:ptCount val="1"/>
                <c:pt idx="0">
                  <c:v>-1.5298</c:v>
                </c:pt>
              </c:numCache>
            </c:numRef>
          </c:xVal>
          <c:yVal>
            <c:numRef>
              <c:f>P32_15h30!$D$4</c:f>
              <c:numCache>
                <c:formatCode>0.0000</c:formatCode>
                <c:ptCount val="1"/>
                <c:pt idx="0">
                  <c:v>0.15709999999999999</c:v>
                </c:pt>
              </c:numCache>
            </c:numRef>
          </c:yVal>
          <c:smooth val="1"/>
          <c:extLst>
            <c:ext xmlns:c16="http://schemas.microsoft.com/office/drawing/2014/chart" uri="{C3380CC4-5D6E-409C-BE32-E72D297353CC}">
              <c16:uniqueId val="{00000001-D80B-4D77-8AA7-DC86845193A3}"/>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P32_15h30!$D$7:$D$19</c:f>
              <c:numCache>
                <c:formatCode>0.0000</c:formatCode>
                <c:ptCount val="13"/>
                <c:pt idx="0">
                  <c:v>0.35289999999999999</c:v>
                </c:pt>
                <c:pt idx="1">
                  <c:v>0.34329999999999994</c:v>
                </c:pt>
                <c:pt idx="2">
                  <c:v>0.34190000000000009</c:v>
                </c:pt>
                <c:pt idx="3">
                  <c:v>0.30610000000000004</c:v>
                </c:pt>
                <c:pt idx="4">
                  <c:v>0.15070000000000006</c:v>
                </c:pt>
                <c:pt idx="5">
                  <c:v>5.4899999999999949E-2</c:v>
                </c:pt>
                <c:pt idx="6">
                  <c:v>2.1300000000000097E-2</c:v>
                </c:pt>
                <c:pt idx="7">
                  <c:v>5.8999999999999941E-2</c:v>
                </c:pt>
                <c:pt idx="8">
                  <c:v>0.27180000000000004</c:v>
                </c:pt>
                <c:pt idx="9">
                  <c:v>0.33130000000000015</c:v>
                </c:pt>
                <c:pt idx="10">
                  <c:v>0.34509999999999996</c:v>
                </c:pt>
                <c:pt idx="11">
                  <c:v>0.3459000000000001</c:v>
                </c:pt>
                <c:pt idx="12">
                  <c:v>0.35289999999999999</c:v>
                </c:pt>
              </c:numCache>
            </c:numRef>
          </c:xVal>
          <c:yVal>
            <c:numRef>
              <c:f>P32_15h30!$E$7:$E$19</c:f>
              <c:numCache>
                <c:formatCode>0.0000</c:formatCode>
                <c:ptCount val="13"/>
                <c:pt idx="0">
                  <c:v>8.2000000000000128E-3</c:v>
                </c:pt>
                <c:pt idx="1">
                  <c:v>0.33169999999999999</c:v>
                </c:pt>
                <c:pt idx="2">
                  <c:v>0.33310000000000006</c:v>
                </c:pt>
                <c:pt idx="3">
                  <c:v>0.33550000000000002</c:v>
                </c:pt>
                <c:pt idx="4">
                  <c:v>0.29380000000000006</c:v>
                </c:pt>
                <c:pt idx="5">
                  <c:v>0.1993</c:v>
                </c:pt>
                <c:pt idx="6">
                  <c:v>9.4700000000000034E-2</c:v>
                </c:pt>
                <c:pt idx="7">
                  <c:v>-3.1399999999999983E-2</c:v>
                </c:pt>
                <c:pt idx="8">
                  <c:v>-0.25469999999999998</c:v>
                </c:pt>
                <c:pt idx="9">
                  <c:v>-0.27439999999999998</c:v>
                </c:pt>
                <c:pt idx="10">
                  <c:v>-0.27279999999999999</c:v>
                </c:pt>
                <c:pt idx="11">
                  <c:v>-0.27200000000000002</c:v>
                </c:pt>
                <c:pt idx="12">
                  <c:v>8.2000000000000128E-3</c:v>
                </c:pt>
              </c:numCache>
            </c:numRef>
          </c:yVal>
          <c:smooth val="0"/>
          <c:extLst>
            <c:ext xmlns:c16="http://schemas.microsoft.com/office/drawing/2014/chart" uri="{C3380CC4-5D6E-409C-BE32-E72D297353CC}">
              <c16:uniqueId val="{00000000-025C-4871-A3EF-FD5D4D6A04B6}"/>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16:00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P33_16h00!$B$7:$B$19</c:f>
              <c:numCache>
                <c:formatCode>0.0000</c:formatCode>
                <c:ptCount val="13"/>
                <c:pt idx="0">
                  <c:v>-0.82469999999999999</c:v>
                </c:pt>
                <c:pt idx="1">
                  <c:v>-0.83150000000000002</c:v>
                </c:pt>
                <c:pt idx="2">
                  <c:v>-0.83209999999999995</c:v>
                </c:pt>
                <c:pt idx="3">
                  <c:v>-0.86739999999999995</c:v>
                </c:pt>
                <c:pt idx="4">
                  <c:v>-1.0249999999999999</c:v>
                </c:pt>
                <c:pt idx="5">
                  <c:v>-1.1364000000000001</c:v>
                </c:pt>
                <c:pt idx="6">
                  <c:v>-1.1669</c:v>
                </c:pt>
                <c:pt idx="7">
                  <c:v>-1.1232</c:v>
                </c:pt>
                <c:pt idx="8">
                  <c:v>-0.9214</c:v>
                </c:pt>
                <c:pt idx="9">
                  <c:v>-0.83879999999999999</c:v>
                </c:pt>
                <c:pt idx="10">
                  <c:v>-0.83120000000000005</c:v>
                </c:pt>
                <c:pt idx="11">
                  <c:v>-0.83099999999999996</c:v>
                </c:pt>
                <c:pt idx="12">
                  <c:v>-0.82469999999999999</c:v>
                </c:pt>
              </c:numCache>
            </c:numRef>
          </c:xVal>
          <c:yVal>
            <c:numRef>
              <c:f>P33_16h00!$C$7:$C$19</c:f>
              <c:numCache>
                <c:formatCode>0.0000</c:formatCode>
                <c:ptCount val="13"/>
                <c:pt idx="0">
                  <c:v>0.1535</c:v>
                </c:pt>
                <c:pt idx="1">
                  <c:v>0.49659999999999999</c:v>
                </c:pt>
                <c:pt idx="2">
                  <c:v>0.497</c:v>
                </c:pt>
                <c:pt idx="3">
                  <c:v>0.49940000000000001</c:v>
                </c:pt>
                <c:pt idx="4">
                  <c:v>0.45710000000000001</c:v>
                </c:pt>
                <c:pt idx="5">
                  <c:v>0.34870000000000001</c:v>
                </c:pt>
                <c:pt idx="6">
                  <c:v>0.248</c:v>
                </c:pt>
                <c:pt idx="7">
                  <c:v>0.1016</c:v>
                </c:pt>
                <c:pt idx="8">
                  <c:v>-0.1091</c:v>
                </c:pt>
                <c:pt idx="9">
                  <c:v>-0.13550000000000001</c:v>
                </c:pt>
                <c:pt idx="10">
                  <c:v>-0.13439999999999999</c:v>
                </c:pt>
                <c:pt idx="11">
                  <c:v>-0.13420000000000001</c:v>
                </c:pt>
                <c:pt idx="12">
                  <c:v>0.1535</c:v>
                </c:pt>
              </c:numCache>
            </c:numRef>
          </c:yVal>
          <c:smooth val="0"/>
          <c:extLst>
            <c:ext xmlns:c16="http://schemas.microsoft.com/office/drawing/2014/chart" uri="{C3380CC4-5D6E-409C-BE32-E72D297353CC}">
              <c16:uniqueId val="{00000000-5F32-4E4D-B638-A66BB2AE23A0}"/>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P33_16h00!$B$4</c:f>
              <c:numCache>
                <c:formatCode>0.0000</c:formatCode>
                <c:ptCount val="1"/>
                <c:pt idx="0">
                  <c:v>-1.2201</c:v>
                </c:pt>
              </c:numCache>
            </c:numRef>
          </c:xVal>
          <c:yVal>
            <c:numRef>
              <c:f>P33_16h00!$D$4</c:f>
              <c:numCache>
                <c:formatCode>0.0000</c:formatCode>
                <c:ptCount val="1"/>
                <c:pt idx="0">
                  <c:v>0.16589999999999999</c:v>
                </c:pt>
              </c:numCache>
            </c:numRef>
          </c:yVal>
          <c:smooth val="1"/>
          <c:extLst>
            <c:ext xmlns:c16="http://schemas.microsoft.com/office/drawing/2014/chart" uri="{C3380CC4-5D6E-409C-BE32-E72D297353CC}">
              <c16:uniqueId val="{00000001-5F32-4E4D-B638-A66BB2AE23A0}"/>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P33_16h00!$D$7:$D$19</c:f>
              <c:numCache>
                <c:formatCode>0.0000</c:formatCode>
                <c:ptCount val="13"/>
                <c:pt idx="0">
                  <c:v>0.39539999999999997</c:v>
                </c:pt>
                <c:pt idx="1">
                  <c:v>0.38859999999999995</c:v>
                </c:pt>
                <c:pt idx="2">
                  <c:v>0.38800000000000001</c:v>
                </c:pt>
                <c:pt idx="3">
                  <c:v>0.35270000000000001</c:v>
                </c:pt>
                <c:pt idx="4">
                  <c:v>0.19510000000000005</c:v>
                </c:pt>
                <c:pt idx="5">
                  <c:v>8.3699999999999886E-2</c:v>
                </c:pt>
                <c:pt idx="6">
                  <c:v>5.3199999999999914E-2</c:v>
                </c:pt>
                <c:pt idx="7">
                  <c:v>9.6899999999999986E-2</c:v>
                </c:pt>
                <c:pt idx="8">
                  <c:v>0.29869999999999997</c:v>
                </c:pt>
                <c:pt idx="9">
                  <c:v>0.38129999999999997</c:v>
                </c:pt>
                <c:pt idx="10">
                  <c:v>0.38889999999999991</c:v>
                </c:pt>
                <c:pt idx="11">
                  <c:v>0.3891</c:v>
                </c:pt>
                <c:pt idx="12">
                  <c:v>0.39539999999999997</c:v>
                </c:pt>
              </c:numCache>
            </c:numRef>
          </c:xVal>
          <c:yVal>
            <c:numRef>
              <c:f>P33_16h00!$E$7:$E$19</c:f>
              <c:numCache>
                <c:formatCode>0.0000</c:formatCode>
                <c:ptCount val="13"/>
                <c:pt idx="0">
                  <c:v>-1.2399999999999994E-2</c:v>
                </c:pt>
                <c:pt idx="1">
                  <c:v>0.33069999999999999</c:v>
                </c:pt>
                <c:pt idx="2">
                  <c:v>0.33110000000000001</c:v>
                </c:pt>
                <c:pt idx="3">
                  <c:v>0.33350000000000002</c:v>
                </c:pt>
                <c:pt idx="4">
                  <c:v>0.29120000000000001</c:v>
                </c:pt>
                <c:pt idx="5">
                  <c:v>0.18280000000000002</c:v>
                </c:pt>
                <c:pt idx="6">
                  <c:v>8.2100000000000006E-2</c:v>
                </c:pt>
                <c:pt idx="7">
                  <c:v>-6.4299999999999996E-2</c:v>
                </c:pt>
                <c:pt idx="8">
                  <c:v>-0.27500000000000002</c:v>
                </c:pt>
                <c:pt idx="9">
                  <c:v>-0.3014</c:v>
                </c:pt>
                <c:pt idx="10">
                  <c:v>-0.30030000000000001</c:v>
                </c:pt>
                <c:pt idx="11">
                  <c:v>-0.30010000000000003</c:v>
                </c:pt>
                <c:pt idx="12">
                  <c:v>-1.2399999999999994E-2</c:v>
                </c:pt>
              </c:numCache>
            </c:numRef>
          </c:yVal>
          <c:smooth val="0"/>
          <c:extLst>
            <c:ext xmlns:c16="http://schemas.microsoft.com/office/drawing/2014/chart" uri="{C3380CC4-5D6E-409C-BE32-E72D297353CC}">
              <c16:uniqueId val="{00000000-A812-4CE1-98B9-41D3E72A3B10}"/>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16:30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P34_16h30!$B$7:$B$19</c:f>
              <c:numCache>
                <c:formatCode>0.0000</c:formatCode>
                <c:ptCount val="13"/>
                <c:pt idx="0">
                  <c:v>-0.50490000000000002</c:v>
                </c:pt>
                <c:pt idx="1">
                  <c:v>-0.50990000000000002</c:v>
                </c:pt>
                <c:pt idx="2">
                  <c:v>-0.51049999999999995</c:v>
                </c:pt>
                <c:pt idx="3">
                  <c:v>-0.54720000000000002</c:v>
                </c:pt>
                <c:pt idx="4">
                  <c:v>-0.70640000000000003</c:v>
                </c:pt>
                <c:pt idx="5">
                  <c:v>-0.82169999999999999</c:v>
                </c:pt>
                <c:pt idx="6">
                  <c:v>-0.85419999999999996</c:v>
                </c:pt>
                <c:pt idx="7">
                  <c:v>-0.81159999999999999</c:v>
                </c:pt>
                <c:pt idx="8">
                  <c:v>-0.62</c:v>
                </c:pt>
                <c:pt idx="9">
                  <c:v>-0.53120000000000001</c:v>
                </c:pt>
                <c:pt idx="10">
                  <c:v>-0.51419999999999999</c:v>
                </c:pt>
                <c:pt idx="11">
                  <c:v>-0.51060000000000005</c:v>
                </c:pt>
                <c:pt idx="12">
                  <c:v>-0.50490000000000002</c:v>
                </c:pt>
              </c:numCache>
            </c:numRef>
          </c:xVal>
          <c:yVal>
            <c:numRef>
              <c:f>P34_16h30!$C$7:$C$19</c:f>
              <c:numCache>
                <c:formatCode>0.0000</c:formatCode>
                <c:ptCount val="13"/>
                <c:pt idx="0">
                  <c:v>0.15840000000000001</c:v>
                </c:pt>
                <c:pt idx="1">
                  <c:v>0.50139999999999996</c:v>
                </c:pt>
                <c:pt idx="2">
                  <c:v>0.50170000000000003</c:v>
                </c:pt>
                <c:pt idx="3">
                  <c:v>0.50470000000000004</c:v>
                </c:pt>
                <c:pt idx="4">
                  <c:v>0.46200000000000002</c:v>
                </c:pt>
                <c:pt idx="5">
                  <c:v>0.34810000000000002</c:v>
                </c:pt>
                <c:pt idx="6">
                  <c:v>0.2351</c:v>
                </c:pt>
                <c:pt idx="7">
                  <c:v>8.9300000000000004E-2</c:v>
                </c:pt>
                <c:pt idx="8">
                  <c:v>-0.1129</c:v>
                </c:pt>
                <c:pt idx="9">
                  <c:v>-0.1404</c:v>
                </c:pt>
                <c:pt idx="10">
                  <c:v>-0.1376</c:v>
                </c:pt>
                <c:pt idx="11">
                  <c:v>-0.13519999999999999</c:v>
                </c:pt>
                <c:pt idx="12">
                  <c:v>0.15840000000000001</c:v>
                </c:pt>
              </c:numCache>
            </c:numRef>
          </c:yVal>
          <c:smooth val="0"/>
          <c:extLst>
            <c:ext xmlns:c16="http://schemas.microsoft.com/office/drawing/2014/chart" uri="{C3380CC4-5D6E-409C-BE32-E72D297353CC}">
              <c16:uniqueId val="{00000000-0C20-4369-867B-316B9C3E866D}"/>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P34_16h30!$B$4</c:f>
              <c:numCache>
                <c:formatCode>0.0000</c:formatCode>
                <c:ptCount val="1"/>
                <c:pt idx="0">
                  <c:v>-0.86609999999999998</c:v>
                </c:pt>
              </c:numCache>
            </c:numRef>
          </c:xVal>
          <c:yVal>
            <c:numRef>
              <c:f>P34_16h30!$D$4</c:f>
              <c:numCache>
                <c:formatCode>0.0000</c:formatCode>
                <c:ptCount val="1"/>
                <c:pt idx="0">
                  <c:v>0.1739</c:v>
                </c:pt>
              </c:numCache>
            </c:numRef>
          </c:yVal>
          <c:smooth val="1"/>
          <c:extLst>
            <c:ext xmlns:c16="http://schemas.microsoft.com/office/drawing/2014/chart" uri="{C3380CC4-5D6E-409C-BE32-E72D297353CC}">
              <c16:uniqueId val="{00000001-0C20-4369-867B-316B9C3E866D}"/>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P34_16h30!$D$7:$D$19</c:f>
              <c:numCache>
                <c:formatCode>0.0000</c:formatCode>
                <c:ptCount val="13"/>
                <c:pt idx="0">
                  <c:v>0.36119999999999997</c:v>
                </c:pt>
                <c:pt idx="1">
                  <c:v>0.35619999999999996</c:v>
                </c:pt>
                <c:pt idx="2">
                  <c:v>0.35560000000000003</c:v>
                </c:pt>
                <c:pt idx="3">
                  <c:v>0.31889999999999996</c:v>
                </c:pt>
                <c:pt idx="4">
                  <c:v>0.15969999999999995</c:v>
                </c:pt>
                <c:pt idx="5">
                  <c:v>4.4399999999999995E-2</c:v>
                </c:pt>
                <c:pt idx="6">
                  <c:v>1.1900000000000022E-2</c:v>
                </c:pt>
                <c:pt idx="7">
                  <c:v>5.4499999999999993E-2</c:v>
                </c:pt>
                <c:pt idx="8">
                  <c:v>0.24609999999999999</c:v>
                </c:pt>
                <c:pt idx="9">
                  <c:v>0.33489999999999998</c:v>
                </c:pt>
                <c:pt idx="10">
                  <c:v>0.35189999999999999</c:v>
                </c:pt>
                <c:pt idx="11">
                  <c:v>0.35549999999999993</c:v>
                </c:pt>
                <c:pt idx="12">
                  <c:v>0.36119999999999997</c:v>
                </c:pt>
              </c:numCache>
            </c:numRef>
          </c:xVal>
          <c:yVal>
            <c:numRef>
              <c:f>P34_16h30!$E$7:$E$19</c:f>
              <c:numCache>
                <c:formatCode>0.0000</c:formatCode>
                <c:ptCount val="13"/>
                <c:pt idx="0">
                  <c:v>-1.5499999999999986E-2</c:v>
                </c:pt>
                <c:pt idx="1">
                  <c:v>0.32749999999999996</c:v>
                </c:pt>
                <c:pt idx="2">
                  <c:v>0.32780000000000004</c:v>
                </c:pt>
                <c:pt idx="3">
                  <c:v>0.33080000000000004</c:v>
                </c:pt>
                <c:pt idx="4">
                  <c:v>0.28810000000000002</c:v>
                </c:pt>
                <c:pt idx="5">
                  <c:v>0.17420000000000002</c:v>
                </c:pt>
                <c:pt idx="6">
                  <c:v>6.1200000000000004E-2</c:v>
                </c:pt>
                <c:pt idx="7">
                  <c:v>-8.4599999999999995E-2</c:v>
                </c:pt>
                <c:pt idx="8">
                  <c:v>-0.2868</c:v>
                </c:pt>
                <c:pt idx="9">
                  <c:v>-0.31430000000000002</c:v>
                </c:pt>
                <c:pt idx="10">
                  <c:v>-0.3115</c:v>
                </c:pt>
                <c:pt idx="11">
                  <c:v>-0.30909999999999999</c:v>
                </c:pt>
                <c:pt idx="12">
                  <c:v>-1.5499999999999986E-2</c:v>
                </c:pt>
              </c:numCache>
            </c:numRef>
          </c:yVal>
          <c:smooth val="0"/>
          <c:extLst>
            <c:ext xmlns:c16="http://schemas.microsoft.com/office/drawing/2014/chart" uri="{C3380CC4-5D6E-409C-BE32-E72D297353CC}">
              <c16:uniqueId val="{00000000-784F-409D-AEB4-FE932908F6AB}"/>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17:00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P35_17h00!$B$7:$B$19</c:f>
              <c:numCache>
                <c:formatCode>0.0000</c:formatCode>
                <c:ptCount val="13"/>
                <c:pt idx="0">
                  <c:v>-5.67E-2</c:v>
                </c:pt>
                <c:pt idx="1">
                  <c:v>-5.8599999999999999E-2</c:v>
                </c:pt>
                <c:pt idx="2">
                  <c:v>-5.9400000000000001E-2</c:v>
                </c:pt>
                <c:pt idx="3">
                  <c:v>-9.7100000000000006E-2</c:v>
                </c:pt>
                <c:pt idx="4">
                  <c:v>-0.25890000000000002</c:v>
                </c:pt>
                <c:pt idx="5">
                  <c:v>-0.37790000000000001</c:v>
                </c:pt>
                <c:pt idx="6">
                  <c:v>-0.4133</c:v>
                </c:pt>
                <c:pt idx="7">
                  <c:v>-0.371</c:v>
                </c:pt>
                <c:pt idx="8">
                  <c:v>-0.20979999999999999</c:v>
                </c:pt>
                <c:pt idx="9">
                  <c:v>-9.7199999999999995E-2</c:v>
                </c:pt>
                <c:pt idx="10">
                  <c:v>-6.3600000000000004E-2</c:v>
                </c:pt>
                <c:pt idx="11">
                  <c:v>-6.1800000000000001E-2</c:v>
                </c:pt>
                <c:pt idx="12">
                  <c:v>-5.67E-2</c:v>
                </c:pt>
              </c:numCache>
            </c:numRef>
          </c:xVal>
          <c:yVal>
            <c:numRef>
              <c:f>P35_17h00!$C$7:$C$19</c:f>
              <c:numCache>
                <c:formatCode>0.0000</c:formatCode>
                <c:ptCount val="13"/>
                <c:pt idx="0">
                  <c:v>0.3397</c:v>
                </c:pt>
                <c:pt idx="1">
                  <c:v>0.53110000000000002</c:v>
                </c:pt>
                <c:pt idx="2">
                  <c:v>0.53159999999999996</c:v>
                </c:pt>
                <c:pt idx="3">
                  <c:v>0.53490000000000004</c:v>
                </c:pt>
                <c:pt idx="4">
                  <c:v>0.4914</c:v>
                </c:pt>
                <c:pt idx="5">
                  <c:v>0.37269999999999998</c:v>
                </c:pt>
                <c:pt idx="6">
                  <c:v>0.2432</c:v>
                </c:pt>
                <c:pt idx="7">
                  <c:v>9.0399999999999994E-2</c:v>
                </c:pt>
                <c:pt idx="8">
                  <c:v>-7.9000000000000001E-2</c:v>
                </c:pt>
                <c:pt idx="9">
                  <c:v>-0.112</c:v>
                </c:pt>
                <c:pt idx="10">
                  <c:v>-0.109</c:v>
                </c:pt>
                <c:pt idx="11">
                  <c:v>-0.1076</c:v>
                </c:pt>
                <c:pt idx="12">
                  <c:v>0.3397</c:v>
                </c:pt>
              </c:numCache>
            </c:numRef>
          </c:yVal>
          <c:smooth val="0"/>
          <c:extLst>
            <c:ext xmlns:c16="http://schemas.microsoft.com/office/drawing/2014/chart" uri="{C3380CC4-5D6E-409C-BE32-E72D297353CC}">
              <c16:uniqueId val="{00000000-5184-4F46-BFAF-863A20418B97}"/>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P35_17h00!$B$4</c:f>
              <c:numCache>
                <c:formatCode>0.0000</c:formatCode>
                <c:ptCount val="1"/>
                <c:pt idx="0">
                  <c:v>-0.54730000000000001</c:v>
                </c:pt>
              </c:numCache>
            </c:numRef>
          </c:xVal>
          <c:yVal>
            <c:numRef>
              <c:f>P35_17h00!$D$4</c:f>
              <c:numCache>
                <c:formatCode>0.0000</c:formatCode>
                <c:ptCount val="1"/>
                <c:pt idx="0">
                  <c:v>0.1799</c:v>
                </c:pt>
              </c:numCache>
            </c:numRef>
          </c:yVal>
          <c:smooth val="1"/>
          <c:extLst>
            <c:ext xmlns:c16="http://schemas.microsoft.com/office/drawing/2014/chart" uri="{C3380CC4-5D6E-409C-BE32-E72D297353CC}">
              <c16:uniqueId val="{00000001-5184-4F46-BFAF-863A20418B97}"/>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P35_17h00!$D$7:$D$19</c:f>
              <c:numCache>
                <c:formatCode>0.0000</c:formatCode>
                <c:ptCount val="13"/>
                <c:pt idx="0">
                  <c:v>0.49060000000000004</c:v>
                </c:pt>
                <c:pt idx="1">
                  <c:v>0.48870000000000002</c:v>
                </c:pt>
                <c:pt idx="2">
                  <c:v>0.4879</c:v>
                </c:pt>
                <c:pt idx="3">
                  <c:v>0.45019999999999999</c:v>
                </c:pt>
                <c:pt idx="4">
                  <c:v>0.28839999999999999</c:v>
                </c:pt>
                <c:pt idx="5">
                  <c:v>0.1694</c:v>
                </c:pt>
                <c:pt idx="6">
                  <c:v>0.13400000000000001</c:v>
                </c:pt>
                <c:pt idx="7">
                  <c:v>0.17630000000000001</c:v>
                </c:pt>
                <c:pt idx="8">
                  <c:v>0.33750000000000002</c:v>
                </c:pt>
                <c:pt idx="9">
                  <c:v>0.4501</c:v>
                </c:pt>
                <c:pt idx="10">
                  <c:v>0.48370000000000002</c:v>
                </c:pt>
                <c:pt idx="11">
                  <c:v>0.48549999999999999</c:v>
                </c:pt>
                <c:pt idx="12">
                  <c:v>0.49060000000000004</c:v>
                </c:pt>
              </c:numCache>
            </c:numRef>
          </c:xVal>
          <c:yVal>
            <c:numRef>
              <c:f>P35_17h00!$E$7:$E$19</c:f>
              <c:numCache>
                <c:formatCode>0.0000</c:formatCode>
                <c:ptCount val="13"/>
                <c:pt idx="0">
                  <c:v>0.1598</c:v>
                </c:pt>
                <c:pt idx="1">
                  <c:v>0.35120000000000001</c:v>
                </c:pt>
                <c:pt idx="2">
                  <c:v>0.35169999999999996</c:v>
                </c:pt>
                <c:pt idx="3">
                  <c:v>0.35500000000000004</c:v>
                </c:pt>
                <c:pt idx="4">
                  <c:v>0.3115</c:v>
                </c:pt>
                <c:pt idx="5">
                  <c:v>0.19279999999999997</c:v>
                </c:pt>
                <c:pt idx="6">
                  <c:v>6.3299999999999995E-2</c:v>
                </c:pt>
                <c:pt idx="7">
                  <c:v>-8.950000000000001E-2</c:v>
                </c:pt>
                <c:pt idx="8">
                  <c:v>-0.25890000000000002</c:v>
                </c:pt>
                <c:pt idx="9">
                  <c:v>-0.29189999999999999</c:v>
                </c:pt>
                <c:pt idx="10">
                  <c:v>-0.28889999999999999</c:v>
                </c:pt>
                <c:pt idx="11">
                  <c:v>-0.28749999999999998</c:v>
                </c:pt>
                <c:pt idx="12">
                  <c:v>0.1598</c:v>
                </c:pt>
              </c:numCache>
            </c:numRef>
          </c:yVal>
          <c:smooth val="0"/>
          <c:extLst>
            <c:ext xmlns:c16="http://schemas.microsoft.com/office/drawing/2014/chart" uri="{C3380CC4-5D6E-409C-BE32-E72D297353CC}">
              <c16:uniqueId val="{00000000-24C1-4706-9C14-CB3E9246E6F7}"/>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17:30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P36_17h30!$B$7:$B$19</c:f>
              <c:numCache>
                <c:formatCode>0.0000</c:formatCode>
                <c:ptCount val="13"/>
                <c:pt idx="0">
                  <c:v>0.18210000000000001</c:v>
                </c:pt>
                <c:pt idx="1">
                  <c:v>0.18149999999999999</c:v>
                </c:pt>
                <c:pt idx="2">
                  <c:v>0.17799999999999999</c:v>
                </c:pt>
                <c:pt idx="3">
                  <c:v>0.1358</c:v>
                </c:pt>
                <c:pt idx="4">
                  <c:v>-2.7400000000000001E-2</c:v>
                </c:pt>
                <c:pt idx="5">
                  <c:v>-0.14779999999999999</c:v>
                </c:pt>
                <c:pt idx="6">
                  <c:v>-0.1842</c:v>
                </c:pt>
                <c:pt idx="7">
                  <c:v>-0.1421</c:v>
                </c:pt>
                <c:pt idx="8">
                  <c:v>3.5999999999999999E-3</c:v>
                </c:pt>
                <c:pt idx="9">
                  <c:v>0.1298</c:v>
                </c:pt>
                <c:pt idx="10">
                  <c:v>0.17449999999999999</c:v>
                </c:pt>
                <c:pt idx="11">
                  <c:v>0.17749999999999999</c:v>
                </c:pt>
                <c:pt idx="12">
                  <c:v>0.18210000000000001</c:v>
                </c:pt>
              </c:numCache>
            </c:numRef>
          </c:xVal>
          <c:yVal>
            <c:numRef>
              <c:f>P36_17h30!$C$7:$C$19</c:f>
              <c:numCache>
                <c:formatCode>0.0000</c:formatCode>
                <c:ptCount val="13"/>
                <c:pt idx="0">
                  <c:v>0.33779999999999999</c:v>
                </c:pt>
                <c:pt idx="1">
                  <c:v>0.51670000000000005</c:v>
                </c:pt>
                <c:pt idx="2">
                  <c:v>0.52</c:v>
                </c:pt>
                <c:pt idx="3">
                  <c:v>0.5242</c:v>
                </c:pt>
                <c:pt idx="4">
                  <c:v>0.48039999999999999</c:v>
                </c:pt>
                <c:pt idx="5">
                  <c:v>0.36</c:v>
                </c:pt>
                <c:pt idx="6">
                  <c:v>0.22739999999999999</c:v>
                </c:pt>
                <c:pt idx="7">
                  <c:v>6.3200000000000006E-2</c:v>
                </c:pt>
                <c:pt idx="8">
                  <c:v>-8.8599999999999998E-2</c:v>
                </c:pt>
                <c:pt idx="9">
                  <c:v>-0.1217</c:v>
                </c:pt>
                <c:pt idx="10">
                  <c:v>-0.1167</c:v>
                </c:pt>
                <c:pt idx="11">
                  <c:v>-0.114</c:v>
                </c:pt>
                <c:pt idx="12">
                  <c:v>0.33779999999999999</c:v>
                </c:pt>
              </c:numCache>
            </c:numRef>
          </c:yVal>
          <c:smooth val="0"/>
          <c:extLst>
            <c:ext xmlns:c16="http://schemas.microsoft.com/office/drawing/2014/chart" uri="{C3380CC4-5D6E-409C-BE32-E72D297353CC}">
              <c16:uniqueId val="{00000000-4B90-4CB0-BC03-AD61ACA6C376}"/>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P36_17h30!$B$4</c:f>
              <c:numCache>
                <c:formatCode>0.0000</c:formatCode>
                <c:ptCount val="1"/>
                <c:pt idx="0">
                  <c:v>-9.98E-2</c:v>
                </c:pt>
              </c:numCache>
            </c:numRef>
          </c:xVal>
          <c:yVal>
            <c:numRef>
              <c:f>P36_17h30!$D$4</c:f>
              <c:numCache>
                <c:formatCode>0.0000</c:formatCode>
                <c:ptCount val="1"/>
                <c:pt idx="0">
                  <c:v>0.21129999999999999</c:v>
                </c:pt>
              </c:numCache>
            </c:numRef>
          </c:yVal>
          <c:smooth val="1"/>
          <c:extLst>
            <c:ext xmlns:c16="http://schemas.microsoft.com/office/drawing/2014/chart" uri="{C3380CC4-5D6E-409C-BE32-E72D297353CC}">
              <c16:uniqueId val="{00000001-4B90-4CB0-BC03-AD61ACA6C376}"/>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P36_17h30!$D$7:$D$19</c:f>
              <c:numCache>
                <c:formatCode>0.0000</c:formatCode>
                <c:ptCount val="13"/>
                <c:pt idx="0">
                  <c:v>0.28190000000000004</c:v>
                </c:pt>
                <c:pt idx="1">
                  <c:v>0.28129999999999999</c:v>
                </c:pt>
                <c:pt idx="2">
                  <c:v>0.27779999999999999</c:v>
                </c:pt>
                <c:pt idx="3">
                  <c:v>0.2356</c:v>
                </c:pt>
                <c:pt idx="4">
                  <c:v>7.2399999999999992E-2</c:v>
                </c:pt>
                <c:pt idx="5">
                  <c:v>-4.7999999999999987E-2</c:v>
                </c:pt>
                <c:pt idx="6">
                  <c:v>-8.4400000000000003E-2</c:v>
                </c:pt>
                <c:pt idx="7">
                  <c:v>-4.2300000000000004E-2</c:v>
                </c:pt>
                <c:pt idx="8">
                  <c:v>0.10340000000000001</c:v>
                </c:pt>
                <c:pt idx="9">
                  <c:v>0.2296</c:v>
                </c:pt>
                <c:pt idx="10">
                  <c:v>0.27429999999999999</c:v>
                </c:pt>
                <c:pt idx="11">
                  <c:v>0.27729999999999999</c:v>
                </c:pt>
                <c:pt idx="12">
                  <c:v>0.28190000000000004</c:v>
                </c:pt>
              </c:numCache>
            </c:numRef>
          </c:xVal>
          <c:yVal>
            <c:numRef>
              <c:f>P36_17h30!$E$7:$E$19</c:f>
              <c:numCache>
                <c:formatCode>0.0000</c:formatCode>
                <c:ptCount val="13"/>
                <c:pt idx="0">
                  <c:v>0.1265</c:v>
                </c:pt>
                <c:pt idx="1">
                  <c:v>0.30540000000000006</c:v>
                </c:pt>
                <c:pt idx="2">
                  <c:v>0.30870000000000003</c:v>
                </c:pt>
                <c:pt idx="3">
                  <c:v>0.31290000000000001</c:v>
                </c:pt>
                <c:pt idx="4">
                  <c:v>0.26910000000000001</c:v>
                </c:pt>
                <c:pt idx="5">
                  <c:v>0.1487</c:v>
                </c:pt>
                <c:pt idx="6">
                  <c:v>1.6100000000000003E-2</c:v>
                </c:pt>
                <c:pt idx="7">
                  <c:v>-0.14809999999999998</c:v>
                </c:pt>
                <c:pt idx="8">
                  <c:v>-0.2999</c:v>
                </c:pt>
                <c:pt idx="9">
                  <c:v>-0.33299999999999996</c:v>
                </c:pt>
                <c:pt idx="10">
                  <c:v>-0.32799999999999996</c:v>
                </c:pt>
                <c:pt idx="11">
                  <c:v>-0.32529999999999998</c:v>
                </c:pt>
                <c:pt idx="12">
                  <c:v>0.1265</c:v>
                </c:pt>
              </c:numCache>
            </c:numRef>
          </c:yVal>
          <c:smooth val="0"/>
          <c:extLst>
            <c:ext xmlns:c16="http://schemas.microsoft.com/office/drawing/2014/chart" uri="{C3380CC4-5D6E-409C-BE32-E72D297353CC}">
              <c16:uniqueId val="{00000000-B8FA-40E9-9F9B-4A2A7A7DD389}"/>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18:00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P37_18h00!$B$7:$B$19</c:f>
              <c:numCache>
                <c:formatCode>0.0000</c:formatCode>
                <c:ptCount val="13"/>
                <c:pt idx="0">
                  <c:v>0.4123</c:v>
                </c:pt>
                <c:pt idx="1">
                  <c:v>0.41220000000000001</c:v>
                </c:pt>
                <c:pt idx="2">
                  <c:v>0.40949999999999998</c:v>
                </c:pt>
                <c:pt idx="3">
                  <c:v>0.36609999999999998</c:v>
                </c:pt>
                <c:pt idx="4">
                  <c:v>0.20080000000000001</c:v>
                </c:pt>
                <c:pt idx="5">
                  <c:v>7.9399999999999998E-2</c:v>
                </c:pt>
                <c:pt idx="6">
                  <c:v>3.8100000000000002E-2</c:v>
                </c:pt>
                <c:pt idx="7">
                  <c:v>8.2199999999999995E-2</c:v>
                </c:pt>
                <c:pt idx="8">
                  <c:v>0.2127</c:v>
                </c:pt>
                <c:pt idx="9">
                  <c:v>0.35460000000000003</c:v>
                </c:pt>
                <c:pt idx="10">
                  <c:v>0.40379999999999999</c:v>
                </c:pt>
                <c:pt idx="11">
                  <c:v>0.40660000000000002</c:v>
                </c:pt>
                <c:pt idx="12">
                  <c:v>0.4123</c:v>
                </c:pt>
              </c:numCache>
            </c:numRef>
          </c:xVal>
          <c:yVal>
            <c:numRef>
              <c:f>P37_18h00!$C$7:$C$19</c:f>
              <c:numCache>
                <c:formatCode>0.0000</c:formatCode>
                <c:ptCount val="13"/>
                <c:pt idx="0">
                  <c:v>0.50790000000000002</c:v>
                </c:pt>
                <c:pt idx="1">
                  <c:v>0.50800000000000001</c:v>
                </c:pt>
                <c:pt idx="2">
                  <c:v>0.51039999999999996</c:v>
                </c:pt>
                <c:pt idx="3">
                  <c:v>0.5151</c:v>
                </c:pt>
                <c:pt idx="4">
                  <c:v>0.47060000000000002</c:v>
                </c:pt>
                <c:pt idx="5">
                  <c:v>0.3493</c:v>
                </c:pt>
                <c:pt idx="6">
                  <c:v>0.2059</c:v>
                </c:pt>
                <c:pt idx="7">
                  <c:v>3.9300000000000002E-2</c:v>
                </c:pt>
                <c:pt idx="8">
                  <c:v>-9.3399999999999997E-2</c:v>
                </c:pt>
                <c:pt idx="9">
                  <c:v>-0.12909999999999999</c:v>
                </c:pt>
                <c:pt idx="10">
                  <c:v>-0.1237</c:v>
                </c:pt>
                <c:pt idx="11">
                  <c:v>-0.1211</c:v>
                </c:pt>
                <c:pt idx="12">
                  <c:v>0.50790000000000002</c:v>
                </c:pt>
              </c:numCache>
            </c:numRef>
          </c:yVal>
          <c:smooth val="0"/>
          <c:extLst>
            <c:ext xmlns:c16="http://schemas.microsoft.com/office/drawing/2014/chart" uri="{C3380CC4-5D6E-409C-BE32-E72D297353CC}">
              <c16:uniqueId val="{00000000-F168-4352-9BBF-30E08E0A5B0B}"/>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P37_18h00!$B$4</c:f>
              <c:numCache>
                <c:formatCode>0.0000</c:formatCode>
                <c:ptCount val="1"/>
                <c:pt idx="0">
                  <c:v>0.1318</c:v>
                </c:pt>
              </c:numCache>
            </c:numRef>
          </c:xVal>
          <c:yVal>
            <c:numRef>
              <c:f>P37_18h00!$D$4</c:f>
              <c:numCache>
                <c:formatCode>0.0000</c:formatCode>
                <c:ptCount val="1"/>
                <c:pt idx="0">
                  <c:v>0.20130000000000001</c:v>
                </c:pt>
              </c:numCache>
            </c:numRef>
          </c:yVal>
          <c:smooth val="1"/>
          <c:extLst>
            <c:ext xmlns:c16="http://schemas.microsoft.com/office/drawing/2014/chart" uri="{C3380CC4-5D6E-409C-BE32-E72D297353CC}">
              <c16:uniqueId val="{00000001-F168-4352-9BBF-30E08E0A5B0B}"/>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P37_18h00!$D$7:$D$19</c:f>
              <c:numCache>
                <c:formatCode>0.0000</c:formatCode>
                <c:ptCount val="13"/>
                <c:pt idx="0">
                  <c:v>0.28049999999999997</c:v>
                </c:pt>
                <c:pt idx="1">
                  <c:v>0.28039999999999998</c:v>
                </c:pt>
                <c:pt idx="2">
                  <c:v>0.27769999999999995</c:v>
                </c:pt>
                <c:pt idx="3">
                  <c:v>0.23429999999999998</c:v>
                </c:pt>
                <c:pt idx="4">
                  <c:v>6.9000000000000006E-2</c:v>
                </c:pt>
                <c:pt idx="5">
                  <c:v>-5.2400000000000002E-2</c:v>
                </c:pt>
                <c:pt idx="6">
                  <c:v>-9.3700000000000006E-2</c:v>
                </c:pt>
                <c:pt idx="7">
                  <c:v>-4.9600000000000005E-2</c:v>
                </c:pt>
                <c:pt idx="8">
                  <c:v>8.09E-2</c:v>
                </c:pt>
                <c:pt idx="9">
                  <c:v>0.22280000000000003</c:v>
                </c:pt>
                <c:pt idx="10">
                  <c:v>0.27200000000000002</c:v>
                </c:pt>
                <c:pt idx="11">
                  <c:v>0.27480000000000004</c:v>
                </c:pt>
                <c:pt idx="12">
                  <c:v>0.28049999999999997</c:v>
                </c:pt>
              </c:numCache>
            </c:numRef>
          </c:xVal>
          <c:yVal>
            <c:numRef>
              <c:f>P37_18h00!$E$7:$E$19</c:f>
              <c:numCache>
                <c:formatCode>0.0000</c:formatCode>
                <c:ptCount val="13"/>
                <c:pt idx="0">
                  <c:v>0.30659999999999998</c:v>
                </c:pt>
                <c:pt idx="1">
                  <c:v>0.30669999999999997</c:v>
                </c:pt>
                <c:pt idx="2">
                  <c:v>0.30909999999999993</c:v>
                </c:pt>
                <c:pt idx="3">
                  <c:v>0.31379999999999997</c:v>
                </c:pt>
                <c:pt idx="4">
                  <c:v>0.26929999999999998</c:v>
                </c:pt>
                <c:pt idx="5">
                  <c:v>0.14799999999999999</c:v>
                </c:pt>
                <c:pt idx="6">
                  <c:v>4.599999999999993E-3</c:v>
                </c:pt>
                <c:pt idx="7">
                  <c:v>-0.16200000000000001</c:v>
                </c:pt>
                <c:pt idx="8">
                  <c:v>-0.29470000000000002</c:v>
                </c:pt>
                <c:pt idx="9">
                  <c:v>-0.33040000000000003</c:v>
                </c:pt>
                <c:pt idx="10">
                  <c:v>-0.32500000000000001</c:v>
                </c:pt>
                <c:pt idx="11">
                  <c:v>-0.32240000000000002</c:v>
                </c:pt>
                <c:pt idx="12">
                  <c:v>0.30659999999999998</c:v>
                </c:pt>
              </c:numCache>
            </c:numRef>
          </c:yVal>
          <c:smooth val="0"/>
          <c:extLst>
            <c:ext xmlns:c16="http://schemas.microsoft.com/office/drawing/2014/chart" uri="{C3380CC4-5D6E-409C-BE32-E72D297353CC}">
              <c16:uniqueId val="{00000000-3261-4D06-B281-3F45E4CED42C}"/>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18:30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P38_18h30!$B$7:$B$19</c:f>
              <c:numCache>
                <c:formatCode>0.0000</c:formatCode>
                <c:ptCount val="13"/>
                <c:pt idx="0">
                  <c:v>0.67</c:v>
                </c:pt>
                <c:pt idx="1">
                  <c:v>0.66969999999999996</c:v>
                </c:pt>
                <c:pt idx="2">
                  <c:v>0.6673</c:v>
                </c:pt>
                <c:pt idx="3">
                  <c:v>0.61539999999999995</c:v>
                </c:pt>
                <c:pt idx="4">
                  <c:v>0.44929999999999998</c:v>
                </c:pt>
                <c:pt idx="5">
                  <c:v>0.32750000000000001</c:v>
                </c:pt>
                <c:pt idx="6">
                  <c:v>0.28689999999999999</c:v>
                </c:pt>
                <c:pt idx="7">
                  <c:v>0.3342</c:v>
                </c:pt>
                <c:pt idx="8">
                  <c:v>0.45550000000000002</c:v>
                </c:pt>
                <c:pt idx="9">
                  <c:v>0.6028</c:v>
                </c:pt>
                <c:pt idx="10">
                  <c:v>0.66159999999999997</c:v>
                </c:pt>
                <c:pt idx="11">
                  <c:v>0.6643</c:v>
                </c:pt>
                <c:pt idx="12">
                  <c:v>0.67</c:v>
                </c:pt>
              </c:numCache>
            </c:numRef>
          </c:xVal>
          <c:yVal>
            <c:numRef>
              <c:f>P38_18h30!$C$7:$C$19</c:f>
              <c:numCache>
                <c:formatCode>0.0000</c:formatCode>
                <c:ptCount val="13"/>
                <c:pt idx="0">
                  <c:v>0.50680000000000003</c:v>
                </c:pt>
                <c:pt idx="1">
                  <c:v>0.50770000000000004</c:v>
                </c:pt>
                <c:pt idx="2">
                  <c:v>0.50970000000000004</c:v>
                </c:pt>
                <c:pt idx="3">
                  <c:v>0.51680000000000004</c:v>
                </c:pt>
                <c:pt idx="4">
                  <c:v>0.47210000000000002</c:v>
                </c:pt>
                <c:pt idx="5">
                  <c:v>0.35049999999999998</c:v>
                </c:pt>
                <c:pt idx="6">
                  <c:v>0.20749999999999999</c:v>
                </c:pt>
                <c:pt idx="7">
                  <c:v>3.3000000000000002E-2</c:v>
                </c:pt>
                <c:pt idx="8">
                  <c:v>-8.8700000000000001E-2</c:v>
                </c:pt>
                <c:pt idx="9">
                  <c:v>-0.12690000000000001</c:v>
                </c:pt>
                <c:pt idx="10">
                  <c:v>-0.11849999999999999</c:v>
                </c:pt>
                <c:pt idx="11">
                  <c:v>-0.11650000000000001</c:v>
                </c:pt>
                <c:pt idx="12">
                  <c:v>0.50680000000000003</c:v>
                </c:pt>
              </c:numCache>
            </c:numRef>
          </c:yVal>
          <c:smooth val="0"/>
          <c:extLst>
            <c:ext xmlns:c16="http://schemas.microsoft.com/office/drawing/2014/chart" uri="{C3380CC4-5D6E-409C-BE32-E72D297353CC}">
              <c16:uniqueId val="{00000000-035E-4BA0-9B7B-2187EAF6B589}"/>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P38_18h30!$B$4</c:f>
              <c:numCache>
                <c:formatCode>0.0000</c:formatCode>
                <c:ptCount val="1"/>
                <c:pt idx="0">
                  <c:v>0.36030000000000001</c:v>
                </c:pt>
              </c:numCache>
            </c:numRef>
          </c:xVal>
          <c:yVal>
            <c:numRef>
              <c:f>P38_18h30!$D$4</c:f>
              <c:numCache>
                <c:formatCode>0.0000</c:formatCode>
                <c:ptCount val="1"/>
                <c:pt idx="0">
                  <c:v>0.193</c:v>
                </c:pt>
              </c:numCache>
            </c:numRef>
          </c:yVal>
          <c:smooth val="1"/>
          <c:extLst>
            <c:ext xmlns:c16="http://schemas.microsoft.com/office/drawing/2014/chart" uri="{C3380CC4-5D6E-409C-BE32-E72D297353CC}">
              <c16:uniqueId val="{00000001-035E-4BA0-9B7B-2187EAF6B589}"/>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P38_18h30!$D$7:$D$19</c:f>
              <c:numCache>
                <c:formatCode>0.0000</c:formatCode>
                <c:ptCount val="13"/>
                <c:pt idx="0">
                  <c:v>0.30970000000000003</c:v>
                </c:pt>
                <c:pt idx="1">
                  <c:v>0.30939999999999995</c:v>
                </c:pt>
                <c:pt idx="2">
                  <c:v>0.307</c:v>
                </c:pt>
                <c:pt idx="3">
                  <c:v>0.25509999999999994</c:v>
                </c:pt>
                <c:pt idx="4">
                  <c:v>8.8999999999999968E-2</c:v>
                </c:pt>
                <c:pt idx="5">
                  <c:v>-3.2799999999999996E-2</c:v>
                </c:pt>
                <c:pt idx="6">
                  <c:v>-7.3400000000000021E-2</c:v>
                </c:pt>
                <c:pt idx="7">
                  <c:v>-2.6100000000000012E-2</c:v>
                </c:pt>
                <c:pt idx="8">
                  <c:v>9.5200000000000007E-2</c:v>
                </c:pt>
                <c:pt idx="9">
                  <c:v>0.24249999999999999</c:v>
                </c:pt>
                <c:pt idx="10">
                  <c:v>0.30129999999999996</c:v>
                </c:pt>
                <c:pt idx="11">
                  <c:v>0.30399999999999999</c:v>
                </c:pt>
                <c:pt idx="12">
                  <c:v>0.30970000000000003</c:v>
                </c:pt>
              </c:numCache>
            </c:numRef>
          </c:xVal>
          <c:yVal>
            <c:numRef>
              <c:f>P38_18h30!$E$7:$E$19</c:f>
              <c:numCache>
                <c:formatCode>0.0000</c:formatCode>
                <c:ptCount val="13"/>
                <c:pt idx="0">
                  <c:v>0.31380000000000002</c:v>
                </c:pt>
                <c:pt idx="1">
                  <c:v>0.31470000000000004</c:v>
                </c:pt>
                <c:pt idx="2">
                  <c:v>0.31670000000000004</c:v>
                </c:pt>
                <c:pt idx="3">
                  <c:v>0.32380000000000003</c:v>
                </c:pt>
                <c:pt idx="4">
                  <c:v>0.27910000000000001</c:v>
                </c:pt>
                <c:pt idx="5">
                  <c:v>0.15749999999999997</c:v>
                </c:pt>
                <c:pt idx="6">
                  <c:v>1.4499999999999985E-2</c:v>
                </c:pt>
                <c:pt idx="7">
                  <c:v>-0.16</c:v>
                </c:pt>
                <c:pt idx="8">
                  <c:v>-0.28170000000000001</c:v>
                </c:pt>
                <c:pt idx="9">
                  <c:v>-0.31990000000000002</c:v>
                </c:pt>
                <c:pt idx="10">
                  <c:v>-0.3115</c:v>
                </c:pt>
                <c:pt idx="11">
                  <c:v>-0.3095</c:v>
                </c:pt>
                <c:pt idx="12">
                  <c:v>0.31380000000000002</c:v>
                </c:pt>
              </c:numCache>
            </c:numRef>
          </c:yVal>
          <c:smooth val="0"/>
          <c:extLst>
            <c:ext xmlns:c16="http://schemas.microsoft.com/office/drawing/2014/chart" uri="{C3380CC4-5D6E-409C-BE32-E72D297353CC}">
              <c16:uniqueId val="{00000000-E3E2-488A-81D1-BC417B1A476D}"/>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19:00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P39_19h00!$B$7:$B$19</c:f>
              <c:numCache>
                <c:formatCode>0.0000</c:formatCode>
                <c:ptCount val="13"/>
                <c:pt idx="0">
                  <c:v>1.0837000000000001</c:v>
                </c:pt>
                <c:pt idx="1">
                  <c:v>1.0802</c:v>
                </c:pt>
                <c:pt idx="2">
                  <c:v>1.0701000000000001</c:v>
                </c:pt>
                <c:pt idx="3">
                  <c:v>1.0194000000000001</c:v>
                </c:pt>
                <c:pt idx="4">
                  <c:v>0.85029999999999994</c:v>
                </c:pt>
                <c:pt idx="5">
                  <c:v>0.72660000000000002</c:v>
                </c:pt>
                <c:pt idx="6">
                  <c:v>0.68369999999999997</c:v>
                </c:pt>
                <c:pt idx="7">
                  <c:v>0.73</c:v>
                </c:pt>
                <c:pt idx="8">
                  <c:v>0.8427</c:v>
                </c:pt>
                <c:pt idx="9">
                  <c:v>0.99990000000000001</c:v>
                </c:pt>
                <c:pt idx="10">
                  <c:v>1.0698000000000001</c:v>
                </c:pt>
                <c:pt idx="11">
                  <c:v>1.0746</c:v>
                </c:pt>
                <c:pt idx="12">
                  <c:v>1.0837000000000001</c:v>
                </c:pt>
              </c:numCache>
            </c:numRef>
          </c:xVal>
          <c:yVal>
            <c:numRef>
              <c:f>P39_19h00!$C$7:$C$19</c:f>
              <c:numCache>
                <c:formatCode>0.0000</c:formatCode>
                <c:ptCount val="13"/>
                <c:pt idx="0">
                  <c:v>0.51839999999999997</c:v>
                </c:pt>
                <c:pt idx="1">
                  <c:v>0.53410000000000002</c:v>
                </c:pt>
                <c:pt idx="2">
                  <c:v>0.54179999999999995</c:v>
                </c:pt>
                <c:pt idx="3">
                  <c:v>0.55030000000000001</c:v>
                </c:pt>
                <c:pt idx="4">
                  <c:v>0.50480000000000003</c:v>
                </c:pt>
                <c:pt idx="5">
                  <c:v>0.38140000000000002</c:v>
                </c:pt>
                <c:pt idx="6">
                  <c:v>0.23</c:v>
                </c:pt>
                <c:pt idx="7">
                  <c:v>6.3899999999999998E-2</c:v>
                </c:pt>
                <c:pt idx="8">
                  <c:v>-0.05</c:v>
                </c:pt>
                <c:pt idx="9">
                  <c:v>-9.0899999999999995E-2</c:v>
                </c:pt>
                <c:pt idx="10">
                  <c:v>-8.0100000000000005E-2</c:v>
                </c:pt>
                <c:pt idx="11">
                  <c:v>-7.6399999999999996E-2</c:v>
                </c:pt>
                <c:pt idx="12">
                  <c:v>0.51839999999999997</c:v>
                </c:pt>
              </c:numCache>
            </c:numRef>
          </c:yVal>
          <c:smooth val="0"/>
          <c:extLst>
            <c:ext xmlns:c16="http://schemas.microsoft.com/office/drawing/2014/chart" uri="{C3380CC4-5D6E-409C-BE32-E72D297353CC}">
              <c16:uniqueId val="{00000000-C67B-4605-9C3C-D0B59F60210B}"/>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P39_19h00!$B$4</c:f>
              <c:numCache>
                <c:formatCode>0.0000</c:formatCode>
                <c:ptCount val="1"/>
                <c:pt idx="0">
                  <c:v>0.60909999999999997</c:v>
                </c:pt>
              </c:numCache>
            </c:numRef>
          </c:xVal>
          <c:yVal>
            <c:numRef>
              <c:f>P39_19h00!$D$4</c:f>
              <c:numCache>
                <c:formatCode>0.0000</c:formatCode>
                <c:ptCount val="1"/>
                <c:pt idx="0">
                  <c:v>0.19500000000000001</c:v>
                </c:pt>
              </c:numCache>
            </c:numRef>
          </c:yVal>
          <c:smooth val="1"/>
          <c:extLst>
            <c:ext xmlns:c16="http://schemas.microsoft.com/office/drawing/2014/chart" uri="{C3380CC4-5D6E-409C-BE32-E72D297353CC}">
              <c16:uniqueId val="{00000001-C67B-4605-9C3C-D0B59F60210B}"/>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P39_19h00!$D$7:$D$19</c:f>
              <c:numCache>
                <c:formatCode>0.0000</c:formatCode>
                <c:ptCount val="13"/>
                <c:pt idx="0">
                  <c:v>0.47460000000000013</c:v>
                </c:pt>
                <c:pt idx="1">
                  <c:v>0.47110000000000007</c:v>
                </c:pt>
                <c:pt idx="2">
                  <c:v>0.46100000000000008</c:v>
                </c:pt>
                <c:pt idx="3">
                  <c:v>0.41030000000000011</c:v>
                </c:pt>
                <c:pt idx="4">
                  <c:v>0.24119999999999997</c:v>
                </c:pt>
                <c:pt idx="5">
                  <c:v>0.11750000000000005</c:v>
                </c:pt>
                <c:pt idx="6">
                  <c:v>7.46E-2</c:v>
                </c:pt>
                <c:pt idx="7">
                  <c:v>0.12090000000000001</c:v>
                </c:pt>
                <c:pt idx="8">
                  <c:v>0.23360000000000003</c:v>
                </c:pt>
                <c:pt idx="9">
                  <c:v>0.39080000000000004</c:v>
                </c:pt>
                <c:pt idx="10">
                  <c:v>0.46070000000000011</c:v>
                </c:pt>
                <c:pt idx="11">
                  <c:v>0.46550000000000002</c:v>
                </c:pt>
                <c:pt idx="12">
                  <c:v>0.47460000000000013</c:v>
                </c:pt>
              </c:numCache>
            </c:numRef>
          </c:xVal>
          <c:yVal>
            <c:numRef>
              <c:f>P39_19h00!$E$7:$E$19</c:f>
              <c:numCache>
                <c:formatCode>0.0000</c:formatCode>
                <c:ptCount val="13"/>
                <c:pt idx="0">
                  <c:v>0.32339999999999997</c:v>
                </c:pt>
                <c:pt idx="1">
                  <c:v>0.33910000000000001</c:v>
                </c:pt>
                <c:pt idx="2">
                  <c:v>0.34679999999999994</c:v>
                </c:pt>
                <c:pt idx="3">
                  <c:v>0.3553</c:v>
                </c:pt>
                <c:pt idx="4">
                  <c:v>0.30980000000000002</c:v>
                </c:pt>
                <c:pt idx="5">
                  <c:v>0.18640000000000001</c:v>
                </c:pt>
                <c:pt idx="6">
                  <c:v>3.5000000000000003E-2</c:v>
                </c:pt>
                <c:pt idx="7">
                  <c:v>-0.13109999999999999</c:v>
                </c:pt>
                <c:pt idx="8">
                  <c:v>-0.245</c:v>
                </c:pt>
                <c:pt idx="9">
                  <c:v>-0.28589999999999999</c:v>
                </c:pt>
                <c:pt idx="10">
                  <c:v>-0.27510000000000001</c:v>
                </c:pt>
                <c:pt idx="11">
                  <c:v>-0.27139999999999997</c:v>
                </c:pt>
                <c:pt idx="12">
                  <c:v>0.32339999999999997</c:v>
                </c:pt>
              </c:numCache>
            </c:numRef>
          </c:yVal>
          <c:smooth val="0"/>
          <c:extLst>
            <c:ext xmlns:c16="http://schemas.microsoft.com/office/drawing/2014/chart" uri="{C3380CC4-5D6E-409C-BE32-E72D297353CC}">
              <c16:uniqueId val="{00000000-6344-435F-879E-3C6371D6566C}"/>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19:30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P40_19h30!$B$7:$B$19</c:f>
              <c:numCache>
                <c:formatCode>0.0000</c:formatCode>
                <c:ptCount val="13"/>
                <c:pt idx="0">
                  <c:v>1.2639</c:v>
                </c:pt>
                <c:pt idx="1">
                  <c:v>1.2548999999999999</c:v>
                </c:pt>
                <c:pt idx="2">
                  <c:v>1.2371000000000001</c:v>
                </c:pt>
                <c:pt idx="3">
                  <c:v>1.1606000000000001</c:v>
                </c:pt>
                <c:pt idx="4">
                  <c:v>0.99690000000000001</c:v>
                </c:pt>
                <c:pt idx="5">
                  <c:v>0.87250000000000005</c:v>
                </c:pt>
                <c:pt idx="6">
                  <c:v>0.82940000000000003</c:v>
                </c:pt>
                <c:pt idx="7">
                  <c:v>0.87309999999999999</c:v>
                </c:pt>
                <c:pt idx="8">
                  <c:v>0.98580000000000001</c:v>
                </c:pt>
                <c:pt idx="9">
                  <c:v>1.1454</c:v>
                </c:pt>
                <c:pt idx="10">
                  <c:v>1.2436</c:v>
                </c:pt>
                <c:pt idx="11">
                  <c:v>1.2543</c:v>
                </c:pt>
                <c:pt idx="12">
                  <c:v>1.2639</c:v>
                </c:pt>
              </c:numCache>
            </c:numRef>
          </c:xVal>
          <c:yVal>
            <c:numRef>
              <c:f>P40_19h30!$C$7:$C$19</c:f>
              <c:numCache>
                <c:formatCode>0.0000</c:formatCode>
                <c:ptCount val="13"/>
                <c:pt idx="0">
                  <c:v>0.50039999999999996</c:v>
                </c:pt>
                <c:pt idx="1">
                  <c:v>0.5323</c:v>
                </c:pt>
                <c:pt idx="2">
                  <c:v>0.54679999999999995</c:v>
                </c:pt>
                <c:pt idx="3">
                  <c:v>0.56399999999999995</c:v>
                </c:pt>
                <c:pt idx="4">
                  <c:v>0.51849999999999996</c:v>
                </c:pt>
                <c:pt idx="5">
                  <c:v>0.39450000000000002</c:v>
                </c:pt>
                <c:pt idx="6">
                  <c:v>0.23960000000000001</c:v>
                </c:pt>
                <c:pt idx="7">
                  <c:v>7.9100000000000004E-2</c:v>
                </c:pt>
                <c:pt idx="8">
                  <c:v>-3.4200000000000001E-2</c:v>
                </c:pt>
                <c:pt idx="9">
                  <c:v>-7.5999999999999998E-2</c:v>
                </c:pt>
                <c:pt idx="10">
                  <c:v>-5.7500000000000002E-2</c:v>
                </c:pt>
                <c:pt idx="11">
                  <c:v>-4.8500000000000001E-2</c:v>
                </c:pt>
                <c:pt idx="12">
                  <c:v>0.50039999999999996</c:v>
                </c:pt>
              </c:numCache>
            </c:numRef>
          </c:yVal>
          <c:smooth val="0"/>
          <c:extLst>
            <c:ext xmlns:c16="http://schemas.microsoft.com/office/drawing/2014/chart" uri="{C3380CC4-5D6E-409C-BE32-E72D297353CC}">
              <c16:uniqueId val="{00000000-4A57-4C65-8B74-128A68B6FFD8}"/>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P40_19h30!$B$4</c:f>
              <c:numCache>
                <c:formatCode>0.0000</c:formatCode>
                <c:ptCount val="1"/>
                <c:pt idx="0">
                  <c:v>1.0097</c:v>
                </c:pt>
              </c:numCache>
            </c:numRef>
          </c:xVal>
          <c:yVal>
            <c:numRef>
              <c:f>P40_19h30!$D$4</c:f>
              <c:numCache>
                <c:formatCode>0.0000</c:formatCode>
                <c:ptCount val="1"/>
                <c:pt idx="0">
                  <c:v>0.22969999999999999</c:v>
                </c:pt>
              </c:numCache>
            </c:numRef>
          </c:yVal>
          <c:smooth val="1"/>
          <c:extLst>
            <c:ext xmlns:c16="http://schemas.microsoft.com/office/drawing/2014/chart" uri="{C3380CC4-5D6E-409C-BE32-E72D297353CC}">
              <c16:uniqueId val="{00000001-4A57-4C65-8B74-128A68B6FFD8}"/>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P40_19h30!$D$7:$D$19</c:f>
              <c:numCache>
                <c:formatCode>0.0000</c:formatCode>
                <c:ptCount val="13"/>
                <c:pt idx="0">
                  <c:v>0.25419999999999998</c:v>
                </c:pt>
                <c:pt idx="1">
                  <c:v>0.24519999999999986</c:v>
                </c:pt>
                <c:pt idx="2">
                  <c:v>0.22740000000000005</c:v>
                </c:pt>
                <c:pt idx="3">
                  <c:v>0.15090000000000003</c:v>
                </c:pt>
                <c:pt idx="4">
                  <c:v>-1.2800000000000034E-2</c:v>
                </c:pt>
                <c:pt idx="5">
                  <c:v>-0.13719999999999999</c:v>
                </c:pt>
                <c:pt idx="6">
                  <c:v>-0.18030000000000002</c:v>
                </c:pt>
                <c:pt idx="7">
                  <c:v>-0.13660000000000005</c:v>
                </c:pt>
                <c:pt idx="8">
                  <c:v>-2.3900000000000032E-2</c:v>
                </c:pt>
                <c:pt idx="9">
                  <c:v>0.13569999999999993</c:v>
                </c:pt>
                <c:pt idx="10">
                  <c:v>0.2339</c:v>
                </c:pt>
                <c:pt idx="11">
                  <c:v>0.24459999999999993</c:v>
                </c:pt>
                <c:pt idx="12">
                  <c:v>0.25419999999999998</c:v>
                </c:pt>
              </c:numCache>
            </c:numRef>
          </c:xVal>
          <c:yVal>
            <c:numRef>
              <c:f>P40_19h30!$E$7:$E$19</c:f>
              <c:numCache>
                <c:formatCode>0.0000</c:formatCode>
                <c:ptCount val="13"/>
                <c:pt idx="0">
                  <c:v>0.27069999999999994</c:v>
                </c:pt>
                <c:pt idx="1">
                  <c:v>0.30259999999999998</c:v>
                </c:pt>
                <c:pt idx="2">
                  <c:v>0.31709999999999994</c:v>
                </c:pt>
                <c:pt idx="3">
                  <c:v>0.33429999999999993</c:v>
                </c:pt>
                <c:pt idx="4">
                  <c:v>0.28879999999999995</c:v>
                </c:pt>
                <c:pt idx="5">
                  <c:v>0.16480000000000003</c:v>
                </c:pt>
                <c:pt idx="6">
                  <c:v>9.9000000000000199E-3</c:v>
                </c:pt>
                <c:pt idx="7">
                  <c:v>-0.15059999999999998</c:v>
                </c:pt>
                <c:pt idx="8">
                  <c:v>-0.26389999999999997</c:v>
                </c:pt>
                <c:pt idx="9">
                  <c:v>-0.30569999999999997</c:v>
                </c:pt>
                <c:pt idx="10">
                  <c:v>-0.28720000000000001</c:v>
                </c:pt>
                <c:pt idx="11">
                  <c:v>-0.2782</c:v>
                </c:pt>
                <c:pt idx="12">
                  <c:v>0.27069999999999994</c:v>
                </c:pt>
              </c:numCache>
            </c:numRef>
          </c:yVal>
          <c:smooth val="0"/>
          <c:extLst>
            <c:ext xmlns:c16="http://schemas.microsoft.com/office/drawing/2014/chart" uri="{C3380CC4-5D6E-409C-BE32-E72D297353CC}">
              <c16:uniqueId val="{00000000-134A-4102-9379-864BEB1A7E91}"/>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20:00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P41_20h00!$B$7:$B$19</c:f>
              <c:numCache>
                <c:formatCode>0.0000</c:formatCode>
                <c:ptCount val="13"/>
                <c:pt idx="0">
                  <c:v>1.3748</c:v>
                </c:pt>
                <c:pt idx="1">
                  <c:v>1.3601000000000001</c:v>
                </c:pt>
                <c:pt idx="2">
                  <c:v>1.3297000000000001</c:v>
                </c:pt>
                <c:pt idx="3">
                  <c:v>1.2333000000000001</c:v>
                </c:pt>
                <c:pt idx="4">
                  <c:v>1.0729</c:v>
                </c:pt>
                <c:pt idx="5">
                  <c:v>0.94979999999999998</c:v>
                </c:pt>
                <c:pt idx="6">
                  <c:v>0.90810000000000002</c:v>
                </c:pt>
                <c:pt idx="7">
                  <c:v>0.95079999999999998</c:v>
                </c:pt>
                <c:pt idx="8">
                  <c:v>1.0619000000000001</c:v>
                </c:pt>
                <c:pt idx="9">
                  <c:v>1.2202</c:v>
                </c:pt>
                <c:pt idx="10">
                  <c:v>1.3419000000000001</c:v>
                </c:pt>
                <c:pt idx="11">
                  <c:v>1.3645</c:v>
                </c:pt>
                <c:pt idx="12">
                  <c:v>1.3748</c:v>
                </c:pt>
              </c:numCache>
            </c:numRef>
          </c:xVal>
          <c:yVal>
            <c:numRef>
              <c:f>P41_20h00!$C$7:$C$19</c:f>
              <c:numCache>
                <c:formatCode>0.0000</c:formatCode>
                <c:ptCount val="13"/>
                <c:pt idx="0">
                  <c:v>0.47710000000000002</c:v>
                </c:pt>
                <c:pt idx="1">
                  <c:v>0.5232</c:v>
                </c:pt>
                <c:pt idx="2">
                  <c:v>0.55200000000000005</c:v>
                </c:pt>
                <c:pt idx="3">
                  <c:v>0.57620000000000005</c:v>
                </c:pt>
                <c:pt idx="4">
                  <c:v>0.53139999999999998</c:v>
                </c:pt>
                <c:pt idx="5">
                  <c:v>0.40870000000000001</c:v>
                </c:pt>
                <c:pt idx="6">
                  <c:v>0.25679999999999997</c:v>
                </c:pt>
                <c:pt idx="7">
                  <c:v>8.9399999999999993E-2</c:v>
                </c:pt>
                <c:pt idx="8">
                  <c:v>-2.1899999999999999E-2</c:v>
                </c:pt>
                <c:pt idx="9">
                  <c:v>-6.3299999999999995E-2</c:v>
                </c:pt>
                <c:pt idx="10">
                  <c:v>-3.6999999999999998E-2</c:v>
                </c:pt>
                <c:pt idx="11">
                  <c:v>-1.6899999999999998E-2</c:v>
                </c:pt>
                <c:pt idx="12">
                  <c:v>0.47710000000000002</c:v>
                </c:pt>
              </c:numCache>
            </c:numRef>
          </c:yVal>
          <c:smooth val="0"/>
          <c:extLst>
            <c:ext xmlns:c16="http://schemas.microsoft.com/office/drawing/2014/chart" uri="{C3380CC4-5D6E-409C-BE32-E72D297353CC}">
              <c16:uniqueId val="{00000000-1F1A-4DDB-AE0A-3BAE3867E054}"/>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P41_20h00!$B$4</c:f>
              <c:numCache>
                <c:formatCode>0.0000</c:formatCode>
                <c:ptCount val="1"/>
                <c:pt idx="0">
                  <c:v>1.1563000000000001</c:v>
                </c:pt>
              </c:numCache>
            </c:numRef>
          </c:xVal>
          <c:yVal>
            <c:numRef>
              <c:f>P41_20h00!$D$4</c:f>
              <c:numCache>
                <c:formatCode>0.0000</c:formatCode>
                <c:ptCount val="1"/>
                <c:pt idx="0">
                  <c:v>0.2442</c:v>
                </c:pt>
              </c:numCache>
            </c:numRef>
          </c:yVal>
          <c:smooth val="1"/>
          <c:extLst>
            <c:ext xmlns:c16="http://schemas.microsoft.com/office/drawing/2014/chart" uri="{C3380CC4-5D6E-409C-BE32-E72D297353CC}">
              <c16:uniqueId val="{00000001-1F1A-4DDB-AE0A-3BAE3867E054}"/>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P41_20h00!$D$7:$D$19</c:f>
              <c:numCache>
                <c:formatCode>0.0000</c:formatCode>
                <c:ptCount val="13"/>
                <c:pt idx="0">
                  <c:v>0.21849999999999992</c:v>
                </c:pt>
                <c:pt idx="1">
                  <c:v>0.20379999999999998</c:v>
                </c:pt>
                <c:pt idx="2">
                  <c:v>0.1734</c:v>
                </c:pt>
                <c:pt idx="3">
                  <c:v>7.6999999999999957E-2</c:v>
                </c:pt>
                <c:pt idx="4">
                  <c:v>-8.3400000000000141E-2</c:v>
                </c:pt>
                <c:pt idx="5">
                  <c:v>-0.20650000000000013</c:v>
                </c:pt>
                <c:pt idx="6">
                  <c:v>-0.24820000000000009</c:v>
                </c:pt>
                <c:pt idx="7">
                  <c:v>-0.20550000000000013</c:v>
                </c:pt>
                <c:pt idx="8">
                  <c:v>-9.4400000000000039E-2</c:v>
                </c:pt>
                <c:pt idx="9">
                  <c:v>6.3899999999999846E-2</c:v>
                </c:pt>
                <c:pt idx="10">
                  <c:v>0.18559999999999999</c:v>
                </c:pt>
                <c:pt idx="11">
                  <c:v>0.20819999999999994</c:v>
                </c:pt>
                <c:pt idx="12">
                  <c:v>0.21849999999999992</c:v>
                </c:pt>
              </c:numCache>
            </c:numRef>
          </c:xVal>
          <c:yVal>
            <c:numRef>
              <c:f>P41_20h00!$E$7:$E$19</c:f>
              <c:numCache>
                <c:formatCode>0.0000</c:formatCode>
                <c:ptCount val="13"/>
                <c:pt idx="0">
                  <c:v>0.23290000000000002</c:v>
                </c:pt>
                <c:pt idx="1">
                  <c:v>0.27900000000000003</c:v>
                </c:pt>
                <c:pt idx="2">
                  <c:v>0.30780000000000007</c:v>
                </c:pt>
                <c:pt idx="3">
                  <c:v>0.33200000000000007</c:v>
                </c:pt>
                <c:pt idx="4">
                  <c:v>0.28720000000000001</c:v>
                </c:pt>
                <c:pt idx="5">
                  <c:v>0.16450000000000001</c:v>
                </c:pt>
                <c:pt idx="6">
                  <c:v>1.2599999999999972E-2</c:v>
                </c:pt>
                <c:pt idx="7">
                  <c:v>-0.15479999999999999</c:v>
                </c:pt>
                <c:pt idx="8">
                  <c:v>-0.2661</c:v>
                </c:pt>
                <c:pt idx="9">
                  <c:v>-0.3075</c:v>
                </c:pt>
                <c:pt idx="10">
                  <c:v>-0.28120000000000001</c:v>
                </c:pt>
                <c:pt idx="11">
                  <c:v>-0.2611</c:v>
                </c:pt>
                <c:pt idx="12">
                  <c:v>0.23290000000000002</c:v>
                </c:pt>
              </c:numCache>
            </c:numRef>
          </c:yVal>
          <c:smooth val="0"/>
          <c:extLst>
            <c:ext xmlns:c16="http://schemas.microsoft.com/office/drawing/2014/chart" uri="{C3380CC4-5D6E-409C-BE32-E72D297353CC}">
              <c16:uniqueId val="{00000000-BF62-453B-98DE-C638E009A45D}"/>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20:30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P42_20h30!$B$7:$B$19</c:f>
              <c:numCache>
                <c:formatCode>0.0000</c:formatCode>
                <c:ptCount val="13"/>
                <c:pt idx="0">
                  <c:v>1.4133</c:v>
                </c:pt>
                <c:pt idx="1">
                  <c:v>1.3937999999999999</c:v>
                </c:pt>
                <c:pt idx="2">
                  <c:v>1.3452999999999999</c:v>
                </c:pt>
                <c:pt idx="3">
                  <c:v>1.2363</c:v>
                </c:pt>
                <c:pt idx="4">
                  <c:v>1.0793999999999999</c:v>
                </c:pt>
                <c:pt idx="5">
                  <c:v>0.95699999999999996</c:v>
                </c:pt>
                <c:pt idx="6">
                  <c:v>0.91559999999999997</c:v>
                </c:pt>
                <c:pt idx="7">
                  <c:v>0.95669999999999999</c:v>
                </c:pt>
                <c:pt idx="8">
                  <c:v>1.0664</c:v>
                </c:pt>
                <c:pt idx="9">
                  <c:v>1.2251000000000001</c:v>
                </c:pt>
                <c:pt idx="10">
                  <c:v>1.3649</c:v>
                </c:pt>
                <c:pt idx="11">
                  <c:v>1.4019999999999999</c:v>
                </c:pt>
                <c:pt idx="12">
                  <c:v>1.4133</c:v>
                </c:pt>
              </c:numCache>
            </c:numRef>
          </c:xVal>
          <c:yVal>
            <c:numRef>
              <c:f>P42_20h30!$C$7:$C$19</c:f>
              <c:numCache>
                <c:formatCode>0.0000</c:formatCode>
                <c:ptCount val="13"/>
                <c:pt idx="0">
                  <c:v>0.41570000000000001</c:v>
                </c:pt>
                <c:pt idx="1">
                  <c:v>0.50090000000000001</c:v>
                </c:pt>
                <c:pt idx="2">
                  <c:v>0.54730000000000001</c:v>
                </c:pt>
                <c:pt idx="3">
                  <c:v>0.57689999999999997</c:v>
                </c:pt>
                <c:pt idx="4">
                  <c:v>0.5323</c:v>
                </c:pt>
                <c:pt idx="5">
                  <c:v>0.41070000000000001</c:v>
                </c:pt>
                <c:pt idx="6">
                  <c:v>0.2432</c:v>
                </c:pt>
                <c:pt idx="7">
                  <c:v>8.9300000000000004E-2</c:v>
                </c:pt>
                <c:pt idx="8">
                  <c:v>-2.0299999999999999E-2</c:v>
                </c:pt>
                <c:pt idx="9">
                  <c:v>-6.1899999999999997E-2</c:v>
                </c:pt>
                <c:pt idx="10">
                  <c:v>-2.8799999999999999E-2</c:v>
                </c:pt>
                <c:pt idx="11">
                  <c:v>4.7000000000000002E-3</c:v>
                </c:pt>
                <c:pt idx="12">
                  <c:v>0.41570000000000001</c:v>
                </c:pt>
              </c:numCache>
            </c:numRef>
          </c:yVal>
          <c:smooth val="0"/>
          <c:extLst>
            <c:ext xmlns:c16="http://schemas.microsoft.com/office/drawing/2014/chart" uri="{C3380CC4-5D6E-409C-BE32-E72D297353CC}">
              <c16:uniqueId val="{00000000-F9F5-4E00-B79C-C38A9409B7CB}"/>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P42_20h30!$B$4</c:f>
              <c:numCache>
                <c:formatCode>0.0000</c:formatCode>
                <c:ptCount val="1"/>
                <c:pt idx="0">
                  <c:v>1.2314000000000001</c:v>
                </c:pt>
              </c:numCache>
            </c:numRef>
          </c:xVal>
          <c:yVal>
            <c:numRef>
              <c:f>P42_20h30!$D$4</c:f>
              <c:numCache>
                <c:formatCode>0.0000</c:formatCode>
                <c:ptCount val="1"/>
                <c:pt idx="0">
                  <c:v>0.25679999999999997</c:v>
                </c:pt>
              </c:numCache>
            </c:numRef>
          </c:yVal>
          <c:smooth val="1"/>
          <c:extLst>
            <c:ext xmlns:c16="http://schemas.microsoft.com/office/drawing/2014/chart" uri="{C3380CC4-5D6E-409C-BE32-E72D297353CC}">
              <c16:uniqueId val="{00000001-F9F5-4E00-B79C-C38A9409B7CB}"/>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P42_20h30!$D$7:$D$19</c:f>
              <c:numCache>
                <c:formatCode>0.0000</c:formatCode>
                <c:ptCount val="13"/>
                <c:pt idx="0">
                  <c:v>0.18189999999999995</c:v>
                </c:pt>
                <c:pt idx="1">
                  <c:v>0.16239999999999988</c:v>
                </c:pt>
                <c:pt idx="2">
                  <c:v>0.11389999999999989</c:v>
                </c:pt>
                <c:pt idx="3">
                  <c:v>4.8999999999999044E-3</c:v>
                </c:pt>
                <c:pt idx="4">
                  <c:v>-0.15200000000000014</c:v>
                </c:pt>
                <c:pt idx="5">
                  <c:v>-0.27440000000000009</c:v>
                </c:pt>
                <c:pt idx="6">
                  <c:v>-0.31580000000000008</c:v>
                </c:pt>
                <c:pt idx="7">
                  <c:v>-0.27470000000000006</c:v>
                </c:pt>
                <c:pt idx="8">
                  <c:v>-0.16500000000000004</c:v>
                </c:pt>
                <c:pt idx="9">
                  <c:v>-6.2999999999999723E-3</c:v>
                </c:pt>
                <c:pt idx="10">
                  <c:v>0.13349999999999995</c:v>
                </c:pt>
                <c:pt idx="11">
                  <c:v>0.17059999999999986</c:v>
                </c:pt>
                <c:pt idx="12">
                  <c:v>0.18189999999999995</c:v>
                </c:pt>
              </c:numCache>
            </c:numRef>
          </c:xVal>
          <c:yVal>
            <c:numRef>
              <c:f>P42_20h30!$E$7:$E$19</c:f>
              <c:numCache>
                <c:formatCode>0.0000</c:formatCode>
                <c:ptCount val="13"/>
                <c:pt idx="0">
                  <c:v>0.15890000000000004</c:v>
                </c:pt>
                <c:pt idx="1">
                  <c:v>0.24410000000000004</c:v>
                </c:pt>
                <c:pt idx="2">
                  <c:v>0.29050000000000004</c:v>
                </c:pt>
                <c:pt idx="3">
                  <c:v>0.3201</c:v>
                </c:pt>
                <c:pt idx="4">
                  <c:v>0.27550000000000002</c:v>
                </c:pt>
                <c:pt idx="5">
                  <c:v>0.15390000000000004</c:v>
                </c:pt>
                <c:pt idx="6">
                  <c:v>-1.3599999999999973E-2</c:v>
                </c:pt>
                <c:pt idx="7">
                  <c:v>-0.16749999999999998</c:v>
                </c:pt>
                <c:pt idx="8">
                  <c:v>-0.27709999999999996</c:v>
                </c:pt>
                <c:pt idx="9">
                  <c:v>-0.31869999999999998</c:v>
                </c:pt>
                <c:pt idx="10">
                  <c:v>-0.28559999999999997</c:v>
                </c:pt>
                <c:pt idx="11">
                  <c:v>-0.25209999999999999</c:v>
                </c:pt>
                <c:pt idx="12">
                  <c:v>0.15890000000000004</c:v>
                </c:pt>
              </c:numCache>
            </c:numRef>
          </c:yVal>
          <c:smooth val="0"/>
          <c:extLst>
            <c:ext xmlns:c16="http://schemas.microsoft.com/office/drawing/2014/chart" uri="{C3380CC4-5D6E-409C-BE32-E72D297353CC}">
              <c16:uniqueId val="{00000000-F9A0-4206-9BE8-445F28F26F41}"/>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21:00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P43_21h00!$B$7:$B$19</c:f>
              <c:numCache>
                <c:formatCode>0.0000</c:formatCode>
                <c:ptCount val="13"/>
                <c:pt idx="0">
                  <c:v>1.4056999999999999</c:v>
                </c:pt>
                <c:pt idx="1">
                  <c:v>1.3832</c:v>
                </c:pt>
                <c:pt idx="2">
                  <c:v>1.3164</c:v>
                </c:pt>
                <c:pt idx="3">
                  <c:v>1.1981999999999999</c:v>
                </c:pt>
                <c:pt idx="4">
                  <c:v>1.038</c:v>
                </c:pt>
                <c:pt idx="5">
                  <c:v>0.91990000000000005</c:v>
                </c:pt>
                <c:pt idx="6">
                  <c:v>0.88080000000000003</c:v>
                </c:pt>
                <c:pt idx="7">
                  <c:v>0.92159999999999997</c:v>
                </c:pt>
                <c:pt idx="8">
                  <c:v>1.0273000000000001</c:v>
                </c:pt>
                <c:pt idx="9">
                  <c:v>1.1841999999999999</c:v>
                </c:pt>
                <c:pt idx="10">
                  <c:v>1.3344</c:v>
                </c:pt>
                <c:pt idx="11">
                  <c:v>1.3914</c:v>
                </c:pt>
                <c:pt idx="12">
                  <c:v>1.4056999999999999</c:v>
                </c:pt>
              </c:numCache>
            </c:numRef>
          </c:xVal>
          <c:yVal>
            <c:numRef>
              <c:f>P43_21h00!$C$7:$C$19</c:f>
              <c:numCache>
                <c:formatCode>0.0000</c:formatCode>
                <c:ptCount val="13"/>
                <c:pt idx="0">
                  <c:v>0.34970000000000001</c:v>
                </c:pt>
                <c:pt idx="1">
                  <c:v>0.47020000000000001</c:v>
                </c:pt>
                <c:pt idx="2">
                  <c:v>0.53559999999999997</c:v>
                </c:pt>
                <c:pt idx="3">
                  <c:v>0.56850000000000001</c:v>
                </c:pt>
                <c:pt idx="4">
                  <c:v>0.52400000000000002</c:v>
                </c:pt>
                <c:pt idx="5">
                  <c:v>0.40710000000000002</c:v>
                </c:pt>
                <c:pt idx="6">
                  <c:v>0.23899999999999999</c:v>
                </c:pt>
                <c:pt idx="7">
                  <c:v>7.5700000000000003E-2</c:v>
                </c:pt>
                <c:pt idx="8">
                  <c:v>-0.03</c:v>
                </c:pt>
                <c:pt idx="9">
                  <c:v>-7.1099999999999997E-2</c:v>
                </c:pt>
                <c:pt idx="10">
                  <c:v>-3.3799999999999997E-2</c:v>
                </c:pt>
                <c:pt idx="11">
                  <c:v>1.8200000000000001E-2</c:v>
                </c:pt>
                <c:pt idx="12">
                  <c:v>0.34970000000000001</c:v>
                </c:pt>
              </c:numCache>
            </c:numRef>
          </c:yVal>
          <c:smooth val="0"/>
          <c:extLst>
            <c:ext xmlns:c16="http://schemas.microsoft.com/office/drawing/2014/chart" uri="{C3380CC4-5D6E-409C-BE32-E72D297353CC}">
              <c16:uniqueId val="{00000000-0B10-46A3-98C8-0EF1EE93FEF2}"/>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P43_21h00!$B$4</c:f>
              <c:numCache>
                <c:formatCode>0.0000</c:formatCode>
                <c:ptCount val="1"/>
                <c:pt idx="0">
                  <c:v>1.2369000000000001</c:v>
                </c:pt>
              </c:numCache>
            </c:numRef>
          </c:xVal>
          <c:yVal>
            <c:numRef>
              <c:f>P43_21h00!$D$4</c:f>
              <c:numCache>
                <c:formatCode>0.0000</c:formatCode>
                <c:ptCount val="1"/>
                <c:pt idx="0">
                  <c:v>0.25800000000000001</c:v>
                </c:pt>
              </c:numCache>
            </c:numRef>
          </c:yVal>
          <c:smooth val="1"/>
          <c:extLst>
            <c:ext xmlns:c16="http://schemas.microsoft.com/office/drawing/2014/chart" uri="{C3380CC4-5D6E-409C-BE32-E72D297353CC}">
              <c16:uniqueId val="{00000001-0B10-46A3-98C8-0EF1EE93FEF2}"/>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P43_21h00!$D$7:$D$19</c:f>
              <c:numCache>
                <c:formatCode>0.0000</c:formatCode>
                <c:ptCount val="13"/>
                <c:pt idx="0">
                  <c:v>0.16879999999999984</c:v>
                </c:pt>
                <c:pt idx="1">
                  <c:v>0.14629999999999987</c:v>
                </c:pt>
                <c:pt idx="2">
                  <c:v>7.9499999999999904E-2</c:v>
                </c:pt>
                <c:pt idx="3">
                  <c:v>-3.8700000000000179E-2</c:v>
                </c:pt>
                <c:pt idx="4">
                  <c:v>-0.19890000000000008</c:v>
                </c:pt>
                <c:pt idx="5">
                  <c:v>-0.31700000000000006</c:v>
                </c:pt>
                <c:pt idx="6">
                  <c:v>-0.35610000000000008</c:v>
                </c:pt>
                <c:pt idx="7">
                  <c:v>-0.31530000000000014</c:v>
                </c:pt>
                <c:pt idx="8">
                  <c:v>-0.20960000000000001</c:v>
                </c:pt>
                <c:pt idx="9">
                  <c:v>-5.2700000000000191E-2</c:v>
                </c:pt>
                <c:pt idx="10">
                  <c:v>9.749999999999992E-2</c:v>
                </c:pt>
                <c:pt idx="11">
                  <c:v>0.15449999999999986</c:v>
                </c:pt>
                <c:pt idx="12">
                  <c:v>0.16879999999999984</c:v>
                </c:pt>
              </c:numCache>
            </c:numRef>
          </c:xVal>
          <c:yVal>
            <c:numRef>
              <c:f>P43_21h00!$E$7:$E$19</c:f>
              <c:numCache>
                <c:formatCode>0.0000</c:formatCode>
                <c:ptCount val="13"/>
                <c:pt idx="0">
                  <c:v>9.1700000000000004E-2</c:v>
                </c:pt>
                <c:pt idx="1">
                  <c:v>0.2122</c:v>
                </c:pt>
                <c:pt idx="2">
                  <c:v>0.27759999999999996</c:v>
                </c:pt>
                <c:pt idx="3">
                  <c:v>0.3105</c:v>
                </c:pt>
                <c:pt idx="4">
                  <c:v>0.26600000000000001</c:v>
                </c:pt>
                <c:pt idx="5">
                  <c:v>0.14910000000000001</c:v>
                </c:pt>
                <c:pt idx="6">
                  <c:v>-1.9000000000000017E-2</c:v>
                </c:pt>
                <c:pt idx="7">
                  <c:v>-0.18230000000000002</c:v>
                </c:pt>
                <c:pt idx="8">
                  <c:v>-0.28800000000000003</c:v>
                </c:pt>
                <c:pt idx="9">
                  <c:v>-0.3291</c:v>
                </c:pt>
                <c:pt idx="10">
                  <c:v>-0.2918</c:v>
                </c:pt>
                <c:pt idx="11">
                  <c:v>-0.23980000000000001</c:v>
                </c:pt>
                <c:pt idx="12">
                  <c:v>9.1700000000000004E-2</c:v>
                </c:pt>
              </c:numCache>
            </c:numRef>
          </c:yVal>
          <c:smooth val="0"/>
          <c:extLst>
            <c:ext xmlns:c16="http://schemas.microsoft.com/office/drawing/2014/chart" uri="{C3380CC4-5D6E-409C-BE32-E72D297353CC}">
              <c16:uniqueId val="{00000000-751C-47D0-A867-C2111049B9AF}"/>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21:30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P44_21h30!$B$7:$B$19</c:f>
              <c:numCache>
                <c:formatCode>0.0000</c:formatCode>
                <c:ptCount val="13"/>
                <c:pt idx="0">
                  <c:v>1.3925000000000001</c:v>
                </c:pt>
                <c:pt idx="1">
                  <c:v>1.3693</c:v>
                </c:pt>
                <c:pt idx="2">
                  <c:v>1.2753000000000001</c:v>
                </c:pt>
                <c:pt idx="3">
                  <c:v>1.1539999999999999</c:v>
                </c:pt>
                <c:pt idx="4">
                  <c:v>0.99639999999999995</c:v>
                </c:pt>
                <c:pt idx="5">
                  <c:v>0.88490000000000002</c:v>
                </c:pt>
                <c:pt idx="6">
                  <c:v>0.84899999999999998</c:v>
                </c:pt>
                <c:pt idx="7">
                  <c:v>0.88680000000000003</c:v>
                </c:pt>
                <c:pt idx="8">
                  <c:v>0.98619999999999997</c:v>
                </c:pt>
                <c:pt idx="9">
                  <c:v>1.1413</c:v>
                </c:pt>
                <c:pt idx="10">
                  <c:v>1.2985</c:v>
                </c:pt>
                <c:pt idx="11">
                  <c:v>1.3734999999999999</c:v>
                </c:pt>
                <c:pt idx="12">
                  <c:v>1.3925000000000001</c:v>
                </c:pt>
              </c:numCache>
            </c:numRef>
          </c:xVal>
          <c:yVal>
            <c:numRef>
              <c:f>P44_21h30!$C$7:$C$19</c:f>
              <c:numCache>
                <c:formatCode>0.0000</c:formatCode>
                <c:ptCount val="13"/>
                <c:pt idx="0">
                  <c:v>0.30359999999999998</c:v>
                </c:pt>
                <c:pt idx="1">
                  <c:v>0.43049999999999999</c:v>
                </c:pt>
                <c:pt idx="2">
                  <c:v>0.52569999999999995</c:v>
                </c:pt>
                <c:pt idx="3">
                  <c:v>0.55920000000000003</c:v>
                </c:pt>
                <c:pt idx="4">
                  <c:v>0.51539999999999997</c:v>
                </c:pt>
                <c:pt idx="5">
                  <c:v>0.40500000000000003</c:v>
                </c:pt>
                <c:pt idx="6">
                  <c:v>0.20019999999999999</c:v>
                </c:pt>
                <c:pt idx="7">
                  <c:v>5.9499999999999997E-2</c:v>
                </c:pt>
                <c:pt idx="8">
                  <c:v>-0.04</c:v>
                </c:pt>
                <c:pt idx="9">
                  <c:v>-8.0299999999999996E-2</c:v>
                </c:pt>
                <c:pt idx="10">
                  <c:v>-4.02E-2</c:v>
                </c:pt>
                <c:pt idx="11">
                  <c:v>3.0700000000000002E-2</c:v>
                </c:pt>
                <c:pt idx="12">
                  <c:v>0.30359999999999998</c:v>
                </c:pt>
              </c:numCache>
            </c:numRef>
          </c:yVal>
          <c:smooth val="0"/>
          <c:extLst>
            <c:ext xmlns:c16="http://schemas.microsoft.com/office/drawing/2014/chart" uri="{C3380CC4-5D6E-409C-BE32-E72D297353CC}">
              <c16:uniqueId val="{00000000-41CF-4279-BBD1-272911016F98}"/>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P44_21h30!$B$4</c:f>
              <c:numCache>
                <c:formatCode>0.0000</c:formatCode>
                <c:ptCount val="1"/>
                <c:pt idx="0">
                  <c:v>1.1953</c:v>
                </c:pt>
              </c:numCache>
            </c:numRef>
          </c:xVal>
          <c:yVal>
            <c:numRef>
              <c:f>P44_21h30!$D$4</c:f>
              <c:numCache>
                <c:formatCode>0.0000</c:formatCode>
                <c:ptCount val="1"/>
                <c:pt idx="0">
                  <c:v>0.24909999999999999</c:v>
                </c:pt>
              </c:numCache>
            </c:numRef>
          </c:yVal>
          <c:smooth val="1"/>
          <c:extLst>
            <c:ext xmlns:c16="http://schemas.microsoft.com/office/drawing/2014/chart" uri="{C3380CC4-5D6E-409C-BE32-E72D297353CC}">
              <c16:uniqueId val="{00000001-41CF-4279-BBD1-272911016F98}"/>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P44_21h30!$D$7:$D$19</c:f>
              <c:numCache>
                <c:formatCode>0.0000</c:formatCode>
                <c:ptCount val="13"/>
                <c:pt idx="0">
                  <c:v>0.19720000000000004</c:v>
                </c:pt>
                <c:pt idx="1">
                  <c:v>0.17399999999999993</c:v>
                </c:pt>
                <c:pt idx="2">
                  <c:v>8.0000000000000071E-2</c:v>
                </c:pt>
                <c:pt idx="3">
                  <c:v>-4.1300000000000114E-2</c:v>
                </c:pt>
                <c:pt idx="4">
                  <c:v>-0.19890000000000008</c:v>
                </c:pt>
                <c:pt idx="5">
                  <c:v>-0.31040000000000001</c:v>
                </c:pt>
                <c:pt idx="6">
                  <c:v>-0.34630000000000005</c:v>
                </c:pt>
                <c:pt idx="7">
                  <c:v>-0.3085</c:v>
                </c:pt>
                <c:pt idx="8">
                  <c:v>-0.20910000000000006</c:v>
                </c:pt>
                <c:pt idx="9">
                  <c:v>-5.4000000000000048E-2</c:v>
                </c:pt>
                <c:pt idx="10">
                  <c:v>0.10319999999999996</c:v>
                </c:pt>
                <c:pt idx="11">
                  <c:v>0.17819999999999991</c:v>
                </c:pt>
                <c:pt idx="12">
                  <c:v>0.19720000000000004</c:v>
                </c:pt>
              </c:numCache>
            </c:numRef>
          </c:xVal>
          <c:yVal>
            <c:numRef>
              <c:f>P44_21h30!$E$7:$E$19</c:f>
              <c:numCache>
                <c:formatCode>0.0000</c:formatCode>
                <c:ptCount val="13"/>
                <c:pt idx="0">
                  <c:v>5.4499999999999993E-2</c:v>
                </c:pt>
                <c:pt idx="1">
                  <c:v>0.18140000000000001</c:v>
                </c:pt>
                <c:pt idx="2">
                  <c:v>0.27659999999999996</c:v>
                </c:pt>
                <c:pt idx="3">
                  <c:v>0.31010000000000004</c:v>
                </c:pt>
                <c:pt idx="4">
                  <c:v>0.26629999999999998</c:v>
                </c:pt>
                <c:pt idx="5">
                  <c:v>0.15590000000000004</c:v>
                </c:pt>
                <c:pt idx="6">
                  <c:v>-4.8899999999999999E-2</c:v>
                </c:pt>
                <c:pt idx="7">
                  <c:v>-0.18959999999999999</c:v>
                </c:pt>
                <c:pt idx="8">
                  <c:v>-0.28909999999999997</c:v>
                </c:pt>
                <c:pt idx="9">
                  <c:v>-0.32939999999999997</c:v>
                </c:pt>
                <c:pt idx="10">
                  <c:v>-0.2893</c:v>
                </c:pt>
                <c:pt idx="11">
                  <c:v>-0.21839999999999998</c:v>
                </c:pt>
                <c:pt idx="12">
                  <c:v>5.4499999999999993E-2</c:v>
                </c:pt>
              </c:numCache>
            </c:numRef>
          </c:yVal>
          <c:smooth val="0"/>
          <c:extLst>
            <c:ext xmlns:c16="http://schemas.microsoft.com/office/drawing/2014/chart" uri="{C3380CC4-5D6E-409C-BE32-E72D297353CC}">
              <c16:uniqueId val="{00000000-15AD-4DE4-9F3A-D17BC63F9F14}"/>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22:00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P45_22h00!$B$7:$B$19</c:f>
              <c:numCache>
                <c:formatCode>0.0000</c:formatCode>
                <c:ptCount val="13"/>
                <c:pt idx="0">
                  <c:v>1.2931999999999999</c:v>
                </c:pt>
                <c:pt idx="1">
                  <c:v>1.2625999999999999</c:v>
                </c:pt>
                <c:pt idx="2">
                  <c:v>1.1619999999999999</c:v>
                </c:pt>
                <c:pt idx="3">
                  <c:v>1.0381</c:v>
                </c:pt>
                <c:pt idx="4">
                  <c:v>0.88500000000000001</c:v>
                </c:pt>
                <c:pt idx="5">
                  <c:v>0.7823</c:v>
                </c:pt>
                <c:pt idx="6">
                  <c:v>0.75009999999999999</c:v>
                </c:pt>
                <c:pt idx="7">
                  <c:v>0.78339999999999999</c:v>
                </c:pt>
                <c:pt idx="8">
                  <c:v>0.87570000000000003</c:v>
                </c:pt>
                <c:pt idx="9">
                  <c:v>1.0226999999999999</c:v>
                </c:pt>
                <c:pt idx="10">
                  <c:v>1.1838</c:v>
                </c:pt>
                <c:pt idx="11">
                  <c:v>1.2716000000000001</c:v>
                </c:pt>
                <c:pt idx="12">
                  <c:v>1.2931999999999999</c:v>
                </c:pt>
              </c:numCache>
            </c:numRef>
          </c:xVal>
          <c:yVal>
            <c:numRef>
              <c:f>P45_22h00!$C$7:$C$19</c:f>
              <c:numCache>
                <c:formatCode>0.0000</c:formatCode>
                <c:ptCount val="13"/>
                <c:pt idx="0">
                  <c:v>0.24970000000000001</c:v>
                </c:pt>
                <c:pt idx="1">
                  <c:v>0.4</c:v>
                </c:pt>
                <c:pt idx="2">
                  <c:v>0.50009999999999999</c:v>
                </c:pt>
                <c:pt idx="3">
                  <c:v>0.53459999999999996</c:v>
                </c:pt>
                <c:pt idx="4">
                  <c:v>0.4929</c:v>
                </c:pt>
                <c:pt idx="5">
                  <c:v>0.39250000000000002</c:v>
                </c:pt>
                <c:pt idx="6">
                  <c:v>0.1396</c:v>
                </c:pt>
                <c:pt idx="7">
                  <c:v>2.3599999999999999E-2</c:v>
                </c:pt>
                <c:pt idx="8">
                  <c:v>-6.8099999999999994E-2</c:v>
                </c:pt>
                <c:pt idx="9">
                  <c:v>-0.106</c:v>
                </c:pt>
                <c:pt idx="10">
                  <c:v>-6.4199999999999993E-2</c:v>
                </c:pt>
                <c:pt idx="11">
                  <c:v>2.0299999999999999E-2</c:v>
                </c:pt>
                <c:pt idx="12">
                  <c:v>0.24970000000000001</c:v>
                </c:pt>
              </c:numCache>
            </c:numRef>
          </c:yVal>
          <c:smooth val="0"/>
          <c:extLst>
            <c:ext xmlns:c16="http://schemas.microsoft.com/office/drawing/2014/chart" uri="{C3380CC4-5D6E-409C-BE32-E72D297353CC}">
              <c16:uniqueId val="{00000000-0858-4463-A3B4-B6E16FA389FA}"/>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P45_22h00!$B$4</c:f>
              <c:numCache>
                <c:formatCode>0.0000</c:formatCode>
                <c:ptCount val="1"/>
                <c:pt idx="0">
                  <c:v>1.1524000000000001</c:v>
                </c:pt>
              </c:numCache>
            </c:numRef>
          </c:xVal>
          <c:yVal>
            <c:numRef>
              <c:f>P45_22h00!$D$4</c:f>
              <c:numCache>
                <c:formatCode>0.0000</c:formatCode>
                <c:ptCount val="1"/>
                <c:pt idx="0">
                  <c:v>0.2399</c:v>
                </c:pt>
              </c:numCache>
            </c:numRef>
          </c:yVal>
          <c:smooth val="1"/>
          <c:extLst>
            <c:ext xmlns:c16="http://schemas.microsoft.com/office/drawing/2014/chart" uri="{C3380CC4-5D6E-409C-BE32-E72D297353CC}">
              <c16:uniqueId val="{00000001-0858-4463-A3B4-B6E16FA389FA}"/>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P45_22h00!$D$7:$D$19</c:f>
              <c:numCache>
                <c:formatCode>0.0000</c:formatCode>
                <c:ptCount val="13"/>
                <c:pt idx="0">
                  <c:v>0.14079999999999981</c:v>
                </c:pt>
                <c:pt idx="1">
                  <c:v>0.11019999999999985</c:v>
                </c:pt>
                <c:pt idx="2">
                  <c:v>9.5999999999998309E-3</c:v>
                </c:pt>
                <c:pt idx="3">
                  <c:v>-0.11430000000000007</c:v>
                </c:pt>
                <c:pt idx="4">
                  <c:v>-0.26740000000000008</c:v>
                </c:pt>
                <c:pt idx="5">
                  <c:v>-0.3701000000000001</c:v>
                </c:pt>
                <c:pt idx="6">
                  <c:v>-0.4023000000000001</c:v>
                </c:pt>
                <c:pt idx="7">
                  <c:v>-0.36900000000000011</c:v>
                </c:pt>
                <c:pt idx="8">
                  <c:v>-0.27670000000000006</c:v>
                </c:pt>
                <c:pt idx="9">
                  <c:v>-0.12970000000000015</c:v>
                </c:pt>
                <c:pt idx="10">
                  <c:v>3.1399999999999872E-2</c:v>
                </c:pt>
                <c:pt idx="11">
                  <c:v>0.11919999999999997</c:v>
                </c:pt>
                <c:pt idx="12">
                  <c:v>0.14079999999999981</c:v>
                </c:pt>
              </c:numCache>
            </c:numRef>
          </c:xVal>
          <c:yVal>
            <c:numRef>
              <c:f>P45_22h00!$E$7:$E$19</c:f>
              <c:numCache>
                <c:formatCode>0.0000</c:formatCode>
                <c:ptCount val="13"/>
                <c:pt idx="0">
                  <c:v>9.8000000000000032E-3</c:v>
                </c:pt>
                <c:pt idx="1">
                  <c:v>0.16010000000000002</c:v>
                </c:pt>
                <c:pt idx="2">
                  <c:v>0.26019999999999999</c:v>
                </c:pt>
                <c:pt idx="3">
                  <c:v>0.29469999999999996</c:v>
                </c:pt>
                <c:pt idx="4">
                  <c:v>0.253</c:v>
                </c:pt>
                <c:pt idx="5">
                  <c:v>0.15260000000000001</c:v>
                </c:pt>
                <c:pt idx="6">
                  <c:v>-0.1003</c:v>
                </c:pt>
                <c:pt idx="7">
                  <c:v>-0.21629999999999999</c:v>
                </c:pt>
                <c:pt idx="8">
                  <c:v>-0.308</c:v>
                </c:pt>
                <c:pt idx="9">
                  <c:v>-0.34589999999999999</c:v>
                </c:pt>
                <c:pt idx="10">
                  <c:v>-0.30409999999999998</c:v>
                </c:pt>
                <c:pt idx="11">
                  <c:v>-0.21960000000000002</c:v>
                </c:pt>
                <c:pt idx="12">
                  <c:v>9.8000000000000032E-3</c:v>
                </c:pt>
              </c:numCache>
            </c:numRef>
          </c:yVal>
          <c:smooth val="0"/>
          <c:extLst>
            <c:ext xmlns:c16="http://schemas.microsoft.com/office/drawing/2014/chart" uri="{C3380CC4-5D6E-409C-BE32-E72D297353CC}">
              <c16:uniqueId val="{00000000-AC4E-486A-8A8E-BA70C6B74D2A}"/>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22:30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P46_22h30!$B$7:$B$19</c:f>
              <c:numCache>
                <c:formatCode>0.0000</c:formatCode>
                <c:ptCount val="13"/>
                <c:pt idx="0">
                  <c:v>1.1257999999999999</c:v>
                </c:pt>
                <c:pt idx="1">
                  <c:v>1.0941000000000001</c:v>
                </c:pt>
                <c:pt idx="2">
                  <c:v>0.98780000000000001</c:v>
                </c:pt>
                <c:pt idx="3">
                  <c:v>0.85750000000000004</c:v>
                </c:pt>
                <c:pt idx="4">
                  <c:v>0.70750000000000002</c:v>
                </c:pt>
                <c:pt idx="5">
                  <c:v>0.6169</c:v>
                </c:pt>
                <c:pt idx="6">
                  <c:v>0.58809999999999996</c:v>
                </c:pt>
                <c:pt idx="7">
                  <c:v>0.62009999999999998</c:v>
                </c:pt>
                <c:pt idx="8">
                  <c:v>0.70369999999999999</c:v>
                </c:pt>
                <c:pt idx="9">
                  <c:v>0.84230000000000005</c:v>
                </c:pt>
                <c:pt idx="10">
                  <c:v>1.0042</c:v>
                </c:pt>
                <c:pt idx="11">
                  <c:v>1.0995999999999999</c:v>
                </c:pt>
                <c:pt idx="12">
                  <c:v>1.1257999999999999</c:v>
                </c:pt>
              </c:numCache>
            </c:numRef>
          </c:xVal>
          <c:yVal>
            <c:numRef>
              <c:f>P46_22h30!$C$7:$C$19</c:f>
              <c:numCache>
                <c:formatCode>0.0000</c:formatCode>
                <c:ptCount val="13"/>
                <c:pt idx="0">
                  <c:v>0.20280000000000001</c:v>
                </c:pt>
                <c:pt idx="1">
                  <c:v>0.35659999999999997</c:v>
                </c:pt>
                <c:pt idx="2">
                  <c:v>0.46250000000000002</c:v>
                </c:pt>
                <c:pt idx="3">
                  <c:v>0.49690000000000001</c:v>
                </c:pt>
                <c:pt idx="4">
                  <c:v>0.45750000000000002</c:v>
                </c:pt>
                <c:pt idx="5">
                  <c:v>0.36899999999999999</c:v>
                </c:pt>
                <c:pt idx="6">
                  <c:v>0.1046</c:v>
                </c:pt>
                <c:pt idx="7">
                  <c:v>-2.7199999999999998E-2</c:v>
                </c:pt>
                <c:pt idx="8">
                  <c:v>-0.1099</c:v>
                </c:pt>
                <c:pt idx="9">
                  <c:v>-0.1452</c:v>
                </c:pt>
                <c:pt idx="10">
                  <c:v>-0.1027</c:v>
                </c:pt>
                <c:pt idx="11">
                  <c:v>-9.4999999999999998E-3</c:v>
                </c:pt>
                <c:pt idx="12">
                  <c:v>0.20280000000000001</c:v>
                </c:pt>
              </c:numCache>
            </c:numRef>
          </c:yVal>
          <c:smooth val="0"/>
          <c:extLst>
            <c:ext xmlns:c16="http://schemas.microsoft.com/office/drawing/2014/chart" uri="{C3380CC4-5D6E-409C-BE32-E72D297353CC}">
              <c16:uniqueId val="{00000000-3F0D-4FD7-BA7E-D3C0D36FB538}"/>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P46_22h30!$B$4</c:f>
              <c:numCache>
                <c:formatCode>0.0000</c:formatCode>
                <c:ptCount val="1"/>
                <c:pt idx="0">
                  <c:v>1.0326</c:v>
                </c:pt>
              </c:numCache>
            </c:numRef>
          </c:xVal>
          <c:yVal>
            <c:numRef>
              <c:f>P46_22h30!$D$4</c:f>
              <c:numCache>
                <c:formatCode>0.0000</c:formatCode>
                <c:ptCount val="1"/>
                <c:pt idx="0">
                  <c:v>0.21429999999999999</c:v>
                </c:pt>
              </c:numCache>
            </c:numRef>
          </c:yVal>
          <c:smooth val="1"/>
          <c:extLst>
            <c:ext xmlns:c16="http://schemas.microsoft.com/office/drawing/2014/chart" uri="{C3380CC4-5D6E-409C-BE32-E72D297353CC}">
              <c16:uniqueId val="{00000001-3F0D-4FD7-BA7E-D3C0D36FB538}"/>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P46_22h30!$D$7:$D$19</c:f>
              <c:numCache>
                <c:formatCode>0.0000</c:formatCode>
                <c:ptCount val="13"/>
                <c:pt idx="0">
                  <c:v>9.319999999999995E-2</c:v>
                </c:pt>
                <c:pt idx="1">
                  <c:v>6.150000000000011E-2</c:v>
                </c:pt>
                <c:pt idx="2">
                  <c:v>-4.4799999999999951E-2</c:v>
                </c:pt>
                <c:pt idx="3">
                  <c:v>-0.17509999999999992</c:v>
                </c:pt>
                <c:pt idx="4">
                  <c:v>-0.32509999999999994</c:v>
                </c:pt>
                <c:pt idx="5">
                  <c:v>-0.41569999999999996</c:v>
                </c:pt>
                <c:pt idx="6">
                  <c:v>-0.44450000000000001</c:v>
                </c:pt>
                <c:pt idx="7">
                  <c:v>-0.41249999999999998</c:v>
                </c:pt>
                <c:pt idx="8">
                  <c:v>-0.32889999999999997</c:v>
                </c:pt>
                <c:pt idx="9">
                  <c:v>-0.19029999999999991</c:v>
                </c:pt>
                <c:pt idx="10">
                  <c:v>-2.8399999999999981E-2</c:v>
                </c:pt>
                <c:pt idx="11">
                  <c:v>6.6999999999999948E-2</c:v>
                </c:pt>
                <c:pt idx="12">
                  <c:v>9.319999999999995E-2</c:v>
                </c:pt>
              </c:numCache>
            </c:numRef>
          </c:xVal>
          <c:yVal>
            <c:numRef>
              <c:f>P46_22h30!$E$7:$E$19</c:f>
              <c:numCache>
                <c:formatCode>0.0000</c:formatCode>
                <c:ptCount val="13"/>
                <c:pt idx="0">
                  <c:v>-1.1499999999999982E-2</c:v>
                </c:pt>
                <c:pt idx="1">
                  <c:v>0.14229999999999998</c:v>
                </c:pt>
                <c:pt idx="2">
                  <c:v>0.24820000000000003</c:v>
                </c:pt>
                <c:pt idx="3">
                  <c:v>0.28260000000000002</c:v>
                </c:pt>
                <c:pt idx="4">
                  <c:v>0.24320000000000003</c:v>
                </c:pt>
                <c:pt idx="5">
                  <c:v>0.1547</c:v>
                </c:pt>
                <c:pt idx="6">
                  <c:v>-0.10969999999999999</c:v>
                </c:pt>
                <c:pt idx="7">
                  <c:v>-0.24149999999999999</c:v>
                </c:pt>
                <c:pt idx="8">
                  <c:v>-0.32419999999999999</c:v>
                </c:pt>
                <c:pt idx="9">
                  <c:v>-0.35949999999999999</c:v>
                </c:pt>
                <c:pt idx="10">
                  <c:v>-0.317</c:v>
                </c:pt>
                <c:pt idx="11">
                  <c:v>-0.2238</c:v>
                </c:pt>
                <c:pt idx="12">
                  <c:v>-1.1499999999999982E-2</c:v>
                </c:pt>
              </c:numCache>
            </c:numRef>
          </c:yVal>
          <c:smooth val="0"/>
          <c:extLst>
            <c:ext xmlns:c16="http://schemas.microsoft.com/office/drawing/2014/chart" uri="{C3380CC4-5D6E-409C-BE32-E72D297353CC}">
              <c16:uniqueId val="{00000000-09FF-4B22-9EA8-7FF179524B00}"/>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23:00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P47_23h00!$B$7:$B$19</c:f>
              <c:numCache>
                <c:formatCode>0.0000</c:formatCode>
                <c:ptCount val="13"/>
                <c:pt idx="0">
                  <c:v>0.93540000000000001</c:v>
                </c:pt>
                <c:pt idx="1">
                  <c:v>0.9002</c:v>
                </c:pt>
                <c:pt idx="2">
                  <c:v>0.79530000000000001</c:v>
                </c:pt>
                <c:pt idx="3">
                  <c:v>0.65510000000000002</c:v>
                </c:pt>
                <c:pt idx="4">
                  <c:v>0.51259999999999994</c:v>
                </c:pt>
                <c:pt idx="5">
                  <c:v>0.42799999999999999</c:v>
                </c:pt>
                <c:pt idx="6">
                  <c:v>0.40200000000000002</c:v>
                </c:pt>
                <c:pt idx="7">
                  <c:v>0.4304</c:v>
                </c:pt>
                <c:pt idx="8">
                  <c:v>0.51300000000000001</c:v>
                </c:pt>
                <c:pt idx="9">
                  <c:v>0.64259999999999995</c:v>
                </c:pt>
                <c:pt idx="10">
                  <c:v>0.80510000000000004</c:v>
                </c:pt>
                <c:pt idx="11">
                  <c:v>0.90620000000000001</c:v>
                </c:pt>
                <c:pt idx="12">
                  <c:v>0.93540000000000001</c:v>
                </c:pt>
              </c:numCache>
            </c:numRef>
          </c:xVal>
          <c:yVal>
            <c:numRef>
              <c:f>P47_23h00!$C$7:$C$19</c:f>
              <c:numCache>
                <c:formatCode>0.0000</c:formatCode>
                <c:ptCount val="13"/>
                <c:pt idx="0">
                  <c:v>0.13700000000000001</c:v>
                </c:pt>
                <c:pt idx="1">
                  <c:v>0.31669999999999998</c:v>
                </c:pt>
                <c:pt idx="2">
                  <c:v>0.41980000000000001</c:v>
                </c:pt>
                <c:pt idx="3">
                  <c:v>0.4551</c:v>
                </c:pt>
                <c:pt idx="4">
                  <c:v>0.41810000000000003</c:v>
                </c:pt>
                <c:pt idx="5">
                  <c:v>0.33489999999999998</c:v>
                </c:pt>
                <c:pt idx="6">
                  <c:v>7.4499999999999997E-2</c:v>
                </c:pt>
                <c:pt idx="7">
                  <c:v>-7.4499999999999997E-2</c:v>
                </c:pt>
                <c:pt idx="8">
                  <c:v>-0.15540000000000001</c:v>
                </c:pt>
                <c:pt idx="9">
                  <c:v>-0.18779999999999999</c:v>
                </c:pt>
                <c:pt idx="10">
                  <c:v>-0.1449</c:v>
                </c:pt>
                <c:pt idx="11">
                  <c:v>-4.5100000000000001E-2</c:v>
                </c:pt>
                <c:pt idx="12">
                  <c:v>0.13700000000000001</c:v>
                </c:pt>
              </c:numCache>
            </c:numRef>
          </c:yVal>
          <c:smooth val="0"/>
          <c:extLst>
            <c:ext xmlns:c16="http://schemas.microsoft.com/office/drawing/2014/chart" uri="{C3380CC4-5D6E-409C-BE32-E72D297353CC}">
              <c16:uniqueId val="{00000000-37C3-4111-BB58-B2D2B783ECBB}"/>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P47_23h00!$B$4</c:f>
              <c:numCache>
                <c:formatCode>0.0000</c:formatCode>
                <c:ptCount val="1"/>
                <c:pt idx="0">
                  <c:v>0.85</c:v>
                </c:pt>
              </c:numCache>
            </c:numRef>
          </c:xVal>
          <c:yVal>
            <c:numRef>
              <c:f>P47_23h00!$D$4</c:f>
              <c:numCache>
                <c:formatCode>0.0000</c:formatCode>
                <c:ptCount val="1"/>
                <c:pt idx="0">
                  <c:v>0.1759</c:v>
                </c:pt>
              </c:numCache>
            </c:numRef>
          </c:yVal>
          <c:smooth val="1"/>
          <c:extLst>
            <c:ext xmlns:c16="http://schemas.microsoft.com/office/drawing/2014/chart" uri="{C3380CC4-5D6E-409C-BE32-E72D297353CC}">
              <c16:uniqueId val="{00000001-37C3-4111-BB58-B2D2B783ECBB}"/>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P47_23h00!$D$7:$D$19</c:f>
              <c:numCache>
                <c:formatCode>0.0000</c:formatCode>
                <c:ptCount val="13"/>
                <c:pt idx="0">
                  <c:v>8.5400000000000031E-2</c:v>
                </c:pt>
                <c:pt idx="1">
                  <c:v>5.0200000000000022E-2</c:v>
                </c:pt>
                <c:pt idx="2">
                  <c:v>-5.4699999999999971E-2</c:v>
                </c:pt>
                <c:pt idx="3">
                  <c:v>-0.19489999999999996</c:v>
                </c:pt>
                <c:pt idx="4">
                  <c:v>-0.33740000000000003</c:v>
                </c:pt>
                <c:pt idx="5">
                  <c:v>-0.42199999999999999</c:v>
                </c:pt>
                <c:pt idx="6">
                  <c:v>-0.44799999999999995</c:v>
                </c:pt>
                <c:pt idx="7">
                  <c:v>-0.41959999999999997</c:v>
                </c:pt>
                <c:pt idx="8">
                  <c:v>-0.33699999999999997</c:v>
                </c:pt>
                <c:pt idx="9">
                  <c:v>-0.20740000000000003</c:v>
                </c:pt>
                <c:pt idx="10">
                  <c:v>-4.489999999999994E-2</c:v>
                </c:pt>
                <c:pt idx="11">
                  <c:v>5.6200000000000028E-2</c:v>
                </c:pt>
                <c:pt idx="12">
                  <c:v>8.5400000000000031E-2</c:v>
                </c:pt>
              </c:numCache>
            </c:numRef>
          </c:xVal>
          <c:yVal>
            <c:numRef>
              <c:f>P47_23h00!$E$7:$E$19</c:f>
              <c:numCache>
                <c:formatCode>0.0000</c:formatCode>
                <c:ptCount val="13"/>
                <c:pt idx="0">
                  <c:v>-3.889999999999999E-2</c:v>
                </c:pt>
                <c:pt idx="1">
                  <c:v>0.14079999999999998</c:v>
                </c:pt>
                <c:pt idx="2">
                  <c:v>0.24390000000000001</c:v>
                </c:pt>
                <c:pt idx="3">
                  <c:v>0.2792</c:v>
                </c:pt>
                <c:pt idx="4">
                  <c:v>0.24220000000000003</c:v>
                </c:pt>
                <c:pt idx="5">
                  <c:v>0.15899999999999997</c:v>
                </c:pt>
                <c:pt idx="6">
                  <c:v>-0.1014</c:v>
                </c:pt>
                <c:pt idx="7">
                  <c:v>-0.25040000000000001</c:v>
                </c:pt>
                <c:pt idx="8">
                  <c:v>-0.33130000000000004</c:v>
                </c:pt>
                <c:pt idx="9">
                  <c:v>-0.36370000000000002</c:v>
                </c:pt>
                <c:pt idx="10">
                  <c:v>-0.32079999999999997</c:v>
                </c:pt>
                <c:pt idx="11">
                  <c:v>-0.221</c:v>
                </c:pt>
                <c:pt idx="12">
                  <c:v>-3.889999999999999E-2</c:v>
                </c:pt>
              </c:numCache>
            </c:numRef>
          </c:yVal>
          <c:smooth val="0"/>
          <c:extLst>
            <c:ext xmlns:c16="http://schemas.microsoft.com/office/drawing/2014/chart" uri="{C3380CC4-5D6E-409C-BE32-E72D297353CC}">
              <c16:uniqueId val="{00000000-85E2-4B32-83A3-ED0091E7A89E}"/>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Absolute FOR — 23:30</a:t>
            </a:r>
          </a:p>
        </c:rich>
      </c:tx>
      <c:overlay val="0"/>
    </c:title>
    <c:autoTitleDeleted val="0"/>
    <c:plotArea>
      <c:layout/>
      <c:scatterChart>
        <c:scatterStyle val="lineMarker"/>
        <c:varyColors val="0"/>
        <c:ser>
          <c:idx val="0"/>
          <c:order val="0"/>
          <c:tx>
            <c:v>FOR boundary (12 directions)</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P48_23h30!$B$7:$B$19</c:f>
              <c:numCache>
                <c:formatCode>0.0000</c:formatCode>
                <c:ptCount val="13"/>
                <c:pt idx="0">
                  <c:v>0.83899999999999997</c:v>
                </c:pt>
                <c:pt idx="1">
                  <c:v>0.80349999999999999</c:v>
                </c:pt>
                <c:pt idx="2">
                  <c:v>0.69779999999999998</c:v>
                </c:pt>
                <c:pt idx="3">
                  <c:v>0.5504</c:v>
                </c:pt>
                <c:pt idx="4">
                  <c:v>0.41499999999999998</c:v>
                </c:pt>
                <c:pt idx="5">
                  <c:v>0.33589999999999998</c:v>
                </c:pt>
                <c:pt idx="6">
                  <c:v>0.3145</c:v>
                </c:pt>
                <c:pt idx="7">
                  <c:v>0.34210000000000002</c:v>
                </c:pt>
                <c:pt idx="8">
                  <c:v>0.42049999999999998</c:v>
                </c:pt>
                <c:pt idx="9">
                  <c:v>0.54049999999999998</c:v>
                </c:pt>
                <c:pt idx="10">
                  <c:v>0.70350000000000001</c:v>
                </c:pt>
                <c:pt idx="11">
                  <c:v>0.80679999999999996</c:v>
                </c:pt>
                <c:pt idx="12">
                  <c:v>0.83899999999999997</c:v>
                </c:pt>
              </c:numCache>
            </c:numRef>
          </c:xVal>
          <c:yVal>
            <c:numRef>
              <c:f>P48_23h30!$C$7:$C$19</c:f>
              <c:numCache>
                <c:formatCode>0.0000</c:formatCode>
                <c:ptCount val="13"/>
                <c:pt idx="0">
                  <c:v>0.14449999999999999</c:v>
                </c:pt>
                <c:pt idx="1">
                  <c:v>0.29199999999999998</c:v>
                </c:pt>
                <c:pt idx="2">
                  <c:v>0.39660000000000001</c:v>
                </c:pt>
                <c:pt idx="3">
                  <c:v>0.43390000000000001</c:v>
                </c:pt>
                <c:pt idx="4">
                  <c:v>0.39889999999999998</c:v>
                </c:pt>
                <c:pt idx="5">
                  <c:v>0.32200000000000001</c:v>
                </c:pt>
                <c:pt idx="6">
                  <c:v>1.8599999999999998E-2</c:v>
                </c:pt>
                <c:pt idx="7">
                  <c:v>-0.104</c:v>
                </c:pt>
                <c:pt idx="8">
                  <c:v>-0.17979999999999999</c:v>
                </c:pt>
                <c:pt idx="9">
                  <c:v>-0.2099</c:v>
                </c:pt>
                <c:pt idx="10">
                  <c:v>-0.1666</c:v>
                </c:pt>
                <c:pt idx="11">
                  <c:v>-6.4199999999999993E-2</c:v>
                </c:pt>
                <c:pt idx="12">
                  <c:v>0.14449999999999999</c:v>
                </c:pt>
              </c:numCache>
            </c:numRef>
          </c:yVal>
          <c:smooth val="0"/>
          <c:extLst>
            <c:ext xmlns:c16="http://schemas.microsoft.com/office/drawing/2014/chart" uri="{C3380CC4-5D6E-409C-BE32-E72D297353CC}">
              <c16:uniqueId val="{00000000-B478-4B58-A1A0-8F001D593703}"/>
            </c:ext>
          </c:extLst>
        </c:ser>
        <c:ser>
          <c:idx val="1"/>
          <c:order val="1"/>
          <c:tx>
            <c:v>Baseline B (batteries off)</c:v>
          </c:tx>
          <c:spPr>
            <a:ln>
              <a:noFill/>
              <a:prstDash val="solid"/>
            </a:ln>
          </c:spPr>
          <c:marker>
            <c:symbol val="diamond"/>
            <c:size val="9"/>
            <c:spPr>
              <a:solidFill>
                <a:srgbClr val="C55A11"/>
              </a:solidFill>
              <a:ln w="9525">
                <a:solidFill>
                  <a:srgbClr val="C55A11"/>
                </a:solidFill>
                <a:prstDash val="solid"/>
              </a:ln>
            </c:spPr>
          </c:marker>
          <c:xVal>
            <c:numRef>
              <c:f>P48_23h30!$B$4</c:f>
              <c:numCache>
                <c:formatCode>0.0000</c:formatCode>
                <c:ptCount val="1"/>
                <c:pt idx="0">
                  <c:v>0.64880000000000004</c:v>
                </c:pt>
              </c:numCache>
            </c:numRef>
          </c:xVal>
          <c:yVal>
            <c:numRef>
              <c:f>P48_23h30!$D$4</c:f>
              <c:numCache>
                <c:formatCode>0.0000</c:formatCode>
                <c:ptCount val="1"/>
                <c:pt idx="0">
                  <c:v>0.13370000000000001</c:v>
                </c:pt>
              </c:numCache>
            </c:numRef>
          </c:yVal>
          <c:smooth val="1"/>
          <c:extLst>
            <c:ext xmlns:c16="http://schemas.microsoft.com/office/drawing/2014/chart" uri="{C3380CC4-5D6E-409C-BE32-E72D297353CC}">
              <c16:uniqueId val="{00000001-B478-4B58-A1A0-8F001D593703}"/>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n-US"/>
                  <a:t>P at PCC  [MW]   (+import / −export)</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n-US"/>
                  <a:t>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legend>
      <c:legendPos val="b"/>
      <c:overlay val="0"/>
    </c:legend>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Deviation FOR  (battery flexibility, centred on B)</a:t>
            </a:r>
          </a:p>
        </c:rich>
      </c:tx>
      <c:overlay val="0"/>
    </c:title>
    <c:autoTitleDeleted val="0"/>
    <c:plotArea>
      <c:layout/>
      <c:scatterChart>
        <c:scatterStyle val="lineMarker"/>
        <c:varyColors val="0"/>
        <c:ser>
          <c:idx val="0"/>
          <c:order val="0"/>
          <c:tx>
            <c:v>Battery flexibility boundary</c:v>
          </c:tx>
          <c:spPr>
            <a:ln w="22000">
              <a:solidFill>
                <a:srgbClr val="1F3864"/>
              </a:solidFill>
              <a:prstDash val="solid"/>
            </a:ln>
          </c:spPr>
          <c:marker>
            <c:symbol val="circle"/>
            <c:size val="6"/>
            <c:spPr>
              <a:solidFill>
                <a:srgbClr val="1F3864"/>
              </a:solidFill>
              <a:ln w="9525">
                <a:solidFill>
                  <a:srgbClr val="1F3864"/>
                </a:solidFill>
                <a:prstDash val="solid"/>
              </a:ln>
            </c:spPr>
          </c:marker>
          <c:xVal>
            <c:numRef>
              <c:f>P48_23h30!$D$7:$D$19</c:f>
              <c:numCache>
                <c:formatCode>0.0000</c:formatCode>
                <c:ptCount val="13"/>
                <c:pt idx="0">
                  <c:v>0.19019999999999992</c:v>
                </c:pt>
                <c:pt idx="1">
                  <c:v>0.15469999999999995</c:v>
                </c:pt>
                <c:pt idx="2">
                  <c:v>4.8999999999999932E-2</c:v>
                </c:pt>
                <c:pt idx="3">
                  <c:v>-9.8400000000000043E-2</c:v>
                </c:pt>
                <c:pt idx="4">
                  <c:v>-0.23380000000000006</c:v>
                </c:pt>
                <c:pt idx="5">
                  <c:v>-0.31290000000000007</c:v>
                </c:pt>
                <c:pt idx="6">
                  <c:v>-0.33430000000000004</c:v>
                </c:pt>
                <c:pt idx="7">
                  <c:v>-0.30670000000000003</c:v>
                </c:pt>
                <c:pt idx="8">
                  <c:v>-0.22830000000000006</c:v>
                </c:pt>
                <c:pt idx="9">
                  <c:v>-0.10830000000000006</c:v>
                </c:pt>
                <c:pt idx="10">
                  <c:v>5.4699999999999971E-2</c:v>
                </c:pt>
                <c:pt idx="11">
                  <c:v>0.15799999999999992</c:v>
                </c:pt>
                <c:pt idx="12">
                  <c:v>0.19019999999999992</c:v>
                </c:pt>
              </c:numCache>
            </c:numRef>
          </c:xVal>
          <c:yVal>
            <c:numRef>
              <c:f>P48_23h30!$E$7:$E$19</c:f>
              <c:numCache>
                <c:formatCode>0.0000</c:formatCode>
                <c:ptCount val="13"/>
                <c:pt idx="0">
                  <c:v>1.0799999999999976E-2</c:v>
                </c:pt>
                <c:pt idx="1">
                  <c:v>0.15829999999999997</c:v>
                </c:pt>
                <c:pt idx="2">
                  <c:v>0.26290000000000002</c:v>
                </c:pt>
                <c:pt idx="3">
                  <c:v>0.30020000000000002</c:v>
                </c:pt>
                <c:pt idx="4">
                  <c:v>0.26519999999999999</c:v>
                </c:pt>
                <c:pt idx="5">
                  <c:v>0.1883</c:v>
                </c:pt>
                <c:pt idx="6">
                  <c:v>-0.11510000000000001</c:v>
                </c:pt>
                <c:pt idx="7">
                  <c:v>-0.23770000000000002</c:v>
                </c:pt>
                <c:pt idx="8">
                  <c:v>-0.3135</c:v>
                </c:pt>
                <c:pt idx="9">
                  <c:v>-0.34360000000000002</c:v>
                </c:pt>
                <c:pt idx="10">
                  <c:v>-0.30030000000000001</c:v>
                </c:pt>
                <c:pt idx="11">
                  <c:v>-0.19790000000000002</c:v>
                </c:pt>
                <c:pt idx="12">
                  <c:v>1.0799999999999976E-2</c:v>
                </c:pt>
              </c:numCache>
            </c:numRef>
          </c:yVal>
          <c:smooth val="0"/>
          <c:extLst>
            <c:ext xmlns:c16="http://schemas.microsoft.com/office/drawing/2014/chart" uri="{C3380CC4-5D6E-409C-BE32-E72D297353CC}">
              <c16:uniqueId val="{00000000-4196-4E95-B1CF-1B16529DA3DF}"/>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a:solidFill>
                <a:srgbClr val="E6E6E6"/>
              </a:solidFill>
              <a:prstDash val="solid"/>
            </a:ln>
          </c:spPr>
        </c:majorGridlines>
        <c:title>
          <c:tx>
            <c:rich>
              <a:bodyPr/>
              <a:lstStyle/>
              <a:p>
                <a:pPr>
                  <a:defRPr/>
                </a:pPr>
                <a:r>
                  <a:rPr lang="el-GR"/>
                  <a:t>Δ</a:t>
                </a:r>
                <a:r>
                  <a:rPr lang="en-US"/>
                  <a:t>P = P − B_P  [MW]   (+charge / −discharge)</a:t>
                </a:r>
              </a:p>
            </c:rich>
          </c:tx>
          <c:overlay val="0"/>
        </c:title>
        <c:numFmt formatCode="0.00" sourceLinked="0"/>
        <c:majorTickMark val="out"/>
        <c:minorTickMark val="none"/>
        <c:tickLblPos val="nextTo"/>
        <c:spPr>
          <a:ln w="9525">
            <a:solidFill>
              <a:srgbClr val="BFBFBF"/>
            </a:solidFill>
            <a:prstDash val="solid"/>
          </a:ln>
        </c:spPr>
        <c:crossAx val="20"/>
        <c:crosses val="min"/>
        <c:crossBetween val="midCat"/>
      </c:valAx>
      <c:valAx>
        <c:axId val="20"/>
        <c:scaling>
          <c:orientation val="minMax"/>
        </c:scaling>
        <c:delete val="0"/>
        <c:axPos val="l"/>
        <c:majorGridlines>
          <c:spPr>
            <a:ln w="9525">
              <a:solidFill>
                <a:srgbClr val="E6E6E6"/>
              </a:solidFill>
              <a:prstDash val="solid"/>
            </a:ln>
          </c:spPr>
        </c:majorGridlines>
        <c:title>
          <c:tx>
            <c:rich>
              <a:bodyPr/>
              <a:lstStyle/>
              <a:p>
                <a:pPr>
                  <a:defRPr/>
                </a:pPr>
                <a:r>
                  <a:rPr lang="el-GR"/>
                  <a:t>Δ</a:t>
                </a:r>
                <a:r>
                  <a:rPr lang="en-US"/>
                  <a:t>Q = Q − B_Q  [MVAr]</a:t>
                </a:r>
              </a:p>
            </c:rich>
          </c:tx>
          <c:overlay val="0"/>
        </c:title>
        <c:numFmt formatCode="0.00" sourceLinked="0"/>
        <c:majorTickMark val="out"/>
        <c:minorTickMark val="none"/>
        <c:tickLblPos val="nextTo"/>
        <c:spPr>
          <a:ln w="9525">
            <a:solidFill>
              <a:srgbClr val="BFBFBF"/>
            </a:solidFill>
            <a:prstDash val="solid"/>
          </a:ln>
        </c:spPr>
        <c:crossAx val="10"/>
        <c:crosses val="min"/>
        <c:crossBetween val="midCat"/>
      </c:valAx>
    </c:plotArea>
    <c:plotVisOnly val="1"/>
    <c:dispBlanksAs val="gap"/>
    <c:showDLblsOverMax val="1"/>
  </c:chart>
  <c:spPr>
    <a:solidFill>
      <a:srgbClr val="FFFFFF"/>
    </a:solidFill>
    <a:ln w="9525">
      <a:solidFill>
        <a:srgbClr val="BFBFBF"/>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2" Type="http://schemas.openxmlformats.org/officeDocument/2006/relationships/chart" Target="../charts/chart50.xml"/><Relationship Id="rId1" Type="http://schemas.openxmlformats.org/officeDocument/2006/relationships/chart" Target="../charts/chart49.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52.xml"/><Relationship Id="rId1" Type="http://schemas.openxmlformats.org/officeDocument/2006/relationships/chart" Target="../charts/chart51.xml"/></Relationships>
</file>

<file path=xl/drawings/_rels/drawing27.xml.rels><?xml version="1.0" encoding="UTF-8" standalone="yes"?>
<Relationships xmlns="http://schemas.openxmlformats.org/package/2006/relationships"><Relationship Id="rId2" Type="http://schemas.openxmlformats.org/officeDocument/2006/relationships/chart" Target="../charts/chart54.xml"/><Relationship Id="rId1" Type="http://schemas.openxmlformats.org/officeDocument/2006/relationships/chart" Target="../charts/chart53.xml"/></Relationships>
</file>

<file path=xl/drawings/_rels/drawing28.xml.rels><?xml version="1.0" encoding="UTF-8" standalone="yes"?>
<Relationships xmlns="http://schemas.openxmlformats.org/package/2006/relationships"><Relationship Id="rId2" Type="http://schemas.openxmlformats.org/officeDocument/2006/relationships/chart" Target="../charts/chart56.xml"/><Relationship Id="rId1" Type="http://schemas.openxmlformats.org/officeDocument/2006/relationships/chart" Target="../charts/chart55.xml"/></Relationships>
</file>

<file path=xl/drawings/_rels/drawing29.xml.rels><?xml version="1.0" encoding="UTF-8" standalone="yes"?>
<Relationships xmlns="http://schemas.openxmlformats.org/package/2006/relationships"><Relationship Id="rId2" Type="http://schemas.openxmlformats.org/officeDocument/2006/relationships/chart" Target="../charts/chart58.xml"/><Relationship Id="rId1" Type="http://schemas.openxmlformats.org/officeDocument/2006/relationships/chart" Target="../charts/chart57.xml"/></Relationships>
</file>

<file path=xl/drawings/_rels/drawing30.xml.rels><?xml version="1.0" encoding="UTF-8" standalone="yes"?>
<Relationships xmlns="http://schemas.openxmlformats.org/package/2006/relationships"><Relationship Id="rId2" Type="http://schemas.openxmlformats.org/officeDocument/2006/relationships/chart" Target="../charts/chart60.xml"/><Relationship Id="rId1" Type="http://schemas.openxmlformats.org/officeDocument/2006/relationships/chart" Target="../charts/chart59.xml"/></Relationships>
</file>

<file path=xl/drawings/_rels/drawing31.xml.rels><?xml version="1.0" encoding="UTF-8" standalone="yes"?>
<Relationships xmlns="http://schemas.openxmlformats.org/package/2006/relationships"><Relationship Id="rId2" Type="http://schemas.openxmlformats.org/officeDocument/2006/relationships/chart" Target="../charts/chart62.xml"/><Relationship Id="rId1" Type="http://schemas.openxmlformats.org/officeDocument/2006/relationships/chart" Target="../charts/chart61.xml"/></Relationships>
</file>

<file path=xl/drawings/_rels/drawing32.xml.rels><?xml version="1.0" encoding="UTF-8" standalone="yes"?>
<Relationships xmlns="http://schemas.openxmlformats.org/package/2006/relationships"><Relationship Id="rId2" Type="http://schemas.openxmlformats.org/officeDocument/2006/relationships/chart" Target="../charts/chart64.xml"/><Relationship Id="rId1" Type="http://schemas.openxmlformats.org/officeDocument/2006/relationships/chart" Target="../charts/chart63.xml"/></Relationships>
</file>

<file path=xl/drawings/_rels/drawing33.xml.rels><?xml version="1.0" encoding="UTF-8" standalone="yes"?>
<Relationships xmlns="http://schemas.openxmlformats.org/package/2006/relationships"><Relationship Id="rId2" Type="http://schemas.openxmlformats.org/officeDocument/2006/relationships/chart" Target="../charts/chart66.xml"/><Relationship Id="rId1" Type="http://schemas.openxmlformats.org/officeDocument/2006/relationships/chart" Target="../charts/chart65.xml"/></Relationships>
</file>

<file path=xl/drawings/_rels/drawing34.xml.rels><?xml version="1.0" encoding="UTF-8" standalone="yes"?>
<Relationships xmlns="http://schemas.openxmlformats.org/package/2006/relationships"><Relationship Id="rId2" Type="http://schemas.openxmlformats.org/officeDocument/2006/relationships/chart" Target="../charts/chart68.xml"/><Relationship Id="rId1" Type="http://schemas.openxmlformats.org/officeDocument/2006/relationships/chart" Target="../charts/chart67.xml"/></Relationships>
</file>

<file path=xl/drawings/_rels/drawing35.xml.rels><?xml version="1.0" encoding="UTF-8" standalone="yes"?>
<Relationships xmlns="http://schemas.openxmlformats.org/package/2006/relationships"><Relationship Id="rId2" Type="http://schemas.openxmlformats.org/officeDocument/2006/relationships/chart" Target="../charts/chart70.xml"/><Relationship Id="rId1" Type="http://schemas.openxmlformats.org/officeDocument/2006/relationships/chart" Target="../charts/chart69.xml"/></Relationships>
</file>

<file path=xl/drawings/_rels/drawing36.xml.rels><?xml version="1.0" encoding="UTF-8" standalone="yes"?>
<Relationships xmlns="http://schemas.openxmlformats.org/package/2006/relationships"><Relationship Id="rId2" Type="http://schemas.openxmlformats.org/officeDocument/2006/relationships/chart" Target="../charts/chart72.xml"/><Relationship Id="rId1" Type="http://schemas.openxmlformats.org/officeDocument/2006/relationships/chart" Target="../charts/chart71.xml"/></Relationships>
</file>

<file path=xl/drawings/_rels/drawing37.xml.rels><?xml version="1.0" encoding="UTF-8" standalone="yes"?>
<Relationships xmlns="http://schemas.openxmlformats.org/package/2006/relationships"><Relationship Id="rId2" Type="http://schemas.openxmlformats.org/officeDocument/2006/relationships/chart" Target="../charts/chart74.xml"/><Relationship Id="rId1" Type="http://schemas.openxmlformats.org/officeDocument/2006/relationships/chart" Target="../charts/chart73.xml"/></Relationships>
</file>

<file path=xl/drawings/_rels/drawing38.xml.rels><?xml version="1.0" encoding="UTF-8" standalone="yes"?>
<Relationships xmlns="http://schemas.openxmlformats.org/package/2006/relationships"><Relationship Id="rId2" Type="http://schemas.openxmlformats.org/officeDocument/2006/relationships/chart" Target="../charts/chart76.xml"/><Relationship Id="rId1" Type="http://schemas.openxmlformats.org/officeDocument/2006/relationships/chart" Target="../charts/chart75.xml"/></Relationships>
</file>

<file path=xl/drawings/_rels/drawing39.xml.rels><?xml version="1.0" encoding="UTF-8" standalone="yes"?>
<Relationships xmlns="http://schemas.openxmlformats.org/package/2006/relationships"><Relationship Id="rId2" Type="http://schemas.openxmlformats.org/officeDocument/2006/relationships/chart" Target="../charts/chart78.xml"/><Relationship Id="rId1" Type="http://schemas.openxmlformats.org/officeDocument/2006/relationships/chart" Target="../charts/chart77.xml"/></Relationships>
</file>

<file path=xl/drawings/_rels/drawing40.xml.rels><?xml version="1.0" encoding="UTF-8" standalone="yes"?>
<Relationships xmlns="http://schemas.openxmlformats.org/package/2006/relationships"><Relationship Id="rId2" Type="http://schemas.openxmlformats.org/officeDocument/2006/relationships/chart" Target="../charts/chart80.xml"/><Relationship Id="rId1" Type="http://schemas.openxmlformats.org/officeDocument/2006/relationships/chart" Target="../charts/chart79.xml"/></Relationships>
</file>

<file path=xl/drawings/_rels/drawing41.xml.rels><?xml version="1.0" encoding="UTF-8" standalone="yes"?>
<Relationships xmlns="http://schemas.openxmlformats.org/package/2006/relationships"><Relationship Id="rId2" Type="http://schemas.openxmlformats.org/officeDocument/2006/relationships/chart" Target="../charts/chart82.xml"/><Relationship Id="rId1" Type="http://schemas.openxmlformats.org/officeDocument/2006/relationships/chart" Target="../charts/chart81.xml"/></Relationships>
</file>

<file path=xl/drawings/_rels/drawing42.xml.rels><?xml version="1.0" encoding="UTF-8" standalone="yes"?>
<Relationships xmlns="http://schemas.openxmlformats.org/package/2006/relationships"><Relationship Id="rId2" Type="http://schemas.openxmlformats.org/officeDocument/2006/relationships/chart" Target="../charts/chart84.xml"/><Relationship Id="rId1" Type="http://schemas.openxmlformats.org/officeDocument/2006/relationships/chart" Target="../charts/chart83.xml"/></Relationships>
</file>

<file path=xl/drawings/_rels/drawing43.xml.rels><?xml version="1.0" encoding="UTF-8" standalone="yes"?>
<Relationships xmlns="http://schemas.openxmlformats.org/package/2006/relationships"><Relationship Id="rId2" Type="http://schemas.openxmlformats.org/officeDocument/2006/relationships/chart" Target="../charts/chart86.xml"/><Relationship Id="rId1" Type="http://schemas.openxmlformats.org/officeDocument/2006/relationships/chart" Target="../charts/chart85.xml"/></Relationships>
</file>

<file path=xl/drawings/_rels/drawing44.xml.rels><?xml version="1.0" encoding="UTF-8" standalone="yes"?>
<Relationships xmlns="http://schemas.openxmlformats.org/package/2006/relationships"><Relationship Id="rId2" Type="http://schemas.openxmlformats.org/officeDocument/2006/relationships/chart" Target="../charts/chart88.xml"/><Relationship Id="rId1" Type="http://schemas.openxmlformats.org/officeDocument/2006/relationships/chart" Target="../charts/chart87.xml"/></Relationships>
</file>

<file path=xl/drawings/_rels/drawing45.xml.rels><?xml version="1.0" encoding="UTF-8" standalone="yes"?>
<Relationships xmlns="http://schemas.openxmlformats.org/package/2006/relationships"><Relationship Id="rId2" Type="http://schemas.openxmlformats.org/officeDocument/2006/relationships/chart" Target="../charts/chart90.xml"/><Relationship Id="rId1" Type="http://schemas.openxmlformats.org/officeDocument/2006/relationships/chart" Target="../charts/chart89.xml"/></Relationships>
</file>

<file path=xl/drawings/_rels/drawing46.xml.rels><?xml version="1.0" encoding="UTF-8" standalone="yes"?>
<Relationships xmlns="http://schemas.openxmlformats.org/package/2006/relationships"><Relationship Id="rId2" Type="http://schemas.openxmlformats.org/officeDocument/2006/relationships/chart" Target="../charts/chart92.xml"/><Relationship Id="rId1" Type="http://schemas.openxmlformats.org/officeDocument/2006/relationships/chart" Target="../charts/chart91.xml"/></Relationships>
</file>

<file path=xl/drawings/_rels/drawing47.xml.rels><?xml version="1.0" encoding="UTF-8" standalone="yes"?>
<Relationships xmlns="http://schemas.openxmlformats.org/package/2006/relationships"><Relationship Id="rId2" Type="http://schemas.openxmlformats.org/officeDocument/2006/relationships/chart" Target="../charts/chart94.xml"/><Relationship Id="rId1" Type="http://schemas.openxmlformats.org/officeDocument/2006/relationships/chart" Target="../charts/chart93.xml"/></Relationships>
</file>

<file path=xl/drawings/_rels/drawing48.xml.rels><?xml version="1.0" encoding="UTF-8" standalone="yes"?>
<Relationships xmlns="http://schemas.openxmlformats.org/package/2006/relationships"><Relationship Id="rId2" Type="http://schemas.openxmlformats.org/officeDocument/2006/relationships/chart" Target="../charts/chart96.xml"/><Relationship Id="rId1" Type="http://schemas.openxmlformats.org/officeDocument/2006/relationships/chart" Target="../charts/chart95.xml"/></Relationships>
</file>

<file path=xl/drawings/_rels/drawing49.xml.rels><?xml version="1.0" encoding="UTF-8" standalone="yes"?>
<Relationships xmlns="http://schemas.openxmlformats.org/package/2006/relationships"><Relationship Id="rId2" Type="http://schemas.openxmlformats.org/officeDocument/2006/relationships/chart" Target="../charts/chart98.xml"/><Relationship Id="rId1" Type="http://schemas.openxmlformats.org/officeDocument/2006/relationships/chart" Target="../charts/chart97.xml"/></Relationships>
</file>

<file path=xl/drawings/drawing1.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1.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2.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3.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4.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5.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6.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7.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8.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9.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0.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1.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2.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3.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4.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5.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6.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7.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8.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9.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0.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1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1.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2.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3.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4.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5.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6.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7.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8.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9.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0.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1.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2.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3.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4.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5.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6.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2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2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7.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3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3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8.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3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3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9.xml><?xml version="1.0" encoding="utf-8"?>
<xdr:wsDr xmlns:xdr="http://schemas.openxmlformats.org/drawingml/2006/spreadsheetDrawing" xmlns:a="http://schemas.openxmlformats.org/drawingml/2006/main">
  <xdr:oneCellAnchor>
    <xdr:from>
      <xdr:col>8</xdr:col>
      <xdr:colOff>190500</xdr:colOff>
      <xdr:row>1</xdr:row>
      <xdr:rowOff>0</xdr:rowOff>
    </xdr:from>
    <xdr:ext cx="4680000" cy="2951999"/>
    <xdr:graphicFrame macro="">
      <xdr:nvGraphicFramePr>
        <xdr:cNvPr id="2" name="Chart 1">
          <a:extLst>
            <a:ext uri="{FF2B5EF4-FFF2-40B4-BE49-F238E27FC236}">
              <a16:creationId xmlns:a16="http://schemas.microsoft.com/office/drawing/2014/main" id="{00000000-0008-0000-3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21</xdr:row>
      <xdr:rowOff>0</xdr:rowOff>
    </xdr:from>
    <xdr:ext cx="4680000" cy="2951999"/>
    <xdr:graphicFrame macro="">
      <xdr:nvGraphicFramePr>
        <xdr:cNvPr id="3" name="Chart 2">
          <a:extLst>
            <a:ext uri="{FF2B5EF4-FFF2-40B4-BE49-F238E27FC236}">
              <a16:creationId xmlns:a16="http://schemas.microsoft.com/office/drawing/2014/main" id="{00000000-0008-0000-3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B2:C52"/>
  <sheetViews>
    <sheetView showGridLines="0" tabSelected="1" workbookViewId="0">
      <pane ySplit="5" topLeftCell="A42" activePane="bottomLeft" state="frozen"/>
      <selection pane="bottomLeft" activeCell="B2" sqref="B2:C2"/>
    </sheetView>
  </sheetViews>
  <sheetFormatPr defaultRowHeight="15" x14ac:dyDescent="0.25"/>
  <cols>
    <col min="1" max="1" width="2.42578125" customWidth="1"/>
    <col min="2" max="2" width="33" customWidth="1"/>
    <col min="3" max="3" width="100" customWidth="1"/>
    <col min="4" max="4" width="2.42578125" customWidth="1"/>
  </cols>
  <sheetData>
    <row r="2" spans="2:3" ht="26.1" customHeight="1" x14ac:dyDescent="0.25">
      <c r="B2" s="39" t="s">
        <v>0</v>
      </c>
      <c r="C2" s="40"/>
    </row>
    <row r="3" spans="2:3" ht="15.95" customHeight="1" x14ac:dyDescent="0.25">
      <c r="B3" s="44" t="s">
        <v>195</v>
      </c>
      <c r="C3" s="40"/>
    </row>
    <row r="4" spans="2:3" ht="3" customHeight="1" x14ac:dyDescent="0.25">
      <c r="B4" s="2"/>
      <c r="C4" s="2"/>
    </row>
    <row r="6" spans="2:3" ht="21" customHeight="1" x14ac:dyDescent="0.25">
      <c r="B6" s="41" t="s">
        <v>1</v>
      </c>
      <c r="C6" s="42"/>
    </row>
    <row r="7" spans="2:3" ht="153" customHeight="1" x14ac:dyDescent="0.25">
      <c r="B7" s="3" t="s">
        <v>2</v>
      </c>
      <c r="C7" s="4" t="s">
        <v>192</v>
      </c>
    </row>
    <row r="8" spans="2:3" ht="33" customHeight="1" x14ac:dyDescent="0.25">
      <c r="B8" s="3" t="s">
        <v>3</v>
      </c>
      <c r="C8" s="4" t="s">
        <v>4</v>
      </c>
    </row>
    <row r="9" spans="2:3" ht="8.1" customHeight="1" x14ac:dyDescent="0.25"/>
    <row r="10" spans="2:3" ht="21" customHeight="1" x14ac:dyDescent="0.25">
      <c r="B10" s="41" t="s">
        <v>5</v>
      </c>
      <c r="C10" s="42"/>
    </row>
    <row r="11" spans="2:3" ht="18.95" customHeight="1" x14ac:dyDescent="0.25">
      <c r="B11" s="3" t="s">
        <v>6</v>
      </c>
      <c r="C11" s="5">
        <f>MAX('4_All_periods'!A2:A577)</f>
        <v>48</v>
      </c>
    </row>
    <row r="12" spans="2:3" ht="18.95" customHeight="1" x14ac:dyDescent="0.25">
      <c r="B12" s="3" t="s">
        <v>7</v>
      </c>
      <c r="C12" s="5">
        <f>COUNTA('4_All_periods'!A2:A577)</f>
        <v>576</v>
      </c>
    </row>
    <row r="13" spans="2:3" ht="18.95" customHeight="1" x14ac:dyDescent="0.25">
      <c r="B13" s="3" t="s">
        <v>8</v>
      </c>
      <c r="C13" s="5">
        <f>COUNTIF('4_All_periods'!G2:G577,"&lt;&gt;Optimal")</f>
        <v>0</v>
      </c>
    </row>
    <row r="14" spans="2:3" ht="18.95" customHeight="1" x14ac:dyDescent="0.25">
      <c r="B14" s="3" t="s">
        <v>9</v>
      </c>
      <c r="C14" s="5">
        <f>COUNTIF('4_All_periods'!H2:H577,"&gt;=1.0999")</f>
        <v>254</v>
      </c>
    </row>
    <row r="15" spans="2:3" ht="8.1" customHeight="1" x14ac:dyDescent="0.25"/>
    <row r="16" spans="2:3" ht="21" customHeight="1" x14ac:dyDescent="0.25">
      <c r="B16" s="41" t="s">
        <v>10</v>
      </c>
      <c r="C16" s="42"/>
    </row>
    <row r="17" spans="2:3" ht="18.95" customHeight="1" x14ac:dyDescent="0.25">
      <c r="B17" s="6" t="s">
        <v>11</v>
      </c>
      <c r="C17" s="4" t="s">
        <v>12</v>
      </c>
    </row>
    <row r="18" spans="2:3" ht="33" customHeight="1" x14ac:dyDescent="0.25">
      <c r="B18" s="6" t="s">
        <v>13</v>
      </c>
      <c r="C18" s="4" t="s">
        <v>14</v>
      </c>
    </row>
    <row r="19" spans="2:3" ht="18.95" customHeight="1" x14ac:dyDescent="0.25">
      <c r="B19" s="6" t="s">
        <v>15</v>
      </c>
      <c r="C19" s="4" t="s">
        <v>188</v>
      </c>
    </row>
    <row r="20" spans="2:3" ht="33" customHeight="1" x14ac:dyDescent="0.25">
      <c r="B20" s="6" t="s">
        <v>16</v>
      </c>
      <c r="C20" s="4" t="s">
        <v>17</v>
      </c>
    </row>
    <row r="21" spans="2:3" ht="33" customHeight="1" x14ac:dyDescent="0.25">
      <c r="B21" s="6" t="s">
        <v>18</v>
      </c>
      <c r="C21" s="4" t="s">
        <v>19</v>
      </c>
    </row>
    <row r="22" spans="2:3" ht="8.1" customHeight="1" x14ac:dyDescent="0.25"/>
    <row r="23" spans="2:3" ht="21" customHeight="1" x14ac:dyDescent="0.25">
      <c r="B23" s="41" t="s">
        <v>20</v>
      </c>
      <c r="C23" s="42"/>
    </row>
    <row r="24" spans="2:3" ht="18.95" customHeight="1" x14ac:dyDescent="0.25">
      <c r="B24" s="6" t="s">
        <v>21</v>
      </c>
      <c r="C24" s="4" t="s">
        <v>22</v>
      </c>
    </row>
    <row r="25" spans="2:3" ht="33" customHeight="1" x14ac:dyDescent="0.25">
      <c r="B25" s="6" t="s">
        <v>23</v>
      </c>
      <c r="C25" s="4" t="s">
        <v>189</v>
      </c>
    </row>
    <row r="26" spans="2:3" ht="33" customHeight="1" x14ac:dyDescent="0.25">
      <c r="B26" s="6" t="s">
        <v>24</v>
      </c>
      <c r="C26" s="4" t="s">
        <v>25</v>
      </c>
    </row>
    <row r="27" spans="2:3" ht="18.95" customHeight="1" x14ac:dyDescent="0.25">
      <c r="B27" s="6" t="s">
        <v>26</v>
      </c>
      <c r="C27" s="4" t="s">
        <v>27</v>
      </c>
    </row>
    <row r="28" spans="2:3" ht="18.95" customHeight="1" x14ac:dyDescent="0.25">
      <c r="B28" s="6" t="s">
        <v>28</v>
      </c>
      <c r="C28" s="4" t="s">
        <v>29</v>
      </c>
    </row>
    <row r="29" spans="2:3" ht="33" customHeight="1" x14ac:dyDescent="0.25">
      <c r="B29" s="6" t="s">
        <v>30</v>
      </c>
      <c r="C29" s="4" t="s">
        <v>31</v>
      </c>
    </row>
    <row r="30" spans="2:3" ht="18.95" customHeight="1" x14ac:dyDescent="0.25">
      <c r="B30" s="6" t="s">
        <v>32</v>
      </c>
      <c r="C30" s="4" t="s">
        <v>33</v>
      </c>
    </row>
    <row r="31" spans="2:3" ht="33" customHeight="1" x14ac:dyDescent="0.25">
      <c r="B31" s="6" t="s">
        <v>34</v>
      </c>
      <c r="C31" s="4" t="s">
        <v>35</v>
      </c>
    </row>
    <row r="32" spans="2:3" ht="33" customHeight="1" x14ac:dyDescent="0.25">
      <c r="B32" s="6" t="s">
        <v>36</v>
      </c>
      <c r="C32" s="4" t="s">
        <v>37</v>
      </c>
    </row>
    <row r="33" spans="2:3" ht="33" customHeight="1" x14ac:dyDescent="0.25">
      <c r="B33" s="6" t="s">
        <v>38</v>
      </c>
      <c r="C33" s="4" t="s">
        <v>39</v>
      </c>
    </row>
    <row r="34" spans="2:3" ht="33" customHeight="1" x14ac:dyDescent="0.25">
      <c r="B34" s="6" t="s">
        <v>40</v>
      </c>
      <c r="C34" s="4" t="s">
        <v>41</v>
      </c>
    </row>
    <row r="35" spans="2:3" ht="108" customHeight="1" x14ac:dyDescent="0.25">
      <c r="B35" s="6" t="s">
        <v>42</v>
      </c>
      <c r="C35" s="4" t="s">
        <v>193</v>
      </c>
    </row>
    <row r="36" spans="2:3" ht="108" customHeight="1" x14ac:dyDescent="0.25">
      <c r="B36" s="6" t="s">
        <v>43</v>
      </c>
      <c r="C36" s="4" t="s">
        <v>194</v>
      </c>
    </row>
    <row r="37" spans="2:3" ht="8.1" customHeight="1" x14ac:dyDescent="0.25"/>
    <row r="38" spans="2:3" ht="21" customHeight="1" x14ac:dyDescent="0.25">
      <c r="B38" s="41" t="s">
        <v>44</v>
      </c>
      <c r="C38" s="42"/>
    </row>
    <row r="39" spans="2:3" ht="18.95" customHeight="1" x14ac:dyDescent="0.25">
      <c r="B39" s="3" t="s">
        <v>45</v>
      </c>
      <c r="C39" s="4" t="s">
        <v>46</v>
      </c>
    </row>
    <row r="40" spans="2:3" ht="33" customHeight="1" x14ac:dyDescent="0.25">
      <c r="B40" s="3" t="s">
        <v>47</v>
      </c>
      <c r="C40" s="4" t="s">
        <v>48</v>
      </c>
    </row>
    <row r="41" spans="2:3" ht="18.95" customHeight="1" x14ac:dyDescent="0.25">
      <c r="B41" s="3" t="s">
        <v>49</v>
      </c>
      <c r="C41" s="4" t="s">
        <v>50</v>
      </c>
    </row>
    <row r="42" spans="2:3" ht="18.95" customHeight="1" x14ac:dyDescent="0.25">
      <c r="B42" s="3" t="s">
        <v>51</v>
      </c>
      <c r="C42" s="4" t="s">
        <v>52</v>
      </c>
    </row>
    <row r="43" spans="2:3" ht="18.95" customHeight="1" x14ac:dyDescent="0.25">
      <c r="B43" s="3" t="s">
        <v>53</v>
      </c>
      <c r="C43" s="4" t="s">
        <v>54</v>
      </c>
    </row>
    <row r="44" spans="2:3" ht="33" customHeight="1" x14ac:dyDescent="0.25">
      <c r="B44" s="3" t="s">
        <v>55</v>
      </c>
      <c r="C44" s="4" t="s">
        <v>56</v>
      </c>
    </row>
    <row r="45" spans="2:3" ht="33" customHeight="1" x14ac:dyDescent="0.25">
      <c r="B45" s="3" t="s">
        <v>57</v>
      </c>
      <c r="C45" s="4" t="s">
        <v>58</v>
      </c>
    </row>
    <row r="46" spans="2:3" ht="8.1" customHeight="1" x14ac:dyDescent="0.25"/>
    <row r="47" spans="2:3" ht="21" customHeight="1" x14ac:dyDescent="0.25">
      <c r="B47" s="41" t="s">
        <v>59</v>
      </c>
      <c r="C47" s="42"/>
    </row>
    <row r="48" spans="2:3" ht="18.95" customHeight="1" x14ac:dyDescent="0.25">
      <c r="B48" s="7" t="s">
        <v>60</v>
      </c>
      <c r="C48" s="4" t="s">
        <v>61</v>
      </c>
    </row>
    <row r="49" spans="2:3" ht="18.95" customHeight="1" x14ac:dyDescent="0.25">
      <c r="B49" s="8" t="s">
        <v>62</v>
      </c>
      <c r="C49" s="4" t="s">
        <v>63</v>
      </c>
    </row>
    <row r="50" spans="2:3" ht="18.95" customHeight="1" x14ac:dyDescent="0.25">
      <c r="B50" s="9" t="s">
        <v>64</v>
      </c>
      <c r="C50" s="4" t="s">
        <v>65</v>
      </c>
    </row>
    <row r="51" spans="2:3" ht="12" customHeight="1" x14ac:dyDescent="0.25"/>
    <row r="52" spans="2:3" ht="42" customHeight="1" x14ac:dyDescent="0.25">
      <c r="B52" s="43" t="s">
        <v>190</v>
      </c>
      <c r="C52" s="40"/>
    </row>
  </sheetData>
  <mergeCells count="9">
    <mergeCell ref="B2:C2"/>
    <mergeCell ref="B47:C47"/>
    <mergeCell ref="B52:C52"/>
    <mergeCell ref="B3:C3"/>
    <mergeCell ref="B10:C10"/>
    <mergeCell ref="B23:C23"/>
    <mergeCell ref="B6:C6"/>
    <mergeCell ref="B38:C38"/>
    <mergeCell ref="B16:C16"/>
  </mergeCells>
  <pageMargins left="0.4" right="0.4" top="0.6" bottom="0.6" header="0.5" footer="0.5"/>
  <pageSetup scale="73" fitToHeight="0" orientation="portrait" r:id="rId1"/>
  <headerFooter>
    <oddFooter>&amp;L&amp;8 &amp;K595959TR9 rolling FOR — flexibility operating region at the PCC&amp;R&amp;8 &amp;K595959Page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66</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v>0.5454</v>
      </c>
      <c r="C4" s="10" t="s">
        <v>69</v>
      </c>
      <c r="D4" s="11">
        <v>0.112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v>0</v>
      </c>
      <c r="B7" s="14">
        <v>0.77500000000000002</v>
      </c>
      <c r="C7" s="14">
        <v>8.5300000000000001E-2</v>
      </c>
      <c r="D7" s="15">
        <f t="shared" ref="D7:D18" si="0">B7-$B$4</f>
        <v>0.22960000000000003</v>
      </c>
      <c r="E7" s="15">
        <f t="shared" ref="E7:E18" si="1">C7-$D$4</f>
        <v>-2.6700000000000002E-2</v>
      </c>
      <c r="F7" s="15">
        <f t="shared" ref="F7:F18" si="2">B7*COS(RADIANS(A7))+C7*SIN(RADIANS(A7))</f>
        <v>0.77500000000000002</v>
      </c>
      <c r="G7" s="16" t="str">
        <f t="shared" ref="G7:G18" si="3">IF(D7&gt;0,"charge/import","discharge/export")</f>
        <v>charge/import</v>
      </c>
    </row>
    <row r="8" spans="1:7" ht="17.100000000000001" customHeight="1" x14ac:dyDescent="0.25">
      <c r="A8" s="13">
        <v>30</v>
      </c>
      <c r="B8" s="14">
        <v>0.72850000000000004</v>
      </c>
      <c r="C8" s="14">
        <v>0.25330000000000003</v>
      </c>
      <c r="D8" s="15">
        <f t="shared" si="0"/>
        <v>0.18310000000000004</v>
      </c>
      <c r="E8" s="15">
        <f t="shared" si="1"/>
        <v>0.14130000000000004</v>
      </c>
      <c r="F8" s="15">
        <f t="shared" si="2"/>
        <v>0.75754950665696352</v>
      </c>
      <c r="G8" s="16" t="str">
        <f t="shared" si="3"/>
        <v>charge/import</v>
      </c>
    </row>
    <row r="9" spans="1:7" ht="17.100000000000001" customHeight="1" x14ac:dyDescent="0.25">
      <c r="A9" s="13">
        <v>60</v>
      </c>
      <c r="B9" s="14">
        <v>0.60729999999999995</v>
      </c>
      <c r="C9" s="14">
        <v>0.3755</v>
      </c>
      <c r="D9" s="15">
        <f t="shared" si="0"/>
        <v>6.1899999999999955E-2</v>
      </c>
      <c r="E9" s="15">
        <f t="shared" si="1"/>
        <v>0.26350000000000001</v>
      </c>
      <c r="F9" s="15">
        <f t="shared" si="2"/>
        <v>0.6288425391210567</v>
      </c>
      <c r="G9" s="16" t="str">
        <f t="shared" si="3"/>
        <v>charge/import</v>
      </c>
    </row>
    <row r="10" spans="1:7" ht="17.100000000000001" customHeight="1" x14ac:dyDescent="0.25">
      <c r="A10" s="13">
        <v>90</v>
      </c>
      <c r="B10" s="14">
        <v>0.45540000000000003</v>
      </c>
      <c r="C10" s="14">
        <v>0.41460000000000002</v>
      </c>
      <c r="D10" s="15">
        <f t="shared" si="0"/>
        <v>-8.9999999999999969E-2</v>
      </c>
      <c r="E10" s="15">
        <f t="shared" si="1"/>
        <v>0.30260000000000004</v>
      </c>
      <c r="F10" s="15">
        <f t="shared" si="2"/>
        <v>0.41460000000000008</v>
      </c>
      <c r="G10" s="16" t="str">
        <f t="shared" si="3"/>
        <v>discharge/export</v>
      </c>
    </row>
    <row r="11" spans="1:7" ht="17.100000000000001" customHeight="1" x14ac:dyDescent="0.25">
      <c r="A11" s="13">
        <v>120</v>
      </c>
      <c r="B11" s="14">
        <v>0.2923</v>
      </c>
      <c r="C11" s="14">
        <v>0.37130000000000002</v>
      </c>
      <c r="D11" s="15">
        <f t="shared" si="0"/>
        <v>-0.25309999999999999</v>
      </c>
      <c r="E11" s="15">
        <f t="shared" si="1"/>
        <v>0.25930000000000003</v>
      </c>
      <c r="F11" s="15">
        <f t="shared" si="2"/>
        <v>0.17540523242516215</v>
      </c>
      <c r="G11" s="16" t="str">
        <f t="shared" si="3"/>
        <v>discharge/export</v>
      </c>
    </row>
    <row r="12" spans="1:7" ht="17.100000000000001" customHeight="1" x14ac:dyDescent="0.25">
      <c r="A12" s="13">
        <v>150</v>
      </c>
      <c r="B12" s="14">
        <v>0.25779999999999997</v>
      </c>
      <c r="C12" s="14">
        <v>0.34770000000000001</v>
      </c>
      <c r="D12" s="15">
        <f t="shared" si="0"/>
        <v>-0.28760000000000002</v>
      </c>
      <c r="E12" s="15">
        <f t="shared" si="1"/>
        <v>0.23570000000000002</v>
      </c>
      <c r="F12" s="15">
        <f t="shared" si="2"/>
        <v>-4.9411349095628304E-2</v>
      </c>
      <c r="G12" s="16" t="str">
        <f t="shared" si="3"/>
        <v>discharge/export</v>
      </c>
    </row>
    <row r="13" spans="1:7" ht="17.100000000000001" customHeight="1" x14ac:dyDescent="0.25">
      <c r="A13" s="13">
        <v>180</v>
      </c>
      <c r="B13" s="14">
        <v>0.25509999999999999</v>
      </c>
      <c r="C13" s="14">
        <v>-0.1119</v>
      </c>
      <c r="D13" s="15">
        <f t="shared" si="0"/>
        <v>-0.2903</v>
      </c>
      <c r="E13" s="15">
        <f t="shared" si="1"/>
        <v>-0.22389999999999999</v>
      </c>
      <c r="F13" s="15">
        <f t="shared" si="2"/>
        <v>-0.25509999999999999</v>
      </c>
      <c r="G13" s="16" t="str">
        <f t="shared" si="3"/>
        <v>discharge/export</v>
      </c>
    </row>
    <row r="14" spans="1:7" ht="17.100000000000001" customHeight="1" x14ac:dyDescent="0.25">
      <c r="A14" s="13">
        <v>210</v>
      </c>
      <c r="B14" s="14">
        <v>0.26669999999999999</v>
      </c>
      <c r="C14" s="14">
        <v>-0.1651</v>
      </c>
      <c r="D14" s="15">
        <f t="shared" si="0"/>
        <v>-0.2787</v>
      </c>
      <c r="E14" s="15">
        <f t="shared" si="1"/>
        <v>-0.27710000000000001</v>
      </c>
      <c r="F14" s="15">
        <f t="shared" si="2"/>
        <v>-0.14841897518930974</v>
      </c>
      <c r="G14" s="16" t="str">
        <f t="shared" si="3"/>
        <v>discharge/export</v>
      </c>
    </row>
    <row r="15" spans="1:7" ht="17.100000000000001" customHeight="1" x14ac:dyDescent="0.25">
      <c r="A15" s="13">
        <v>240</v>
      </c>
      <c r="B15" s="14">
        <v>0.30649999999999999</v>
      </c>
      <c r="C15" s="14">
        <v>-0.19400000000000001</v>
      </c>
      <c r="D15" s="15">
        <f t="shared" si="0"/>
        <v>-0.2389</v>
      </c>
      <c r="E15" s="15">
        <f t="shared" si="1"/>
        <v>-0.30599999999999999</v>
      </c>
      <c r="F15" s="15">
        <f t="shared" si="2"/>
        <v>1.475892833418091E-2</v>
      </c>
      <c r="G15" s="16" t="str">
        <f t="shared" si="3"/>
        <v>discharge/export</v>
      </c>
    </row>
    <row r="16" spans="1:7" ht="17.100000000000001" customHeight="1" x14ac:dyDescent="0.25">
      <c r="A16" s="13">
        <v>270</v>
      </c>
      <c r="B16" s="14">
        <v>0.44679999999999997</v>
      </c>
      <c r="C16" s="14">
        <v>-0.22969999999999999</v>
      </c>
      <c r="D16" s="15">
        <f t="shared" si="0"/>
        <v>-9.8600000000000021E-2</v>
      </c>
      <c r="E16" s="15">
        <f t="shared" si="1"/>
        <v>-0.3417</v>
      </c>
      <c r="F16" s="15">
        <f t="shared" si="2"/>
        <v>0.2296999999999999</v>
      </c>
      <c r="G16" s="16" t="str">
        <f t="shared" si="3"/>
        <v>discharge/export</v>
      </c>
    </row>
    <row r="17" spans="1:7" ht="17.100000000000001" customHeight="1" x14ac:dyDescent="0.25">
      <c r="A17" s="13">
        <v>300</v>
      </c>
      <c r="B17" s="14">
        <v>0.6119</v>
      </c>
      <c r="C17" s="14">
        <v>-0.18540000000000001</v>
      </c>
      <c r="D17" s="15">
        <f t="shared" si="0"/>
        <v>6.6500000000000004E-2</v>
      </c>
      <c r="E17" s="15">
        <f t="shared" si="1"/>
        <v>-0.2974</v>
      </c>
      <c r="F17" s="15">
        <f t="shared" si="2"/>
        <v>0.46651110986163502</v>
      </c>
      <c r="G17" s="16" t="str">
        <f t="shared" si="3"/>
        <v>charge/import</v>
      </c>
    </row>
    <row r="18" spans="1:7" ht="17.100000000000001" customHeight="1" x14ac:dyDescent="0.25">
      <c r="A18" s="13">
        <v>330</v>
      </c>
      <c r="B18" s="14">
        <v>0.73270000000000002</v>
      </c>
      <c r="C18" s="14">
        <v>-6.4699999999999994E-2</v>
      </c>
      <c r="D18" s="15">
        <f t="shared" si="0"/>
        <v>0.18730000000000002</v>
      </c>
      <c r="E18" s="15">
        <f t="shared" si="1"/>
        <v>-0.1767</v>
      </c>
      <c r="F18" s="15">
        <f t="shared" si="2"/>
        <v>0.66688681335285804</v>
      </c>
      <c r="G18" s="16" t="str">
        <f t="shared" si="3"/>
        <v>charge/import</v>
      </c>
    </row>
    <row r="19" spans="1:7" ht="17.100000000000001" customHeight="1" x14ac:dyDescent="0.25">
      <c r="A19" s="17" t="s">
        <v>76</v>
      </c>
      <c r="B19" s="18">
        <f>B7</f>
        <v>0.77500000000000002</v>
      </c>
      <c r="C19" s="18">
        <f>C7</f>
        <v>8.5300000000000001E-2</v>
      </c>
      <c r="D19" s="18">
        <f>D7</f>
        <v>0.22960000000000003</v>
      </c>
      <c r="E19" s="18">
        <f>E7</f>
        <v>-2.6700000000000002E-2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0.51990000000000003</v>
      </c>
    </row>
    <row r="23" spans="1:7" ht="18" customHeight="1" x14ac:dyDescent="0.25">
      <c r="A23" s="45" t="s">
        <v>79</v>
      </c>
      <c r="B23" s="46"/>
      <c r="C23" s="20">
        <f>MAX(0,MAX(D7:D18))</f>
        <v>0.22960000000000003</v>
      </c>
    </row>
    <row r="24" spans="1:7" ht="18" customHeight="1" x14ac:dyDescent="0.25">
      <c r="A24" s="45" t="s">
        <v>80</v>
      </c>
      <c r="B24" s="46"/>
      <c r="C24" s="20">
        <f>MAX(0,-MIN(D7:D18))</f>
        <v>0.2903</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"&amp;TEXT('4_All_periods'!H2,"0.00000")&amp;" pu"&amp;IF('4_All_periods'!H2&gt;=1.0999," → over-voltage limit is active"," → clear of the limit, so the battery bounds it"),"blocked at 180°: Vmax there = "&amp;TEXT('4_All_periods'!H8,"0.00000")&amp;" pu"&amp;IF('4_All_periods'!H8&gt;=1.0999,"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99" priority="1">
      <formula>ISNUMBER(SEARCH("charge",$G7))</formula>
    </cfRule>
    <cfRule type="expression" dxfId="98" priority="2">
      <formula>ISNUMBER(SEARCH("discharge",$G7))</formula>
    </cfRule>
  </conditionalFormatting>
  <pageMargins left="0.4" right="0.4" top="0.6" bottom="0.6" header="0.5" footer="0.5"/>
  <pageSetup scale="64" fitToHeight="0" orientation="landscape" r:id="rId1"/>
  <headerFooter>
    <oddFooter>&amp;L&amp;8 &amp;K595959TR9 rolling FOR — flexibility operating region at the PCC&amp;R&amp;8 &amp;K595959Page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83</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v>-2.2582</v>
      </c>
      <c r="C4" s="10" t="s">
        <v>69</v>
      </c>
      <c r="D4" s="11">
        <v>0.20730000000000001</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v>0</v>
      </c>
      <c r="B7" s="14">
        <v>-2.2589999999999999</v>
      </c>
      <c r="C7" s="14">
        <v>0.24709999999999999</v>
      </c>
      <c r="D7" s="15">
        <f t="shared" ref="D7:D18" si="0">B7-$B$4</f>
        <v>-7.9999999999991189E-4</v>
      </c>
      <c r="E7" s="15">
        <f t="shared" ref="E7:E18" si="1">C7-$D$4</f>
        <v>3.9799999999999974E-2</v>
      </c>
      <c r="F7" s="15">
        <f t="shared" ref="F7:F18" si="2">B7*COS(RADIANS(A7))+C7*SIN(RADIANS(A7))</f>
        <v>-2.2589999999999999</v>
      </c>
      <c r="G7" s="16" t="str">
        <f t="shared" ref="G7:G18" si="3">IF(D7&gt;0,"charge/import","discharge/export")</f>
        <v>discharge/export</v>
      </c>
    </row>
    <row r="8" spans="1:7" ht="17.100000000000001" customHeight="1" x14ac:dyDescent="0.25">
      <c r="A8" s="13">
        <v>30</v>
      </c>
      <c r="B8" s="14">
        <v>-2.274</v>
      </c>
      <c r="C8" s="14">
        <v>0.51500000000000001</v>
      </c>
      <c r="D8" s="15">
        <f t="shared" si="0"/>
        <v>-1.5800000000000036E-2</v>
      </c>
      <c r="E8" s="15">
        <f t="shared" si="1"/>
        <v>0.30769999999999997</v>
      </c>
      <c r="F8" s="15">
        <f t="shared" si="2"/>
        <v>-1.7118417682058138</v>
      </c>
      <c r="G8" s="16" t="str">
        <f t="shared" si="3"/>
        <v>discharge/export</v>
      </c>
    </row>
    <row r="9" spans="1:7" ht="17.100000000000001" customHeight="1" x14ac:dyDescent="0.25">
      <c r="A9" s="13">
        <v>60</v>
      </c>
      <c r="B9" s="14">
        <v>-2.2778</v>
      </c>
      <c r="C9" s="14">
        <v>0.51829999999999998</v>
      </c>
      <c r="D9" s="15">
        <f t="shared" si="0"/>
        <v>-1.9600000000000062E-2</v>
      </c>
      <c r="E9" s="15">
        <f t="shared" si="1"/>
        <v>0.31099999999999994</v>
      </c>
      <c r="F9" s="15">
        <f t="shared" si="2"/>
        <v>-0.69003903321852578</v>
      </c>
      <c r="G9" s="16" t="str">
        <f t="shared" si="3"/>
        <v>discharge/export</v>
      </c>
    </row>
    <row r="10" spans="1:7" ht="17.100000000000001" customHeight="1" x14ac:dyDescent="0.25">
      <c r="A10" s="13">
        <v>90</v>
      </c>
      <c r="B10" s="14">
        <v>-2.3207</v>
      </c>
      <c r="C10" s="14">
        <v>0.52270000000000005</v>
      </c>
      <c r="D10" s="15">
        <f t="shared" si="0"/>
        <v>-6.25E-2</v>
      </c>
      <c r="E10" s="15">
        <f t="shared" si="1"/>
        <v>0.31540000000000001</v>
      </c>
      <c r="F10" s="15">
        <f t="shared" si="2"/>
        <v>0.52269999999999994</v>
      </c>
      <c r="G10" s="16" t="str">
        <f t="shared" si="3"/>
        <v>discharge/export</v>
      </c>
    </row>
    <row r="11" spans="1:7" ht="17.100000000000001" customHeight="1" x14ac:dyDescent="0.25">
      <c r="A11" s="13">
        <v>120</v>
      </c>
      <c r="B11" s="14">
        <v>-2.4081000000000001</v>
      </c>
      <c r="C11" s="14">
        <v>0.50329999999999997</v>
      </c>
      <c r="D11" s="15">
        <f t="shared" si="0"/>
        <v>-0.14990000000000014</v>
      </c>
      <c r="E11" s="15">
        <f t="shared" si="1"/>
        <v>0.29599999999999993</v>
      </c>
      <c r="F11" s="15">
        <f t="shared" si="2"/>
        <v>1.6399205857247077</v>
      </c>
      <c r="G11" s="16" t="str">
        <f t="shared" si="3"/>
        <v>discharge/export</v>
      </c>
    </row>
    <row r="12" spans="1:7" ht="17.100000000000001" customHeight="1" x14ac:dyDescent="0.25">
      <c r="A12" s="13">
        <v>150</v>
      </c>
      <c r="B12" s="14">
        <v>-2.5087999999999999</v>
      </c>
      <c r="C12" s="14">
        <v>0.39600000000000002</v>
      </c>
      <c r="D12" s="15">
        <f t="shared" si="0"/>
        <v>-0.25059999999999993</v>
      </c>
      <c r="E12" s="15">
        <f t="shared" si="1"/>
        <v>0.18870000000000001</v>
      </c>
      <c r="F12" s="15">
        <f t="shared" si="2"/>
        <v>2.3706845330143995</v>
      </c>
      <c r="G12" s="16" t="str">
        <f t="shared" si="3"/>
        <v>discharge/export</v>
      </c>
    </row>
    <row r="13" spans="1:7" ht="17.100000000000001" customHeight="1" x14ac:dyDescent="0.25">
      <c r="A13" s="13">
        <v>180</v>
      </c>
      <c r="B13" s="14">
        <v>-2.5455999999999999</v>
      </c>
      <c r="C13" s="14">
        <v>0.27739999999999998</v>
      </c>
      <c r="D13" s="15">
        <f t="shared" si="0"/>
        <v>-0.28739999999999988</v>
      </c>
      <c r="E13" s="15">
        <f t="shared" si="1"/>
        <v>7.0099999999999968E-2</v>
      </c>
      <c r="F13" s="15">
        <f t="shared" si="2"/>
        <v>2.5455999999999999</v>
      </c>
      <c r="G13" s="16" t="str">
        <f t="shared" si="3"/>
        <v>discharge/export</v>
      </c>
    </row>
    <row r="14" spans="1:7" ht="17.100000000000001" customHeight="1" x14ac:dyDescent="0.25">
      <c r="A14" s="13">
        <v>210</v>
      </c>
      <c r="B14" s="14">
        <v>-2.5268999999999999</v>
      </c>
      <c r="C14" s="14">
        <v>0.2235</v>
      </c>
      <c r="D14" s="15">
        <f t="shared" si="0"/>
        <v>-0.26869999999999994</v>
      </c>
      <c r="E14" s="15">
        <f t="shared" si="1"/>
        <v>1.6199999999999992E-2</v>
      </c>
      <c r="F14" s="15">
        <f t="shared" si="2"/>
        <v>2.0766095928228974</v>
      </c>
      <c r="G14" s="16" t="str">
        <f t="shared" si="3"/>
        <v>discharge/export</v>
      </c>
    </row>
    <row r="15" spans="1:7" ht="17.100000000000001" customHeight="1" x14ac:dyDescent="0.25">
      <c r="A15" s="13">
        <v>240</v>
      </c>
      <c r="B15" s="14">
        <v>-2.3268</v>
      </c>
      <c r="C15" s="14">
        <v>1.2200000000000001E-2</v>
      </c>
      <c r="D15" s="15">
        <f t="shared" si="0"/>
        <v>-6.8599999999999994E-2</v>
      </c>
      <c r="E15" s="15">
        <f t="shared" si="1"/>
        <v>-0.19510000000000002</v>
      </c>
      <c r="F15" s="15">
        <f t="shared" si="2"/>
        <v>1.152834490073831</v>
      </c>
      <c r="G15" s="16" t="str">
        <f t="shared" si="3"/>
        <v>discharge/export</v>
      </c>
    </row>
    <row r="16" spans="1:7" ht="17.100000000000001" customHeight="1" x14ac:dyDescent="0.25">
      <c r="A16" s="13">
        <v>270</v>
      </c>
      <c r="B16" s="14">
        <v>-2.2763</v>
      </c>
      <c r="C16" s="14">
        <v>-8.9999999999999998E-4</v>
      </c>
      <c r="D16" s="15">
        <f t="shared" si="0"/>
        <v>-1.8100000000000005E-2</v>
      </c>
      <c r="E16" s="15">
        <f t="shared" si="1"/>
        <v>-0.20820000000000002</v>
      </c>
      <c r="F16" s="15">
        <f t="shared" si="2"/>
        <v>9.0000000000041826E-4</v>
      </c>
      <c r="G16" s="16" t="str">
        <f t="shared" si="3"/>
        <v>discharge/export</v>
      </c>
    </row>
    <row r="17" spans="1:7" ht="17.100000000000001" customHeight="1" x14ac:dyDescent="0.25">
      <c r="A17" s="13">
        <v>300</v>
      </c>
      <c r="B17" s="14">
        <v>-2.2673000000000001</v>
      </c>
      <c r="C17" s="14">
        <v>-2.9999999999999997E-4</v>
      </c>
      <c r="D17" s="15">
        <f t="shared" si="0"/>
        <v>-9.100000000000108E-3</v>
      </c>
      <c r="E17" s="15">
        <f t="shared" si="1"/>
        <v>-0.20760000000000001</v>
      </c>
      <c r="F17" s="15">
        <f t="shared" si="2"/>
        <v>-1.133390192378865</v>
      </c>
      <c r="G17" s="16" t="str">
        <f t="shared" si="3"/>
        <v>discharge/export</v>
      </c>
    </row>
    <row r="18" spans="1:7" ht="17.100000000000001" customHeight="1" x14ac:dyDescent="0.25">
      <c r="A18" s="13">
        <v>330</v>
      </c>
      <c r="B18" s="14">
        <v>-2.2673000000000001</v>
      </c>
      <c r="C18" s="14">
        <v>-2.9999999999999997E-4</v>
      </c>
      <c r="D18" s="15">
        <f t="shared" si="0"/>
        <v>-9.100000000000108E-3</v>
      </c>
      <c r="E18" s="15">
        <f t="shared" si="1"/>
        <v>-0.20760000000000001</v>
      </c>
      <c r="F18" s="15">
        <f t="shared" si="2"/>
        <v>-1.9633893980004571</v>
      </c>
      <c r="G18" s="16" t="str">
        <f t="shared" si="3"/>
        <v>discharge/export</v>
      </c>
    </row>
    <row r="19" spans="1:7" ht="17.100000000000001" customHeight="1" x14ac:dyDescent="0.25">
      <c r="A19" s="17" t="s">
        <v>76</v>
      </c>
      <c r="B19" s="18">
        <f>B7</f>
        <v>-2.2589999999999999</v>
      </c>
      <c r="C19" s="18">
        <f>C7</f>
        <v>0.24709999999999999</v>
      </c>
      <c r="D19" s="18">
        <f>D7</f>
        <v>-7.9999999999991189E-4</v>
      </c>
      <c r="E19" s="18">
        <f>E7</f>
        <v>3.9799999999999974E-2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0.28659999999999997</v>
      </c>
    </row>
    <row r="23" spans="1:7" ht="18" customHeight="1" x14ac:dyDescent="0.25">
      <c r="A23" s="45" t="s">
        <v>79</v>
      </c>
      <c r="B23" s="46"/>
      <c r="C23" s="20">
        <f>MAX(0,MAX(D7:D18))</f>
        <v>0</v>
      </c>
    </row>
    <row r="24" spans="1:7" ht="18" customHeight="1" x14ac:dyDescent="0.25">
      <c r="A24" s="45" t="s">
        <v>80</v>
      </c>
      <c r="B24" s="46"/>
      <c r="C24" s="20">
        <f>MAX(0,-MIN(D7:D18))</f>
        <v>0.28739999999999988</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one-sided → discharge/export only (no import headroom)</v>
      </c>
      <c r="D25" s="55"/>
      <c r="E25" s="55"/>
      <c r="F25" s="55"/>
      <c r="G25" s="56"/>
    </row>
    <row r="26" spans="1:7" ht="18" customHeight="1" x14ac:dyDescent="0.25">
      <c r="A26" s="51" t="s">
        <v>191</v>
      </c>
      <c r="B26" s="52"/>
      <c r="C26" s="53" t="str">
        <f>IF(AND(C23&gt;0.02,C24&gt;0.02),"both directions have headroom",IF(C23&lt;=0.02,"blocked at 0°: Vmax there = "&amp;TEXT('4_All_periods'!H290,"0.00000")&amp;" pu"&amp;IF('4_All_periods'!H290&gt;=1.0999," → over-voltage limit is active"," → clear of the limit, so the battery bounds it"),"blocked at 180°: Vmax there = "&amp;TEXT('4_All_periods'!H296,"0.00000")&amp;" pu"&amp;IF('4_All_periods'!H296&gt;=1.0999," → over-voltage limit is active"," → clear of the limit, so the battery bounds it")))</f>
        <v>blocked at 0°: Vmax there = 1.10000 pu → over-voltage limit is active</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97" priority="1">
      <formula>ISNUMBER(SEARCH("charge",$G7))</formula>
    </cfRule>
    <cfRule type="expression" dxfId="96"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8080"/>
    <pageSetUpPr fitToPage="1"/>
  </sheetPr>
  <dimension ref="A1:L577"/>
  <sheetViews>
    <sheetView showGridLines="0" zoomScale="95" workbookViewId="0">
      <pane xSplit="2" ySplit="1" topLeftCell="C14" activePane="bottomRight" state="frozen"/>
      <selection pane="topRight"/>
      <selection pane="bottomLeft"/>
      <selection pane="bottomRight"/>
    </sheetView>
  </sheetViews>
  <sheetFormatPr defaultRowHeight="15" x14ac:dyDescent="0.25"/>
  <cols>
    <col min="1" max="1" width="7" customWidth="1"/>
    <col min="2" max="2" width="8" customWidth="1"/>
    <col min="3" max="5" width="11" customWidth="1"/>
    <col min="6" max="7" width="10" customWidth="1"/>
    <col min="8" max="8" width="13" customWidth="1"/>
    <col min="9" max="10" width="11" customWidth="1"/>
    <col min="11" max="12" width="13" customWidth="1"/>
  </cols>
  <sheetData>
    <row r="1" spans="1:12" ht="30" customHeight="1" x14ac:dyDescent="0.25">
      <c r="A1" s="12" t="s">
        <v>21</v>
      </c>
      <c r="B1" s="12" t="s">
        <v>84</v>
      </c>
      <c r="C1" s="12" t="s">
        <v>24</v>
      </c>
      <c r="D1" s="12" t="s">
        <v>85</v>
      </c>
      <c r="E1" s="12" t="s">
        <v>86</v>
      </c>
      <c r="F1" s="12" t="s">
        <v>30</v>
      </c>
      <c r="G1" s="12" t="s">
        <v>32</v>
      </c>
      <c r="H1" s="12" t="s">
        <v>87</v>
      </c>
      <c r="I1" s="12" t="s">
        <v>88</v>
      </c>
      <c r="J1" s="12" t="s">
        <v>89</v>
      </c>
      <c r="K1" s="12" t="s">
        <v>90</v>
      </c>
      <c r="L1" s="12" t="s">
        <v>91</v>
      </c>
    </row>
    <row r="2" spans="1:12" x14ac:dyDescent="0.25">
      <c r="A2" s="21">
        <v>1</v>
      </c>
      <c r="B2" s="22" t="s">
        <v>92</v>
      </c>
      <c r="C2" s="23">
        <v>0</v>
      </c>
      <c r="D2" s="24">
        <v>0.77500000000000002</v>
      </c>
      <c r="E2" s="24">
        <v>8.5300000000000001E-2</v>
      </c>
      <c r="F2" s="25">
        <v>0.77500000000000002</v>
      </c>
      <c r="G2" s="26" t="s">
        <v>93</v>
      </c>
      <c r="H2" s="27">
        <v>1.02746</v>
      </c>
      <c r="I2" s="28">
        <v>0.5454</v>
      </c>
      <c r="J2" s="28">
        <v>0.112</v>
      </c>
      <c r="K2" s="29">
        <f t="shared" ref="K2:K65" si="0">D2-I2</f>
        <v>0.22960000000000003</v>
      </c>
      <c r="L2" s="29">
        <f t="shared" ref="L2:L65" si="1">E2-J2</f>
        <v>-2.6700000000000002E-2</v>
      </c>
    </row>
    <row r="3" spans="1:12" x14ac:dyDescent="0.25">
      <c r="A3" s="21">
        <v>1</v>
      </c>
      <c r="B3" s="22" t="s">
        <v>92</v>
      </c>
      <c r="C3" s="23">
        <v>30</v>
      </c>
      <c r="D3" s="24">
        <v>0.72850000000000004</v>
      </c>
      <c r="E3" s="24">
        <v>0.25330000000000003</v>
      </c>
      <c r="F3" s="25">
        <v>0.75749999999999995</v>
      </c>
      <c r="G3" s="26" t="s">
        <v>93</v>
      </c>
      <c r="H3" s="27">
        <v>1.0092099999999999</v>
      </c>
      <c r="I3" s="28">
        <v>0.5454</v>
      </c>
      <c r="J3" s="28">
        <v>0.112</v>
      </c>
      <c r="K3" s="29">
        <f t="shared" si="0"/>
        <v>0.18310000000000004</v>
      </c>
      <c r="L3" s="29">
        <f t="shared" si="1"/>
        <v>0.14130000000000004</v>
      </c>
    </row>
    <row r="4" spans="1:12" x14ac:dyDescent="0.25">
      <c r="A4" s="21">
        <v>1</v>
      </c>
      <c r="B4" s="22" t="s">
        <v>92</v>
      </c>
      <c r="C4" s="23">
        <v>60</v>
      </c>
      <c r="D4" s="24">
        <v>0.60729999999999995</v>
      </c>
      <c r="E4" s="24">
        <v>0.3755</v>
      </c>
      <c r="F4" s="25">
        <v>0.62880000000000003</v>
      </c>
      <c r="G4" s="26" t="s">
        <v>93</v>
      </c>
      <c r="H4" s="27">
        <v>1.00492</v>
      </c>
      <c r="I4" s="28">
        <v>0.5454</v>
      </c>
      <c r="J4" s="28">
        <v>0.112</v>
      </c>
      <c r="K4" s="29">
        <f t="shared" si="0"/>
        <v>6.1899999999999955E-2</v>
      </c>
      <c r="L4" s="29">
        <f t="shared" si="1"/>
        <v>0.26350000000000001</v>
      </c>
    </row>
    <row r="5" spans="1:12" x14ac:dyDescent="0.25">
      <c r="A5" s="21">
        <v>1</v>
      </c>
      <c r="B5" s="22" t="s">
        <v>92</v>
      </c>
      <c r="C5" s="23">
        <v>90</v>
      </c>
      <c r="D5" s="24">
        <v>0.45540000000000003</v>
      </c>
      <c r="E5" s="24">
        <v>0.41460000000000002</v>
      </c>
      <c r="F5" s="25">
        <v>0.41460000000000002</v>
      </c>
      <c r="G5" s="26" t="s">
        <v>93</v>
      </c>
      <c r="H5" s="27">
        <v>1.00925</v>
      </c>
      <c r="I5" s="28">
        <v>0.5454</v>
      </c>
      <c r="J5" s="28">
        <v>0.112</v>
      </c>
      <c r="K5" s="29">
        <f t="shared" si="0"/>
        <v>-8.9999999999999969E-2</v>
      </c>
      <c r="L5" s="29">
        <f t="shared" si="1"/>
        <v>0.30260000000000004</v>
      </c>
    </row>
    <row r="6" spans="1:12" x14ac:dyDescent="0.25">
      <c r="A6" s="21">
        <v>1</v>
      </c>
      <c r="B6" s="22" t="s">
        <v>92</v>
      </c>
      <c r="C6" s="23">
        <v>120</v>
      </c>
      <c r="D6" s="24">
        <v>0.2923</v>
      </c>
      <c r="E6" s="24">
        <v>0.37130000000000002</v>
      </c>
      <c r="F6" s="25">
        <v>0.1754</v>
      </c>
      <c r="G6" s="26" t="s">
        <v>93</v>
      </c>
      <c r="H6" s="27">
        <v>1.02738</v>
      </c>
      <c r="I6" s="28">
        <v>0.5454</v>
      </c>
      <c r="J6" s="28">
        <v>0.112</v>
      </c>
      <c r="K6" s="29">
        <f t="shared" si="0"/>
        <v>-0.25309999999999999</v>
      </c>
      <c r="L6" s="29">
        <f t="shared" si="1"/>
        <v>0.25930000000000003</v>
      </c>
    </row>
    <row r="7" spans="1:12" x14ac:dyDescent="0.25">
      <c r="A7" s="21">
        <v>1</v>
      </c>
      <c r="B7" s="22" t="s">
        <v>92</v>
      </c>
      <c r="C7" s="23">
        <v>150</v>
      </c>
      <c r="D7" s="24">
        <v>0.25779999999999997</v>
      </c>
      <c r="E7" s="24">
        <v>0.34770000000000001</v>
      </c>
      <c r="F7" s="25">
        <v>-4.9500000000000002E-2</v>
      </c>
      <c r="G7" s="26" t="s">
        <v>93</v>
      </c>
      <c r="H7" s="27">
        <v>1.0444500000000001</v>
      </c>
      <c r="I7" s="28">
        <v>0.5454</v>
      </c>
      <c r="J7" s="28">
        <v>0.112</v>
      </c>
      <c r="K7" s="29">
        <f t="shared" si="0"/>
        <v>-0.28760000000000002</v>
      </c>
      <c r="L7" s="29">
        <f t="shared" si="1"/>
        <v>0.23570000000000002</v>
      </c>
    </row>
    <row r="8" spans="1:12" x14ac:dyDescent="0.25">
      <c r="A8" s="21">
        <v>1</v>
      </c>
      <c r="B8" s="22" t="s">
        <v>92</v>
      </c>
      <c r="C8" s="23">
        <v>180</v>
      </c>
      <c r="D8" s="24">
        <v>0.25509999999999999</v>
      </c>
      <c r="E8" s="24">
        <v>-0.1119</v>
      </c>
      <c r="F8" s="25">
        <v>-0.25509999999999999</v>
      </c>
      <c r="G8" s="26" t="s">
        <v>93</v>
      </c>
      <c r="H8" s="27">
        <v>1.09999</v>
      </c>
      <c r="I8" s="28">
        <v>0.5454</v>
      </c>
      <c r="J8" s="28">
        <v>0.112</v>
      </c>
      <c r="K8" s="29">
        <f t="shared" si="0"/>
        <v>-0.2903</v>
      </c>
      <c r="L8" s="29">
        <f t="shared" si="1"/>
        <v>-0.22389999999999999</v>
      </c>
    </row>
    <row r="9" spans="1:12" x14ac:dyDescent="0.25">
      <c r="A9" s="21">
        <v>1</v>
      </c>
      <c r="B9" s="22" t="s">
        <v>92</v>
      </c>
      <c r="C9" s="23">
        <v>210</v>
      </c>
      <c r="D9" s="24">
        <v>0.26669999999999999</v>
      </c>
      <c r="E9" s="24">
        <v>-0.1651</v>
      </c>
      <c r="F9" s="25">
        <v>-0.1484</v>
      </c>
      <c r="G9" s="26" t="s">
        <v>93</v>
      </c>
      <c r="H9" s="27">
        <v>1.1000000000000001</v>
      </c>
      <c r="I9" s="28">
        <v>0.5454</v>
      </c>
      <c r="J9" s="28">
        <v>0.112</v>
      </c>
      <c r="K9" s="29">
        <f t="shared" si="0"/>
        <v>-0.2787</v>
      </c>
      <c r="L9" s="29">
        <f t="shared" si="1"/>
        <v>-0.27710000000000001</v>
      </c>
    </row>
    <row r="10" spans="1:12" x14ac:dyDescent="0.25">
      <c r="A10" s="21">
        <v>1</v>
      </c>
      <c r="B10" s="22" t="s">
        <v>92</v>
      </c>
      <c r="C10" s="23">
        <v>240</v>
      </c>
      <c r="D10" s="24">
        <v>0.30649999999999999</v>
      </c>
      <c r="E10" s="24">
        <v>-0.19400000000000001</v>
      </c>
      <c r="F10" s="25">
        <v>1.47E-2</v>
      </c>
      <c r="G10" s="26" t="s">
        <v>93</v>
      </c>
      <c r="H10" s="27">
        <v>1.1000000000000001</v>
      </c>
      <c r="I10" s="28">
        <v>0.5454</v>
      </c>
      <c r="J10" s="28">
        <v>0.112</v>
      </c>
      <c r="K10" s="29">
        <f t="shared" si="0"/>
        <v>-0.2389</v>
      </c>
      <c r="L10" s="29">
        <f t="shared" si="1"/>
        <v>-0.30599999999999999</v>
      </c>
    </row>
    <row r="11" spans="1:12" x14ac:dyDescent="0.25">
      <c r="A11" s="21">
        <v>1</v>
      </c>
      <c r="B11" s="22" t="s">
        <v>92</v>
      </c>
      <c r="C11" s="23">
        <v>270</v>
      </c>
      <c r="D11" s="24">
        <v>0.44679999999999997</v>
      </c>
      <c r="E11" s="24">
        <v>-0.22969999999999999</v>
      </c>
      <c r="F11" s="25">
        <v>0.22969999999999999</v>
      </c>
      <c r="G11" s="26" t="s">
        <v>93</v>
      </c>
      <c r="H11" s="27">
        <v>1.09527</v>
      </c>
      <c r="I11" s="28">
        <v>0.5454</v>
      </c>
      <c r="J11" s="28">
        <v>0.112</v>
      </c>
      <c r="K11" s="29">
        <f t="shared" si="0"/>
        <v>-9.8600000000000021E-2</v>
      </c>
      <c r="L11" s="29">
        <f t="shared" si="1"/>
        <v>-0.3417</v>
      </c>
    </row>
    <row r="12" spans="1:12" x14ac:dyDescent="0.25">
      <c r="A12" s="21">
        <v>1</v>
      </c>
      <c r="B12" s="22" t="s">
        <v>92</v>
      </c>
      <c r="C12" s="23">
        <v>300</v>
      </c>
      <c r="D12" s="24">
        <v>0.6119</v>
      </c>
      <c r="E12" s="24">
        <v>-0.18540000000000001</v>
      </c>
      <c r="F12" s="25">
        <v>0.46650000000000003</v>
      </c>
      <c r="G12" s="26" t="s">
        <v>93</v>
      </c>
      <c r="H12" s="27">
        <v>1.0752699999999999</v>
      </c>
      <c r="I12" s="28">
        <v>0.5454</v>
      </c>
      <c r="J12" s="28">
        <v>0.112</v>
      </c>
      <c r="K12" s="29">
        <f t="shared" si="0"/>
        <v>6.6500000000000004E-2</v>
      </c>
      <c r="L12" s="29">
        <f t="shared" si="1"/>
        <v>-0.2974</v>
      </c>
    </row>
    <row r="13" spans="1:12" x14ac:dyDescent="0.25">
      <c r="A13" s="30">
        <v>1</v>
      </c>
      <c r="B13" s="31" t="s">
        <v>92</v>
      </c>
      <c r="C13" s="32">
        <v>330</v>
      </c>
      <c r="D13" s="33">
        <v>0.73270000000000002</v>
      </c>
      <c r="E13" s="33">
        <v>-6.4699999999999994E-2</v>
      </c>
      <c r="F13" s="34">
        <v>0.66690000000000005</v>
      </c>
      <c r="G13" s="35" t="s">
        <v>93</v>
      </c>
      <c r="H13" s="36">
        <v>1.0467599999999999</v>
      </c>
      <c r="I13" s="37">
        <v>0.5454</v>
      </c>
      <c r="J13" s="37">
        <v>0.112</v>
      </c>
      <c r="K13" s="38">
        <f t="shared" si="0"/>
        <v>0.18730000000000002</v>
      </c>
      <c r="L13" s="38">
        <f t="shared" si="1"/>
        <v>-0.1767</v>
      </c>
    </row>
    <row r="14" spans="1:12" x14ac:dyDescent="0.25">
      <c r="A14" s="21">
        <v>2</v>
      </c>
      <c r="B14" s="22" t="s">
        <v>94</v>
      </c>
      <c r="C14" s="23">
        <v>0</v>
      </c>
      <c r="D14" s="24">
        <v>0.68510000000000004</v>
      </c>
      <c r="E14" s="24">
        <v>6.7599999999999993E-2</v>
      </c>
      <c r="F14" s="25">
        <v>0.68510000000000004</v>
      </c>
      <c r="G14" s="26" t="s">
        <v>93</v>
      </c>
      <c r="H14" s="27">
        <v>1.02833</v>
      </c>
      <c r="I14" s="28">
        <v>0.4511</v>
      </c>
      <c r="J14" s="28">
        <v>9.2399999999999996E-2</v>
      </c>
      <c r="K14" s="29">
        <f t="shared" si="0"/>
        <v>0.23400000000000004</v>
      </c>
      <c r="L14" s="29">
        <f t="shared" si="1"/>
        <v>-2.4800000000000003E-2</v>
      </c>
    </row>
    <row r="15" spans="1:12" x14ac:dyDescent="0.25">
      <c r="A15" s="21">
        <v>2</v>
      </c>
      <c r="B15" s="22" t="s">
        <v>94</v>
      </c>
      <c r="C15" s="23">
        <v>30</v>
      </c>
      <c r="D15" s="24">
        <v>0.63670000000000004</v>
      </c>
      <c r="E15" s="24">
        <v>0.2389</v>
      </c>
      <c r="F15" s="25">
        <v>0.67090000000000005</v>
      </c>
      <c r="G15" s="26" t="s">
        <v>93</v>
      </c>
      <c r="H15" s="27">
        <v>1.0098800000000001</v>
      </c>
      <c r="I15" s="28">
        <v>0.4511</v>
      </c>
      <c r="J15" s="28">
        <v>9.2399999999999996E-2</v>
      </c>
      <c r="K15" s="29">
        <f t="shared" si="0"/>
        <v>0.18560000000000004</v>
      </c>
      <c r="L15" s="29">
        <f t="shared" si="1"/>
        <v>0.14650000000000002</v>
      </c>
    </row>
    <row r="16" spans="1:12" x14ac:dyDescent="0.25">
      <c r="A16" s="21">
        <v>2</v>
      </c>
      <c r="B16" s="22" t="s">
        <v>94</v>
      </c>
      <c r="C16" s="23">
        <v>60</v>
      </c>
      <c r="D16" s="24">
        <v>0.52200000000000002</v>
      </c>
      <c r="E16" s="24">
        <v>0.35499999999999998</v>
      </c>
      <c r="F16" s="25">
        <v>0.56850000000000001</v>
      </c>
      <c r="G16" s="26" t="s">
        <v>93</v>
      </c>
      <c r="H16" s="27">
        <v>1.00519</v>
      </c>
      <c r="I16" s="28">
        <v>0.4511</v>
      </c>
      <c r="J16" s="28">
        <v>9.2399999999999996E-2</v>
      </c>
      <c r="K16" s="29">
        <f t="shared" si="0"/>
        <v>7.0900000000000019E-2</v>
      </c>
      <c r="L16" s="29">
        <f t="shared" si="1"/>
        <v>0.2626</v>
      </c>
    </row>
    <row r="17" spans="1:12" x14ac:dyDescent="0.25">
      <c r="A17" s="21">
        <v>2</v>
      </c>
      <c r="B17" s="22" t="s">
        <v>94</v>
      </c>
      <c r="C17" s="23">
        <v>90</v>
      </c>
      <c r="D17" s="24">
        <v>0.36459999999999998</v>
      </c>
      <c r="E17" s="24">
        <v>0.39629999999999999</v>
      </c>
      <c r="F17" s="25">
        <v>0.39629999999999999</v>
      </c>
      <c r="G17" s="26" t="s">
        <v>93</v>
      </c>
      <c r="H17" s="27">
        <v>1.00962</v>
      </c>
      <c r="I17" s="28">
        <v>0.4511</v>
      </c>
      <c r="J17" s="28">
        <v>9.2399999999999996E-2</v>
      </c>
      <c r="K17" s="29">
        <f t="shared" si="0"/>
        <v>-8.6500000000000021E-2</v>
      </c>
      <c r="L17" s="29">
        <f t="shared" si="1"/>
        <v>0.3039</v>
      </c>
    </row>
    <row r="18" spans="1:12" x14ac:dyDescent="0.25">
      <c r="A18" s="21">
        <v>2</v>
      </c>
      <c r="B18" s="22" t="s">
        <v>94</v>
      </c>
      <c r="C18" s="23">
        <v>120</v>
      </c>
      <c r="D18" s="24">
        <v>0.21010000000000001</v>
      </c>
      <c r="E18" s="24">
        <v>0.35649999999999998</v>
      </c>
      <c r="F18" s="25">
        <v>0.20369999999999999</v>
      </c>
      <c r="G18" s="26" t="s">
        <v>93</v>
      </c>
      <c r="H18" s="27">
        <v>1.02948</v>
      </c>
      <c r="I18" s="28">
        <v>0.4511</v>
      </c>
      <c r="J18" s="28">
        <v>9.2399999999999996E-2</v>
      </c>
      <c r="K18" s="29">
        <f t="shared" si="0"/>
        <v>-0.24099999999999999</v>
      </c>
      <c r="L18" s="29">
        <f t="shared" si="1"/>
        <v>0.2641</v>
      </c>
    </row>
    <row r="19" spans="1:12" x14ac:dyDescent="0.25">
      <c r="A19" s="21">
        <v>2</v>
      </c>
      <c r="B19" s="22" t="s">
        <v>94</v>
      </c>
      <c r="C19" s="23">
        <v>150</v>
      </c>
      <c r="D19" s="24">
        <v>0.187</v>
      </c>
      <c r="E19" s="24">
        <v>0.34129999999999999</v>
      </c>
      <c r="F19" s="25">
        <v>8.6999999999999994E-3</v>
      </c>
      <c r="G19" s="26" t="s">
        <v>93</v>
      </c>
      <c r="H19" s="27">
        <v>1.04165</v>
      </c>
      <c r="I19" s="28">
        <v>0.4511</v>
      </c>
      <c r="J19" s="28">
        <v>9.2399999999999996E-2</v>
      </c>
      <c r="K19" s="29">
        <f t="shared" si="0"/>
        <v>-0.2641</v>
      </c>
      <c r="L19" s="29">
        <f t="shared" si="1"/>
        <v>0.24890000000000001</v>
      </c>
    </row>
    <row r="20" spans="1:12" x14ac:dyDescent="0.25">
      <c r="A20" s="21">
        <v>2</v>
      </c>
      <c r="B20" s="22" t="s">
        <v>94</v>
      </c>
      <c r="C20" s="23">
        <v>180</v>
      </c>
      <c r="D20" s="24">
        <v>0.1845</v>
      </c>
      <c r="E20" s="24">
        <v>-0.14430000000000001</v>
      </c>
      <c r="F20" s="25">
        <v>-0.1845</v>
      </c>
      <c r="G20" s="26" t="s">
        <v>93</v>
      </c>
      <c r="H20" s="27">
        <v>1.1000000000000001</v>
      </c>
      <c r="I20" s="28">
        <v>0.4511</v>
      </c>
      <c r="J20" s="28">
        <v>9.2399999999999996E-2</v>
      </c>
      <c r="K20" s="29">
        <f t="shared" si="0"/>
        <v>-0.2666</v>
      </c>
      <c r="L20" s="29">
        <f t="shared" si="1"/>
        <v>-0.23670000000000002</v>
      </c>
    </row>
    <row r="21" spans="1:12" x14ac:dyDescent="0.25">
      <c r="A21" s="21">
        <v>2</v>
      </c>
      <c r="B21" s="22" t="s">
        <v>94</v>
      </c>
      <c r="C21" s="23">
        <v>210</v>
      </c>
      <c r="D21" s="24">
        <v>0.1963</v>
      </c>
      <c r="E21" s="24">
        <v>-0.1915</v>
      </c>
      <c r="F21" s="25">
        <v>-7.4200000000000002E-2</v>
      </c>
      <c r="G21" s="26" t="s">
        <v>93</v>
      </c>
      <c r="H21" s="27">
        <v>1.1000000000000001</v>
      </c>
      <c r="I21" s="28">
        <v>0.4511</v>
      </c>
      <c r="J21" s="28">
        <v>9.2399999999999996E-2</v>
      </c>
      <c r="K21" s="29">
        <f t="shared" si="0"/>
        <v>-0.25480000000000003</v>
      </c>
      <c r="L21" s="29">
        <f t="shared" si="1"/>
        <v>-0.28389999999999999</v>
      </c>
    </row>
    <row r="22" spans="1:12" x14ac:dyDescent="0.25">
      <c r="A22" s="21">
        <v>2</v>
      </c>
      <c r="B22" s="22" t="s">
        <v>94</v>
      </c>
      <c r="C22" s="23">
        <v>240</v>
      </c>
      <c r="D22" s="24">
        <v>0.22969999999999999</v>
      </c>
      <c r="E22" s="24">
        <v>-0.21540000000000001</v>
      </c>
      <c r="F22" s="25">
        <v>7.17E-2</v>
      </c>
      <c r="G22" s="26" t="s">
        <v>93</v>
      </c>
      <c r="H22" s="27">
        <v>1.1000000000000001</v>
      </c>
      <c r="I22" s="28">
        <v>0.4511</v>
      </c>
      <c r="J22" s="28">
        <v>9.2399999999999996E-2</v>
      </c>
      <c r="K22" s="29">
        <f t="shared" si="0"/>
        <v>-0.22140000000000001</v>
      </c>
      <c r="L22" s="29">
        <f t="shared" si="1"/>
        <v>-0.30780000000000002</v>
      </c>
    </row>
    <row r="23" spans="1:12" x14ac:dyDescent="0.25">
      <c r="A23" s="21">
        <v>2</v>
      </c>
      <c r="B23" s="22" t="s">
        <v>94</v>
      </c>
      <c r="C23" s="23">
        <v>270</v>
      </c>
      <c r="D23" s="24">
        <v>0.3579</v>
      </c>
      <c r="E23" s="24">
        <v>-0.2485</v>
      </c>
      <c r="F23" s="25">
        <v>0.2485</v>
      </c>
      <c r="G23" s="26" t="s">
        <v>93</v>
      </c>
      <c r="H23" s="27">
        <v>1.09883</v>
      </c>
      <c r="I23" s="28">
        <v>0.4511</v>
      </c>
      <c r="J23" s="28">
        <v>9.2399999999999996E-2</v>
      </c>
      <c r="K23" s="29">
        <f t="shared" si="0"/>
        <v>-9.3200000000000005E-2</v>
      </c>
      <c r="L23" s="29">
        <f t="shared" si="1"/>
        <v>-0.34089999999999998</v>
      </c>
    </row>
    <row r="24" spans="1:12" x14ac:dyDescent="0.25">
      <c r="A24" s="21">
        <v>2</v>
      </c>
      <c r="B24" s="22" t="s">
        <v>94</v>
      </c>
      <c r="C24" s="23">
        <v>300</v>
      </c>
      <c r="D24" s="24">
        <v>0.5222</v>
      </c>
      <c r="E24" s="24">
        <v>-0.2044</v>
      </c>
      <c r="F24" s="25">
        <v>0.43809999999999999</v>
      </c>
      <c r="G24" s="26" t="s">
        <v>93</v>
      </c>
      <c r="H24" s="27">
        <v>1.07883</v>
      </c>
      <c r="I24" s="28">
        <v>0.4511</v>
      </c>
      <c r="J24" s="28">
        <v>9.2399999999999996E-2</v>
      </c>
      <c r="K24" s="29">
        <f t="shared" si="0"/>
        <v>7.1099999999999997E-2</v>
      </c>
      <c r="L24" s="29">
        <f t="shared" si="1"/>
        <v>-0.29680000000000001</v>
      </c>
    </row>
    <row r="25" spans="1:12" x14ac:dyDescent="0.25">
      <c r="A25" s="30">
        <v>2</v>
      </c>
      <c r="B25" s="31" t="s">
        <v>94</v>
      </c>
      <c r="C25" s="32">
        <v>330</v>
      </c>
      <c r="D25" s="33">
        <v>0.64239999999999997</v>
      </c>
      <c r="E25" s="33">
        <v>-8.4199999999999997E-2</v>
      </c>
      <c r="F25" s="34">
        <v>0.59850000000000003</v>
      </c>
      <c r="G25" s="35" t="s">
        <v>93</v>
      </c>
      <c r="H25" s="36">
        <v>1.04819</v>
      </c>
      <c r="I25" s="37">
        <v>0.4511</v>
      </c>
      <c r="J25" s="37">
        <v>9.2399999999999996E-2</v>
      </c>
      <c r="K25" s="38">
        <f t="shared" si="0"/>
        <v>0.19129999999999997</v>
      </c>
      <c r="L25" s="38">
        <f t="shared" si="1"/>
        <v>-0.17659999999999998</v>
      </c>
    </row>
    <row r="26" spans="1:12" x14ac:dyDescent="0.25">
      <c r="A26" s="21">
        <v>3</v>
      </c>
      <c r="B26" s="22" t="s">
        <v>95</v>
      </c>
      <c r="C26" s="23">
        <v>0</v>
      </c>
      <c r="D26" s="24">
        <v>0.66900000000000004</v>
      </c>
      <c r="E26" s="24">
        <v>6.3100000000000003E-2</v>
      </c>
      <c r="F26" s="25">
        <v>0.66900000000000004</v>
      </c>
      <c r="G26" s="26" t="s">
        <v>93</v>
      </c>
      <c r="H26" s="27">
        <v>1.0293300000000001</v>
      </c>
      <c r="I26" s="28">
        <v>0.36120000000000002</v>
      </c>
      <c r="J26" s="28">
        <v>7.3899999999999993E-2</v>
      </c>
      <c r="K26" s="29">
        <f t="shared" si="0"/>
        <v>0.30780000000000002</v>
      </c>
      <c r="L26" s="29">
        <f t="shared" si="1"/>
        <v>-1.079999999999999E-2</v>
      </c>
    </row>
    <row r="27" spans="1:12" x14ac:dyDescent="0.25">
      <c r="A27" s="21">
        <v>3</v>
      </c>
      <c r="B27" s="22" t="s">
        <v>95</v>
      </c>
      <c r="C27" s="23">
        <v>30</v>
      </c>
      <c r="D27" s="24">
        <v>0.62060000000000004</v>
      </c>
      <c r="E27" s="24">
        <v>0.2354</v>
      </c>
      <c r="F27" s="25">
        <v>0.65510000000000002</v>
      </c>
      <c r="G27" s="26" t="s">
        <v>93</v>
      </c>
      <c r="H27" s="27">
        <v>1.01132</v>
      </c>
      <c r="I27" s="28">
        <v>0.36120000000000002</v>
      </c>
      <c r="J27" s="28">
        <v>7.3899999999999993E-2</v>
      </c>
      <c r="K27" s="29">
        <f t="shared" si="0"/>
        <v>0.25940000000000002</v>
      </c>
      <c r="L27" s="29">
        <f t="shared" si="1"/>
        <v>0.1615</v>
      </c>
    </row>
    <row r="28" spans="1:12" x14ac:dyDescent="0.25">
      <c r="A28" s="21">
        <v>3</v>
      </c>
      <c r="B28" s="22" t="s">
        <v>95</v>
      </c>
      <c r="C28" s="23">
        <v>60</v>
      </c>
      <c r="D28" s="24">
        <v>0.50370000000000004</v>
      </c>
      <c r="E28" s="24">
        <v>0.3528</v>
      </c>
      <c r="F28" s="25">
        <v>0.55740000000000001</v>
      </c>
      <c r="G28" s="26" t="s">
        <v>93</v>
      </c>
      <c r="H28" s="27">
        <v>1.00725</v>
      </c>
      <c r="I28" s="28">
        <v>0.36120000000000002</v>
      </c>
      <c r="J28" s="28">
        <v>7.3899999999999993E-2</v>
      </c>
      <c r="K28" s="29">
        <f t="shared" si="0"/>
        <v>0.14250000000000002</v>
      </c>
      <c r="L28" s="29">
        <f t="shared" si="1"/>
        <v>0.27890000000000004</v>
      </c>
    </row>
    <row r="29" spans="1:12" x14ac:dyDescent="0.25">
      <c r="A29" s="21">
        <v>3</v>
      </c>
      <c r="B29" s="22" t="s">
        <v>95</v>
      </c>
      <c r="C29" s="23">
        <v>90</v>
      </c>
      <c r="D29" s="24">
        <v>0.34849999999999998</v>
      </c>
      <c r="E29" s="24">
        <v>0.3931</v>
      </c>
      <c r="F29" s="25">
        <v>0.3931</v>
      </c>
      <c r="G29" s="26" t="s">
        <v>93</v>
      </c>
      <c r="H29" s="27">
        <v>1.01159</v>
      </c>
      <c r="I29" s="28">
        <v>0.36120000000000002</v>
      </c>
      <c r="J29" s="28">
        <v>7.3899999999999993E-2</v>
      </c>
      <c r="K29" s="29">
        <f t="shared" si="0"/>
        <v>-1.2700000000000045E-2</v>
      </c>
      <c r="L29" s="29">
        <f t="shared" si="1"/>
        <v>0.31920000000000004</v>
      </c>
    </row>
    <row r="30" spans="1:12" x14ac:dyDescent="0.25">
      <c r="A30" s="21">
        <v>3</v>
      </c>
      <c r="B30" s="22" t="s">
        <v>95</v>
      </c>
      <c r="C30" s="23">
        <v>120</v>
      </c>
      <c r="D30" s="24">
        <v>0.20039999999999999</v>
      </c>
      <c r="E30" s="24">
        <v>0.3553</v>
      </c>
      <c r="F30" s="25">
        <v>0.20749999999999999</v>
      </c>
      <c r="G30" s="26" t="s">
        <v>93</v>
      </c>
      <c r="H30" s="27">
        <v>1.02824</v>
      </c>
      <c r="I30" s="28">
        <v>0.36120000000000002</v>
      </c>
      <c r="J30" s="28">
        <v>7.3899999999999993E-2</v>
      </c>
      <c r="K30" s="29">
        <f t="shared" si="0"/>
        <v>-0.16080000000000003</v>
      </c>
      <c r="L30" s="29">
        <f t="shared" si="1"/>
        <v>0.28139999999999998</v>
      </c>
    </row>
    <row r="31" spans="1:12" x14ac:dyDescent="0.25">
      <c r="A31" s="21">
        <v>3</v>
      </c>
      <c r="B31" s="22" t="s">
        <v>95</v>
      </c>
      <c r="C31" s="23">
        <v>150</v>
      </c>
      <c r="D31" s="24">
        <v>0.1855</v>
      </c>
      <c r="E31" s="24">
        <v>0.34570000000000001</v>
      </c>
      <c r="F31" s="25">
        <v>1.2200000000000001E-2</v>
      </c>
      <c r="G31" s="26" t="s">
        <v>93</v>
      </c>
      <c r="H31" s="27">
        <v>1.0368200000000001</v>
      </c>
      <c r="I31" s="28">
        <v>0.36120000000000002</v>
      </c>
      <c r="J31" s="28">
        <v>7.3899999999999993E-2</v>
      </c>
      <c r="K31" s="29">
        <f t="shared" si="0"/>
        <v>-0.17570000000000002</v>
      </c>
      <c r="L31" s="29">
        <f t="shared" si="1"/>
        <v>0.27180000000000004</v>
      </c>
    </row>
    <row r="32" spans="1:12" x14ac:dyDescent="0.25">
      <c r="A32" s="21">
        <v>3</v>
      </c>
      <c r="B32" s="22" t="s">
        <v>95</v>
      </c>
      <c r="C32" s="23">
        <v>180</v>
      </c>
      <c r="D32" s="24">
        <v>0.18329999999999999</v>
      </c>
      <c r="E32" s="24">
        <v>-0.1595</v>
      </c>
      <c r="F32" s="25">
        <v>-0.18329999999999999</v>
      </c>
      <c r="G32" s="26" t="s">
        <v>93</v>
      </c>
      <c r="H32" s="27">
        <v>1.09999</v>
      </c>
      <c r="I32" s="28">
        <v>0.36120000000000002</v>
      </c>
      <c r="J32" s="28">
        <v>7.3899999999999993E-2</v>
      </c>
      <c r="K32" s="29">
        <f t="shared" si="0"/>
        <v>-0.17790000000000003</v>
      </c>
      <c r="L32" s="29">
        <f t="shared" si="1"/>
        <v>-0.2334</v>
      </c>
    </row>
    <row r="33" spans="1:12" x14ac:dyDescent="0.25">
      <c r="A33" s="21">
        <v>3</v>
      </c>
      <c r="B33" s="22" t="s">
        <v>95</v>
      </c>
      <c r="C33" s="23">
        <v>210</v>
      </c>
      <c r="D33" s="24">
        <v>0.19409999999999999</v>
      </c>
      <c r="E33" s="24">
        <v>-0.2041</v>
      </c>
      <c r="F33" s="25">
        <v>-6.6000000000000003E-2</v>
      </c>
      <c r="G33" s="26" t="s">
        <v>93</v>
      </c>
      <c r="H33" s="27">
        <v>1.1000000000000001</v>
      </c>
      <c r="I33" s="28">
        <v>0.36120000000000002</v>
      </c>
      <c r="J33" s="28">
        <v>7.3899999999999993E-2</v>
      </c>
      <c r="K33" s="29">
        <f t="shared" si="0"/>
        <v>-0.16710000000000003</v>
      </c>
      <c r="L33" s="29">
        <f t="shared" si="1"/>
        <v>-0.27800000000000002</v>
      </c>
    </row>
    <row r="34" spans="1:12" x14ac:dyDescent="0.25">
      <c r="A34" s="21">
        <v>3</v>
      </c>
      <c r="B34" s="22" t="s">
        <v>95</v>
      </c>
      <c r="C34" s="23">
        <v>240</v>
      </c>
      <c r="D34" s="24">
        <v>0.21679999999999999</v>
      </c>
      <c r="E34" s="24">
        <v>-0.22009999999999999</v>
      </c>
      <c r="F34" s="25">
        <v>8.2199999999999995E-2</v>
      </c>
      <c r="G34" s="26" t="s">
        <v>93</v>
      </c>
      <c r="H34" s="27">
        <v>1.1000000000000001</v>
      </c>
      <c r="I34" s="28">
        <v>0.36120000000000002</v>
      </c>
      <c r="J34" s="28">
        <v>7.3899999999999993E-2</v>
      </c>
      <c r="K34" s="29">
        <f t="shared" si="0"/>
        <v>-0.14440000000000003</v>
      </c>
      <c r="L34" s="29">
        <f t="shared" si="1"/>
        <v>-0.29399999999999998</v>
      </c>
    </row>
    <row r="35" spans="1:12" x14ac:dyDescent="0.25">
      <c r="A35" s="21">
        <v>3</v>
      </c>
      <c r="B35" s="22" t="s">
        <v>95</v>
      </c>
      <c r="C35" s="23">
        <v>270</v>
      </c>
      <c r="D35" s="24">
        <v>0.34229999999999999</v>
      </c>
      <c r="E35" s="24">
        <v>-0.25180000000000002</v>
      </c>
      <c r="F35" s="25">
        <v>0.25180000000000002</v>
      </c>
      <c r="G35" s="26" t="s">
        <v>93</v>
      </c>
      <c r="H35" s="27">
        <v>1.09616</v>
      </c>
      <c r="I35" s="28">
        <v>0.36120000000000002</v>
      </c>
      <c r="J35" s="28">
        <v>7.3899999999999993E-2</v>
      </c>
      <c r="K35" s="29">
        <f t="shared" si="0"/>
        <v>-1.8900000000000028E-2</v>
      </c>
      <c r="L35" s="29">
        <f t="shared" si="1"/>
        <v>-0.32569999999999999</v>
      </c>
    </row>
    <row r="36" spans="1:12" x14ac:dyDescent="0.25">
      <c r="A36" s="21">
        <v>3</v>
      </c>
      <c r="B36" s="22" t="s">
        <v>95</v>
      </c>
      <c r="C36" s="23">
        <v>300</v>
      </c>
      <c r="D36" s="24">
        <v>0.50639999999999996</v>
      </c>
      <c r="E36" s="24">
        <v>-0.2077</v>
      </c>
      <c r="F36" s="25">
        <v>0.43309999999999998</v>
      </c>
      <c r="G36" s="26" t="s">
        <v>93</v>
      </c>
      <c r="H36" s="27">
        <v>1.0785499999999999</v>
      </c>
      <c r="I36" s="28">
        <v>0.36120000000000002</v>
      </c>
      <c r="J36" s="28">
        <v>7.3899999999999993E-2</v>
      </c>
      <c r="K36" s="29">
        <f t="shared" si="0"/>
        <v>0.14519999999999994</v>
      </c>
      <c r="L36" s="29">
        <f t="shared" si="1"/>
        <v>-0.28159999999999996</v>
      </c>
    </row>
    <row r="37" spans="1:12" x14ac:dyDescent="0.25">
      <c r="A37" s="30">
        <v>3</v>
      </c>
      <c r="B37" s="31" t="s">
        <v>95</v>
      </c>
      <c r="C37" s="32">
        <v>330</v>
      </c>
      <c r="D37" s="33">
        <v>0.62660000000000005</v>
      </c>
      <c r="E37" s="33">
        <v>-8.77E-2</v>
      </c>
      <c r="F37" s="34">
        <v>0.58650000000000002</v>
      </c>
      <c r="G37" s="35" t="s">
        <v>93</v>
      </c>
      <c r="H37" s="36">
        <v>1.04863</v>
      </c>
      <c r="I37" s="37">
        <v>0.36120000000000002</v>
      </c>
      <c r="J37" s="37">
        <v>7.3899999999999993E-2</v>
      </c>
      <c r="K37" s="38">
        <f t="shared" si="0"/>
        <v>0.26540000000000002</v>
      </c>
      <c r="L37" s="38">
        <f t="shared" si="1"/>
        <v>-0.16159999999999999</v>
      </c>
    </row>
    <row r="38" spans="1:12" x14ac:dyDescent="0.25">
      <c r="A38" s="21">
        <v>4</v>
      </c>
      <c r="B38" s="22" t="s">
        <v>96</v>
      </c>
      <c r="C38" s="23">
        <v>0</v>
      </c>
      <c r="D38" s="24">
        <v>0.63800000000000001</v>
      </c>
      <c r="E38" s="24">
        <v>5.6099999999999997E-2</v>
      </c>
      <c r="F38" s="25">
        <v>0.63800000000000001</v>
      </c>
      <c r="G38" s="26" t="s">
        <v>93</v>
      </c>
      <c r="H38" s="27">
        <v>1.02925</v>
      </c>
      <c r="I38" s="28">
        <v>0.3453</v>
      </c>
      <c r="J38" s="28">
        <v>7.0699999999999999E-2</v>
      </c>
      <c r="K38" s="29">
        <f t="shared" si="0"/>
        <v>0.29270000000000002</v>
      </c>
      <c r="L38" s="29">
        <f t="shared" si="1"/>
        <v>-1.4600000000000002E-2</v>
      </c>
    </row>
    <row r="39" spans="1:12" x14ac:dyDescent="0.25">
      <c r="A39" s="21">
        <v>4</v>
      </c>
      <c r="B39" s="22" t="s">
        <v>96</v>
      </c>
      <c r="C39" s="23">
        <v>30</v>
      </c>
      <c r="D39" s="24">
        <v>0.58940000000000003</v>
      </c>
      <c r="E39" s="24">
        <v>0.2293</v>
      </c>
      <c r="F39" s="25">
        <v>0.62509999999999999</v>
      </c>
      <c r="G39" s="26" t="s">
        <v>93</v>
      </c>
      <c r="H39" s="27">
        <v>1.0123599999999999</v>
      </c>
      <c r="I39" s="28">
        <v>0.3453</v>
      </c>
      <c r="J39" s="28">
        <v>7.0699999999999999E-2</v>
      </c>
      <c r="K39" s="29">
        <f t="shared" si="0"/>
        <v>0.24410000000000004</v>
      </c>
      <c r="L39" s="29">
        <f t="shared" si="1"/>
        <v>0.15860000000000002</v>
      </c>
    </row>
    <row r="40" spans="1:12" x14ac:dyDescent="0.25">
      <c r="A40" s="21">
        <v>4</v>
      </c>
      <c r="B40" s="22" t="s">
        <v>96</v>
      </c>
      <c r="C40" s="23">
        <v>60</v>
      </c>
      <c r="D40" s="24">
        <v>0.47389999999999999</v>
      </c>
      <c r="E40" s="24">
        <v>0.34589999999999999</v>
      </c>
      <c r="F40" s="25">
        <v>0.53649999999999998</v>
      </c>
      <c r="G40" s="26" t="s">
        <v>93</v>
      </c>
      <c r="H40" s="27">
        <v>1.0081899999999999</v>
      </c>
      <c r="I40" s="28">
        <v>0.3453</v>
      </c>
      <c r="J40" s="28">
        <v>7.0699999999999999E-2</v>
      </c>
      <c r="K40" s="29">
        <f t="shared" si="0"/>
        <v>0.12859999999999999</v>
      </c>
      <c r="L40" s="29">
        <f t="shared" si="1"/>
        <v>0.2752</v>
      </c>
    </row>
    <row r="41" spans="1:12" x14ac:dyDescent="0.25">
      <c r="A41" s="21">
        <v>4</v>
      </c>
      <c r="B41" s="22" t="s">
        <v>96</v>
      </c>
      <c r="C41" s="23">
        <v>90</v>
      </c>
      <c r="D41" s="24">
        <v>0.31759999999999999</v>
      </c>
      <c r="E41" s="24">
        <v>0.38679999999999998</v>
      </c>
      <c r="F41" s="25">
        <v>0.38679999999999998</v>
      </c>
      <c r="G41" s="26" t="s">
        <v>93</v>
      </c>
      <c r="H41" s="27">
        <v>1.0126200000000001</v>
      </c>
      <c r="I41" s="28">
        <v>0.3453</v>
      </c>
      <c r="J41" s="28">
        <v>7.0699999999999999E-2</v>
      </c>
      <c r="K41" s="29">
        <f t="shared" si="0"/>
        <v>-2.7700000000000002E-2</v>
      </c>
      <c r="L41" s="29">
        <f t="shared" si="1"/>
        <v>0.31609999999999999</v>
      </c>
    </row>
    <row r="42" spans="1:12" x14ac:dyDescent="0.25">
      <c r="A42" s="21">
        <v>4</v>
      </c>
      <c r="B42" s="22" t="s">
        <v>96</v>
      </c>
      <c r="C42" s="23">
        <v>120</v>
      </c>
      <c r="D42" s="24">
        <v>0.17510000000000001</v>
      </c>
      <c r="E42" s="24">
        <v>0.35099999999999998</v>
      </c>
      <c r="F42" s="25">
        <v>0.21640000000000001</v>
      </c>
      <c r="G42" s="26" t="s">
        <v>93</v>
      </c>
      <c r="H42" s="27">
        <v>1.02664</v>
      </c>
      <c r="I42" s="28">
        <v>0.3453</v>
      </c>
      <c r="J42" s="28">
        <v>7.0699999999999999E-2</v>
      </c>
      <c r="K42" s="29">
        <f t="shared" si="0"/>
        <v>-0.17019999999999999</v>
      </c>
      <c r="L42" s="29">
        <f t="shared" si="1"/>
        <v>0.28029999999999999</v>
      </c>
    </row>
    <row r="43" spans="1:12" x14ac:dyDescent="0.25">
      <c r="A43" s="21">
        <v>4</v>
      </c>
      <c r="B43" s="22" t="s">
        <v>96</v>
      </c>
      <c r="C43" s="23">
        <v>150</v>
      </c>
      <c r="D43" s="24">
        <v>0.16700000000000001</v>
      </c>
      <c r="E43" s="24">
        <v>0.34589999999999999</v>
      </c>
      <c r="F43" s="25">
        <v>2.8299999999999999E-2</v>
      </c>
      <c r="G43" s="26" t="s">
        <v>93</v>
      </c>
      <c r="H43" s="27">
        <v>1.0309600000000001</v>
      </c>
      <c r="I43" s="28">
        <v>0.3453</v>
      </c>
      <c r="J43" s="28">
        <v>7.0699999999999999E-2</v>
      </c>
      <c r="K43" s="29">
        <f t="shared" si="0"/>
        <v>-0.17829999999999999</v>
      </c>
      <c r="L43" s="29">
        <f t="shared" si="1"/>
        <v>0.2752</v>
      </c>
    </row>
    <row r="44" spans="1:12" x14ac:dyDescent="0.25">
      <c r="A44" s="21">
        <v>4</v>
      </c>
      <c r="B44" s="22" t="s">
        <v>96</v>
      </c>
      <c r="C44" s="23">
        <v>180</v>
      </c>
      <c r="D44" s="24">
        <v>0.1648</v>
      </c>
      <c r="E44" s="24">
        <v>-0.18049999999999999</v>
      </c>
      <c r="F44" s="25">
        <v>-0.1648</v>
      </c>
      <c r="G44" s="26" t="s">
        <v>93</v>
      </c>
      <c r="H44" s="27">
        <v>1.1000000000000001</v>
      </c>
      <c r="I44" s="28">
        <v>0.3453</v>
      </c>
      <c r="J44" s="28">
        <v>7.0699999999999999E-2</v>
      </c>
      <c r="K44" s="29">
        <f t="shared" si="0"/>
        <v>-0.18049999999999999</v>
      </c>
      <c r="L44" s="29">
        <f t="shared" si="1"/>
        <v>-0.25119999999999998</v>
      </c>
    </row>
    <row r="45" spans="1:12" x14ac:dyDescent="0.25">
      <c r="A45" s="21">
        <v>4</v>
      </c>
      <c r="B45" s="22" t="s">
        <v>96</v>
      </c>
      <c r="C45" s="23">
        <v>210</v>
      </c>
      <c r="D45" s="24">
        <v>0.17399999999999999</v>
      </c>
      <c r="E45" s="24">
        <v>-0.2157</v>
      </c>
      <c r="F45" s="25">
        <v>-4.2900000000000001E-2</v>
      </c>
      <c r="G45" s="26" t="s">
        <v>93</v>
      </c>
      <c r="H45" s="27">
        <v>1.1000000000000001</v>
      </c>
      <c r="I45" s="28">
        <v>0.3453</v>
      </c>
      <c r="J45" s="28">
        <v>7.0699999999999999E-2</v>
      </c>
      <c r="K45" s="29">
        <f t="shared" si="0"/>
        <v>-0.17130000000000001</v>
      </c>
      <c r="L45" s="29">
        <f t="shared" si="1"/>
        <v>-0.28639999999999999</v>
      </c>
    </row>
    <row r="46" spans="1:12" x14ac:dyDescent="0.25">
      <c r="A46" s="21">
        <v>4</v>
      </c>
      <c r="B46" s="22" t="s">
        <v>96</v>
      </c>
      <c r="C46" s="23">
        <v>240</v>
      </c>
      <c r="D46" s="24">
        <v>0.1923</v>
      </c>
      <c r="E46" s="24">
        <v>-0.22850000000000001</v>
      </c>
      <c r="F46" s="25">
        <v>0.1017</v>
      </c>
      <c r="G46" s="26" t="s">
        <v>93</v>
      </c>
      <c r="H46" s="27">
        <v>1.1000000000000001</v>
      </c>
      <c r="I46" s="28">
        <v>0.3453</v>
      </c>
      <c r="J46" s="28">
        <v>7.0699999999999999E-2</v>
      </c>
      <c r="K46" s="29">
        <f t="shared" si="0"/>
        <v>-0.153</v>
      </c>
      <c r="L46" s="29">
        <f t="shared" si="1"/>
        <v>-0.29920000000000002</v>
      </c>
    </row>
    <row r="47" spans="1:12" x14ac:dyDescent="0.25">
      <c r="A47" s="21">
        <v>4</v>
      </c>
      <c r="B47" s="22" t="s">
        <v>96</v>
      </c>
      <c r="C47" s="23">
        <v>270</v>
      </c>
      <c r="D47" s="24">
        <v>0.31159999999999999</v>
      </c>
      <c r="E47" s="24">
        <v>-0.25819999999999999</v>
      </c>
      <c r="F47" s="25">
        <v>0.25819999999999999</v>
      </c>
      <c r="G47" s="26" t="s">
        <v>93</v>
      </c>
      <c r="H47" s="27">
        <v>1.09823</v>
      </c>
      <c r="I47" s="28">
        <v>0.3453</v>
      </c>
      <c r="J47" s="28">
        <v>7.0699999999999999E-2</v>
      </c>
      <c r="K47" s="29">
        <f t="shared" si="0"/>
        <v>-3.3700000000000008E-2</v>
      </c>
      <c r="L47" s="29">
        <f t="shared" si="1"/>
        <v>-0.32889999999999997</v>
      </c>
    </row>
    <row r="48" spans="1:12" x14ac:dyDescent="0.25">
      <c r="A48" s="21">
        <v>4</v>
      </c>
      <c r="B48" s="22" t="s">
        <v>96</v>
      </c>
      <c r="C48" s="23">
        <v>300</v>
      </c>
      <c r="D48" s="24">
        <v>0.47560000000000002</v>
      </c>
      <c r="E48" s="24">
        <v>-0.2142</v>
      </c>
      <c r="F48" s="25">
        <v>0.42330000000000001</v>
      </c>
      <c r="G48" s="26" t="s">
        <v>93</v>
      </c>
      <c r="H48" s="27">
        <v>1.0784800000000001</v>
      </c>
      <c r="I48" s="28">
        <v>0.3453</v>
      </c>
      <c r="J48" s="28">
        <v>7.0699999999999999E-2</v>
      </c>
      <c r="K48" s="29">
        <f t="shared" si="0"/>
        <v>0.13030000000000003</v>
      </c>
      <c r="L48" s="29">
        <f t="shared" si="1"/>
        <v>-0.28489999999999999</v>
      </c>
    </row>
    <row r="49" spans="1:12" x14ac:dyDescent="0.25">
      <c r="A49" s="30">
        <v>4</v>
      </c>
      <c r="B49" s="31" t="s">
        <v>96</v>
      </c>
      <c r="C49" s="32">
        <v>330</v>
      </c>
      <c r="D49" s="33">
        <v>0.59570000000000001</v>
      </c>
      <c r="E49" s="33">
        <v>-9.4200000000000006E-2</v>
      </c>
      <c r="F49" s="34">
        <v>0.56299999999999994</v>
      </c>
      <c r="G49" s="35" t="s">
        <v>93</v>
      </c>
      <c r="H49" s="36">
        <v>1.04854</v>
      </c>
      <c r="I49" s="37">
        <v>0.3453</v>
      </c>
      <c r="J49" s="37">
        <v>7.0699999999999999E-2</v>
      </c>
      <c r="K49" s="38">
        <f t="shared" si="0"/>
        <v>0.25040000000000001</v>
      </c>
      <c r="L49" s="38">
        <f t="shared" si="1"/>
        <v>-0.16489999999999999</v>
      </c>
    </row>
    <row r="50" spans="1:12" x14ac:dyDescent="0.25">
      <c r="A50" s="21">
        <v>5</v>
      </c>
      <c r="B50" s="22" t="s">
        <v>97</v>
      </c>
      <c r="C50" s="23">
        <v>0</v>
      </c>
      <c r="D50" s="24">
        <v>0.62929999999999997</v>
      </c>
      <c r="E50" s="24">
        <v>5.5500000000000001E-2</v>
      </c>
      <c r="F50" s="25">
        <v>0.62929999999999997</v>
      </c>
      <c r="G50" s="26" t="s">
        <v>93</v>
      </c>
      <c r="H50" s="27">
        <v>1.0297700000000001</v>
      </c>
      <c r="I50" s="28">
        <v>0.31459999999999999</v>
      </c>
      <c r="J50" s="28">
        <v>6.4299999999999996E-2</v>
      </c>
      <c r="K50" s="29">
        <f t="shared" si="0"/>
        <v>0.31469999999999998</v>
      </c>
      <c r="L50" s="29">
        <f t="shared" si="1"/>
        <v>-8.7999999999999953E-3</v>
      </c>
    </row>
    <row r="51" spans="1:12" x14ac:dyDescent="0.25">
      <c r="A51" s="21">
        <v>5</v>
      </c>
      <c r="B51" s="22" t="s">
        <v>97</v>
      </c>
      <c r="C51" s="23">
        <v>30</v>
      </c>
      <c r="D51" s="24">
        <v>0.58089999999999997</v>
      </c>
      <c r="E51" s="24">
        <v>0.2273</v>
      </c>
      <c r="F51" s="25">
        <v>0.61670000000000003</v>
      </c>
      <c r="G51" s="26" t="s">
        <v>93</v>
      </c>
      <c r="H51" s="27">
        <v>1.0130999999999999</v>
      </c>
      <c r="I51" s="28">
        <v>0.31459999999999999</v>
      </c>
      <c r="J51" s="28">
        <v>6.4299999999999996E-2</v>
      </c>
      <c r="K51" s="29">
        <f t="shared" si="0"/>
        <v>0.26629999999999998</v>
      </c>
      <c r="L51" s="29">
        <f t="shared" si="1"/>
        <v>0.16300000000000001</v>
      </c>
    </row>
    <row r="52" spans="1:12" x14ac:dyDescent="0.25">
      <c r="A52" s="21">
        <v>5</v>
      </c>
      <c r="B52" s="22" t="s">
        <v>97</v>
      </c>
      <c r="C52" s="23">
        <v>60</v>
      </c>
      <c r="D52" s="24">
        <v>0.46529999999999999</v>
      </c>
      <c r="E52" s="24">
        <v>0.34399999999999997</v>
      </c>
      <c r="F52" s="25">
        <v>0.53059999999999996</v>
      </c>
      <c r="G52" s="26" t="s">
        <v>93</v>
      </c>
      <c r="H52" s="27">
        <v>1.0089999999999999</v>
      </c>
      <c r="I52" s="28">
        <v>0.31459999999999999</v>
      </c>
      <c r="J52" s="28">
        <v>6.4299999999999996E-2</v>
      </c>
      <c r="K52" s="29">
        <f t="shared" si="0"/>
        <v>0.1507</v>
      </c>
      <c r="L52" s="29">
        <f t="shared" si="1"/>
        <v>0.27969999999999995</v>
      </c>
    </row>
    <row r="53" spans="1:12" x14ac:dyDescent="0.25">
      <c r="A53" s="21">
        <v>5</v>
      </c>
      <c r="B53" s="22" t="s">
        <v>97</v>
      </c>
      <c r="C53" s="23">
        <v>90</v>
      </c>
      <c r="D53" s="24">
        <v>0.30840000000000001</v>
      </c>
      <c r="E53" s="24">
        <v>0.3851</v>
      </c>
      <c r="F53" s="25">
        <v>0.3851</v>
      </c>
      <c r="G53" s="26" t="s">
        <v>93</v>
      </c>
      <c r="H53" s="27">
        <v>1.0134000000000001</v>
      </c>
      <c r="I53" s="28">
        <v>0.31459999999999999</v>
      </c>
      <c r="J53" s="28">
        <v>6.4299999999999996E-2</v>
      </c>
      <c r="K53" s="29">
        <f t="shared" si="0"/>
        <v>-6.1999999999999833E-3</v>
      </c>
      <c r="L53" s="29">
        <f t="shared" si="1"/>
        <v>0.32079999999999997</v>
      </c>
    </row>
    <row r="54" spans="1:12" x14ac:dyDescent="0.25">
      <c r="A54" s="21">
        <v>5</v>
      </c>
      <c r="B54" s="22" t="s">
        <v>97</v>
      </c>
      <c r="C54" s="23">
        <v>120</v>
      </c>
      <c r="D54" s="24">
        <v>0.1734</v>
      </c>
      <c r="E54" s="24">
        <v>0.35260000000000002</v>
      </c>
      <c r="F54" s="25">
        <v>0.21859999999999999</v>
      </c>
      <c r="G54" s="26" t="s">
        <v>93</v>
      </c>
      <c r="H54" s="27">
        <v>1.0260499999999999</v>
      </c>
      <c r="I54" s="28">
        <v>0.31459999999999999</v>
      </c>
      <c r="J54" s="28">
        <v>6.4299999999999996E-2</v>
      </c>
      <c r="K54" s="29">
        <f t="shared" si="0"/>
        <v>-0.14119999999999999</v>
      </c>
      <c r="L54" s="29">
        <f t="shared" si="1"/>
        <v>0.2883</v>
      </c>
    </row>
    <row r="55" spans="1:12" x14ac:dyDescent="0.25">
      <c r="A55" s="21">
        <v>5</v>
      </c>
      <c r="B55" s="22" t="s">
        <v>97</v>
      </c>
      <c r="C55" s="23">
        <v>150</v>
      </c>
      <c r="D55" s="24">
        <v>0.16930000000000001</v>
      </c>
      <c r="E55" s="24">
        <v>0.35</v>
      </c>
      <c r="F55" s="25">
        <v>2.8400000000000002E-2</v>
      </c>
      <c r="G55" s="26" t="s">
        <v>93</v>
      </c>
      <c r="H55" s="27">
        <v>1.02813</v>
      </c>
      <c r="I55" s="28">
        <v>0.31459999999999999</v>
      </c>
      <c r="J55" s="28">
        <v>6.4299999999999996E-2</v>
      </c>
      <c r="K55" s="29">
        <f t="shared" si="0"/>
        <v>-0.14529999999999998</v>
      </c>
      <c r="L55" s="29">
        <f t="shared" si="1"/>
        <v>0.28569999999999995</v>
      </c>
    </row>
    <row r="56" spans="1:12" x14ac:dyDescent="0.25">
      <c r="A56" s="21">
        <v>5</v>
      </c>
      <c r="B56" s="22" t="s">
        <v>97</v>
      </c>
      <c r="C56" s="23">
        <v>180</v>
      </c>
      <c r="D56" s="24">
        <v>0.16719999999999999</v>
      </c>
      <c r="E56" s="24">
        <v>-0.18859999999999999</v>
      </c>
      <c r="F56" s="25">
        <v>-0.16719999999999999</v>
      </c>
      <c r="G56" s="26" t="s">
        <v>93</v>
      </c>
      <c r="H56" s="27">
        <v>1.09999</v>
      </c>
      <c r="I56" s="28">
        <v>0.31459999999999999</v>
      </c>
      <c r="J56" s="28">
        <v>6.4299999999999996E-2</v>
      </c>
      <c r="K56" s="29">
        <f t="shared" si="0"/>
        <v>-0.1474</v>
      </c>
      <c r="L56" s="29">
        <f t="shared" si="1"/>
        <v>-0.25290000000000001</v>
      </c>
    </row>
    <row r="57" spans="1:12" x14ac:dyDescent="0.25">
      <c r="A57" s="21">
        <v>5</v>
      </c>
      <c r="B57" s="22" t="s">
        <v>97</v>
      </c>
      <c r="C57" s="23">
        <v>210</v>
      </c>
      <c r="D57" s="24">
        <v>0.1762</v>
      </c>
      <c r="E57" s="24">
        <v>-0.22309999999999999</v>
      </c>
      <c r="F57" s="25">
        <v>-4.1099999999999998E-2</v>
      </c>
      <c r="G57" s="26" t="s">
        <v>93</v>
      </c>
      <c r="H57" s="27">
        <v>1.1000000000000001</v>
      </c>
      <c r="I57" s="28">
        <v>0.31459999999999999</v>
      </c>
      <c r="J57" s="28">
        <v>6.4299999999999996E-2</v>
      </c>
      <c r="K57" s="29">
        <f t="shared" si="0"/>
        <v>-0.1384</v>
      </c>
      <c r="L57" s="29">
        <f t="shared" si="1"/>
        <v>-0.28739999999999999</v>
      </c>
    </row>
    <row r="58" spans="1:12" x14ac:dyDescent="0.25">
      <c r="A58" s="21">
        <v>5</v>
      </c>
      <c r="B58" s="22" t="s">
        <v>97</v>
      </c>
      <c r="C58" s="23">
        <v>240</v>
      </c>
      <c r="D58" s="24">
        <v>0.1915</v>
      </c>
      <c r="E58" s="24">
        <v>-0.23369999999999999</v>
      </c>
      <c r="F58" s="25">
        <v>0.1067</v>
      </c>
      <c r="G58" s="26" t="s">
        <v>93</v>
      </c>
      <c r="H58" s="27">
        <v>1.1000000000000001</v>
      </c>
      <c r="I58" s="28">
        <v>0.31459999999999999</v>
      </c>
      <c r="J58" s="28">
        <v>6.4299999999999996E-2</v>
      </c>
      <c r="K58" s="29">
        <f t="shared" si="0"/>
        <v>-0.12309999999999999</v>
      </c>
      <c r="L58" s="29">
        <f t="shared" si="1"/>
        <v>-0.29799999999999999</v>
      </c>
    </row>
    <row r="59" spans="1:12" x14ac:dyDescent="0.25">
      <c r="A59" s="21">
        <v>5</v>
      </c>
      <c r="B59" s="22" t="s">
        <v>97</v>
      </c>
      <c r="C59" s="23">
        <v>270</v>
      </c>
      <c r="D59" s="24">
        <v>0.30280000000000001</v>
      </c>
      <c r="E59" s="24">
        <v>-0.2601</v>
      </c>
      <c r="F59" s="25">
        <v>0.2601</v>
      </c>
      <c r="G59" s="26" t="s">
        <v>93</v>
      </c>
      <c r="H59" s="27">
        <v>1.0973999999999999</v>
      </c>
      <c r="I59" s="28">
        <v>0.31459999999999999</v>
      </c>
      <c r="J59" s="28">
        <v>6.4299999999999996E-2</v>
      </c>
      <c r="K59" s="29">
        <f t="shared" si="0"/>
        <v>-1.1799999999999977E-2</v>
      </c>
      <c r="L59" s="29">
        <f t="shared" si="1"/>
        <v>-0.32440000000000002</v>
      </c>
    </row>
    <row r="60" spans="1:12" x14ac:dyDescent="0.25">
      <c r="A60" s="21">
        <v>5</v>
      </c>
      <c r="B60" s="22" t="s">
        <v>97</v>
      </c>
      <c r="C60" s="23">
        <v>300</v>
      </c>
      <c r="D60" s="24">
        <v>0.4667</v>
      </c>
      <c r="E60" s="24">
        <v>-0.21609999999999999</v>
      </c>
      <c r="F60" s="25">
        <v>0.42049999999999998</v>
      </c>
      <c r="G60" s="26" t="s">
        <v>93</v>
      </c>
      <c r="H60" s="27">
        <v>1.0790599999999999</v>
      </c>
      <c r="I60" s="28">
        <v>0.31459999999999999</v>
      </c>
      <c r="J60" s="28">
        <v>6.4299999999999996E-2</v>
      </c>
      <c r="K60" s="29">
        <f t="shared" si="0"/>
        <v>0.15210000000000001</v>
      </c>
      <c r="L60" s="29">
        <f t="shared" si="1"/>
        <v>-0.28039999999999998</v>
      </c>
    </row>
    <row r="61" spans="1:12" x14ac:dyDescent="0.25">
      <c r="A61" s="30">
        <v>5</v>
      </c>
      <c r="B61" s="31" t="s">
        <v>97</v>
      </c>
      <c r="C61" s="32">
        <v>330</v>
      </c>
      <c r="D61" s="33">
        <v>0.5867</v>
      </c>
      <c r="E61" s="33">
        <v>-9.6299999999999997E-2</v>
      </c>
      <c r="F61" s="34">
        <v>0.55620000000000003</v>
      </c>
      <c r="G61" s="35" t="s">
        <v>93</v>
      </c>
      <c r="H61" s="36">
        <v>1.0491299999999999</v>
      </c>
      <c r="I61" s="37">
        <v>0.31459999999999999</v>
      </c>
      <c r="J61" s="37">
        <v>6.4299999999999996E-2</v>
      </c>
      <c r="K61" s="38">
        <f t="shared" si="0"/>
        <v>0.27210000000000001</v>
      </c>
      <c r="L61" s="38">
        <f t="shared" si="1"/>
        <v>-0.16059999999999999</v>
      </c>
    </row>
    <row r="62" spans="1:12" x14ac:dyDescent="0.25">
      <c r="A62" s="21">
        <v>6</v>
      </c>
      <c r="B62" s="22" t="s">
        <v>98</v>
      </c>
      <c r="C62" s="23">
        <v>0</v>
      </c>
      <c r="D62" s="24">
        <v>0.63280000000000003</v>
      </c>
      <c r="E62" s="24">
        <v>5.5E-2</v>
      </c>
      <c r="F62" s="25">
        <v>0.63280000000000003</v>
      </c>
      <c r="G62" s="26" t="s">
        <v>93</v>
      </c>
      <c r="H62" s="27">
        <v>1.0298499999999999</v>
      </c>
      <c r="I62" s="28">
        <v>0.30549999999999999</v>
      </c>
      <c r="J62" s="28">
        <v>6.25E-2</v>
      </c>
      <c r="K62" s="29">
        <f t="shared" si="0"/>
        <v>0.32730000000000004</v>
      </c>
      <c r="L62" s="29">
        <f t="shared" si="1"/>
        <v>-7.4999999999999997E-3</v>
      </c>
    </row>
    <row r="63" spans="1:12" x14ac:dyDescent="0.25">
      <c r="A63" s="21">
        <v>6</v>
      </c>
      <c r="B63" s="22" t="s">
        <v>98</v>
      </c>
      <c r="C63" s="23">
        <v>30</v>
      </c>
      <c r="D63" s="24">
        <v>0.58450000000000002</v>
      </c>
      <c r="E63" s="24">
        <v>0.22750000000000001</v>
      </c>
      <c r="F63" s="25">
        <v>0.62</v>
      </c>
      <c r="G63" s="26" t="s">
        <v>93</v>
      </c>
      <c r="H63" s="27">
        <v>1.01383</v>
      </c>
      <c r="I63" s="28">
        <v>0.30549999999999999</v>
      </c>
      <c r="J63" s="28">
        <v>6.25E-2</v>
      </c>
      <c r="K63" s="29">
        <f t="shared" si="0"/>
        <v>0.27900000000000003</v>
      </c>
      <c r="L63" s="29">
        <f t="shared" si="1"/>
        <v>0.16500000000000001</v>
      </c>
    </row>
    <row r="64" spans="1:12" x14ac:dyDescent="0.25">
      <c r="A64" s="21">
        <v>6</v>
      </c>
      <c r="B64" s="22" t="s">
        <v>98</v>
      </c>
      <c r="C64" s="23">
        <v>60</v>
      </c>
      <c r="D64" s="24">
        <v>0.46710000000000002</v>
      </c>
      <c r="E64" s="24">
        <v>0.34560000000000002</v>
      </c>
      <c r="F64" s="25">
        <v>0.53280000000000005</v>
      </c>
      <c r="G64" s="26" t="s">
        <v>93</v>
      </c>
      <c r="H64" s="27">
        <v>1.00976</v>
      </c>
      <c r="I64" s="28">
        <v>0.30549999999999999</v>
      </c>
      <c r="J64" s="28">
        <v>6.25E-2</v>
      </c>
      <c r="K64" s="29">
        <f t="shared" si="0"/>
        <v>0.16160000000000002</v>
      </c>
      <c r="L64" s="29">
        <f t="shared" si="1"/>
        <v>0.28310000000000002</v>
      </c>
    </row>
    <row r="65" spans="1:12" x14ac:dyDescent="0.25">
      <c r="A65" s="21">
        <v>6</v>
      </c>
      <c r="B65" s="22" t="s">
        <v>98</v>
      </c>
      <c r="C65" s="23">
        <v>90</v>
      </c>
      <c r="D65" s="24">
        <v>0.31219999999999998</v>
      </c>
      <c r="E65" s="24">
        <v>0.38579999999999998</v>
      </c>
      <c r="F65" s="25">
        <v>0.38579999999999998</v>
      </c>
      <c r="G65" s="26" t="s">
        <v>93</v>
      </c>
      <c r="H65" s="27">
        <v>1.01413</v>
      </c>
      <c r="I65" s="28">
        <v>0.30549999999999999</v>
      </c>
      <c r="J65" s="28">
        <v>6.25E-2</v>
      </c>
      <c r="K65" s="29">
        <f t="shared" si="0"/>
        <v>6.6999999999999837E-3</v>
      </c>
      <c r="L65" s="29">
        <f t="shared" si="1"/>
        <v>0.32329999999999998</v>
      </c>
    </row>
    <row r="66" spans="1:12" x14ac:dyDescent="0.25">
      <c r="A66" s="21">
        <v>6</v>
      </c>
      <c r="B66" s="22" t="s">
        <v>98</v>
      </c>
      <c r="C66" s="23">
        <v>120</v>
      </c>
      <c r="D66" s="24">
        <v>0.1862</v>
      </c>
      <c r="E66" s="24">
        <v>0.35709999999999997</v>
      </c>
      <c r="F66" s="25">
        <v>0.21609999999999999</v>
      </c>
      <c r="G66" s="26" t="s">
        <v>93</v>
      </c>
      <c r="H66" s="27">
        <v>1.02322</v>
      </c>
      <c r="I66" s="28">
        <v>0.30549999999999999</v>
      </c>
      <c r="J66" s="28">
        <v>6.25E-2</v>
      </c>
      <c r="K66" s="29">
        <f t="shared" ref="K66:K129" si="2">D66-I66</f>
        <v>-0.11929999999999999</v>
      </c>
      <c r="L66" s="29">
        <f t="shared" ref="L66:L129" si="3">E66-J66</f>
        <v>0.29459999999999997</v>
      </c>
    </row>
    <row r="67" spans="1:12" x14ac:dyDescent="0.25">
      <c r="A67" s="21">
        <v>6</v>
      </c>
      <c r="B67" s="22" t="s">
        <v>98</v>
      </c>
      <c r="C67" s="23">
        <v>150</v>
      </c>
      <c r="D67" s="24">
        <v>0.18379999999999999</v>
      </c>
      <c r="E67" s="24">
        <v>0.35560000000000003</v>
      </c>
      <c r="F67" s="25">
        <v>1.8599999999999998E-2</v>
      </c>
      <c r="G67" s="26" t="s">
        <v>93</v>
      </c>
      <c r="H67" s="27">
        <v>1.02417</v>
      </c>
      <c r="I67" s="28">
        <v>0.30549999999999999</v>
      </c>
      <c r="J67" s="28">
        <v>6.25E-2</v>
      </c>
      <c r="K67" s="29">
        <f t="shared" si="2"/>
        <v>-0.1217</v>
      </c>
      <c r="L67" s="29">
        <f t="shared" si="3"/>
        <v>0.29310000000000003</v>
      </c>
    </row>
    <row r="68" spans="1:12" x14ac:dyDescent="0.25">
      <c r="A68" s="21">
        <v>6</v>
      </c>
      <c r="B68" s="22" t="s">
        <v>98</v>
      </c>
      <c r="C68" s="23">
        <v>180</v>
      </c>
      <c r="D68" s="24">
        <v>0.18160000000000001</v>
      </c>
      <c r="E68" s="24">
        <v>-0.19969999999999999</v>
      </c>
      <c r="F68" s="25">
        <v>-0.18160000000000001</v>
      </c>
      <c r="G68" s="26" t="s">
        <v>93</v>
      </c>
      <c r="H68" s="27">
        <v>1.09999</v>
      </c>
      <c r="I68" s="28">
        <v>0.30549999999999999</v>
      </c>
      <c r="J68" s="28">
        <v>6.25E-2</v>
      </c>
      <c r="K68" s="29">
        <f t="shared" si="2"/>
        <v>-0.12389999999999998</v>
      </c>
      <c r="L68" s="29">
        <f t="shared" si="3"/>
        <v>-0.26219999999999999</v>
      </c>
    </row>
    <row r="69" spans="1:12" x14ac:dyDescent="0.25">
      <c r="A69" s="21">
        <v>6</v>
      </c>
      <c r="B69" s="22" t="s">
        <v>98</v>
      </c>
      <c r="C69" s="23">
        <v>210</v>
      </c>
      <c r="D69" s="24">
        <v>0.18990000000000001</v>
      </c>
      <c r="E69" s="24">
        <v>-0.2288</v>
      </c>
      <c r="F69" s="25">
        <v>-0.05</v>
      </c>
      <c r="G69" s="26" t="s">
        <v>93</v>
      </c>
      <c r="H69" s="27">
        <v>1.1000000000000001</v>
      </c>
      <c r="I69" s="28">
        <v>0.30549999999999999</v>
      </c>
      <c r="J69" s="28">
        <v>6.25E-2</v>
      </c>
      <c r="K69" s="29">
        <f t="shared" si="2"/>
        <v>-0.11559999999999998</v>
      </c>
      <c r="L69" s="29">
        <f t="shared" si="3"/>
        <v>-0.2913</v>
      </c>
    </row>
    <row r="70" spans="1:12" x14ac:dyDescent="0.25">
      <c r="A70" s="21">
        <v>6</v>
      </c>
      <c r="B70" s="22" t="s">
        <v>98</v>
      </c>
      <c r="C70" s="23">
        <v>240</v>
      </c>
      <c r="D70" s="24">
        <v>0.1993</v>
      </c>
      <c r="E70" s="24">
        <v>-0.23530000000000001</v>
      </c>
      <c r="F70" s="25">
        <v>0.1041</v>
      </c>
      <c r="G70" s="26" t="s">
        <v>93</v>
      </c>
      <c r="H70" s="27">
        <v>1.1000000000000001</v>
      </c>
      <c r="I70" s="28">
        <v>0.30549999999999999</v>
      </c>
      <c r="J70" s="28">
        <v>6.25E-2</v>
      </c>
      <c r="K70" s="29">
        <f t="shared" si="2"/>
        <v>-0.10619999999999999</v>
      </c>
      <c r="L70" s="29">
        <f t="shared" si="3"/>
        <v>-0.29780000000000001</v>
      </c>
    </row>
    <row r="71" spans="1:12" x14ac:dyDescent="0.25">
      <c r="A71" s="21">
        <v>6</v>
      </c>
      <c r="B71" s="22" t="s">
        <v>98</v>
      </c>
      <c r="C71" s="23">
        <v>270</v>
      </c>
      <c r="D71" s="24">
        <v>0.30659999999999998</v>
      </c>
      <c r="E71" s="24">
        <v>-0.25929999999999997</v>
      </c>
      <c r="F71" s="25">
        <v>0.25929999999999997</v>
      </c>
      <c r="G71" s="26" t="s">
        <v>93</v>
      </c>
      <c r="H71" s="27">
        <v>1.09606</v>
      </c>
      <c r="I71" s="28">
        <v>0.30549999999999999</v>
      </c>
      <c r="J71" s="28">
        <v>6.25E-2</v>
      </c>
      <c r="K71" s="29">
        <f t="shared" si="2"/>
        <v>1.0999999999999899E-3</v>
      </c>
      <c r="L71" s="29">
        <f t="shared" si="3"/>
        <v>-0.32179999999999997</v>
      </c>
    </row>
    <row r="72" spans="1:12" x14ac:dyDescent="0.25">
      <c r="A72" s="21">
        <v>6</v>
      </c>
      <c r="B72" s="22" t="s">
        <v>98</v>
      </c>
      <c r="C72" s="23">
        <v>300</v>
      </c>
      <c r="D72" s="24">
        <v>0.47049999999999997</v>
      </c>
      <c r="E72" s="24">
        <v>-0.21529999999999999</v>
      </c>
      <c r="F72" s="25">
        <v>0.42170000000000002</v>
      </c>
      <c r="G72" s="26" t="s">
        <v>93</v>
      </c>
      <c r="H72" s="27">
        <v>1.0784199999999999</v>
      </c>
      <c r="I72" s="28">
        <v>0.30549999999999999</v>
      </c>
      <c r="J72" s="28">
        <v>6.25E-2</v>
      </c>
      <c r="K72" s="29">
        <f t="shared" si="2"/>
        <v>0.16499999999999998</v>
      </c>
      <c r="L72" s="29">
        <f t="shared" si="3"/>
        <v>-0.27779999999999999</v>
      </c>
    </row>
    <row r="73" spans="1:12" x14ac:dyDescent="0.25">
      <c r="A73" s="30">
        <v>6</v>
      </c>
      <c r="B73" s="31" t="s">
        <v>98</v>
      </c>
      <c r="C73" s="32">
        <v>330</v>
      </c>
      <c r="D73" s="33">
        <v>0.59050000000000002</v>
      </c>
      <c r="E73" s="33">
        <v>-9.5399999999999999E-2</v>
      </c>
      <c r="F73" s="34">
        <v>0.55910000000000004</v>
      </c>
      <c r="G73" s="35" t="s">
        <v>93</v>
      </c>
      <c r="H73" s="36">
        <v>1.04915</v>
      </c>
      <c r="I73" s="37">
        <v>0.30549999999999999</v>
      </c>
      <c r="J73" s="37">
        <v>6.25E-2</v>
      </c>
      <c r="K73" s="38">
        <f t="shared" si="2"/>
        <v>0.28500000000000003</v>
      </c>
      <c r="L73" s="38">
        <f t="shared" si="3"/>
        <v>-0.15789999999999998</v>
      </c>
    </row>
    <row r="74" spans="1:12" x14ac:dyDescent="0.25">
      <c r="A74" s="21">
        <v>7</v>
      </c>
      <c r="B74" s="22" t="s">
        <v>99</v>
      </c>
      <c r="C74" s="23">
        <v>0</v>
      </c>
      <c r="D74" s="24">
        <v>0.63600000000000001</v>
      </c>
      <c r="E74" s="24">
        <v>5.7700000000000001E-2</v>
      </c>
      <c r="F74" s="25">
        <v>0.63600000000000001</v>
      </c>
      <c r="G74" s="26" t="s">
        <v>93</v>
      </c>
      <c r="H74" s="27">
        <v>1.02939</v>
      </c>
      <c r="I74" s="28">
        <v>0.30930000000000002</v>
      </c>
      <c r="J74" s="28">
        <v>6.3200000000000006E-2</v>
      </c>
      <c r="K74" s="29">
        <f t="shared" si="2"/>
        <v>0.32669999999999999</v>
      </c>
      <c r="L74" s="29">
        <f t="shared" si="3"/>
        <v>-5.5000000000000049E-3</v>
      </c>
    </row>
    <row r="75" spans="1:12" x14ac:dyDescent="0.25">
      <c r="A75" s="21">
        <v>7</v>
      </c>
      <c r="B75" s="22" t="s">
        <v>99</v>
      </c>
      <c r="C75" s="23">
        <v>30</v>
      </c>
      <c r="D75" s="24">
        <v>0.58750000000000002</v>
      </c>
      <c r="E75" s="24">
        <v>0.22939999999999999</v>
      </c>
      <c r="F75" s="25">
        <v>0.62350000000000005</v>
      </c>
      <c r="G75" s="26" t="s">
        <v>93</v>
      </c>
      <c r="H75" s="27">
        <v>1.0125</v>
      </c>
      <c r="I75" s="28">
        <v>0.30930000000000002</v>
      </c>
      <c r="J75" s="28">
        <v>6.3200000000000006E-2</v>
      </c>
      <c r="K75" s="29">
        <f t="shared" si="2"/>
        <v>0.2782</v>
      </c>
      <c r="L75" s="29">
        <f t="shared" si="3"/>
        <v>0.16619999999999999</v>
      </c>
    </row>
    <row r="76" spans="1:12" x14ac:dyDescent="0.25">
      <c r="A76" s="21">
        <v>7</v>
      </c>
      <c r="B76" s="22" t="s">
        <v>99</v>
      </c>
      <c r="C76" s="23">
        <v>60</v>
      </c>
      <c r="D76" s="24">
        <v>0.47239999999999999</v>
      </c>
      <c r="E76" s="24">
        <v>0.34589999999999999</v>
      </c>
      <c r="F76" s="25">
        <v>0.53569999999999995</v>
      </c>
      <c r="G76" s="26" t="s">
        <v>93</v>
      </c>
      <c r="H76" s="27">
        <v>1.00827</v>
      </c>
      <c r="I76" s="28">
        <v>0.30930000000000002</v>
      </c>
      <c r="J76" s="28">
        <v>6.3200000000000006E-2</v>
      </c>
      <c r="K76" s="29">
        <f t="shared" si="2"/>
        <v>0.16309999999999997</v>
      </c>
      <c r="L76" s="29">
        <f t="shared" si="3"/>
        <v>0.28269999999999995</v>
      </c>
    </row>
    <row r="77" spans="1:12" x14ac:dyDescent="0.25">
      <c r="A77" s="21">
        <v>7</v>
      </c>
      <c r="B77" s="22" t="s">
        <v>99</v>
      </c>
      <c r="C77" s="23">
        <v>90</v>
      </c>
      <c r="D77" s="24">
        <v>0.31519999999999998</v>
      </c>
      <c r="E77" s="24">
        <v>0.3871</v>
      </c>
      <c r="F77" s="25">
        <v>0.3871</v>
      </c>
      <c r="G77" s="26" t="s">
        <v>93</v>
      </c>
      <c r="H77" s="27">
        <v>1.01278</v>
      </c>
      <c r="I77" s="28">
        <v>0.30930000000000002</v>
      </c>
      <c r="J77" s="28">
        <v>6.3200000000000006E-2</v>
      </c>
      <c r="K77" s="29">
        <f t="shared" si="2"/>
        <v>5.8999999999999608E-3</v>
      </c>
      <c r="L77" s="29">
        <f t="shared" si="3"/>
        <v>0.32389999999999997</v>
      </c>
    </row>
    <row r="78" spans="1:12" x14ac:dyDescent="0.25">
      <c r="A78" s="21">
        <v>7</v>
      </c>
      <c r="B78" s="22" t="s">
        <v>99</v>
      </c>
      <c r="C78" s="23">
        <v>120</v>
      </c>
      <c r="D78" s="24">
        <v>0.1996</v>
      </c>
      <c r="E78" s="24">
        <v>0.3624</v>
      </c>
      <c r="F78" s="25">
        <v>0.214</v>
      </c>
      <c r="G78" s="26" t="s">
        <v>93</v>
      </c>
      <c r="H78" s="27">
        <v>1.01935</v>
      </c>
      <c r="I78" s="28">
        <v>0.30930000000000002</v>
      </c>
      <c r="J78" s="28">
        <v>6.3200000000000006E-2</v>
      </c>
      <c r="K78" s="29">
        <f t="shared" si="2"/>
        <v>-0.10970000000000002</v>
      </c>
      <c r="L78" s="29">
        <f t="shared" si="3"/>
        <v>0.29920000000000002</v>
      </c>
    </row>
    <row r="79" spans="1:12" x14ac:dyDescent="0.25">
      <c r="A79" s="21">
        <v>7</v>
      </c>
      <c r="B79" s="22" t="s">
        <v>99</v>
      </c>
      <c r="C79" s="23">
        <v>150</v>
      </c>
      <c r="D79" s="24">
        <v>0.19819999999999999</v>
      </c>
      <c r="E79" s="24">
        <v>0.36149999999999999</v>
      </c>
      <c r="F79" s="25">
        <v>9.1000000000000004E-3</v>
      </c>
      <c r="G79" s="26" t="s">
        <v>93</v>
      </c>
      <c r="H79" s="27">
        <v>1.0194300000000001</v>
      </c>
      <c r="I79" s="28">
        <v>0.30930000000000002</v>
      </c>
      <c r="J79" s="28">
        <v>6.3200000000000006E-2</v>
      </c>
      <c r="K79" s="29">
        <f t="shared" si="2"/>
        <v>-0.11110000000000003</v>
      </c>
      <c r="L79" s="29">
        <f t="shared" si="3"/>
        <v>0.29830000000000001</v>
      </c>
    </row>
    <row r="80" spans="1:12" x14ac:dyDescent="0.25">
      <c r="A80" s="21">
        <v>7</v>
      </c>
      <c r="B80" s="22" t="s">
        <v>99</v>
      </c>
      <c r="C80" s="23">
        <v>180</v>
      </c>
      <c r="D80" s="24">
        <v>0.1958</v>
      </c>
      <c r="E80" s="24">
        <v>-0.2016</v>
      </c>
      <c r="F80" s="25">
        <v>-0.1958</v>
      </c>
      <c r="G80" s="26" t="s">
        <v>93</v>
      </c>
      <c r="H80" s="27">
        <v>1.09998</v>
      </c>
      <c r="I80" s="28">
        <v>0.30930000000000002</v>
      </c>
      <c r="J80" s="28">
        <v>6.3200000000000006E-2</v>
      </c>
      <c r="K80" s="29">
        <f t="shared" si="2"/>
        <v>-0.11350000000000002</v>
      </c>
      <c r="L80" s="29">
        <f t="shared" si="3"/>
        <v>-0.26480000000000004</v>
      </c>
    </row>
    <row r="81" spans="1:12" x14ac:dyDescent="0.25">
      <c r="A81" s="21">
        <v>7</v>
      </c>
      <c r="B81" s="22" t="s">
        <v>99</v>
      </c>
      <c r="C81" s="23">
        <v>210</v>
      </c>
      <c r="D81" s="24">
        <v>0.2031</v>
      </c>
      <c r="E81" s="24">
        <v>-0.23100000000000001</v>
      </c>
      <c r="F81" s="25">
        <v>-6.0400000000000002E-2</v>
      </c>
      <c r="G81" s="26" t="s">
        <v>93</v>
      </c>
      <c r="H81" s="27">
        <v>1.1000000000000001</v>
      </c>
      <c r="I81" s="28">
        <v>0.30930000000000002</v>
      </c>
      <c r="J81" s="28">
        <v>6.3200000000000006E-2</v>
      </c>
      <c r="K81" s="29">
        <f t="shared" si="2"/>
        <v>-0.10620000000000002</v>
      </c>
      <c r="L81" s="29">
        <f t="shared" si="3"/>
        <v>-0.29420000000000002</v>
      </c>
    </row>
    <row r="82" spans="1:12" x14ac:dyDescent="0.25">
      <c r="A82" s="21">
        <v>7</v>
      </c>
      <c r="B82" s="22" t="s">
        <v>99</v>
      </c>
      <c r="C82" s="23">
        <v>240</v>
      </c>
      <c r="D82" s="24">
        <v>0.21099999999999999</v>
      </c>
      <c r="E82" s="24">
        <v>-0.23630000000000001</v>
      </c>
      <c r="F82" s="25">
        <v>9.9199999999999997E-2</v>
      </c>
      <c r="G82" s="26" t="s">
        <v>93</v>
      </c>
      <c r="H82" s="27">
        <v>1.1000000000000001</v>
      </c>
      <c r="I82" s="28">
        <v>0.30930000000000002</v>
      </c>
      <c r="J82" s="28">
        <v>6.3200000000000006E-2</v>
      </c>
      <c r="K82" s="29">
        <f t="shared" si="2"/>
        <v>-9.8300000000000026E-2</v>
      </c>
      <c r="L82" s="29">
        <f t="shared" si="3"/>
        <v>-0.29949999999999999</v>
      </c>
    </row>
    <row r="83" spans="1:12" x14ac:dyDescent="0.25">
      <c r="A83" s="21">
        <v>7</v>
      </c>
      <c r="B83" s="22" t="s">
        <v>99</v>
      </c>
      <c r="C83" s="23">
        <v>270</v>
      </c>
      <c r="D83" s="24">
        <v>0.30940000000000001</v>
      </c>
      <c r="E83" s="24">
        <v>-0.25800000000000001</v>
      </c>
      <c r="F83" s="25">
        <v>0.25800000000000001</v>
      </c>
      <c r="G83" s="26" t="s">
        <v>93</v>
      </c>
      <c r="H83" s="27">
        <v>1.09822</v>
      </c>
      <c r="I83" s="28">
        <v>0.30930000000000002</v>
      </c>
      <c r="J83" s="28">
        <v>6.3200000000000006E-2</v>
      </c>
      <c r="K83" s="29">
        <f t="shared" si="2"/>
        <v>9.9999999999988987E-5</v>
      </c>
      <c r="L83" s="29">
        <f t="shared" si="3"/>
        <v>-0.32120000000000004</v>
      </c>
    </row>
    <row r="84" spans="1:12" x14ac:dyDescent="0.25">
      <c r="A84" s="21">
        <v>7</v>
      </c>
      <c r="B84" s="22" t="s">
        <v>99</v>
      </c>
      <c r="C84" s="23">
        <v>300</v>
      </c>
      <c r="D84" s="24">
        <v>0.4733</v>
      </c>
      <c r="E84" s="24">
        <v>-0.214</v>
      </c>
      <c r="F84" s="25">
        <v>0.42199999999999999</v>
      </c>
      <c r="G84" s="26" t="s">
        <v>93</v>
      </c>
      <c r="H84" s="27">
        <v>1.07897</v>
      </c>
      <c r="I84" s="28">
        <v>0.30930000000000002</v>
      </c>
      <c r="J84" s="28">
        <v>6.3200000000000006E-2</v>
      </c>
      <c r="K84" s="29">
        <f t="shared" si="2"/>
        <v>0.16399999999999998</v>
      </c>
      <c r="L84" s="29">
        <f t="shared" si="3"/>
        <v>-0.2772</v>
      </c>
    </row>
    <row r="85" spans="1:12" x14ac:dyDescent="0.25">
      <c r="A85" s="30">
        <v>7</v>
      </c>
      <c r="B85" s="31" t="s">
        <v>99</v>
      </c>
      <c r="C85" s="32">
        <v>330</v>
      </c>
      <c r="D85" s="33">
        <v>0.59340000000000004</v>
      </c>
      <c r="E85" s="33">
        <v>-9.4100000000000003E-2</v>
      </c>
      <c r="F85" s="34">
        <v>0.56089999999999995</v>
      </c>
      <c r="G85" s="35" t="s">
        <v>93</v>
      </c>
      <c r="H85" s="36">
        <v>1.0487599999999999</v>
      </c>
      <c r="I85" s="37">
        <v>0.30930000000000002</v>
      </c>
      <c r="J85" s="37">
        <v>6.3200000000000006E-2</v>
      </c>
      <c r="K85" s="38">
        <f t="shared" si="2"/>
        <v>0.28410000000000002</v>
      </c>
      <c r="L85" s="38">
        <f t="shared" si="3"/>
        <v>-0.1573</v>
      </c>
    </row>
    <row r="86" spans="1:12" x14ac:dyDescent="0.25">
      <c r="A86" s="21">
        <v>8</v>
      </c>
      <c r="B86" s="22" t="s">
        <v>100</v>
      </c>
      <c r="C86" s="23">
        <v>0</v>
      </c>
      <c r="D86" s="24">
        <v>0.56769999999999998</v>
      </c>
      <c r="E86" s="24">
        <v>5.1200000000000002E-2</v>
      </c>
      <c r="F86" s="25">
        <v>0.56769999999999998</v>
      </c>
      <c r="G86" s="26" t="s">
        <v>93</v>
      </c>
      <c r="H86" s="27">
        <v>1.0305299999999999</v>
      </c>
      <c r="I86" s="28">
        <v>0.31230000000000002</v>
      </c>
      <c r="J86" s="28">
        <v>6.4500000000000002E-2</v>
      </c>
      <c r="K86" s="29">
        <f t="shared" si="2"/>
        <v>0.25539999999999996</v>
      </c>
      <c r="L86" s="29">
        <f t="shared" si="3"/>
        <v>-1.3299999999999999E-2</v>
      </c>
    </row>
    <row r="87" spans="1:12" x14ac:dyDescent="0.25">
      <c r="A87" s="21">
        <v>8</v>
      </c>
      <c r="B87" s="22" t="s">
        <v>100</v>
      </c>
      <c r="C87" s="23">
        <v>30</v>
      </c>
      <c r="D87" s="24">
        <v>0.51910000000000001</v>
      </c>
      <c r="E87" s="24">
        <v>0.22409999999999999</v>
      </c>
      <c r="F87" s="25">
        <v>0.56159999999999999</v>
      </c>
      <c r="G87" s="26" t="s">
        <v>93</v>
      </c>
      <c r="H87" s="27">
        <v>1.01485</v>
      </c>
      <c r="I87" s="28">
        <v>0.31230000000000002</v>
      </c>
      <c r="J87" s="28">
        <v>6.4500000000000002E-2</v>
      </c>
      <c r="K87" s="29">
        <f t="shared" si="2"/>
        <v>0.20679999999999998</v>
      </c>
      <c r="L87" s="29">
        <f t="shared" si="3"/>
        <v>0.15959999999999999</v>
      </c>
    </row>
    <row r="88" spans="1:12" x14ac:dyDescent="0.25">
      <c r="A88" s="21">
        <v>8</v>
      </c>
      <c r="B88" s="22" t="s">
        <v>100</v>
      </c>
      <c r="C88" s="23">
        <v>60</v>
      </c>
      <c r="D88" s="24">
        <v>0.40389999999999998</v>
      </c>
      <c r="E88" s="24">
        <v>0.3407</v>
      </c>
      <c r="F88" s="25">
        <v>0.497</v>
      </c>
      <c r="G88" s="26" t="s">
        <v>93</v>
      </c>
      <c r="H88" s="27">
        <v>1.01067</v>
      </c>
      <c r="I88" s="28">
        <v>0.31230000000000002</v>
      </c>
      <c r="J88" s="28">
        <v>6.4500000000000002E-2</v>
      </c>
      <c r="K88" s="29">
        <f t="shared" si="2"/>
        <v>9.1599999999999959E-2</v>
      </c>
      <c r="L88" s="29">
        <f t="shared" si="3"/>
        <v>0.2762</v>
      </c>
    </row>
    <row r="89" spans="1:12" x14ac:dyDescent="0.25">
      <c r="A89" s="21">
        <v>8</v>
      </c>
      <c r="B89" s="22" t="s">
        <v>100</v>
      </c>
      <c r="C89" s="23">
        <v>90</v>
      </c>
      <c r="D89" s="24">
        <v>0.24679999999999999</v>
      </c>
      <c r="E89" s="24">
        <v>0.38200000000000001</v>
      </c>
      <c r="F89" s="25">
        <v>0.38200000000000001</v>
      </c>
      <c r="G89" s="26" t="s">
        <v>93</v>
      </c>
      <c r="H89" s="27">
        <v>1.0151600000000001</v>
      </c>
      <c r="I89" s="28">
        <v>0.31230000000000002</v>
      </c>
      <c r="J89" s="28">
        <v>6.4500000000000002E-2</v>
      </c>
      <c r="K89" s="29">
        <f t="shared" si="2"/>
        <v>-6.550000000000003E-2</v>
      </c>
      <c r="L89" s="29">
        <f t="shared" si="3"/>
        <v>0.3175</v>
      </c>
    </row>
    <row r="90" spans="1:12" x14ac:dyDescent="0.25">
      <c r="A90" s="21">
        <v>8</v>
      </c>
      <c r="B90" s="22" t="s">
        <v>100</v>
      </c>
      <c r="C90" s="23">
        <v>120</v>
      </c>
      <c r="D90" s="24">
        <v>0.1424</v>
      </c>
      <c r="E90" s="24">
        <v>0.36099999999999999</v>
      </c>
      <c r="F90" s="25">
        <v>0.2414</v>
      </c>
      <c r="G90" s="26" t="s">
        <v>93</v>
      </c>
      <c r="H90" s="27">
        <v>1.0204</v>
      </c>
      <c r="I90" s="28">
        <v>0.31230000000000002</v>
      </c>
      <c r="J90" s="28">
        <v>6.4500000000000002E-2</v>
      </c>
      <c r="K90" s="29">
        <f t="shared" si="2"/>
        <v>-0.16990000000000002</v>
      </c>
      <c r="L90" s="29">
        <f t="shared" si="3"/>
        <v>0.29649999999999999</v>
      </c>
    </row>
    <row r="91" spans="1:12" x14ac:dyDescent="0.25">
      <c r="A91" s="21">
        <v>8</v>
      </c>
      <c r="B91" s="22" t="s">
        <v>100</v>
      </c>
      <c r="C91" s="23">
        <v>150</v>
      </c>
      <c r="D91" s="24">
        <v>0.1414</v>
      </c>
      <c r="E91" s="24">
        <v>0.3604</v>
      </c>
      <c r="F91" s="25">
        <v>5.7700000000000001E-2</v>
      </c>
      <c r="G91" s="26" t="s">
        <v>93</v>
      </c>
      <c r="H91" s="27">
        <v>1.0204899999999999</v>
      </c>
      <c r="I91" s="28">
        <v>0.31230000000000002</v>
      </c>
      <c r="J91" s="28">
        <v>6.4500000000000002E-2</v>
      </c>
      <c r="K91" s="29">
        <f t="shared" si="2"/>
        <v>-0.17090000000000002</v>
      </c>
      <c r="L91" s="29">
        <f t="shared" si="3"/>
        <v>0.2959</v>
      </c>
    </row>
    <row r="92" spans="1:12" x14ac:dyDescent="0.25">
      <c r="A92" s="21">
        <v>8</v>
      </c>
      <c r="B92" s="22" t="s">
        <v>100</v>
      </c>
      <c r="C92" s="23">
        <v>180</v>
      </c>
      <c r="D92" s="24">
        <v>0.1394</v>
      </c>
      <c r="E92" s="24">
        <v>-0.2162</v>
      </c>
      <c r="F92" s="25">
        <v>-0.1394</v>
      </c>
      <c r="G92" s="26" t="s">
        <v>93</v>
      </c>
      <c r="H92" s="27">
        <v>1.0999300000000001</v>
      </c>
      <c r="I92" s="28">
        <v>0.31230000000000002</v>
      </c>
      <c r="J92" s="28">
        <v>6.4500000000000002E-2</v>
      </c>
      <c r="K92" s="29">
        <f t="shared" si="2"/>
        <v>-0.17290000000000003</v>
      </c>
      <c r="L92" s="29">
        <f t="shared" si="3"/>
        <v>-0.28070000000000001</v>
      </c>
    </row>
    <row r="93" spans="1:12" x14ac:dyDescent="0.25">
      <c r="A93" s="21">
        <v>8</v>
      </c>
      <c r="B93" s="22" t="s">
        <v>100</v>
      </c>
      <c r="C93" s="23">
        <v>210</v>
      </c>
      <c r="D93" s="24">
        <v>0.14580000000000001</v>
      </c>
      <c r="E93" s="24">
        <v>-0.23949999999999999</v>
      </c>
      <c r="F93" s="25">
        <v>-6.4999999999999997E-3</v>
      </c>
      <c r="G93" s="26" t="s">
        <v>93</v>
      </c>
      <c r="H93" s="27">
        <v>1.1000000000000001</v>
      </c>
      <c r="I93" s="28">
        <v>0.31230000000000002</v>
      </c>
      <c r="J93" s="28">
        <v>6.4500000000000002E-2</v>
      </c>
      <c r="K93" s="29">
        <f t="shared" si="2"/>
        <v>-0.16650000000000001</v>
      </c>
      <c r="L93" s="29">
        <f t="shared" si="3"/>
        <v>-0.30399999999999999</v>
      </c>
    </row>
    <row r="94" spans="1:12" x14ac:dyDescent="0.25">
      <c r="A94" s="21">
        <v>8</v>
      </c>
      <c r="B94" s="22" t="s">
        <v>100</v>
      </c>
      <c r="C94" s="23">
        <v>240</v>
      </c>
      <c r="D94" s="24">
        <v>0.15329999999999999</v>
      </c>
      <c r="E94" s="24">
        <v>-0.24460000000000001</v>
      </c>
      <c r="F94" s="25">
        <v>0.13519999999999999</v>
      </c>
      <c r="G94" s="26" t="s">
        <v>93</v>
      </c>
      <c r="H94" s="27">
        <v>1.1000000000000001</v>
      </c>
      <c r="I94" s="28">
        <v>0.31230000000000002</v>
      </c>
      <c r="J94" s="28">
        <v>6.4500000000000002E-2</v>
      </c>
      <c r="K94" s="29">
        <f t="shared" si="2"/>
        <v>-0.15900000000000003</v>
      </c>
      <c r="L94" s="29">
        <f t="shared" si="3"/>
        <v>-0.30910000000000004</v>
      </c>
    </row>
    <row r="95" spans="1:12" x14ac:dyDescent="0.25">
      <c r="A95" s="21">
        <v>8</v>
      </c>
      <c r="B95" s="22" t="s">
        <v>100</v>
      </c>
      <c r="C95" s="23">
        <v>270</v>
      </c>
      <c r="D95" s="24">
        <v>0.24199999999999999</v>
      </c>
      <c r="E95" s="24">
        <v>-0.26340000000000002</v>
      </c>
      <c r="F95" s="25">
        <v>0.26340000000000002</v>
      </c>
      <c r="G95" s="26" t="s">
        <v>93</v>
      </c>
      <c r="H95" s="27">
        <v>1.0995200000000001</v>
      </c>
      <c r="I95" s="28">
        <v>0.31230000000000002</v>
      </c>
      <c r="J95" s="28">
        <v>6.4500000000000002E-2</v>
      </c>
      <c r="K95" s="29">
        <f t="shared" si="2"/>
        <v>-7.0300000000000029E-2</v>
      </c>
      <c r="L95" s="29">
        <f t="shared" si="3"/>
        <v>-0.32790000000000002</v>
      </c>
    </row>
    <row r="96" spans="1:12" x14ac:dyDescent="0.25">
      <c r="A96" s="21">
        <v>8</v>
      </c>
      <c r="B96" s="22" t="s">
        <v>100</v>
      </c>
      <c r="C96" s="23">
        <v>300</v>
      </c>
      <c r="D96" s="24">
        <v>0.40550000000000003</v>
      </c>
      <c r="E96" s="24">
        <v>-0.2195</v>
      </c>
      <c r="F96" s="25">
        <v>0.39290000000000003</v>
      </c>
      <c r="G96" s="26" t="s">
        <v>93</v>
      </c>
      <c r="H96" s="27">
        <v>1.0794600000000001</v>
      </c>
      <c r="I96" s="28">
        <v>0.31230000000000002</v>
      </c>
      <c r="J96" s="28">
        <v>6.4500000000000002E-2</v>
      </c>
      <c r="K96" s="29">
        <f t="shared" si="2"/>
        <v>9.3200000000000005E-2</v>
      </c>
      <c r="L96" s="29">
        <f t="shared" si="3"/>
        <v>-0.28400000000000003</v>
      </c>
    </row>
    <row r="97" spans="1:12" x14ac:dyDescent="0.25">
      <c r="A97" s="30">
        <v>8</v>
      </c>
      <c r="B97" s="31" t="s">
        <v>100</v>
      </c>
      <c r="C97" s="32">
        <v>330</v>
      </c>
      <c r="D97" s="33">
        <v>0.5252</v>
      </c>
      <c r="E97" s="33">
        <v>-9.98E-2</v>
      </c>
      <c r="F97" s="34">
        <v>0.50480000000000003</v>
      </c>
      <c r="G97" s="35" t="s">
        <v>93</v>
      </c>
      <c r="H97" s="36">
        <v>1.0498799999999999</v>
      </c>
      <c r="I97" s="37">
        <v>0.31230000000000002</v>
      </c>
      <c r="J97" s="37">
        <v>6.4500000000000002E-2</v>
      </c>
      <c r="K97" s="38">
        <f t="shared" si="2"/>
        <v>0.21289999999999998</v>
      </c>
      <c r="L97" s="38">
        <f t="shared" si="3"/>
        <v>-0.1643</v>
      </c>
    </row>
    <row r="98" spans="1:12" x14ac:dyDescent="0.25">
      <c r="A98" s="21">
        <v>9</v>
      </c>
      <c r="B98" s="22" t="s">
        <v>101</v>
      </c>
      <c r="C98" s="23">
        <v>0</v>
      </c>
      <c r="D98" s="24">
        <v>0.40810000000000002</v>
      </c>
      <c r="E98" s="24">
        <v>5.8799999999999998E-2</v>
      </c>
      <c r="F98" s="25">
        <v>0.40810000000000002</v>
      </c>
      <c r="G98" s="26" t="s">
        <v>93</v>
      </c>
      <c r="H98" s="27">
        <v>1.03121</v>
      </c>
      <c r="I98" s="28">
        <v>0.24429999999999999</v>
      </c>
      <c r="J98" s="28">
        <v>5.9299999999999999E-2</v>
      </c>
      <c r="K98" s="29">
        <f t="shared" si="2"/>
        <v>0.16380000000000003</v>
      </c>
      <c r="L98" s="29">
        <f t="shared" si="3"/>
        <v>-5.0000000000000044E-4</v>
      </c>
    </row>
    <row r="99" spans="1:12" x14ac:dyDescent="0.25">
      <c r="A99" s="21">
        <v>9</v>
      </c>
      <c r="B99" s="22" t="s">
        <v>101</v>
      </c>
      <c r="C99" s="23">
        <v>30</v>
      </c>
      <c r="D99" s="24">
        <v>0.36070000000000002</v>
      </c>
      <c r="E99" s="24">
        <v>0.22550000000000001</v>
      </c>
      <c r="F99" s="25">
        <v>0.42509999999999998</v>
      </c>
      <c r="G99" s="26" t="s">
        <v>93</v>
      </c>
      <c r="H99" s="27">
        <v>1.0162199999999999</v>
      </c>
      <c r="I99" s="28">
        <v>0.24429999999999999</v>
      </c>
      <c r="J99" s="28">
        <v>5.9299999999999999E-2</v>
      </c>
      <c r="K99" s="29">
        <f t="shared" si="2"/>
        <v>0.11640000000000003</v>
      </c>
      <c r="L99" s="29">
        <f t="shared" si="3"/>
        <v>0.16620000000000001</v>
      </c>
    </row>
    <row r="100" spans="1:12" x14ac:dyDescent="0.25">
      <c r="A100" s="21">
        <v>9</v>
      </c>
      <c r="B100" s="22" t="s">
        <v>101</v>
      </c>
      <c r="C100" s="23">
        <v>60</v>
      </c>
      <c r="D100" s="24">
        <v>0.24560000000000001</v>
      </c>
      <c r="E100" s="24">
        <v>0.34210000000000002</v>
      </c>
      <c r="F100" s="25">
        <v>0.41899999999999998</v>
      </c>
      <c r="G100" s="26" t="s">
        <v>93</v>
      </c>
      <c r="H100" s="27">
        <v>1.01227</v>
      </c>
      <c r="I100" s="28">
        <v>0.24429999999999999</v>
      </c>
      <c r="J100" s="28">
        <v>5.9299999999999999E-2</v>
      </c>
      <c r="K100" s="29">
        <f t="shared" si="2"/>
        <v>1.3000000000000234E-3</v>
      </c>
      <c r="L100" s="29">
        <f t="shared" si="3"/>
        <v>0.2828</v>
      </c>
    </row>
    <row r="101" spans="1:12" x14ac:dyDescent="0.25">
      <c r="A101" s="21">
        <v>9</v>
      </c>
      <c r="B101" s="22" t="s">
        <v>101</v>
      </c>
      <c r="C101" s="23">
        <v>90</v>
      </c>
      <c r="D101" s="24">
        <v>8.6199999999999999E-2</v>
      </c>
      <c r="E101" s="24">
        <v>0.38429999999999997</v>
      </c>
      <c r="F101" s="25">
        <v>0.38429999999999997</v>
      </c>
      <c r="G101" s="26" t="s">
        <v>93</v>
      </c>
      <c r="H101" s="27">
        <v>1.0166599999999999</v>
      </c>
      <c r="I101" s="28">
        <v>0.24429999999999999</v>
      </c>
      <c r="J101" s="28">
        <v>5.9299999999999999E-2</v>
      </c>
      <c r="K101" s="29">
        <f t="shared" si="2"/>
        <v>-0.15809999999999999</v>
      </c>
      <c r="L101" s="29">
        <f t="shared" si="3"/>
        <v>0.32499999999999996</v>
      </c>
    </row>
    <row r="102" spans="1:12" x14ac:dyDescent="0.25">
      <c r="A102" s="21">
        <v>9</v>
      </c>
      <c r="B102" s="22" t="s">
        <v>101</v>
      </c>
      <c r="C102" s="23">
        <v>120</v>
      </c>
      <c r="D102" s="24">
        <v>-1.0699999999999999E-2</v>
      </c>
      <c r="E102" s="24">
        <v>0.36559999999999998</v>
      </c>
      <c r="F102" s="25">
        <v>0.32200000000000001</v>
      </c>
      <c r="G102" s="26" t="s">
        <v>93</v>
      </c>
      <c r="H102" s="27">
        <v>1.0234300000000001</v>
      </c>
      <c r="I102" s="28">
        <v>0.24429999999999999</v>
      </c>
      <c r="J102" s="28">
        <v>5.9299999999999999E-2</v>
      </c>
      <c r="K102" s="29">
        <f t="shared" si="2"/>
        <v>-0.255</v>
      </c>
      <c r="L102" s="29">
        <f t="shared" si="3"/>
        <v>0.30629999999999996</v>
      </c>
    </row>
    <row r="103" spans="1:12" x14ac:dyDescent="0.25">
      <c r="A103" s="21">
        <v>9</v>
      </c>
      <c r="B103" s="22" t="s">
        <v>101</v>
      </c>
      <c r="C103" s="23">
        <v>150</v>
      </c>
      <c r="D103" s="24">
        <v>-1.1599999999999999E-2</v>
      </c>
      <c r="E103" s="24">
        <v>0.36509999999999998</v>
      </c>
      <c r="F103" s="25">
        <v>0.19259999999999999</v>
      </c>
      <c r="G103" s="26" t="s">
        <v>93</v>
      </c>
      <c r="H103" s="27">
        <v>1.0235000000000001</v>
      </c>
      <c r="I103" s="28">
        <v>0.24429999999999999</v>
      </c>
      <c r="J103" s="28">
        <v>5.9299999999999999E-2</v>
      </c>
      <c r="K103" s="29">
        <f t="shared" si="2"/>
        <v>-0.25590000000000002</v>
      </c>
      <c r="L103" s="29">
        <f t="shared" si="3"/>
        <v>0.30579999999999996</v>
      </c>
    </row>
    <row r="104" spans="1:12" x14ac:dyDescent="0.25">
      <c r="A104" s="21">
        <v>9</v>
      </c>
      <c r="B104" s="22" t="s">
        <v>101</v>
      </c>
      <c r="C104" s="23">
        <v>180</v>
      </c>
      <c r="D104" s="24">
        <v>-1.3100000000000001E-2</v>
      </c>
      <c r="E104" s="24">
        <v>-0.2082</v>
      </c>
      <c r="F104" s="25">
        <v>1.3100000000000001E-2</v>
      </c>
      <c r="G104" s="26" t="s">
        <v>93</v>
      </c>
      <c r="H104" s="27">
        <v>1.0999699999999999</v>
      </c>
      <c r="I104" s="28">
        <v>0.24429999999999999</v>
      </c>
      <c r="J104" s="28">
        <v>5.9299999999999999E-2</v>
      </c>
      <c r="K104" s="29">
        <f t="shared" si="2"/>
        <v>-0.25739999999999996</v>
      </c>
      <c r="L104" s="29">
        <f t="shared" si="3"/>
        <v>-0.26750000000000002</v>
      </c>
    </row>
    <row r="105" spans="1:12" x14ac:dyDescent="0.25">
      <c r="A105" s="21">
        <v>9</v>
      </c>
      <c r="B105" s="22" t="s">
        <v>101</v>
      </c>
      <c r="C105" s="23">
        <v>210</v>
      </c>
      <c r="D105" s="24">
        <v>-5.8999999999999999E-3</v>
      </c>
      <c r="E105" s="24">
        <v>-0.23849999999999999</v>
      </c>
      <c r="F105" s="25">
        <v>0.12429999999999999</v>
      </c>
      <c r="G105" s="26" t="s">
        <v>93</v>
      </c>
      <c r="H105" s="27">
        <v>1.1000000000000001</v>
      </c>
      <c r="I105" s="28">
        <v>0.24429999999999999</v>
      </c>
      <c r="J105" s="28">
        <v>5.9299999999999999E-2</v>
      </c>
      <c r="K105" s="29">
        <f t="shared" si="2"/>
        <v>-0.25019999999999998</v>
      </c>
      <c r="L105" s="29">
        <f t="shared" si="3"/>
        <v>-0.29780000000000001</v>
      </c>
    </row>
    <row r="106" spans="1:12" x14ac:dyDescent="0.25">
      <c r="A106" s="21">
        <v>9</v>
      </c>
      <c r="B106" s="22" t="s">
        <v>101</v>
      </c>
      <c r="C106" s="23">
        <v>240</v>
      </c>
      <c r="D106" s="24">
        <v>2.5999999999999999E-3</v>
      </c>
      <c r="E106" s="24">
        <v>-0.24410000000000001</v>
      </c>
      <c r="F106" s="25">
        <v>0.21010000000000001</v>
      </c>
      <c r="G106" s="26" t="s">
        <v>93</v>
      </c>
      <c r="H106" s="27">
        <v>1.1000000000000001</v>
      </c>
      <c r="I106" s="28">
        <v>0.24429999999999999</v>
      </c>
      <c r="J106" s="28">
        <v>5.9299999999999999E-2</v>
      </c>
      <c r="K106" s="29">
        <f t="shared" si="2"/>
        <v>-0.2417</v>
      </c>
      <c r="L106" s="29">
        <f t="shared" si="3"/>
        <v>-0.3034</v>
      </c>
    </row>
    <row r="107" spans="1:12" x14ac:dyDescent="0.25">
      <c r="A107" s="21">
        <v>9</v>
      </c>
      <c r="B107" s="22" t="s">
        <v>101</v>
      </c>
      <c r="C107" s="23">
        <v>270</v>
      </c>
      <c r="D107" s="24">
        <v>8.3900000000000002E-2</v>
      </c>
      <c r="E107" s="24">
        <v>-0.26200000000000001</v>
      </c>
      <c r="F107" s="25">
        <v>0.26200000000000001</v>
      </c>
      <c r="G107" s="26" t="s">
        <v>93</v>
      </c>
      <c r="H107" s="27">
        <v>1.1000000000000001</v>
      </c>
      <c r="I107" s="28">
        <v>0.24429999999999999</v>
      </c>
      <c r="J107" s="28">
        <v>5.9299999999999999E-2</v>
      </c>
      <c r="K107" s="29">
        <f t="shared" si="2"/>
        <v>-0.16039999999999999</v>
      </c>
      <c r="L107" s="29">
        <f t="shared" si="3"/>
        <v>-0.32130000000000003</v>
      </c>
    </row>
    <row r="108" spans="1:12" x14ac:dyDescent="0.25">
      <c r="A108" s="21">
        <v>9</v>
      </c>
      <c r="B108" s="22" t="s">
        <v>101</v>
      </c>
      <c r="C108" s="23">
        <v>300</v>
      </c>
      <c r="D108" s="24">
        <v>0.2455</v>
      </c>
      <c r="E108" s="24">
        <v>-0.21840000000000001</v>
      </c>
      <c r="F108" s="25">
        <v>0.31190000000000001</v>
      </c>
      <c r="G108" s="26" t="s">
        <v>93</v>
      </c>
      <c r="H108" s="27">
        <v>1.0813999999999999</v>
      </c>
      <c r="I108" s="28">
        <v>0.24429999999999999</v>
      </c>
      <c r="J108" s="28">
        <v>5.9299999999999999E-2</v>
      </c>
      <c r="K108" s="29">
        <f t="shared" si="2"/>
        <v>1.2000000000000066E-3</v>
      </c>
      <c r="L108" s="29">
        <f t="shared" si="3"/>
        <v>-0.2777</v>
      </c>
    </row>
    <row r="109" spans="1:12" x14ac:dyDescent="0.25">
      <c r="A109" s="30">
        <v>9</v>
      </c>
      <c r="B109" s="31" t="s">
        <v>101</v>
      </c>
      <c r="C109" s="32">
        <v>330</v>
      </c>
      <c r="D109" s="33">
        <v>0.3649</v>
      </c>
      <c r="E109" s="33">
        <v>-9.9000000000000005E-2</v>
      </c>
      <c r="F109" s="34">
        <v>0.36549999999999999</v>
      </c>
      <c r="G109" s="35" t="s">
        <v>93</v>
      </c>
      <c r="H109" s="36">
        <v>1.0509900000000001</v>
      </c>
      <c r="I109" s="37">
        <v>0.24429999999999999</v>
      </c>
      <c r="J109" s="37">
        <v>5.9299999999999999E-2</v>
      </c>
      <c r="K109" s="38">
        <f t="shared" si="2"/>
        <v>0.12060000000000001</v>
      </c>
      <c r="L109" s="38">
        <f t="shared" si="3"/>
        <v>-0.1583</v>
      </c>
    </row>
    <row r="110" spans="1:12" x14ac:dyDescent="0.25">
      <c r="A110" s="21">
        <v>10</v>
      </c>
      <c r="B110" s="22" t="s">
        <v>102</v>
      </c>
      <c r="C110" s="23">
        <v>0</v>
      </c>
      <c r="D110" s="24">
        <v>0.18149999999999999</v>
      </c>
      <c r="E110" s="24">
        <v>5.8999999999999997E-2</v>
      </c>
      <c r="F110" s="25">
        <v>0.18149999999999999</v>
      </c>
      <c r="G110" s="26" t="s">
        <v>93</v>
      </c>
      <c r="H110" s="27">
        <v>1.0326900000000001</v>
      </c>
      <c r="I110" s="28">
        <v>8.4599999999999995E-2</v>
      </c>
      <c r="J110" s="28">
        <v>6.1199999999999997E-2</v>
      </c>
      <c r="K110" s="29">
        <f t="shared" si="2"/>
        <v>9.69E-2</v>
      </c>
      <c r="L110" s="29">
        <f t="shared" si="3"/>
        <v>-2.2000000000000006E-3</v>
      </c>
    </row>
    <row r="111" spans="1:12" x14ac:dyDescent="0.25">
      <c r="A111" s="21">
        <v>10</v>
      </c>
      <c r="B111" s="22" t="s">
        <v>102</v>
      </c>
      <c r="C111" s="23">
        <v>30</v>
      </c>
      <c r="D111" s="24">
        <v>0.13589999999999999</v>
      </c>
      <c r="E111" s="24">
        <v>0.22189999999999999</v>
      </c>
      <c r="F111" s="25">
        <v>0.22869999999999999</v>
      </c>
      <c r="G111" s="26" t="s">
        <v>93</v>
      </c>
      <c r="H111" s="27">
        <v>1.0157700000000001</v>
      </c>
      <c r="I111" s="28">
        <v>8.4599999999999995E-2</v>
      </c>
      <c r="J111" s="28">
        <v>6.1199999999999997E-2</v>
      </c>
      <c r="K111" s="29">
        <f t="shared" si="2"/>
        <v>5.1299999999999998E-2</v>
      </c>
      <c r="L111" s="29">
        <f t="shared" si="3"/>
        <v>0.16069999999999998</v>
      </c>
    </row>
    <row r="112" spans="1:12" x14ac:dyDescent="0.25">
      <c r="A112" s="21">
        <v>10</v>
      </c>
      <c r="B112" s="22" t="s">
        <v>102</v>
      </c>
      <c r="C112" s="23">
        <v>60</v>
      </c>
      <c r="D112" s="24">
        <v>1.9099999999999999E-2</v>
      </c>
      <c r="E112" s="24">
        <v>0.33950000000000002</v>
      </c>
      <c r="F112" s="25">
        <v>0.30359999999999998</v>
      </c>
      <c r="G112" s="26" t="s">
        <v>93</v>
      </c>
      <c r="H112" s="27">
        <v>1.01308</v>
      </c>
      <c r="I112" s="28">
        <v>8.4599999999999995E-2</v>
      </c>
      <c r="J112" s="28">
        <v>6.1199999999999997E-2</v>
      </c>
      <c r="K112" s="29">
        <f t="shared" si="2"/>
        <v>-6.5500000000000003E-2</v>
      </c>
      <c r="L112" s="29">
        <f t="shared" si="3"/>
        <v>0.27830000000000005</v>
      </c>
    </row>
    <row r="113" spans="1:12" x14ac:dyDescent="0.25">
      <c r="A113" s="21">
        <v>10</v>
      </c>
      <c r="B113" s="22" t="s">
        <v>102</v>
      </c>
      <c r="C113" s="23">
        <v>90</v>
      </c>
      <c r="D113" s="24">
        <v>-0.14080000000000001</v>
      </c>
      <c r="E113" s="24">
        <v>0.38219999999999998</v>
      </c>
      <c r="F113" s="25">
        <v>0.38219999999999998</v>
      </c>
      <c r="G113" s="26" t="s">
        <v>93</v>
      </c>
      <c r="H113" s="27">
        <v>1.0176099999999999</v>
      </c>
      <c r="I113" s="28">
        <v>8.4599999999999995E-2</v>
      </c>
      <c r="J113" s="28">
        <v>6.1199999999999997E-2</v>
      </c>
      <c r="K113" s="29">
        <f t="shared" si="2"/>
        <v>-0.22539999999999999</v>
      </c>
      <c r="L113" s="29">
        <f t="shared" si="3"/>
        <v>0.32100000000000001</v>
      </c>
    </row>
    <row r="114" spans="1:12" x14ac:dyDescent="0.25">
      <c r="A114" s="21">
        <v>10</v>
      </c>
      <c r="B114" s="22" t="s">
        <v>102</v>
      </c>
      <c r="C114" s="23">
        <v>120</v>
      </c>
      <c r="D114" s="24">
        <v>-0.24060000000000001</v>
      </c>
      <c r="E114" s="24">
        <v>0.36230000000000001</v>
      </c>
      <c r="F114" s="25">
        <v>0.43409999999999999</v>
      </c>
      <c r="G114" s="26" t="s">
        <v>93</v>
      </c>
      <c r="H114" s="27">
        <v>1.0285599999999999</v>
      </c>
      <c r="I114" s="28">
        <v>8.4599999999999995E-2</v>
      </c>
      <c r="J114" s="28">
        <v>6.1199999999999997E-2</v>
      </c>
      <c r="K114" s="29">
        <f t="shared" si="2"/>
        <v>-0.32519999999999999</v>
      </c>
      <c r="L114" s="29">
        <f t="shared" si="3"/>
        <v>0.30110000000000003</v>
      </c>
    </row>
    <row r="115" spans="1:12" x14ac:dyDescent="0.25">
      <c r="A115" s="21">
        <v>10</v>
      </c>
      <c r="B115" s="22" t="s">
        <v>102</v>
      </c>
      <c r="C115" s="23">
        <v>150</v>
      </c>
      <c r="D115" s="24">
        <v>-0.24229999999999999</v>
      </c>
      <c r="E115" s="24">
        <v>0.36130000000000001</v>
      </c>
      <c r="F115" s="25">
        <v>0.39040000000000002</v>
      </c>
      <c r="G115" s="26" t="s">
        <v>93</v>
      </c>
      <c r="H115" s="27">
        <v>1.02891</v>
      </c>
      <c r="I115" s="28">
        <v>8.4599999999999995E-2</v>
      </c>
      <c r="J115" s="28">
        <v>6.1199999999999997E-2</v>
      </c>
      <c r="K115" s="29">
        <f t="shared" si="2"/>
        <v>-0.32689999999999997</v>
      </c>
      <c r="L115" s="29">
        <f t="shared" si="3"/>
        <v>0.30010000000000003</v>
      </c>
    </row>
    <row r="116" spans="1:12" x14ac:dyDescent="0.25">
      <c r="A116" s="21">
        <v>10</v>
      </c>
      <c r="B116" s="22" t="s">
        <v>102</v>
      </c>
      <c r="C116" s="23">
        <v>180</v>
      </c>
      <c r="D116" s="24">
        <v>-0.24379999999999999</v>
      </c>
      <c r="E116" s="24">
        <v>0.15049999999999999</v>
      </c>
      <c r="F116" s="25">
        <v>0.24379999999999999</v>
      </c>
      <c r="G116" s="26" t="s">
        <v>93</v>
      </c>
      <c r="H116" s="27">
        <v>1.09996</v>
      </c>
      <c r="I116" s="28">
        <v>8.4599999999999995E-2</v>
      </c>
      <c r="J116" s="28">
        <v>6.1199999999999997E-2</v>
      </c>
      <c r="K116" s="29">
        <f t="shared" si="2"/>
        <v>-0.32839999999999997</v>
      </c>
      <c r="L116" s="29">
        <f t="shared" si="3"/>
        <v>8.929999999999999E-2</v>
      </c>
    </row>
    <row r="117" spans="1:12" x14ac:dyDescent="0.25">
      <c r="A117" s="21">
        <v>10</v>
      </c>
      <c r="B117" s="22" t="s">
        <v>102</v>
      </c>
      <c r="C117" s="23">
        <v>210</v>
      </c>
      <c r="D117" s="24">
        <v>-0.23250000000000001</v>
      </c>
      <c r="E117" s="24">
        <v>-0.2319</v>
      </c>
      <c r="F117" s="25">
        <v>0.31730000000000003</v>
      </c>
      <c r="G117" s="26" t="s">
        <v>93</v>
      </c>
      <c r="H117" s="27">
        <v>1.1000000000000001</v>
      </c>
      <c r="I117" s="28">
        <v>8.4599999999999995E-2</v>
      </c>
      <c r="J117" s="28">
        <v>6.1199999999999997E-2</v>
      </c>
      <c r="K117" s="29">
        <f t="shared" si="2"/>
        <v>-0.31709999999999999</v>
      </c>
      <c r="L117" s="29">
        <f t="shared" si="3"/>
        <v>-0.29309999999999997</v>
      </c>
    </row>
    <row r="118" spans="1:12" x14ac:dyDescent="0.25">
      <c r="A118" s="21">
        <v>10</v>
      </c>
      <c r="B118" s="22" t="s">
        <v>102</v>
      </c>
      <c r="C118" s="23">
        <v>240</v>
      </c>
      <c r="D118" s="24">
        <v>-0.2198</v>
      </c>
      <c r="E118" s="24">
        <v>-0.24279999999999999</v>
      </c>
      <c r="F118" s="25">
        <v>0.3201</v>
      </c>
      <c r="G118" s="26" t="s">
        <v>93</v>
      </c>
      <c r="H118" s="27">
        <v>1.1000000000000001</v>
      </c>
      <c r="I118" s="28">
        <v>8.4599999999999995E-2</v>
      </c>
      <c r="J118" s="28">
        <v>6.1199999999999997E-2</v>
      </c>
      <c r="K118" s="29">
        <f t="shared" si="2"/>
        <v>-0.3044</v>
      </c>
      <c r="L118" s="29">
        <f t="shared" si="3"/>
        <v>-0.30399999999999999</v>
      </c>
    </row>
    <row r="119" spans="1:12" x14ac:dyDescent="0.25">
      <c r="A119" s="21">
        <v>10</v>
      </c>
      <c r="B119" s="22" t="s">
        <v>102</v>
      </c>
      <c r="C119" s="23">
        <v>270</v>
      </c>
      <c r="D119" s="24">
        <v>-0.13469999999999999</v>
      </c>
      <c r="E119" s="24">
        <v>-0.26479999999999998</v>
      </c>
      <c r="F119" s="25">
        <v>0.26479999999999998</v>
      </c>
      <c r="G119" s="26" t="s">
        <v>93</v>
      </c>
      <c r="H119" s="27">
        <v>1.1000000000000001</v>
      </c>
      <c r="I119" s="28">
        <v>8.4599999999999995E-2</v>
      </c>
      <c r="J119" s="28">
        <v>6.1199999999999997E-2</v>
      </c>
      <c r="K119" s="29">
        <f t="shared" si="2"/>
        <v>-0.21929999999999999</v>
      </c>
      <c r="L119" s="29">
        <f t="shared" si="3"/>
        <v>-0.32599999999999996</v>
      </c>
    </row>
    <row r="120" spans="1:12" x14ac:dyDescent="0.25">
      <c r="A120" s="21">
        <v>10</v>
      </c>
      <c r="B120" s="22" t="s">
        <v>102</v>
      </c>
      <c r="C120" s="23">
        <v>300</v>
      </c>
      <c r="D120" s="24">
        <v>1.95E-2</v>
      </c>
      <c r="E120" s="24">
        <v>-0.222</v>
      </c>
      <c r="F120" s="25">
        <v>0.20200000000000001</v>
      </c>
      <c r="G120" s="26" t="s">
        <v>93</v>
      </c>
      <c r="H120" s="27">
        <v>1.0845100000000001</v>
      </c>
      <c r="I120" s="28">
        <v>8.4599999999999995E-2</v>
      </c>
      <c r="J120" s="28">
        <v>6.1199999999999997E-2</v>
      </c>
      <c r="K120" s="29">
        <f t="shared" si="2"/>
        <v>-6.5099999999999991E-2</v>
      </c>
      <c r="L120" s="29">
        <f t="shared" si="3"/>
        <v>-0.28320000000000001</v>
      </c>
    </row>
    <row r="121" spans="1:12" x14ac:dyDescent="0.25">
      <c r="A121" s="30">
        <v>10</v>
      </c>
      <c r="B121" s="31" t="s">
        <v>102</v>
      </c>
      <c r="C121" s="32">
        <v>330</v>
      </c>
      <c r="D121" s="33">
        <v>0.13800000000000001</v>
      </c>
      <c r="E121" s="33">
        <v>-0.10340000000000001</v>
      </c>
      <c r="F121" s="34">
        <v>0.17119999999999999</v>
      </c>
      <c r="G121" s="35" t="s">
        <v>93</v>
      </c>
      <c r="H121" s="36">
        <v>1.05382</v>
      </c>
      <c r="I121" s="37">
        <v>8.4599999999999995E-2</v>
      </c>
      <c r="J121" s="37">
        <v>6.1199999999999997E-2</v>
      </c>
      <c r="K121" s="38">
        <f t="shared" si="2"/>
        <v>5.3400000000000017E-2</v>
      </c>
      <c r="L121" s="38">
        <f t="shared" si="3"/>
        <v>-0.1646</v>
      </c>
    </row>
    <row r="122" spans="1:12" x14ac:dyDescent="0.25">
      <c r="A122" s="21">
        <v>11</v>
      </c>
      <c r="B122" s="22" t="s">
        <v>103</v>
      </c>
      <c r="C122" s="23">
        <v>0</v>
      </c>
      <c r="D122" s="24">
        <v>-5.9400000000000001E-2</v>
      </c>
      <c r="E122" s="24">
        <v>6.2100000000000002E-2</v>
      </c>
      <c r="F122" s="25">
        <v>-5.9400000000000001E-2</v>
      </c>
      <c r="G122" s="26" t="s">
        <v>93</v>
      </c>
      <c r="H122" s="27">
        <v>1.0347299999999999</v>
      </c>
      <c r="I122" s="28">
        <v>-0.14130000000000001</v>
      </c>
      <c r="J122" s="28">
        <v>5.8500000000000003E-2</v>
      </c>
      <c r="K122" s="29">
        <f t="shared" si="2"/>
        <v>8.1900000000000001E-2</v>
      </c>
      <c r="L122" s="29">
        <f t="shared" si="3"/>
        <v>3.599999999999999E-3</v>
      </c>
    </row>
    <row r="123" spans="1:12" x14ac:dyDescent="0.25">
      <c r="A123" s="21">
        <v>11</v>
      </c>
      <c r="B123" s="22" t="s">
        <v>103</v>
      </c>
      <c r="C123" s="23">
        <v>30</v>
      </c>
      <c r="D123" s="24">
        <v>-0.10390000000000001</v>
      </c>
      <c r="E123" s="24">
        <v>0.22600000000000001</v>
      </c>
      <c r="F123" s="25">
        <v>2.3E-2</v>
      </c>
      <c r="G123" s="26" t="s">
        <v>93</v>
      </c>
      <c r="H123" s="27">
        <v>1.01834</v>
      </c>
      <c r="I123" s="28">
        <v>-0.14130000000000001</v>
      </c>
      <c r="J123" s="28">
        <v>5.8500000000000003E-2</v>
      </c>
      <c r="K123" s="29">
        <f t="shared" si="2"/>
        <v>3.7400000000000003E-2</v>
      </c>
      <c r="L123" s="29">
        <f t="shared" si="3"/>
        <v>0.16750000000000001</v>
      </c>
    </row>
    <row r="124" spans="1:12" x14ac:dyDescent="0.25">
      <c r="A124" s="21">
        <v>11</v>
      </c>
      <c r="B124" s="22" t="s">
        <v>103</v>
      </c>
      <c r="C124" s="23">
        <v>60</v>
      </c>
      <c r="D124" s="24">
        <v>-0.2218</v>
      </c>
      <c r="E124" s="24">
        <v>0.34439999999999998</v>
      </c>
      <c r="F124" s="25">
        <v>0.18740000000000001</v>
      </c>
      <c r="G124" s="26" t="s">
        <v>93</v>
      </c>
      <c r="H124" s="27">
        <v>1.01688</v>
      </c>
      <c r="I124" s="28">
        <v>-0.14130000000000001</v>
      </c>
      <c r="J124" s="28">
        <v>5.8500000000000003E-2</v>
      </c>
      <c r="K124" s="29">
        <f t="shared" si="2"/>
        <v>-8.0499999999999988E-2</v>
      </c>
      <c r="L124" s="29">
        <f t="shared" si="3"/>
        <v>0.28589999999999999</v>
      </c>
    </row>
    <row r="125" spans="1:12" x14ac:dyDescent="0.25">
      <c r="A125" s="21">
        <v>11</v>
      </c>
      <c r="B125" s="22" t="s">
        <v>103</v>
      </c>
      <c r="C125" s="23">
        <v>90</v>
      </c>
      <c r="D125" s="24">
        <v>-0.3821</v>
      </c>
      <c r="E125" s="24">
        <v>0.38740000000000002</v>
      </c>
      <c r="F125" s="25">
        <v>0.38740000000000002</v>
      </c>
      <c r="G125" s="26" t="s">
        <v>93</v>
      </c>
      <c r="H125" s="27">
        <v>1.0215799999999999</v>
      </c>
      <c r="I125" s="28">
        <v>-0.14130000000000001</v>
      </c>
      <c r="J125" s="28">
        <v>5.8500000000000003E-2</v>
      </c>
      <c r="K125" s="29">
        <f t="shared" si="2"/>
        <v>-0.24079999999999999</v>
      </c>
      <c r="L125" s="29">
        <f t="shared" si="3"/>
        <v>0.32890000000000003</v>
      </c>
    </row>
    <row r="126" spans="1:12" x14ac:dyDescent="0.25">
      <c r="A126" s="21">
        <v>11</v>
      </c>
      <c r="B126" s="22" t="s">
        <v>103</v>
      </c>
      <c r="C126" s="23">
        <v>120</v>
      </c>
      <c r="D126" s="24">
        <v>-0.49519999999999997</v>
      </c>
      <c r="E126" s="24">
        <v>0.3629</v>
      </c>
      <c r="F126" s="25">
        <v>0.56189999999999996</v>
      </c>
      <c r="G126" s="26" t="s">
        <v>93</v>
      </c>
      <c r="H126" s="27">
        <v>1.03938</v>
      </c>
      <c r="I126" s="28">
        <v>-0.14130000000000001</v>
      </c>
      <c r="J126" s="28">
        <v>5.8500000000000003E-2</v>
      </c>
      <c r="K126" s="29">
        <f t="shared" si="2"/>
        <v>-0.35389999999999999</v>
      </c>
      <c r="L126" s="29">
        <f t="shared" si="3"/>
        <v>0.3044</v>
      </c>
    </row>
    <row r="127" spans="1:12" x14ac:dyDescent="0.25">
      <c r="A127" s="21">
        <v>11</v>
      </c>
      <c r="B127" s="22" t="s">
        <v>103</v>
      </c>
      <c r="C127" s="23">
        <v>150</v>
      </c>
      <c r="D127" s="24">
        <v>-0.501</v>
      </c>
      <c r="E127" s="24">
        <v>0.35899999999999999</v>
      </c>
      <c r="F127" s="25">
        <v>0.61339999999999995</v>
      </c>
      <c r="G127" s="26" t="s">
        <v>93</v>
      </c>
      <c r="H127" s="27">
        <v>1.0431900000000001</v>
      </c>
      <c r="I127" s="28">
        <v>-0.14130000000000001</v>
      </c>
      <c r="J127" s="28">
        <v>5.8500000000000003E-2</v>
      </c>
      <c r="K127" s="29">
        <f t="shared" si="2"/>
        <v>-0.35970000000000002</v>
      </c>
      <c r="L127" s="29">
        <f t="shared" si="3"/>
        <v>0.30049999999999999</v>
      </c>
    </row>
    <row r="128" spans="1:12" x14ac:dyDescent="0.25">
      <c r="A128" s="21">
        <v>11</v>
      </c>
      <c r="B128" s="22" t="s">
        <v>103</v>
      </c>
      <c r="C128" s="23">
        <v>180</v>
      </c>
      <c r="D128" s="24">
        <v>-0.50329999999999997</v>
      </c>
      <c r="E128" s="24">
        <v>0.17549999999999999</v>
      </c>
      <c r="F128" s="25">
        <v>0.50329999999999997</v>
      </c>
      <c r="G128" s="26" t="s">
        <v>93</v>
      </c>
      <c r="H128" s="27">
        <v>1.1000000000000001</v>
      </c>
      <c r="I128" s="28">
        <v>-0.14130000000000001</v>
      </c>
      <c r="J128" s="28">
        <v>5.8500000000000003E-2</v>
      </c>
      <c r="K128" s="29">
        <f t="shared" si="2"/>
        <v>-0.36199999999999999</v>
      </c>
      <c r="L128" s="29">
        <f t="shared" si="3"/>
        <v>0.11699999999999999</v>
      </c>
    </row>
    <row r="129" spans="1:12" x14ac:dyDescent="0.25">
      <c r="A129" s="21">
        <v>11</v>
      </c>
      <c r="B129" s="22" t="s">
        <v>103</v>
      </c>
      <c r="C129" s="23">
        <v>210</v>
      </c>
      <c r="D129" s="24">
        <v>-0.48249999999999998</v>
      </c>
      <c r="E129" s="24">
        <v>-0.20580000000000001</v>
      </c>
      <c r="F129" s="25">
        <v>0.52080000000000004</v>
      </c>
      <c r="G129" s="26" t="s">
        <v>93</v>
      </c>
      <c r="H129" s="27">
        <v>1.1000000000000001</v>
      </c>
      <c r="I129" s="28">
        <v>-0.14130000000000001</v>
      </c>
      <c r="J129" s="28">
        <v>5.8500000000000003E-2</v>
      </c>
      <c r="K129" s="29">
        <f t="shared" si="2"/>
        <v>-0.34119999999999995</v>
      </c>
      <c r="L129" s="29">
        <f t="shared" si="3"/>
        <v>-0.26430000000000003</v>
      </c>
    </row>
    <row r="130" spans="1:12" x14ac:dyDescent="0.25">
      <c r="A130" s="21">
        <v>11</v>
      </c>
      <c r="B130" s="22" t="s">
        <v>103</v>
      </c>
      <c r="C130" s="23">
        <v>240</v>
      </c>
      <c r="D130" s="24">
        <v>-0.4456</v>
      </c>
      <c r="E130" s="24">
        <v>-0.24010000000000001</v>
      </c>
      <c r="F130" s="25">
        <v>0.43070000000000003</v>
      </c>
      <c r="G130" s="26" t="s">
        <v>93</v>
      </c>
      <c r="H130" s="27">
        <v>1.1000000000000001</v>
      </c>
      <c r="I130" s="28">
        <v>-0.14130000000000001</v>
      </c>
      <c r="J130" s="28">
        <v>5.8500000000000003E-2</v>
      </c>
      <c r="K130" s="29">
        <f t="shared" ref="K130:K193" si="4">D130-I130</f>
        <v>-0.30430000000000001</v>
      </c>
      <c r="L130" s="29">
        <f t="shared" ref="L130:L193" si="5">E130-J130</f>
        <v>-0.29860000000000003</v>
      </c>
    </row>
    <row r="131" spans="1:12" x14ac:dyDescent="0.25">
      <c r="A131" s="21">
        <v>11</v>
      </c>
      <c r="B131" s="22" t="s">
        <v>103</v>
      </c>
      <c r="C131" s="23">
        <v>270</v>
      </c>
      <c r="D131" s="24">
        <v>-0.36919999999999997</v>
      </c>
      <c r="E131" s="24">
        <v>-0.26040000000000002</v>
      </c>
      <c r="F131" s="25">
        <v>0.26040000000000002</v>
      </c>
      <c r="G131" s="26" t="s">
        <v>93</v>
      </c>
      <c r="H131" s="27">
        <v>1.1000000000000001</v>
      </c>
      <c r="I131" s="28">
        <v>-0.14130000000000001</v>
      </c>
      <c r="J131" s="28">
        <v>5.8500000000000003E-2</v>
      </c>
      <c r="K131" s="29">
        <f t="shared" si="4"/>
        <v>-0.22789999999999996</v>
      </c>
      <c r="L131" s="29">
        <f t="shared" si="5"/>
        <v>-0.31890000000000002</v>
      </c>
    </row>
    <row r="132" spans="1:12" x14ac:dyDescent="0.25">
      <c r="A132" s="21">
        <v>11</v>
      </c>
      <c r="B132" s="22" t="s">
        <v>103</v>
      </c>
      <c r="C132" s="23">
        <v>300</v>
      </c>
      <c r="D132" s="24">
        <v>-0.2208</v>
      </c>
      <c r="E132" s="24">
        <v>-0.2185</v>
      </c>
      <c r="F132" s="25">
        <v>7.8799999999999995E-2</v>
      </c>
      <c r="G132" s="26" t="s">
        <v>93</v>
      </c>
      <c r="H132" s="27">
        <v>1.08392</v>
      </c>
      <c r="I132" s="28">
        <v>-0.14130000000000001</v>
      </c>
      <c r="J132" s="28">
        <v>5.8500000000000003E-2</v>
      </c>
      <c r="K132" s="29">
        <f t="shared" si="4"/>
        <v>-7.9499999999999987E-2</v>
      </c>
      <c r="L132" s="29">
        <f t="shared" si="5"/>
        <v>-0.27700000000000002</v>
      </c>
    </row>
    <row r="133" spans="1:12" x14ac:dyDescent="0.25">
      <c r="A133" s="30">
        <v>11</v>
      </c>
      <c r="B133" s="31" t="s">
        <v>103</v>
      </c>
      <c r="C133" s="32">
        <v>330</v>
      </c>
      <c r="D133" s="33">
        <v>-0.10290000000000001</v>
      </c>
      <c r="E133" s="33">
        <v>-0.10050000000000001</v>
      </c>
      <c r="F133" s="34">
        <v>-3.8899999999999997E-2</v>
      </c>
      <c r="G133" s="35" t="s">
        <v>93</v>
      </c>
      <c r="H133" s="36">
        <v>1.05488</v>
      </c>
      <c r="I133" s="37">
        <v>-0.14130000000000001</v>
      </c>
      <c r="J133" s="37">
        <v>5.8500000000000003E-2</v>
      </c>
      <c r="K133" s="38">
        <f t="shared" si="4"/>
        <v>3.8400000000000004E-2</v>
      </c>
      <c r="L133" s="38">
        <f t="shared" si="5"/>
        <v>-0.159</v>
      </c>
    </row>
    <row r="134" spans="1:12" x14ac:dyDescent="0.25">
      <c r="A134" s="21">
        <v>12</v>
      </c>
      <c r="B134" s="22" t="s">
        <v>104</v>
      </c>
      <c r="C134" s="23">
        <v>0</v>
      </c>
      <c r="D134" s="24">
        <v>-0.3256</v>
      </c>
      <c r="E134" s="24">
        <v>6.5699999999999995E-2</v>
      </c>
      <c r="F134" s="25">
        <v>-0.3256</v>
      </c>
      <c r="G134" s="26" t="s">
        <v>93</v>
      </c>
      <c r="H134" s="27">
        <v>1.0366</v>
      </c>
      <c r="I134" s="28">
        <v>-0.38129999999999997</v>
      </c>
      <c r="J134" s="28">
        <v>6.3100000000000003E-2</v>
      </c>
      <c r="K134" s="29">
        <f t="shared" si="4"/>
        <v>5.5699999999999972E-2</v>
      </c>
      <c r="L134" s="29">
        <f t="shared" si="5"/>
        <v>2.5999999999999912E-3</v>
      </c>
    </row>
    <row r="135" spans="1:12" x14ac:dyDescent="0.25">
      <c r="A135" s="21">
        <v>12</v>
      </c>
      <c r="B135" s="22" t="s">
        <v>104</v>
      </c>
      <c r="C135" s="23">
        <v>30</v>
      </c>
      <c r="D135" s="24">
        <v>-0.36969999999999997</v>
      </c>
      <c r="E135" s="24">
        <v>0.23080000000000001</v>
      </c>
      <c r="F135" s="25">
        <v>-0.20480000000000001</v>
      </c>
      <c r="G135" s="26" t="s">
        <v>93</v>
      </c>
      <c r="H135" s="27">
        <v>1.0190600000000001</v>
      </c>
      <c r="I135" s="28">
        <v>-0.38129999999999997</v>
      </c>
      <c r="J135" s="28">
        <v>6.3100000000000003E-2</v>
      </c>
      <c r="K135" s="29">
        <f t="shared" si="4"/>
        <v>1.1599999999999999E-2</v>
      </c>
      <c r="L135" s="29">
        <f t="shared" si="5"/>
        <v>0.16770000000000002</v>
      </c>
    </row>
    <row r="136" spans="1:12" x14ac:dyDescent="0.25">
      <c r="A136" s="21">
        <v>12</v>
      </c>
      <c r="B136" s="22" t="s">
        <v>104</v>
      </c>
      <c r="C136" s="23">
        <v>60</v>
      </c>
      <c r="D136" s="24">
        <v>-0.48899999999999999</v>
      </c>
      <c r="E136" s="24">
        <v>0.35020000000000001</v>
      </c>
      <c r="F136" s="25">
        <v>5.8799999999999998E-2</v>
      </c>
      <c r="G136" s="26" t="s">
        <v>93</v>
      </c>
      <c r="H136" s="27">
        <v>1.0177</v>
      </c>
      <c r="I136" s="28">
        <v>-0.38129999999999997</v>
      </c>
      <c r="J136" s="28">
        <v>6.3100000000000003E-2</v>
      </c>
      <c r="K136" s="29">
        <f t="shared" si="4"/>
        <v>-0.10770000000000002</v>
      </c>
      <c r="L136" s="29">
        <f t="shared" si="5"/>
        <v>0.28710000000000002</v>
      </c>
    </row>
    <row r="137" spans="1:12" x14ac:dyDescent="0.25">
      <c r="A137" s="21">
        <v>12</v>
      </c>
      <c r="B137" s="22" t="s">
        <v>104</v>
      </c>
      <c r="C137" s="23">
        <v>90</v>
      </c>
      <c r="D137" s="24">
        <v>-0.64870000000000005</v>
      </c>
      <c r="E137" s="24">
        <v>0.39319999999999999</v>
      </c>
      <c r="F137" s="25">
        <v>0.39319999999999999</v>
      </c>
      <c r="G137" s="26" t="s">
        <v>93</v>
      </c>
      <c r="H137" s="27">
        <v>1.02481</v>
      </c>
      <c r="I137" s="28">
        <v>-0.38129999999999997</v>
      </c>
      <c r="J137" s="28">
        <v>6.3100000000000003E-2</v>
      </c>
      <c r="K137" s="29">
        <f t="shared" si="4"/>
        <v>-0.26740000000000008</v>
      </c>
      <c r="L137" s="29">
        <f t="shared" si="5"/>
        <v>0.3301</v>
      </c>
    </row>
    <row r="138" spans="1:12" x14ac:dyDescent="0.25">
      <c r="A138" s="21">
        <v>12</v>
      </c>
      <c r="B138" s="22" t="s">
        <v>104</v>
      </c>
      <c r="C138" s="23">
        <v>120</v>
      </c>
      <c r="D138" s="24">
        <v>-0.77900000000000003</v>
      </c>
      <c r="E138" s="24">
        <v>0.36199999999999999</v>
      </c>
      <c r="F138" s="25">
        <v>0.70299999999999996</v>
      </c>
      <c r="G138" s="26" t="s">
        <v>93</v>
      </c>
      <c r="H138" s="27">
        <v>1.0512300000000001</v>
      </c>
      <c r="I138" s="28">
        <v>-0.38129999999999997</v>
      </c>
      <c r="J138" s="28">
        <v>6.3100000000000003E-2</v>
      </c>
      <c r="K138" s="29">
        <f t="shared" si="4"/>
        <v>-0.39770000000000005</v>
      </c>
      <c r="L138" s="29">
        <f t="shared" si="5"/>
        <v>0.2989</v>
      </c>
    </row>
    <row r="139" spans="1:12" x14ac:dyDescent="0.25">
      <c r="A139" s="21">
        <v>12</v>
      </c>
      <c r="B139" s="22" t="s">
        <v>104</v>
      </c>
      <c r="C139" s="23">
        <v>150</v>
      </c>
      <c r="D139" s="24">
        <v>-0.79990000000000006</v>
      </c>
      <c r="E139" s="24">
        <v>0.34610000000000002</v>
      </c>
      <c r="F139" s="25">
        <v>0.86570000000000003</v>
      </c>
      <c r="G139" s="26" t="s">
        <v>93</v>
      </c>
      <c r="H139" s="27">
        <v>1.0654300000000001</v>
      </c>
      <c r="I139" s="28">
        <v>-0.38129999999999997</v>
      </c>
      <c r="J139" s="28">
        <v>6.3100000000000003E-2</v>
      </c>
      <c r="K139" s="29">
        <f t="shared" si="4"/>
        <v>-0.41860000000000008</v>
      </c>
      <c r="L139" s="29">
        <f t="shared" si="5"/>
        <v>0.28300000000000003</v>
      </c>
    </row>
    <row r="140" spans="1:12" x14ac:dyDescent="0.25">
      <c r="A140" s="21">
        <v>12</v>
      </c>
      <c r="B140" s="22" t="s">
        <v>104</v>
      </c>
      <c r="C140" s="23">
        <v>180</v>
      </c>
      <c r="D140" s="24">
        <v>-0.80269999999999997</v>
      </c>
      <c r="E140" s="24">
        <v>0.184</v>
      </c>
      <c r="F140" s="25">
        <v>0.80269999999999997</v>
      </c>
      <c r="G140" s="26" t="s">
        <v>93</v>
      </c>
      <c r="H140" s="27">
        <v>1.09999</v>
      </c>
      <c r="I140" s="28">
        <v>-0.38129999999999997</v>
      </c>
      <c r="J140" s="28">
        <v>6.3100000000000003E-2</v>
      </c>
      <c r="K140" s="29">
        <f t="shared" si="4"/>
        <v>-0.4214</v>
      </c>
      <c r="L140" s="29">
        <f t="shared" si="5"/>
        <v>0.12089999999999999</v>
      </c>
    </row>
    <row r="141" spans="1:12" x14ac:dyDescent="0.25">
      <c r="A141" s="21">
        <v>12</v>
      </c>
      <c r="B141" s="22" t="s">
        <v>104</v>
      </c>
      <c r="C141" s="23">
        <v>210</v>
      </c>
      <c r="D141" s="24">
        <v>-0.77649999999999997</v>
      </c>
      <c r="E141" s="24">
        <v>-0.153</v>
      </c>
      <c r="F141" s="25">
        <v>0.749</v>
      </c>
      <c r="G141" s="26" t="s">
        <v>93</v>
      </c>
      <c r="H141" s="27">
        <v>1.1000000000000001</v>
      </c>
      <c r="I141" s="28">
        <v>-0.38129999999999997</v>
      </c>
      <c r="J141" s="28">
        <v>6.3100000000000003E-2</v>
      </c>
      <c r="K141" s="29">
        <f t="shared" si="4"/>
        <v>-0.3952</v>
      </c>
      <c r="L141" s="29">
        <f t="shared" si="5"/>
        <v>-0.21610000000000001</v>
      </c>
    </row>
    <row r="142" spans="1:12" x14ac:dyDescent="0.25">
      <c r="A142" s="21">
        <v>12</v>
      </c>
      <c r="B142" s="22" t="s">
        <v>104</v>
      </c>
      <c r="C142" s="23">
        <v>240</v>
      </c>
      <c r="D142" s="24">
        <v>-0.70120000000000005</v>
      </c>
      <c r="E142" s="24">
        <v>-0.23069999999999999</v>
      </c>
      <c r="F142" s="25">
        <v>0.5504</v>
      </c>
      <c r="G142" s="26" t="s">
        <v>93</v>
      </c>
      <c r="H142" s="27">
        <v>1.1000000000000001</v>
      </c>
      <c r="I142" s="28">
        <v>-0.38129999999999997</v>
      </c>
      <c r="J142" s="28">
        <v>6.3100000000000003E-2</v>
      </c>
      <c r="K142" s="29">
        <f t="shared" si="4"/>
        <v>-0.31990000000000007</v>
      </c>
      <c r="L142" s="29">
        <f t="shared" si="5"/>
        <v>-0.29380000000000001</v>
      </c>
    </row>
    <row r="143" spans="1:12" x14ac:dyDescent="0.25">
      <c r="A143" s="21">
        <v>12</v>
      </c>
      <c r="B143" s="22" t="s">
        <v>104</v>
      </c>
      <c r="C143" s="23">
        <v>270</v>
      </c>
      <c r="D143" s="24">
        <v>-0.61829999999999996</v>
      </c>
      <c r="E143" s="24">
        <v>-0.25459999999999999</v>
      </c>
      <c r="F143" s="25">
        <v>0.25459999999999999</v>
      </c>
      <c r="G143" s="26" t="s">
        <v>93</v>
      </c>
      <c r="H143" s="27">
        <v>1.1000000000000001</v>
      </c>
      <c r="I143" s="28">
        <v>-0.38129999999999997</v>
      </c>
      <c r="J143" s="28">
        <v>6.3100000000000003E-2</v>
      </c>
      <c r="K143" s="29">
        <f t="shared" si="4"/>
        <v>-0.23699999999999999</v>
      </c>
      <c r="L143" s="29">
        <f t="shared" si="5"/>
        <v>-0.31769999999999998</v>
      </c>
    </row>
    <row r="144" spans="1:12" x14ac:dyDescent="0.25">
      <c r="A144" s="21">
        <v>12</v>
      </c>
      <c r="B144" s="22" t="s">
        <v>104</v>
      </c>
      <c r="C144" s="23">
        <v>300</v>
      </c>
      <c r="D144" s="24">
        <v>-0.48620000000000002</v>
      </c>
      <c r="E144" s="24">
        <v>-0.21460000000000001</v>
      </c>
      <c r="F144" s="25">
        <v>-5.7200000000000001E-2</v>
      </c>
      <c r="G144" s="26" t="s">
        <v>93</v>
      </c>
      <c r="H144" s="27">
        <v>1.08795</v>
      </c>
      <c r="I144" s="28">
        <v>-0.38129999999999997</v>
      </c>
      <c r="J144" s="28">
        <v>6.3100000000000003E-2</v>
      </c>
      <c r="K144" s="29">
        <f t="shared" si="4"/>
        <v>-0.10490000000000005</v>
      </c>
      <c r="L144" s="29">
        <f t="shared" si="5"/>
        <v>-0.2777</v>
      </c>
    </row>
    <row r="145" spans="1:12" x14ac:dyDescent="0.25">
      <c r="A145" s="30">
        <v>12</v>
      </c>
      <c r="B145" s="31" t="s">
        <v>104</v>
      </c>
      <c r="C145" s="32">
        <v>330</v>
      </c>
      <c r="D145" s="33">
        <v>-0.36919999999999997</v>
      </c>
      <c r="E145" s="33">
        <v>-9.74E-2</v>
      </c>
      <c r="F145" s="34">
        <v>-0.27100000000000002</v>
      </c>
      <c r="G145" s="35" t="s">
        <v>93</v>
      </c>
      <c r="H145" s="36">
        <v>1.0569999999999999</v>
      </c>
      <c r="I145" s="37">
        <v>-0.38129999999999997</v>
      </c>
      <c r="J145" s="37">
        <v>6.3100000000000003E-2</v>
      </c>
      <c r="K145" s="38">
        <f t="shared" si="4"/>
        <v>1.21E-2</v>
      </c>
      <c r="L145" s="38">
        <f t="shared" si="5"/>
        <v>-0.1605</v>
      </c>
    </row>
    <row r="146" spans="1:12" x14ac:dyDescent="0.25">
      <c r="A146" s="21">
        <v>13</v>
      </c>
      <c r="B146" s="22" t="s">
        <v>105</v>
      </c>
      <c r="C146" s="23">
        <v>0</v>
      </c>
      <c r="D146" s="24">
        <v>-0.57010000000000005</v>
      </c>
      <c r="E146" s="24">
        <v>7.4099999999999999E-2</v>
      </c>
      <c r="F146" s="25">
        <v>-0.57010000000000005</v>
      </c>
      <c r="G146" s="26" t="s">
        <v>93</v>
      </c>
      <c r="H146" s="27">
        <v>1.0389999999999999</v>
      </c>
      <c r="I146" s="28">
        <v>-0.64649999999999996</v>
      </c>
      <c r="J146" s="28">
        <v>6.8099999999999994E-2</v>
      </c>
      <c r="K146" s="29">
        <f t="shared" si="4"/>
        <v>7.6399999999999912E-2</v>
      </c>
      <c r="L146" s="29">
        <f t="shared" si="5"/>
        <v>6.0000000000000053E-3</v>
      </c>
    </row>
    <row r="147" spans="1:12" x14ac:dyDescent="0.25">
      <c r="A147" s="21">
        <v>13</v>
      </c>
      <c r="B147" s="22" t="s">
        <v>105</v>
      </c>
      <c r="C147" s="23">
        <v>30</v>
      </c>
      <c r="D147" s="24">
        <v>-0.61450000000000005</v>
      </c>
      <c r="E147" s="24">
        <v>0.24149999999999999</v>
      </c>
      <c r="F147" s="25">
        <v>-0.41139999999999999</v>
      </c>
      <c r="G147" s="26" t="s">
        <v>93</v>
      </c>
      <c r="H147" s="27">
        <v>1.0218400000000001</v>
      </c>
      <c r="I147" s="28">
        <v>-0.64649999999999996</v>
      </c>
      <c r="J147" s="28">
        <v>6.8099999999999994E-2</v>
      </c>
      <c r="K147" s="29">
        <f t="shared" si="4"/>
        <v>3.1999999999999917E-2</v>
      </c>
      <c r="L147" s="29">
        <f t="shared" si="5"/>
        <v>0.1734</v>
      </c>
    </row>
    <row r="148" spans="1:12" x14ac:dyDescent="0.25">
      <c r="A148" s="21">
        <v>13</v>
      </c>
      <c r="B148" s="22" t="s">
        <v>105</v>
      </c>
      <c r="C148" s="23">
        <v>60</v>
      </c>
      <c r="D148" s="24">
        <v>-0.73429999999999995</v>
      </c>
      <c r="E148" s="24">
        <v>0.36159999999999998</v>
      </c>
      <c r="F148" s="25">
        <v>-5.3999999999999999E-2</v>
      </c>
      <c r="G148" s="26" t="s">
        <v>93</v>
      </c>
      <c r="H148" s="27">
        <v>1.02037</v>
      </c>
      <c r="I148" s="28">
        <v>-0.64649999999999996</v>
      </c>
      <c r="J148" s="28">
        <v>6.8099999999999994E-2</v>
      </c>
      <c r="K148" s="29">
        <f t="shared" si="4"/>
        <v>-8.7799999999999989E-2</v>
      </c>
      <c r="L148" s="29">
        <f t="shared" si="5"/>
        <v>0.29349999999999998</v>
      </c>
    </row>
    <row r="149" spans="1:12" x14ac:dyDescent="0.25">
      <c r="A149" s="21">
        <v>13</v>
      </c>
      <c r="B149" s="22" t="s">
        <v>105</v>
      </c>
      <c r="C149" s="23">
        <v>90</v>
      </c>
      <c r="D149" s="24">
        <v>-0.89319999999999999</v>
      </c>
      <c r="E149" s="24">
        <v>0.40439999999999998</v>
      </c>
      <c r="F149" s="25">
        <v>0.40439999999999998</v>
      </c>
      <c r="G149" s="26" t="s">
        <v>93</v>
      </c>
      <c r="H149" s="27">
        <v>1.0311600000000001</v>
      </c>
      <c r="I149" s="28">
        <v>-0.64649999999999996</v>
      </c>
      <c r="J149" s="28">
        <v>6.8099999999999994E-2</v>
      </c>
      <c r="K149" s="29">
        <f t="shared" si="4"/>
        <v>-0.24670000000000003</v>
      </c>
      <c r="L149" s="29">
        <f t="shared" si="5"/>
        <v>0.33629999999999999</v>
      </c>
    </row>
    <row r="150" spans="1:12" x14ac:dyDescent="0.25">
      <c r="A150" s="21">
        <v>13</v>
      </c>
      <c r="B150" s="22" t="s">
        <v>105</v>
      </c>
      <c r="C150" s="23">
        <v>120</v>
      </c>
      <c r="D150" s="24">
        <v>-1.0382</v>
      </c>
      <c r="E150" s="24">
        <v>0.36720000000000003</v>
      </c>
      <c r="F150" s="25">
        <v>0.83699999999999997</v>
      </c>
      <c r="G150" s="26" t="s">
        <v>93</v>
      </c>
      <c r="H150" s="27">
        <v>1.0606800000000001</v>
      </c>
      <c r="I150" s="28">
        <v>-0.64649999999999996</v>
      </c>
      <c r="J150" s="28">
        <v>6.8099999999999994E-2</v>
      </c>
      <c r="K150" s="29">
        <f t="shared" si="4"/>
        <v>-0.39170000000000005</v>
      </c>
      <c r="L150" s="29">
        <f t="shared" si="5"/>
        <v>0.29910000000000003</v>
      </c>
    </row>
    <row r="151" spans="1:12" x14ac:dyDescent="0.25">
      <c r="A151" s="21">
        <v>13</v>
      </c>
      <c r="B151" s="22" t="s">
        <v>105</v>
      </c>
      <c r="C151" s="23">
        <v>150</v>
      </c>
      <c r="D151" s="24">
        <v>-1.0913999999999999</v>
      </c>
      <c r="E151" s="24">
        <v>0.31950000000000001</v>
      </c>
      <c r="F151" s="25">
        <v>1.1049</v>
      </c>
      <c r="G151" s="26" t="s">
        <v>93</v>
      </c>
      <c r="H151" s="27">
        <v>1.0930800000000001</v>
      </c>
      <c r="I151" s="28">
        <v>-0.64649999999999996</v>
      </c>
      <c r="J151" s="28">
        <v>6.8099999999999994E-2</v>
      </c>
      <c r="K151" s="29">
        <f t="shared" si="4"/>
        <v>-0.44489999999999996</v>
      </c>
      <c r="L151" s="29">
        <f t="shared" si="5"/>
        <v>0.25140000000000001</v>
      </c>
    </row>
    <row r="152" spans="1:12" x14ac:dyDescent="0.25">
      <c r="A152" s="21">
        <v>13</v>
      </c>
      <c r="B152" s="22" t="s">
        <v>105</v>
      </c>
      <c r="C152" s="23">
        <v>180</v>
      </c>
      <c r="D152" s="24">
        <v>-1.0983000000000001</v>
      </c>
      <c r="E152" s="24">
        <v>0.19209999999999999</v>
      </c>
      <c r="F152" s="25">
        <v>1.0983000000000001</v>
      </c>
      <c r="G152" s="26" t="s">
        <v>93</v>
      </c>
      <c r="H152" s="27">
        <v>1.1000000000000001</v>
      </c>
      <c r="I152" s="28">
        <v>-0.64649999999999996</v>
      </c>
      <c r="J152" s="28">
        <v>6.8099999999999994E-2</v>
      </c>
      <c r="K152" s="29">
        <f t="shared" si="4"/>
        <v>-0.45180000000000009</v>
      </c>
      <c r="L152" s="29">
        <f t="shared" si="5"/>
        <v>0.124</v>
      </c>
    </row>
    <row r="153" spans="1:12" x14ac:dyDescent="0.25">
      <c r="A153" s="21">
        <v>13</v>
      </c>
      <c r="B153" s="22" t="s">
        <v>105</v>
      </c>
      <c r="C153" s="23">
        <v>210</v>
      </c>
      <c r="D153" s="24">
        <v>-1.0577000000000001</v>
      </c>
      <c r="E153" s="24">
        <v>-8.5400000000000004E-2</v>
      </c>
      <c r="F153" s="25">
        <v>0.95860000000000001</v>
      </c>
      <c r="G153" s="26" t="s">
        <v>93</v>
      </c>
      <c r="H153" s="27">
        <v>1.1000000000000001</v>
      </c>
      <c r="I153" s="28">
        <v>-0.64649999999999996</v>
      </c>
      <c r="J153" s="28">
        <v>6.8099999999999994E-2</v>
      </c>
      <c r="K153" s="29">
        <f t="shared" si="4"/>
        <v>-0.41120000000000012</v>
      </c>
      <c r="L153" s="29">
        <f t="shared" si="5"/>
        <v>-0.1535</v>
      </c>
    </row>
    <row r="154" spans="1:12" x14ac:dyDescent="0.25">
      <c r="A154" s="21">
        <v>13</v>
      </c>
      <c r="B154" s="22" t="s">
        <v>105</v>
      </c>
      <c r="C154" s="23">
        <v>240</v>
      </c>
      <c r="D154" s="24">
        <v>-0.9335</v>
      </c>
      <c r="E154" s="24">
        <v>-0.21410000000000001</v>
      </c>
      <c r="F154" s="25">
        <v>0.6522</v>
      </c>
      <c r="G154" s="26" t="s">
        <v>93</v>
      </c>
      <c r="H154" s="27">
        <v>1.1000000000000001</v>
      </c>
      <c r="I154" s="28">
        <v>-0.64649999999999996</v>
      </c>
      <c r="J154" s="28">
        <v>6.8099999999999994E-2</v>
      </c>
      <c r="K154" s="29">
        <f t="shared" si="4"/>
        <v>-0.28700000000000003</v>
      </c>
      <c r="L154" s="29">
        <f t="shared" si="5"/>
        <v>-0.28220000000000001</v>
      </c>
    </row>
    <row r="155" spans="1:12" x14ac:dyDescent="0.25">
      <c r="A155" s="21">
        <v>13</v>
      </c>
      <c r="B155" s="22" t="s">
        <v>105</v>
      </c>
      <c r="C155" s="23">
        <v>270</v>
      </c>
      <c r="D155" s="24">
        <v>-0.84289999999999998</v>
      </c>
      <c r="E155" s="24">
        <v>-0.24110000000000001</v>
      </c>
      <c r="F155" s="25">
        <v>0.24110000000000001</v>
      </c>
      <c r="G155" s="26" t="s">
        <v>93</v>
      </c>
      <c r="H155" s="27">
        <v>1.1000000000000001</v>
      </c>
      <c r="I155" s="28">
        <v>-0.64649999999999996</v>
      </c>
      <c r="J155" s="28">
        <v>6.8099999999999994E-2</v>
      </c>
      <c r="K155" s="29">
        <f t="shared" si="4"/>
        <v>-0.19640000000000002</v>
      </c>
      <c r="L155" s="29">
        <f t="shared" si="5"/>
        <v>-0.30920000000000003</v>
      </c>
    </row>
    <row r="156" spans="1:12" x14ac:dyDescent="0.25">
      <c r="A156" s="21">
        <v>13</v>
      </c>
      <c r="B156" s="22" t="s">
        <v>105</v>
      </c>
      <c r="C156" s="23">
        <v>300</v>
      </c>
      <c r="D156" s="24">
        <v>-0.7298</v>
      </c>
      <c r="E156" s="24">
        <v>-0.2051</v>
      </c>
      <c r="F156" s="25">
        <v>-0.18729999999999999</v>
      </c>
      <c r="G156" s="26" t="s">
        <v>93</v>
      </c>
      <c r="H156" s="27">
        <v>1.0928500000000001</v>
      </c>
      <c r="I156" s="28">
        <v>-0.64649999999999996</v>
      </c>
      <c r="J156" s="28">
        <v>6.8099999999999994E-2</v>
      </c>
      <c r="K156" s="29">
        <f t="shared" si="4"/>
        <v>-8.3300000000000041E-2</v>
      </c>
      <c r="L156" s="29">
        <f t="shared" si="5"/>
        <v>-0.2732</v>
      </c>
    </row>
    <row r="157" spans="1:12" x14ac:dyDescent="0.25">
      <c r="A157" s="30">
        <v>13</v>
      </c>
      <c r="B157" s="31" t="s">
        <v>105</v>
      </c>
      <c r="C157" s="32">
        <v>330</v>
      </c>
      <c r="D157" s="33">
        <v>-0.61360000000000003</v>
      </c>
      <c r="E157" s="33">
        <v>-8.8599999999999998E-2</v>
      </c>
      <c r="F157" s="34">
        <v>-0.48709999999999998</v>
      </c>
      <c r="G157" s="35" t="s">
        <v>93</v>
      </c>
      <c r="H157" s="36">
        <v>1.06192</v>
      </c>
      <c r="I157" s="37">
        <v>-0.64649999999999996</v>
      </c>
      <c r="J157" s="37">
        <v>6.8099999999999994E-2</v>
      </c>
      <c r="K157" s="38">
        <f t="shared" si="4"/>
        <v>3.2899999999999929E-2</v>
      </c>
      <c r="L157" s="38">
        <f t="shared" si="5"/>
        <v>-0.15670000000000001</v>
      </c>
    </row>
    <row r="158" spans="1:12" x14ac:dyDescent="0.25">
      <c r="A158" s="21">
        <v>14</v>
      </c>
      <c r="B158" s="22" t="s">
        <v>106</v>
      </c>
      <c r="C158" s="23">
        <v>0</v>
      </c>
      <c r="D158" s="24">
        <v>-0.7611</v>
      </c>
      <c r="E158" s="24">
        <v>7.8899999999999998E-2</v>
      </c>
      <c r="F158" s="25">
        <v>-0.7611</v>
      </c>
      <c r="G158" s="26" t="s">
        <v>93</v>
      </c>
      <c r="H158" s="27">
        <v>1.04027</v>
      </c>
      <c r="I158" s="28">
        <v>-0.88990000000000002</v>
      </c>
      <c r="J158" s="28">
        <v>7.8700000000000006E-2</v>
      </c>
      <c r="K158" s="29">
        <f t="shared" si="4"/>
        <v>0.12880000000000003</v>
      </c>
      <c r="L158" s="29">
        <f t="shared" si="5"/>
        <v>1.9999999999999185E-4</v>
      </c>
    </row>
    <row r="159" spans="1:12" x14ac:dyDescent="0.25">
      <c r="A159" s="21">
        <v>14</v>
      </c>
      <c r="B159" s="22" t="s">
        <v>106</v>
      </c>
      <c r="C159" s="23">
        <v>30</v>
      </c>
      <c r="D159" s="24">
        <v>-0.79959999999999998</v>
      </c>
      <c r="E159" s="24">
        <v>0.26790000000000003</v>
      </c>
      <c r="F159" s="25">
        <v>-0.5585</v>
      </c>
      <c r="G159" s="26" t="s">
        <v>93</v>
      </c>
      <c r="H159" s="27">
        <v>1.02193</v>
      </c>
      <c r="I159" s="28">
        <v>-0.88990000000000002</v>
      </c>
      <c r="J159" s="28">
        <v>7.8700000000000006E-2</v>
      </c>
      <c r="K159" s="29">
        <f t="shared" si="4"/>
        <v>9.0300000000000047E-2</v>
      </c>
      <c r="L159" s="29">
        <f t="shared" si="5"/>
        <v>0.18920000000000003</v>
      </c>
    </row>
    <row r="160" spans="1:12" x14ac:dyDescent="0.25">
      <c r="A160" s="21">
        <v>14</v>
      </c>
      <c r="B160" s="22" t="s">
        <v>106</v>
      </c>
      <c r="C160" s="23">
        <v>60</v>
      </c>
      <c r="D160" s="24">
        <v>-0.91700000000000004</v>
      </c>
      <c r="E160" s="24">
        <v>0.38479999999999998</v>
      </c>
      <c r="F160" s="25">
        <v>-0.12529999999999999</v>
      </c>
      <c r="G160" s="26" t="s">
        <v>93</v>
      </c>
      <c r="H160" s="27">
        <v>1.01552</v>
      </c>
      <c r="I160" s="28">
        <v>-0.88990000000000002</v>
      </c>
      <c r="J160" s="28">
        <v>7.8700000000000006E-2</v>
      </c>
      <c r="K160" s="29">
        <f t="shared" si="4"/>
        <v>-2.7100000000000013E-2</v>
      </c>
      <c r="L160" s="29">
        <f t="shared" si="5"/>
        <v>0.30609999999999998</v>
      </c>
    </row>
    <row r="161" spans="1:12" x14ac:dyDescent="0.25">
      <c r="A161" s="21">
        <v>14</v>
      </c>
      <c r="B161" s="22" t="s">
        <v>106</v>
      </c>
      <c r="C161" s="23">
        <v>90</v>
      </c>
      <c r="D161" s="24">
        <v>-1.0753999999999999</v>
      </c>
      <c r="E161" s="24">
        <v>0.42749999999999999</v>
      </c>
      <c r="F161" s="25">
        <v>0.42749999999999999</v>
      </c>
      <c r="G161" s="26" t="s">
        <v>93</v>
      </c>
      <c r="H161" s="27">
        <v>1.0337700000000001</v>
      </c>
      <c r="I161" s="28">
        <v>-0.88990000000000002</v>
      </c>
      <c r="J161" s="28">
        <v>7.8700000000000006E-2</v>
      </c>
      <c r="K161" s="29">
        <f t="shared" si="4"/>
        <v>-0.18549999999999989</v>
      </c>
      <c r="L161" s="29">
        <f t="shared" si="5"/>
        <v>0.3488</v>
      </c>
    </row>
    <row r="162" spans="1:12" x14ac:dyDescent="0.25">
      <c r="A162" s="21">
        <v>14</v>
      </c>
      <c r="B162" s="22" t="s">
        <v>106</v>
      </c>
      <c r="C162" s="23">
        <v>120</v>
      </c>
      <c r="D162" s="24">
        <v>-1.2249000000000001</v>
      </c>
      <c r="E162" s="24">
        <v>0.38829999999999998</v>
      </c>
      <c r="F162" s="25">
        <v>0.94869999999999999</v>
      </c>
      <c r="G162" s="26" t="s">
        <v>93</v>
      </c>
      <c r="H162" s="27">
        <v>1.0662100000000001</v>
      </c>
      <c r="I162" s="28">
        <v>-0.88990000000000002</v>
      </c>
      <c r="J162" s="28">
        <v>7.8700000000000006E-2</v>
      </c>
      <c r="K162" s="29">
        <f t="shared" si="4"/>
        <v>-0.33500000000000008</v>
      </c>
      <c r="L162" s="29">
        <f t="shared" si="5"/>
        <v>0.30959999999999999</v>
      </c>
    </row>
    <row r="163" spans="1:12" x14ac:dyDescent="0.25">
      <c r="A163" s="21">
        <v>14</v>
      </c>
      <c r="B163" s="22" t="s">
        <v>106</v>
      </c>
      <c r="C163" s="23">
        <v>150</v>
      </c>
      <c r="D163" s="24">
        <v>-1.3063</v>
      </c>
      <c r="E163" s="24">
        <v>0.31169999999999998</v>
      </c>
      <c r="F163" s="25">
        <v>1.2871999999999999</v>
      </c>
      <c r="G163" s="26" t="s">
        <v>93</v>
      </c>
      <c r="H163" s="27">
        <v>1.1000000000000001</v>
      </c>
      <c r="I163" s="28">
        <v>-0.88990000000000002</v>
      </c>
      <c r="J163" s="28">
        <v>7.8700000000000006E-2</v>
      </c>
      <c r="K163" s="29">
        <f t="shared" si="4"/>
        <v>-0.41639999999999999</v>
      </c>
      <c r="L163" s="29">
        <f t="shared" si="5"/>
        <v>0.23299999999999998</v>
      </c>
    </row>
    <row r="164" spans="1:12" x14ac:dyDescent="0.25">
      <c r="A164" s="21">
        <v>14</v>
      </c>
      <c r="B164" s="22" t="s">
        <v>106</v>
      </c>
      <c r="C164" s="23">
        <v>180</v>
      </c>
      <c r="D164" s="24">
        <v>-1.3249</v>
      </c>
      <c r="E164" s="24">
        <v>0.20449999999999999</v>
      </c>
      <c r="F164" s="25">
        <v>1.3249</v>
      </c>
      <c r="G164" s="26" t="s">
        <v>93</v>
      </c>
      <c r="H164" s="27">
        <v>1.1000000000000001</v>
      </c>
      <c r="I164" s="28">
        <v>-0.88990000000000002</v>
      </c>
      <c r="J164" s="28">
        <v>7.8700000000000006E-2</v>
      </c>
      <c r="K164" s="29">
        <f t="shared" si="4"/>
        <v>-0.43499999999999994</v>
      </c>
      <c r="L164" s="29">
        <f t="shared" si="5"/>
        <v>0.12579999999999997</v>
      </c>
    </row>
    <row r="165" spans="1:12" x14ac:dyDescent="0.25">
      <c r="A165" s="21">
        <v>14</v>
      </c>
      <c r="B165" s="22" t="s">
        <v>106</v>
      </c>
      <c r="C165" s="23">
        <v>210</v>
      </c>
      <c r="D165" s="24">
        <v>-1.2779</v>
      </c>
      <c r="E165" s="24">
        <v>-3.5000000000000001E-3</v>
      </c>
      <c r="F165" s="25">
        <v>1.1085</v>
      </c>
      <c r="G165" s="26" t="s">
        <v>93</v>
      </c>
      <c r="H165" s="27">
        <v>1.1000000000000001</v>
      </c>
      <c r="I165" s="28">
        <v>-0.88990000000000002</v>
      </c>
      <c r="J165" s="28">
        <v>7.8700000000000006E-2</v>
      </c>
      <c r="K165" s="29">
        <f t="shared" si="4"/>
        <v>-0.38800000000000001</v>
      </c>
      <c r="L165" s="29">
        <f t="shared" si="5"/>
        <v>-8.2200000000000009E-2</v>
      </c>
    </row>
    <row r="166" spans="1:12" x14ac:dyDescent="0.25">
      <c r="A166" s="21">
        <v>14</v>
      </c>
      <c r="B166" s="22" t="s">
        <v>106</v>
      </c>
      <c r="C166" s="23">
        <v>240</v>
      </c>
      <c r="D166" s="24">
        <v>-1.1045</v>
      </c>
      <c r="E166" s="24">
        <v>-0.18859999999999999</v>
      </c>
      <c r="F166" s="25">
        <v>0.71560000000000001</v>
      </c>
      <c r="G166" s="26" t="s">
        <v>93</v>
      </c>
      <c r="H166" s="27">
        <v>1.1000000000000001</v>
      </c>
      <c r="I166" s="28">
        <v>-0.88990000000000002</v>
      </c>
      <c r="J166" s="28">
        <v>7.8700000000000006E-2</v>
      </c>
      <c r="K166" s="29">
        <f t="shared" si="4"/>
        <v>-0.21460000000000001</v>
      </c>
      <c r="L166" s="29">
        <f t="shared" si="5"/>
        <v>-0.26729999999999998</v>
      </c>
    </row>
    <row r="167" spans="1:12" x14ac:dyDescent="0.25">
      <c r="A167" s="21">
        <v>14</v>
      </c>
      <c r="B167" s="22" t="s">
        <v>106</v>
      </c>
      <c r="C167" s="23">
        <v>270</v>
      </c>
      <c r="D167" s="24">
        <v>-1.0124</v>
      </c>
      <c r="E167" s="24">
        <v>-0.21640000000000001</v>
      </c>
      <c r="F167" s="25">
        <v>0.21640000000000001</v>
      </c>
      <c r="G167" s="26" t="s">
        <v>93</v>
      </c>
      <c r="H167" s="27">
        <v>1.1000000000000001</v>
      </c>
      <c r="I167" s="28">
        <v>-0.88990000000000002</v>
      </c>
      <c r="J167" s="28">
        <v>7.8700000000000006E-2</v>
      </c>
      <c r="K167" s="29">
        <f t="shared" si="4"/>
        <v>-0.12249999999999994</v>
      </c>
      <c r="L167" s="29">
        <f t="shared" si="5"/>
        <v>-0.29510000000000003</v>
      </c>
    </row>
    <row r="168" spans="1:12" x14ac:dyDescent="0.25">
      <c r="A168" s="21">
        <v>14</v>
      </c>
      <c r="B168" s="22" t="s">
        <v>106</v>
      </c>
      <c r="C168" s="23">
        <v>300</v>
      </c>
      <c r="D168" s="24">
        <v>-0.91169999999999995</v>
      </c>
      <c r="E168" s="24">
        <v>-0.18340000000000001</v>
      </c>
      <c r="F168" s="25">
        <v>-0.29709999999999998</v>
      </c>
      <c r="G168" s="26" t="s">
        <v>93</v>
      </c>
      <c r="H168" s="27">
        <v>1.0961700000000001</v>
      </c>
      <c r="I168" s="28">
        <v>-0.88990000000000002</v>
      </c>
      <c r="J168" s="28">
        <v>7.8700000000000006E-2</v>
      </c>
      <c r="K168" s="29">
        <f t="shared" si="4"/>
        <v>-2.1799999999999931E-2</v>
      </c>
      <c r="L168" s="29">
        <f t="shared" si="5"/>
        <v>-0.2621</v>
      </c>
    </row>
    <row r="169" spans="1:12" x14ac:dyDescent="0.25">
      <c r="A169" s="30">
        <v>14</v>
      </c>
      <c r="B169" s="31" t="s">
        <v>106</v>
      </c>
      <c r="C169" s="32">
        <v>330</v>
      </c>
      <c r="D169" s="33">
        <v>-0.79810000000000003</v>
      </c>
      <c r="E169" s="33">
        <v>-7.0199999999999999E-2</v>
      </c>
      <c r="F169" s="34">
        <v>-0.65610000000000002</v>
      </c>
      <c r="G169" s="35" t="s">
        <v>93</v>
      </c>
      <c r="H169" s="36">
        <v>1.06562</v>
      </c>
      <c r="I169" s="37">
        <v>-0.88990000000000002</v>
      </c>
      <c r="J169" s="37">
        <v>7.8700000000000006E-2</v>
      </c>
      <c r="K169" s="38">
        <f t="shared" si="4"/>
        <v>9.1799999999999993E-2</v>
      </c>
      <c r="L169" s="38">
        <f t="shared" si="5"/>
        <v>-0.1489</v>
      </c>
    </row>
    <row r="170" spans="1:12" x14ac:dyDescent="0.25">
      <c r="A170" s="21">
        <v>15</v>
      </c>
      <c r="B170" s="22" t="s">
        <v>107</v>
      </c>
      <c r="C170" s="23">
        <v>0</v>
      </c>
      <c r="D170" s="24">
        <v>-1.0116000000000001</v>
      </c>
      <c r="E170" s="24">
        <v>7.7399999999999997E-2</v>
      </c>
      <c r="F170" s="25">
        <v>-1.0116000000000001</v>
      </c>
      <c r="G170" s="26" t="s">
        <v>93</v>
      </c>
      <c r="H170" s="27">
        <v>1.0620499999999999</v>
      </c>
      <c r="I170" s="28">
        <v>-1.0712999999999999</v>
      </c>
      <c r="J170" s="28">
        <v>0.1012</v>
      </c>
      <c r="K170" s="29">
        <f t="shared" si="4"/>
        <v>5.9699999999999864E-2</v>
      </c>
      <c r="L170" s="29">
        <f t="shared" si="5"/>
        <v>-2.3800000000000002E-2</v>
      </c>
    </row>
    <row r="171" spans="1:12" x14ac:dyDescent="0.25">
      <c r="A171" s="21">
        <v>15</v>
      </c>
      <c r="B171" s="22" t="s">
        <v>107</v>
      </c>
      <c r="C171" s="23">
        <v>30</v>
      </c>
      <c r="D171" s="24">
        <v>-1.0374000000000001</v>
      </c>
      <c r="E171" s="24">
        <v>0.31559999999999999</v>
      </c>
      <c r="F171" s="25">
        <v>-0.74060000000000004</v>
      </c>
      <c r="G171" s="26" t="s">
        <v>93</v>
      </c>
      <c r="H171" s="27">
        <v>1.02345</v>
      </c>
      <c r="I171" s="28">
        <v>-1.0712999999999999</v>
      </c>
      <c r="J171" s="28">
        <v>0.1012</v>
      </c>
      <c r="K171" s="29">
        <f t="shared" si="4"/>
        <v>3.3899999999999819E-2</v>
      </c>
      <c r="L171" s="29">
        <f t="shared" si="5"/>
        <v>0.21439999999999998</v>
      </c>
    </row>
    <row r="172" spans="1:12" x14ac:dyDescent="0.25">
      <c r="A172" s="21">
        <v>15</v>
      </c>
      <c r="B172" s="22" t="s">
        <v>107</v>
      </c>
      <c r="C172" s="23">
        <v>60</v>
      </c>
      <c r="D172" s="24">
        <v>-1.1291</v>
      </c>
      <c r="E172" s="24">
        <v>0.4042</v>
      </c>
      <c r="F172" s="25">
        <v>-0.2145</v>
      </c>
      <c r="G172" s="26" t="s">
        <v>93</v>
      </c>
      <c r="H172" s="27">
        <v>1.0203500000000001</v>
      </c>
      <c r="I172" s="28">
        <v>-1.0712999999999999</v>
      </c>
      <c r="J172" s="28">
        <v>0.1012</v>
      </c>
      <c r="K172" s="29">
        <f t="shared" si="4"/>
        <v>-5.7800000000000074E-2</v>
      </c>
      <c r="L172" s="29">
        <f t="shared" si="5"/>
        <v>0.30299999999999999</v>
      </c>
    </row>
    <row r="173" spans="1:12" x14ac:dyDescent="0.25">
      <c r="A173" s="21">
        <v>15</v>
      </c>
      <c r="B173" s="22" t="s">
        <v>107</v>
      </c>
      <c r="C173" s="23">
        <v>90</v>
      </c>
      <c r="D173" s="24">
        <v>-1.2838000000000001</v>
      </c>
      <c r="E173" s="24">
        <v>0.44529999999999997</v>
      </c>
      <c r="F173" s="25">
        <v>0.44529999999999997</v>
      </c>
      <c r="G173" s="26" t="s">
        <v>93</v>
      </c>
      <c r="H173" s="27">
        <v>1.0375700000000001</v>
      </c>
      <c r="I173" s="28">
        <v>-1.0712999999999999</v>
      </c>
      <c r="J173" s="28">
        <v>0.1012</v>
      </c>
      <c r="K173" s="29">
        <f t="shared" si="4"/>
        <v>-0.21250000000000013</v>
      </c>
      <c r="L173" s="29">
        <f t="shared" si="5"/>
        <v>0.34409999999999996</v>
      </c>
    </row>
    <row r="174" spans="1:12" x14ac:dyDescent="0.25">
      <c r="A174" s="21">
        <v>15</v>
      </c>
      <c r="B174" s="22" t="s">
        <v>107</v>
      </c>
      <c r="C174" s="23">
        <v>120</v>
      </c>
      <c r="D174" s="24">
        <v>-1.4361999999999999</v>
      </c>
      <c r="E174" s="24">
        <v>0.40500000000000003</v>
      </c>
      <c r="F174" s="25">
        <v>1.0688</v>
      </c>
      <c r="G174" s="26" t="s">
        <v>93</v>
      </c>
      <c r="H174" s="27">
        <v>1.07386</v>
      </c>
      <c r="I174" s="28">
        <v>-1.0712999999999999</v>
      </c>
      <c r="J174" s="28">
        <v>0.1012</v>
      </c>
      <c r="K174" s="29">
        <f t="shared" si="4"/>
        <v>-0.3649</v>
      </c>
      <c r="L174" s="29">
        <f t="shared" si="5"/>
        <v>0.30380000000000001</v>
      </c>
    </row>
    <row r="175" spans="1:12" x14ac:dyDescent="0.25">
      <c r="A175" s="21">
        <v>15</v>
      </c>
      <c r="B175" s="22" t="s">
        <v>107</v>
      </c>
      <c r="C175" s="23">
        <v>150</v>
      </c>
      <c r="D175" s="24">
        <v>-1.5228999999999999</v>
      </c>
      <c r="E175" s="24">
        <v>0.32300000000000001</v>
      </c>
      <c r="F175" s="25">
        <v>1.4802999999999999</v>
      </c>
      <c r="G175" s="26" t="s">
        <v>93</v>
      </c>
      <c r="H175" s="27">
        <v>1.1000000000000001</v>
      </c>
      <c r="I175" s="28">
        <v>-1.0712999999999999</v>
      </c>
      <c r="J175" s="28">
        <v>0.1012</v>
      </c>
      <c r="K175" s="29">
        <f t="shared" si="4"/>
        <v>-0.4516</v>
      </c>
      <c r="L175" s="29">
        <f t="shared" si="5"/>
        <v>0.2218</v>
      </c>
    </row>
    <row r="176" spans="1:12" x14ac:dyDescent="0.25">
      <c r="A176" s="21">
        <v>15</v>
      </c>
      <c r="B176" s="22" t="s">
        <v>107</v>
      </c>
      <c r="C176" s="23">
        <v>180</v>
      </c>
      <c r="D176" s="24">
        <v>-1.5503</v>
      </c>
      <c r="E176" s="24">
        <v>0.21240000000000001</v>
      </c>
      <c r="F176" s="25">
        <v>1.5503</v>
      </c>
      <c r="G176" s="26" t="s">
        <v>93</v>
      </c>
      <c r="H176" s="27">
        <v>1.1000000000000001</v>
      </c>
      <c r="I176" s="28">
        <v>-1.0712999999999999</v>
      </c>
      <c r="J176" s="28">
        <v>0.1012</v>
      </c>
      <c r="K176" s="29">
        <f t="shared" si="4"/>
        <v>-0.47900000000000009</v>
      </c>
      <c r="L176" s="29">
        <f t="shared" si="5"/>
        <v>0.11120000000000001</v>
      </c>
    </row>
    <row r="177" spans="1:12" x14ac:dyDescent="0.25">
      <c r="A177" s="21">
        <v>15</v>
      </c>
      <c r="B177" s="22" t="s">
        <v>107</v>
      </c>
      <c r="C177" s="23">
        <v>210</v>
      </c>
      <c r="D177" s="24">
        <v>-1.5024999999999999</v>
      </c>
      <c r="E177" s="24">
        <v>4.8599999999999997E-2</v>
      </c>
      <c r="F177" s="25">
        <v>1.2768999999999999</v>
      </c>
      <c r="G177" s="26" t="s">
        <v>93</v>
      </c>
      <c r="H177" s="27">
        <v>1.1000000000000001</v>
      </c>
      <c r="I177" s="28">
        <v>-1.0712999999999999</v>
      </c>
      <c r="J177" s="28">
        <v>0.1012</v>
      </c>
      <c r="K177" s="29">
        <f t="shared" si="4"/>
        <v>-0.43120000000000003</v>
      </c>
      <c r="L177" s="29">
        <f t="shared" si="5"/>
        <v>-5.2600000000000001E-2</v>
      </c>
    </row>
    <row r="178" spans="1:12" x14ac:dyDescent="0.25">
      <c r="A178" s="21">
        <v>15</v>
      </c>
      <c r="B178" s="22" t="s">
        <v>107</v>
      </c>
      <c r="C178" s="23">
        <v>240</v>
      </c>
      <c r="D178" s="24">
        <v>-1.3016000000000001</v>
      </c>
      <c r="E178" s="24">
        <v>-0.16930000000000001</v>
      </c>
      <c r="F178" s="25">
        <v>0.79749999999999999</v>
      </c>
      <c r="G178" s="26" t="s">
        <v>93</v>
      </c>
      <c r="H178" s="27">
        <v>1.1000000000000001</v>
      </c>
      <c r="I178" s="28">
        <v>-1.0712999999999999</v>
      </c>
      <c r="J178" s="28">
        <v>0.1012</v>
      </c>
      <c r="K178" s="29">
        <f t="shared" si="4"/>
        <v>-0.23030000000000017</v>
      </c>
      <c r="L178" s="29">
        <f t="shared" si="5"/>
        <v>-0.27050000000000002</v>
      </c>
    </row>
    <row r="179" spans="1:12" x14ac:dyDescent="0.25">
      <c r="A179" s="21">
        <v>15</v>
      </c>
      <c r="B179" s="22" t="s">
        <v>107</v>
      </c>
      <c r="C179" s="23">
        <v>270</v>
      </c>
      <c r="D179" s="24">
        <v>-1.2103999999999999</v>
      </c>
      <c r="E179" s="24">
        <v>-0.19670000000000001</v>
      </c>
      <c r="F179" s="25">
        <v>0.19670000000000001</v>
      </c>
      <c r="G179" s="26" t="s">
        <v>93</v>
      </c>
      <c r="H179" s="27">
        <v>1.1000000000000001</v>
      </c>
      <c r="I179" s="28">
        <v>-1.0712999999999999</v>
      </c>
      <c r="J179" s="28">
        <v>0.1012</v>
      </c>
      <c r="K179" s="29">
        <f t="shared" si="4"/>
        <v>-0.1391</v>
      </c>
      <c r="L179" s="29">
        <f t="shared" si="5"/>
        <v>-0.2979</v>
      </c>
    </row>
    <row r="180" spans="1:12" x14ac:dyDescent="0.25">
      <c r="A180" s="21">
        <v>15</v>
      </c>
      <c r="B180" s="22" t="s">
        <v>107</v>
      </c>
      <c r="C180" s="23">
        <v>300</v>
      </c>
      <c r="D180" s="24">
        <v>-1.123</v>
      </c>
      <c r="E180" s="24">
        <v>-0.16830000000000001</v>
      </c>
      <c r="F180" s="25">
        <v>-0.41570000000000001</v>
      </c>
      <c r="G180" s="26" t="s">
        <v>93</v>
      </c>
      <c r="H180" s="27">
        <v>1.0979399999999999</v>
      </c>
      <c r="I180" s="28">
        <v>-1.0712999999999999</v>
      </c>
      <c r="J180" s="28">
        <v>0.1012</v>
      </c>
      <c r="K180" s="29">
        <f t="shared" si="4"/>
        <v>-5.1700000000000079E-2</v>
      </c>
      <c r="L180" s="29">
        <f t="shared" si="5"/>
        <v>-0.26950000000000002</v>
      </c>
    </row>
    <row r="181" spans="1:12" x14ac:dyDescent="0.25">
      <c r="A181" s="30">
        <v>15</v>
      </c>
      <c r="B181" s="31" t="s">
        <v>107</v>
      </c>
      <c r="C181" s="32">
        <v>330</v>
      </c>
      <c r="D181" s="33">
        <v>-1.0357000000000001</v>
      </c>
      <c r="E181" s="33">
        <v>-8.4000000000000005E-2</v>
      </c>
      <c r="F181" s="34">
        <v>-0.85489999999999999</v>
      </c>
      <c r="G181" s="35" t="s">
        <v>93</v>
      </c>
      <c r="H181" s="36">
        <v>1.0753699999999999</v>
      </c>
      <c r="I181" s="37">
        <v>-1.0712999999999999</v>
      </c>
      <c r="J181" s="37">
        <v>0.1012</v>
      </c>
      <c r="K181" s="38">
        <f t="shared" si="4"/>
        <v>3.5599999999999854E-2</v>
      </c>
      <c r="L181" s="38">
        <f t="shared" si="5"/>
        <v>-0.1852</v>
      </c>
    </row>
    <row r="182" spans="1:12" x14ac:dyDescent="0.25">
      <c r="A182" s="21">
        <v>16</v>
      </c>
      <c r="B182" s="22" t="s">
        <v>108</v>
      </c>
      <c r="C182" s="23">
        <v>0</v>
      </c>
      <c r="D182" s="24">
        <v>-1.2052</v>
      </c>
      <c r="E182" s="24">
        <v>0.08</v>
      </c>
      <c r="F182" s="25">
        <v>-1.2052</v>
      </c>
      <c r="G182" s="26" t="s">
        <v>93</v>
      </c>
      <c r="H182" s="27">
        <v>1.0966899999999999</v>
      </c>
      <c r="I182" s="28">
        <v>-1.2791999999999999</v>
      </c>
      <c r="J182" s="28">
        <v>0.11849999999999999</v>
      </c>
      <c r="K182" s="29">
        <f t="shared" si="4"/>
        <v>7.3999999999999844E-2</v>
      </c>
      <c r="L182" s="29">
        <f t="shared" si="5"/>
        <v>-3.8499999999999993E-2</v>
      </c>
    </row>
    <row r="183" spans="1:12" x14ac:dyDescent="0.25">
      <c r="A183" s="21">
        <v>16</v>
      </c>
      <c r="B183" s="22" t="s">
        <v>108</v>
      </c>
      <c r="C183" s="23">
        <v>30</v>
      </c>
      <c r="D183" s="24">
        <v>-1.2235</v>
      </c>
      <c r="E183" s="24">
        <v>0.39539999999999997</v>
      </c>
      <c r="F183" s="25">
        <v>-0.86180000000000001</v>
      </c>
      <c r="G183" s="26" t="s">
        <v>93</v>
      </c>
      <c r="H183" s="27">
        <v>1.0280100000000001</v>
      </c>
      <c r="I183" s="28">
        <v>-1.2791999999999999</v>
      </c>
      <c r="J183" s="28">
        <v>0.11849999999999999</v>
      </c>
      <c r="K183" s="29">
        <f t="shared" si="4"/>
        <v>5.5699999999999861E-2</v>
      </c>
      <c r="L183" s="29">
        <f t="shared" si="5"/>
        <v>0.27689999999999998</v>
      </c>
    </row>
    <row r="184" spans="1:12" x14ac:dyDescent="0.25">
      <c r="A184" s="21">
        <v>16</v>
      </c>
      <c r="B184" s="22" t="s">
        <v>108</v>
      </c>
      <c r="C184" s="23">
        <v>60</v>
      </c>
      <c r="D184" s="24">
        <v>-1.2769999999999999</v>
      </c>
      <c r="E184" s="24">
        <v>0.44569999999999999</v>
      </c>
      <c r="F184" s="25">
        <v>-0.2525</v>
      </c>
      <c r="G184" s="26" t="s">
        <v>93</v>
      </c>
      <c r="H184" s="27">
        <v>1.0289900000000001</v>
      </c>
      <c r="I184" s="28">
        <v>-1.2791999999999999</v>
      </c>
      <c r="J184" s="28">
        <v>0.11849999999999999</v>
      </c>
      <c r="K184" s="29">
        <f t="shared" si="4"/>
        <v>2.1999999999999797E-3</v>
      </c>
      <c r="L184" s="29">
        <f t="shared" si="5"/>
        <v>0.32719999999999999</v>
      </c>
    </row>
    <row r="185" spans="1:12" x14ac:dyDescent="0.25">
      <c r="A185" s="21">
        <v>16</v>
      </c>
      <c r="B185" s="22" t="s">
        <v>108</v>
      </c>
      <c r="C185" s="23">
        <v>90</v>
      </c>
      <c r="D185" s="24">
        <v>-1.4036</v>
      </c>
      <c r="E185" s="24">
        <v>0.47660000000000002</v>
      </c>
      <c r="F185" s="25">
        <v>0.47660000000000002</v>
      </c>
      <c r="G185" s="26" t="s">
        <v>93</v>
      </c>
      <c r="H185" s="27">
        <v>1.0418499999999999</v>
      </c>
      <c r="I185" s="28">
        <v>-1.2791999999999999</v>
      </c>
      <c r="J185" s="28">
        <v>0.11849999999999999</v>
      </c>
      <c r="K185" s="29">
        <f t="shared" si="4"/>
        <v>-0.12440000000000007</v>
      </c>
      <c r="L185" s="29">
        <f t="shared" si="5"/>
        <v>0.35810000000000003</v>
      </c>
    </row>
    <row r="186" spans="1:12" x14ac:dyDescent="0.25">
      <c r="A186" s="21">
        <v>16</v>
      </c>
      <c r="B186" s="22" t="s">
        <v>108</v>
      </c>
      <c r="C186" s="23">
        <v>120</v>
      </c>
      <c r="D186" s="24">
        <v>-1.5561</v>
      </c>
      <c r="E186" s="24">
        <v>0.43619999999999998</v>
      </c>
      <c r="F186" s="25">
        <v>1.1557999999999999</v>
      </c>
      <c r="G186" s="26" t="s">
        <v>93</v>
      </c>
      <c r="H186" s="27">
        <v>1.0779000000000001</v>
      </c>
      <c r="I186" s="28">
        <v>-1.2791999999999999</v>
      </c>
      <c r="J186" s="28">
        <v>0.11849999999999999</v>
      </c>
      <c r="K186" s="29">
        <f t="shared" si="4"/>
        <v>-0.27690000000000015</v>
      </c>
      <c r="L186" s="29">
        <f t="shared" si="5"/>
        <v>0.31769999999999998</v>
      </c>
    </row>
    <row r="187" spans="1:12" x14ac:dyDescent="0.25">
      <c r="A187" s="21">
        <v>16</v>
      </c>
      <c r="B187" s="22" t="s">
        <v>108</v>
      </c>
      <c r="C187" s="23">
        <v>150</v>
      </c>
      <c r="D187" s="24">
        <v>-1.6375999999999999</v>
      </c>
      <c r="E187" s="24">
        <v>0.35110000000000002</v>
      </c>
      <c r="F187" s="25">
        <v>1.5938000000000001</v>
      </c>
      <c r="G187" s="26" t="s">
        <v>93</v>
      </c>
      <c r="H187" s="27">
        <v>1.1000000000000001</v>
      </c>
      <c r="I187" s="28">
        <v>-1.2791999999999999</v>
      </c>
      <c r="J187" s="28">
        <v>0.11849999999999999</v>
      </c>
      <c r="K187" s="29">
        <f t="shared" si="4"/>
        <v>-0.35840000000000005</v>
      </c>
      <c r="L187" s="29">
        <f t="shared" si="5"/>
        <v>0.23260000000000003</v>
      </c>
    </row>
    <row r="188" spans="1:12" x14ac:dyDescent="0.25">
      <c r="A188" s="21">
        <v>16</v>
      </c>
      <c r="B188" s="22" t="s">
        <v>108</v>
      </c>
      <c r="C188" s="23">
        <v>180</v>
      </c>
      <c r="D188" s="24">
        <v>-1.6686000000000001</v>
      </c>
      <c r="E188" s="24">
        <v>0.24460000000000001</v>
      </c>
      <c r="F188" s="25">
        <v>1.6686000000000001</v>
      </c>
      <c r="G188" s="26" t="s">
        <v>93</v>
      </c>
      <c r="H188" s="27">
        <v>1.1000000000000001</v>
      </c>
      <c r="I188" s="28">
        <v>-1.2791999999999999</v>
      </c>
      <c r="J188" s="28">
        <v>0.11849999999999999</v>
      </c>
      <c r="K188" s="29">
        <f t="shared" si="4"/>
        <v>-0.38940000000000019</v>
      </c>
      <c r="L188" s="29">
        <f t="shared" si="5"/>
        <v>0.12610000000000002</v>
      </c>
    </row>
    <row r="189" spans="1:12" x14ac:dyDescent="0.25">
      <c r="A189" s="21">
        <v>16</v>
      </c>
      <c r="B189" s="22" t="s">
        <v>108</v>
      </c>
      <c r="C189" s="23">
        <v>210</v>
      </c>
      <c r="D189" s="24">
        <v>-1.6226</v>
      </c>
      <c r="E189" s="24">
        <v>9.3200000000000005E-2</v>
      </c>
      <c r="F189" s="25">
        <v>1.3586</v>
      </c>
      <c r="G189" s="26" t="s">
        <v>93</v>
      </c>
      <c r="H189" s="27">
        <v>1.1000000000000001</v>
      </c>
      <c r="I189" s="28">
        <v>-1.2791999999999999</v>
      </c>
      <c r="J189" s="28">
        <v>0.11849999999999999</v>
      </c>
      <c r="K189" s="29">
        <f t="shared" si="4"/>
        <v>-0.34340000000000015</v>
      </c>
      <c r="L189" s="29">
        <f t="shared" si="5"/>
        <v>-2.5299999999999989E-2</v>
      </c>
    </row>
    <row r="190" spans="1:12" x14ac:dyDescent="0.25">
      <c r="A190" s="21">
        <v>16</v>
      </c>
      <c r="B190" s="22" t="s">
        <v>108</v>
      </c>
      <c r="C190" s="23">
        <v>240</v>
      </c>
      <c r="D190" s="24">
        <v>-1.4061999999999999</v>
      </c>
      <c r="E190" s="24">
        <v>-0.13780000000000001</v>
      </c>
      <c r="F190" s="25">
        <v>0.82240000000000002</v>
      </c>
      <c r="G190" s="26" t="s">
        <v>93</v>
      </c>
      <c r="H190" s="27">
        <v>1.1000000000000001</v>
      </c>
      <c r="I190" s="28">
        <v>-1.2791999999999999</v>
      </c>
      <c r="J190" s="28">
        <v>0.11849999999999999</v>
      </c>
      <c r="K190" s="29">
        <f t="shared" si="4"/>
        <v>-0.127</v>
      </c>
      <c r="L190" s="29">
        <f t="shared" si="5"/>
        <v>-0.25629999999999997</v>
      </c>
    </row>
    <row r="191" spans="1:12" x14ac:dyDescent="0.25">
      <c r="A191" s="21">
        <v>16</v>
      </c>
      <c r="B191" s="22" t="s">
        <v>108</v>
      </c>
      <c r="C191" s="23">
        <v>270</v>
      </c>
      <c r="D191" s="24">
        <v>-1.3223</v>
      </c>
      <c r="E191" s="24">
        <v>-0.16250000000000001</v>
      </c>
      <c r="F191" s="25">
        <v>0.16250000000000001</v>
      </c>
      <c r="G191" s="26" t="s">
        <v>93</v>
      </c>
      <c r="H191" s="27">
        <v>1.1000000000000001</v>
      </c>
      <c r="I191" s="28">
        <v>-1.2791999999999999</v>
      </c>
      <c r="J191" s="28">
        <v>0.11849999999999999</v>
      </c>
      <c r="K191" s="29">
        <f t="shared" si="4"/>
        <v>-4.3100000000000138E-2</v>
      </c>
      <c r="L191" s="29">
        <f t="shared" si="5"/>
        <v>-0.28100000000000003</v>
      </c>
    </row>
    <row r="192" spans="1:12" x14ac:dyDescent="0.25">
      <c r="A192" s="21">
        <v>16</v>
      </c>
      <c r="B192" s="22" t="s">
        <v>108</v>
      </c>
      <c r="C192" s="23">
        <v>300</v>
      </c>
      <c r="D192" s="24">
        <v>-1.2708999999999999</v>
      </c>
      <c r="E192" s="24">
        <v>-0.14749999999999999</v>
      </c>
      <c r="F192" s="25">
        <v>-0.50770000000000004</v>
      </c>
      <c r="G192" s="26" t="s">
        <v>93</v>
      </c>
      <c r="H192" s="27">
        <v>1.1000000000000001</v>
      </c>
      <c r="I192" s="28">
        <v>-1.2791999999999999</v>
      </c>
      <c r="J192" s="28">
        <v>0.11849999999999999</v>
      </c>
      <c r="K192" s="29">
        <f t="shared" si="4"/>
        <v>8.2999999999999741E-3</v>
      </c>
      <c r="L192" s="29">
        <f t="shared" si="5"/>
        <v>-0.26600000000000001</v>
      </c>
    </row>
    <row r="193" spans="1:12" x14ac:dyDescent="0.25">
      <c r="A193" s="30">
        <v>16</v>
      </c>
      <c r="B193" s="31" t="s">
        <v>108</v>
      </c>
      <c r="C193" s="32">
        <v>330</v>
      </c>
      <c r="D193" s="33">
        <v>-1.2211000000000001</v>
      </c>
      <c r="E193" s="33">
        <v>-0.1</v>
      </c>
      <c r="F193" s="34">
        <v>-1.0075000000000001</v>
      </c>
      <c r="G193" s="35" t="s">
        <v>93</v>
      </c>
      <c r="H193" s="36">
        <v>1.08955</v>
      </c>
      <c r="I193" s="37">
        <v>-1.2791999999999999</v>
      </c>
      <c r="J193" s="37">
        <v>0.11849999999999999</v>
      </c>
      <c r="K193" s="38">
        <f t="shared" si="4"/>
        <v>5.8099999999999818E-2</v>
      </c>
      <c r="L193" s="38">
        <f t="shared" si="5"/>
        <v>-0.2185</v>
      </c>
    </row>
    <row r="194" spans="1:12" x14ac:dyDescent="0.25">
      <c r="A194" s="21">
        <v>17</v>
      </c>
      <c r="B194" s="22" t="s">
        <v>109</v>
      </c>
      <c r="C194" s="23">
        <v>0</v>
      </c>
      <c r="D194" s="24">
        <v>-1.3987000000000001</v>
      </c>
      <c r="E194" s="24">
        <v>0.12089999999999999</v>
      </c>
      <c r="F194" s="25">
        <v>-1.3987000000000001</v>
      </c>
      <c r="G194" s="26" t="s">
        <v>93</v>
      </c>
      <c r="H194" s="27">
        <v>1.09998</v>
      </c>
      <c r="I194" s="28">
        <v>-1.399</v>
      </c>
      <c r="J194" s="28">
        <v>0.14940000000000001</v>
      </c>
      <c r="K194" s="29">
        <f t="shared" ref="K194:K257" si="6">D194-I194</f>
        <v>2.9999999999996696E-4</v>
      </c>
      <c r="L194" s="29">
        <f t="shared" ref="L194:L257" si="7">E194-J194</f>
        <v>-2.8500000000000011E-2</v>
      </c>
    </row>
    <row r="195" spans="1:12" x14ac:dyDescent="0.25">
      <c r="A195" s="21">
        <v>17</v>
      </c>
      <c r="B195" s="22" t="s">
        <v>109</v>
      </c>
      <c r="C195" s="23">
        <v>30</v>
      </c>
      <c r="D195" s="24">
        <v>-1.4173</v>
      </c>
      <c r="E195" s="24">
        <v>0.44879999999999998</v>
      </c>
      <c r="F195" s="25">
        <v>-1.0029999999999999</v>
      </c>
      <c r="G195" s="26" t="s">
        <v>93</v>
      </c>
      <c r="H195" s="27">
        <v>1.0361800000000001</v>
      </c>
      <c r="I195" s="28">
        <v>-1.399</v>
      </c>
      <c r="J195" s="28">
        <v>0.14940000000000001</v>
      </c>
      <c r="K195" s="29">
        <f t="shared" si="6"/>
        <v>-1.8299999999999983E-2</v>
      </c>
      <c r="L195" s="29">
        <f t="shared" si="7"/>
        <v>0.2994</v>
      </c>
    </row>
    <row r="196" spans="1:12" x14ac:dyDescent="0.25">
      <c r="A196" s="21">
        <v>17</v>
      </c>
      <c r="B196" s="22" t="s">
        <v>109</v>
      </c>
      <c r="C196" s="23">
        <v>60</v>
      </c>
      <c r="D196" s="24">
        <v>-1.4505999999999999</v>
      </c>
      <c r="E196" s="24">
        <v>0.48049999999999998</v>
      </c>
      <c r="F196" s="25">
        <v>-0.30919999999999997</v>
      </c>
      <c r="G196" s="26" t="s">
        <v>93</v>
      </c>
      <c r="H196" s="27">
        <v>1.03565</v>
      </c>
      <c r="I196" s="28">
        <v>-1.399</v>
      </c>
      <c r="J196" s="28">
        <v>0.14940000000000001</v>
      </c>
      <c r="K196" s="29">
        <f t="shared" si="6"/>
        <v>-5.1599999999999868E-2</v>
      </c>
      <c r="L196" s="29">
        <f t="shared" si="7"/>
        <v>0.33109999999999995</v>
      </c>
    </row>
    <row r="197" spans="1:12" x14ac:dyDescent="0.25">
      <c r="A197" s="21">
        <v>17</v>
      </c>
      <c r="B197" s="22" t="s">
        <v>109</v>
      </c>
      <c r="C197" s="23">
        <v>90</v>
      </c>
      <c r="D197" s="24">
        <v>-1.5449999999999999</v>
      </c>
      <c r="E197" s="24">
        <v>0.50109999999999999</v>
      </c>
      <c r="F197" s="25">
        <v>0.50109999999999999</v>
      </c>
      <c r="G197" s="26" t="s">
        <v>93</v>
      </c>
      <c r="H197" s="27">
        <v>1.0450299999999999</v>
      </c>
      <c r="I197" s="28">
        <v>-1.399</v>
      </c>
      <c r="J197" s="28">
        <v>0.14940000000000001</v>
      </c>
      <c r="K197" s="29">
        <f t="shared" si="6"/>
        <v>-0.14599999999999991</v>
      </c>
      <c r="L197" s="29">
        <f t="shared" si="7"/>
        <v>0.35170000000000001</v>
      </c>
    </row>
    <row r="198" spans="1:12" x14ac:dyDescent="0.25">
      <c r="A198" s="21">
        <v>17</v>
      </c>
      <c r="B198" s="22" t="s">
        <v>109</v>
      </c>
      <c r="C198" s="23">
        <v>120</v>
      </c>
      <c r="D198" s="24">
        <v>-1.6891</v>
      </c>
      <c r="E198" s="24">
        <v>0.4647</v>
      </c>
      <c r="F198" s="25">
        <v>1.2470000000000001</v>
      </c>
      <c r="G198" s="26" t="s">
        <v>93</v>
      </c>
      <c r="H198" s="27">
        <v>1.0823499999999999</v>
      </c>
      <c r="I198" s="28">
        <v>-1.399</v>
      </c>
      <c r="J198" s="28">
        <v>0.14940000000000001</v>
      </c>
      <c r="K198" s="29">
        <f t="shared" si="6"/>
        <v>-0.29010000000000002</v>
      </c>
      <c r="L198" s="29">
        <f t="shared" si="7"/>
        <v>0.31530000000000002</v>
      </c>
    </row>
    <row r="199" spans="1:12" x14ac:dyDescent="0.25">
      <c r="A199" s="21">
        <v>17</v>
      </c>
      <c r="B199" s="22" t="s">
        <v>109</v>
      </c>
      <c r="C199" s="23">
        <v>150</v>
      </c>
      <c r="D199" s="24">
        <v>-1.7717000000000001</v>
      </c>
      <c r="E199" s="24">
        <v>0.37419999999999998</v>
      </c>
      <c r="F199" s="25">
        <v>1.7214</v>
      </c>
      <c r="G199" s="26" t="s">
        <v>93</v>
      </c>
      <c r="H199" s="27">
        <v>1.1000000000000001</v>
      </c>
      <c r="I199" s="28">
        <v>-1.399</v>
      </c>
      <c r="J199" s="28">
        <v>0.14940000000000001</v>
      </c>
      <c r="K199" s="29">
        <f t="shared" si="6"/>
        <v>-0.37270000000000003</v>
      </c>
      <c r="L199" s="29">
        <f t="shared" si="7"/>
        <v>0.22479999999999997</v>
      </c>
    </row>
    <row r="200" spans="1:12" x14ac:dyDescent="0.25">
      <c r="A200" s="21">
        <v>17</v>
      </c>
      <c r="B200" s="22" t="s">
        <v>109</v>
      </c>
      <c r="C200" s="23">
        <v>180</v>
      </c>
      <c r="D200" s="24">
        <v>-1.8061</v>
      </c>
      <c r="E200" s="24">
        <v>0.25990000000000002</v>
      </c>
      <c r="F200" s="25">
        <v>1.8061</v>
      </c>
      <c r="G200" s="26" t="s">
        <v>93</v>
      </c>
      <c r="H200" s="27">
        <v>1.1000000000000001</v>
      </c>
      <c r="I200" s="28">
        <v>-1.399</v>
      </c>
      <c r="J200" s="28">
        <v>0.14940000000000001</v>
      </c>
      <c r="K200" s="29">
        <f t="shared" si="6"/>
        <v>-0.40710000000000002</v>
      </c>
      <c r="L200" s="29">
        <f t="shared" si="7"/>
        <v>0.11050000000000001</v>
      </c>
    </row>
    <row r="201" spans="1:12" x14ac:dyDescent="0.25">
      <c r="A201" s="21">
        <v>17</v>
      </c>
      <c r="B201" s="22" t="s">
        <v>109</v>
      </c>
      <c r="C201" s="23">
        <v>210</v>
      </c>
      <c r="D201" s="24">
        <v>-1.7656000000000001</v>
      </c>
      <c r="E201" s="24">
        <v>0.1399</v>
      </c>
      <c r="F201" s="25">
        <v>1.4591000000000001</v>
      </c>
      <c r="G201" s="26" t="s">
        <v>93</v>
      </c>
      <c r="H201" s="27">
        <v>1.1000000000000001</v>
      </c>
      <c r="I201" s="28">
        <v>-1.399</v>
      </c>
      <c r="J201" s="28">
        <v>0.14940000000000001</v>
      </c>
      <c r="K201" s="29">
        <f t="shared" si="6"/>
        <v>-0.36660000000000004</v>
      </c>
      <c r="L201" s="29">
        <f t="shared" si="7"/>
        <v>-9.5000000000000084E-3</v>
      </c>
    </row>
    <row r="202" spans="1:12" x14ac:dyDescent="0.25">
      <c r="A202" s="21">
        <v>17</v>
      </c>
      <c r="B202" s="22" t="s">
        <v>109</v>
      </c>
      <c r="C202" s="23">
        <v>240</v>
      </c>
      <c r="D202" s="24">
        <v>-1.5288999999999999</v>
      </c>
      <c r="E202" s="24">
        <v>-0.1046</v>
      </c>
      <c r="F202" s="25">
        <v>0.85499999999999998</v>
      </c>
      <c r="G202" s="26" t="s">
        <v>93</v>
      </c>
      <c r="H202" s="27">
        <v>1.1000000000000001</v>
      </c>
      <c r="I202" s="28">
        <v>-1.399</v>
      </c>
      <c r="J202" s="28">
        <v>0.14940000000000001</v>
      </c>
      <c r="K202" s="29">
        <f t="shared" si="6"/>
        <v>-0.1298999999999999</v>
      </c>
      <c r="L202" s="29">
        <f t="shared" si="7"/>
        <v>-0.254</v>
      </c>
    </row>
    <row r="203" spans="1:12" x14ac:dyDescent="0.25">
      <c r="A203" s="21">
        <v>17</v>
      </c>
      <c r="B203" s="22" t="s">
        <v>109</v>
      </c>
      <c r="C203" s="23">
        <v>270</v>
      </c>
      <c r="D203" s="24">
        <v>-1.4643999999999999</v>
      </c>
      <c r="E203" s="24">
        <v>-0.12609999999999999</v>
      </c>
      <c r="F203" s="25">
        <v>0.12609999999999999</v>
      </c>
      <c r="G203" s="26" t="s">
        <v>93</v>
      </c>
      <c r="H203" s="27">
        <v>1.1000000000000001</v>
      </c>
      <c r="I203" s="28">
        <v>-1.399</v>
      </c>
      <c r="J203" s="28">
        <v>0.14940000000000001</v>
      </c>
      <c r="K203" s="29">
        <f t="shared" si="6"/>
        <v>-6.5399999999999903E-2</v>
      </c>
      <c r="L203" s="29">
        <f t="shared" si="7"/>
        <v>-0.27549999999999997</v>
      </c>
    </row>
    <row r="204" spans="1:12" x14ac:dyDescent="0.25">
      <c r="A204" s="21">
        <v>17</v>
      </c>
      <c r="B204" s="22" t="s">
        <v>109</v>
      </c>
      <c r="C204" s="23">
        <v>300</v>
      </c>
      <c r="D204" s="24">
        <v>-1.4322999999999999</v>
      </c>
      <c r="E204" s="24">
        <v>-0.1192</v>
      </c>
      <c r="F204" s="25">
        <v>-0.6129</v>
      </c>
      <c r="G204" s="26" t="s">
        <v>93</v>
      </c>
      <c r="H204" s="27">
        <v>1.1000000000000001</v>
      </c>
      <c r="I204" s="28">
        <v>-1.399</v>
      </c>
      <c r="J204" s="28">
        <v>0.14940000000000001</v>
      </c>
      <c r="K204" s="29">
        <f t="shared" si="6"/>
        <v>-3.3299999999999885E-2</v>
      </c>
      <c r="L204" s="29">
        <f t="shared" si="7"/>
        <v>-0.26860000000000001</v>
      </c>
    </row>
    <row r="205" spans="1:12" x14ac:dyDescent="0.25">
      <c r="A205" s="30">
        <v>17</v>
      </c>
      <c r="B205" s="31" t="s">
        <v>109</v>
      </c>
      <c r="C205" s="32">
        <v>330</v>
      </c>
      <c r="D205" s="33">
        <v>-1.413</v>
      </c>
      <c r="E205" s="33">
        <v>-9.9500000000000005E-2</v>
      </c>
      <c r="F205" s="34">
        <v>-1.1738999999999999</v>
      </c>
      <c r="G205" s="35" t="s">
        <v>93</v>
      </c>
      <c r="H205" s="36">
        <v>1.1000000000000001</v>
      </c>
      <c r="I205" s="37">
        <v>-1.399</v>
      </c>
      <c r="J205" s="37">
        <v>0.14940000000000001</v>
      </c>
      <c r="K205" s="38">
        <f t="shared" si="6"/>
        <v>-1.4000000000000012E-2</v>
      </c>
      <c r="L205" s="38">
        <f t="shared" si="7"/>
        <v>-0.24890000000000001</v>
      </c>
    </row>
    <row r="206" spans="1:12" x14ac:dyDescent="0.25">
      <c r="A206" s="21">
        <v>18</v>
      </c>
      <c r="B206" s="22" t="s">
        <v>110</v>
      </c>
      <c r="C206" s="23">
        <v>0</v>
      </c>
      <c r="D206" s="24">
        <v>-1.6019000000000001</v>
      </c>
      <c r="E206" s="24">
        <v>0.16669999999999999</v>
      </c>
      <c r="F206" s="25">
        <v>-1.6019000000000001</v>
      </c>
      <c r="G206" s="26" t="s">
        <v>93</v>
      </c>
      <c r="H206" s="27">
        <v>1.0999699999999999</v>
      </c>
      <c r="I206" s="28">
        <v>-1.5391999999999999</v>
      </c>
      <c r="J206" s="28">
        <v>0.17330000000000001</v>
      </c>
      <c r="K206" s="29">
        <f t="shared" si="6"/>
        <v>-6.27000000000002E-2</v>
      </c>
      <c r="L206" s="29">
        <f t="shared" si="7"/>
        <v>-6.6000000000000225E-3</v>
      </c>
    </row>
    <row r="207" spans="1:12" x14ac:dyDescent="0.25">
      <c r="A207" s="21">
        <v>18</v>
      </c>
      <c r="B207" s="22" t="s">
        <v>110</v>
      </c>
      <c r="C207" s="23">
        <v>30</v>
      </c>
      <c r="D207" s="24">
        <v>-1.617</v>
      </c>
      <c r="E207" s="24">
        <v>0.4768</v>
      </c>
      <c r="F207" s="25">
        <v>-1.1619999999999999</v>
      </c>
      <c r="G207" s="26" t="s">
        <v>93</v>
      </c>
      <c r="H207" s="27">
        <v>1.0477099999999999</v>
      </c>
      <c r="I207" s="28">
        <v>-1.5391999999999999</v>
      </c>
      <c r="J207" s="28">
        <v>0.17330000000000001</v>
      </c>
      <c r="K207" s="29">
        <f t="shared" si="6"/>
        <v>-7.7800000000000091E-2</v>
      </c>
      <c r="L207" s="29">
        <f t="shared" si="7"/>
        <v>0.30349999999999999</v>
      </c>
    </row>
    <row r="208" spans="1:12" x14ac:dyDescent="0.25">
      <c r="A208" s="21">
        <v>18</v>
      </c>
      <c r="B208" s="22" t="s">
        <v>110</v>
      </c>
      <c r="C208" s="23">
        <v>60</v>
      </c>
      <c r="D208" s="24">
        <v>-1.639</v>
      </c>
      <c r="E208" s="24">
        <v>0.49790000000000001</v>
      </c>
      <c r="F208" s="25">
        <v>-0.38829999999999998</v>
      </c>
      <c r="G208" s="26" t="s">
        <v>93</v>
      </c>
      <c r="H208" s="27">
        <v>1.0466899999999999</v>
      </c>
      <c r="I208" s="28">
        <v>-1.5391999999999999</v>
      </c>
      <c r="J208" s="28">
        <v>0.17330000000000001</v>
      </c>
      <c r="K208" s="29">
        <f t="shared" si="6"/>
        <v>-9.9800000000000111E-2</v>
      </c>
      <c r="L208" s="29">
        <f t="shared" si="7"/>
        <v>0.3246</v>
      </c>
    </row>
    <row r="209" spans="1:12" x14ac:dyDescent="0.25">
      <c r="A209" s="21">
        <v>18</v>
      </c>
      <c r="B209" s="22" t="s">
        <v>110</v>
      </c>
      <c r="C209" s="23">
        <v>90</v>
      </c>
      <c r="D209" s="24">
        <v>-1.7135</v>
      </c>
      <c r="E209" s="24">
        <v>0.51219999999999999</v>
      </c>
      <c r="F209" s="25">
        <v>0.51219999999999999</v>
      </c>
      <c r="G209" s="26" t="s">
        <v>93</v>
      </c>
      <c r="H209" s="27">
        <v>1.05121</v>
      </c>
      <c r="I209" s="28">
        <v>-1.5391999999999999</v>
      </c>
      <c r="J209" s="28">
        <v>0.17330000000000001</v>
      </c>
      <c r="K209" s="29">
        <f t="shared" si="6"/>
        <v>-0.17430000000000012</v>
      </c>
      <c r="L209" s="29">
        <f t="shared" si="7"/>
        <v>0.33889999999999998</v>
      </c>
    </row>
    <row r="210" spans="1:12" x14ac:dyDescent="0.25">
      <c r="A210" s="21">
        <v>18</v>
      </c>
      <c r="B210" s="22" t="s">
        <v>110</v>
      </c>
      <c r="C210" s="23">
        <v>120</v>
      </c>
      <c r="D210" s="24">
        <v>-1.8528</v>
      </c>
      <c r="E210" s="24">
        <v>0.47760000000000002</v>
      </c>
      <c r="F210" s="25">
        <v>1.34</v>
      </c>
      <c r="G210" s="26" t="s">
        <v>93</v>
      </c>
      <c r="H210" s="27">
        <v>1.0864499999999999</v>
      </c>
      <c r="I210" s="28">
        <v>-1.5391999999999999</v>
      </c>
      <c r="J210" s="28">
        <v>0.17330000000000001</v>
      </c>
      <c r="K210" s="29">
        <f t="shared" si="6"/>
        <v>-0.3136000000000001</v>
      </c>
      <c r="L210" s="29">
        <f t="shared" si="7"/>
        <v>0.30430000000000001</v>
      </c>
    </row>
    <row r="211" spans="1:12" x14ac:dyDescent="0.25">
      <c r="A211" s="21">
        <v>18</v>
      </c>
      <c r="B211" s="22" t="s">
        <v>110</v>
      </c>
      <c r="C211" s="23">
        <v>150</v>
      </c>
      <c r="D211" s="24">
        <v>-1.9365000000000001</v>
      </c>
      <c r="E211" s="24">
        <v>0.38590000000000002</v>
      </c>
      <c r="F211" s="25">
        <v>1.87</v>
      </c>
      <c r="G211" s="26" t="s">
        <v>93</v>
      </c>
      <c r="H211" s="27">
        <v>1.1000000000000001</v>
      </c>
      <c r="I211" s="28">
        <v>-1.5391999999999999</v>
      </c>
      <c r="J211" s="28">
        <v>0.17330000000000001</v>
      </c>
      <c r="K211" s="29">
        <f t="shared" si="6"/>
        <v>-0.39730000000000021</v>
      </c>
      <c r="L211" s="29">
        <f t="shared" si="7"/>
        <v>0.21260000000000001</v>
      </c>
    </row>
    <row r="212" spans="1:12" x14ac:dyDescent="0.25">
      <c r="A212" s="21">
        <v>18</v>
      </c>
      <c r="B212" s="22" t="s">
        <v>110</v>
      </c>
      <c r="C212" s="23">
        <v>180</v>
      </c>
      <c r="D212" s="24">
        <v>-1.9716</v>
      </c>
      <c r="E212" s="24">
        <v>0.2697</v>
      </c>
      <c r="F212" s="25">
        <v>1.9716</v>
      </c>
      <c r="G212" s="26" t="s">
        <v>93</v>
      </c>
      <c r="H212" s="27">
        <v>1.1000000000000001</v>
      </c>
      <c r="I212" s="28">
        <v>-1.5391999999999999</v>
      </c>
      <c r="J212" s="28">
        <v>0.17330000000000001</v>
      </c>
      <c r="K212" s="29">
        <f t="shared" si="6"/>
        <v>-0.43240000000000012</v>
      </c>
      <c r="L212" s="29">
        <f t="shared" si="7"/>
        <v>9.6399999999999986E-2</v>
      </c>
    </row>
    <row r="213" spans="1:12" x14ac:dyDescent="0.25">
      <c r="A213" s="21">
        <v>18</v>
      </c>
      <c r="B213" s="22" t="s">
        <v>110</v>
      </c>
      <c r="C213" s="23">
        <v>210</v>
      </c>
      <c r="D213" s="24">
        <v>-1.9374</v>
      </c>
      <c r="E213" s="24">
        <v>0.16980000000000001</v>
      </c>
      <c r="F213" s="25">
        <v>1.5929</v>
      </c>
      <c r="G213" s="26" t="s">
        <v>93</v>
      </c>
      <c r="H213" s="27">
        <v>1.1000000000000001</v>
      </c>
      <c r="I213" s="28">
        <v>-1.5391999999999999</v>
      </c>
      <c r="J213" s="28">
        <v>0.17330000000000001</v>
      </c>
      <c r="K213" s="29">
        <f t="shared" si="6"/>
        <v>-0.39820000000000011</v>
      </c>
      <c r="L213" s="29">
        <f t="shared" si="7"/>
        <v>-3.5000000000000031E-3</v>
      </c>
    </row>
    <row r="214" spans="1:12" x14ac:dyDescent="0.25">
      <c r="A214" s="21">
        <v>18</v>
      </c>
      <c r="B214" s="22" t="s">
        <v>110</v>
      </c>
      <c r="C214" s="23">
        <v>240</v>
      </c>
      <c r="D214" s="24">
        <v>-1.7003999999999999</v>
      </c>
      <c r="E214" s="24">
        <v>-7.7899999999999997E-2</v>
      </c>
      <c r="F214" s="25">
        <v>0.91759999999999997</v>
      </c>
      <c r="G214" s="26" t="s">
        <v>93</v>
      </c>
      <c r="H214" s="27">
        <v>1.1000000000000001</v>
      </c>
      <c r="I214" s="28">
        <v>-1.5391999999999999</v>
      </c>
      <c r="J214" s="28">
        <v>0.17330000000000001</v>
      </c>
      <c r="K214" s="29">
        <f t="shared" si="6"/>
        <v>-0.16120000000000001</v>
      </c>
      <c r="L214" s="29">
        <f t="shared" si="7"/>
        <v>-0.25119999999999998</v>
      </c>
    </row>
    <row r="215" spans="1:12" x14ac:dyDescent="0.25">
      <c r="A215" s="21">
        <v>18</v>
      </c>
      <c r="B215" s="22" t="s">
        <v>110</v>
      </c>
      <c r="C215" s="23">
        <v>270</v>
      </c>
      <c r="D215" s="24">
        <v>-1.6485000000000001</v>
      </c>
      <c r="E215" s="24">
        <v>-9.4700000000000006E-2</v>
      </c>
      <c r="F215" s="25">
        <v>9.4700000000000006E-2</v>
      </c>
      <c r="G215" s="26" t="s">
        <v>93</v>
      </c>
      <c r="H215" s="27">
        <v>1.1000000000000001</v>
      </c>
      <c r="I215" s="28">
        <v>-1.5391999999999999</v>
      </c>
      <c r="J215" s="28">
        <v>0.17330000000000001</v>
      </c>
      <c r="K215" s="29">
        <f t="shared" si="6"/>
        <v>-0.10930000000000017</v>
      </c>
      <c r="L215" s="29">
        <f t="shared" si="7"/>
        <v>-0.26800000000000002</v>
      </c>
    </row>
    <row r="216" spans="1:12" x14ac:dyDescent="0.25">
      <c r="A216" s="21">
        <v>18</v>
      </c>
      <c r="B216" s="22" t="s">
        <v>110</v>
      </c>
      <c r="C216" s="23">
        <v>300</v>
      </c>
      <c r="D216" s="24">
        <v>-1.6177999999999999</v>
      </c>
      <c r="E216" s="24">
        <v>-8.9200000000000002E-2</v>
      </c>
      <c r="F216" s="25">
        <v>-0.73160000000000003</v>
      </c>
      <c r="G216" s="26" t="s">
        <v>93</v>
      </c>
      <c r="H216" s="27">
        <v>1.1000000000000001</v>
      </c>
      <c r="I216" s="28">
        <v>-1.5391999999999999</v>
      </c>
      <c r="J216" s="28">
        <v>0.17330000000000001</v>
      </c>
      <c r="K216" s="29">
        <f t="shared" si="6"/>
        <v>-7.8600000000000003E-2</v>
      </c>
      <c r="L216" s="29">
        <f t="shared" si="7"/>
        <v>-0.26250000000000001</v>
      </c>
    </row>
    <row r="217" spans="1:12" x14ac:dyDescent="0.25">
      <c r="A217" s="30">
        <v>18</v>
      </c>
      <c r="B217" s="31" t="s">
        <v>110</v>
      </c>
      <c r="C217" s="32">
        <v>330</v>
      </c>
      <c r="D217" s="33">
        <v>-1.6107</v>
      </c>
      <c r="E217" s="33">
        <v>-8.2600000000000007E-2</v>
      </c>
      <c r="F217" s="34">
        <v>-1.3535999999999999</v>
      </c>
      <c r="G217" s="35" t="s">
        <v>93</v>
      </c>
      <c r="H217" s="36">
        <v>1.1000000000000001</v>
      </c>
      <c r="I217" s="37">
        <v>-1.5391999999999999</v>
      </c>
      <c r="J217" s="37">
        <v>0.17330000000000001</v>
      </c>
      <c r="K217" s="38">
        <f t="shared" si="6"/>
        <v>-7.1500000000000119E-2</v>
      </c>
      <c r="L217" s="38">
        <f t="shared" si="7"/>
        <v>-0.25590000000000002</v>
      </c>
    </row>
    <row r="218" spans="1:12" x14ac:dyDescent="0.25">
      <c r="A218" s="21">
        <v>19</v>
      </c>
      <c r="B218" s="22" t="s">
        <v>111</v>
      </c>
      <c r="C218" s="23">
        <v>0</v>
      </c>
      <c r="D218" s="24">
        <v>-1.7446999999999999</v>
      </c>
      <c r="E218" s="24">
        <v>0.19420000000000001</v>
      </c>
      <c r="F218" s="25">
        <v>-1.7446999999999999</v>
      </c>
      <c r="G218" s="26" t="s">
        <v>93</v>
      </c>
      <c r="H218" s="27">
        <v>1.09999</v>
      </c>
      <c r="I218" s="28">
        <v>-1.7076</v>
      </c>
      <c r="J218" s="28">
        <v>0.1842</v>
      </c>
      <c r="K218" s="29">
        <f t="shared" si="6"/>
        <v>-3.7099999999999911E-2</v>
      </c>
      <c r="L218" s="29">
        <f t="shared" si="7"/>
        <v>1.0000000000000009E-2</v>
      </c>
    </row>
    <row r="219" spans="1:12" x14ac:dyDescent="0.25">
      <c r="A219" s="21">
        <v>19</v>
      </c>
      <c r="B219" s="22" t="s">
        <v>111</v>
      </c>
      <c r="C219" s="23">
        <v>30</v>
      </c>
      <c r="D219" s="24">
        <v>-1.7591000000000001</v>
      </c>
      <c r="E219" s="24">
        <v>0.50380000000000003</v>
      </c>
      <c r="F219" s="25">
        <v>-1.2715000000000001</v>
      </c>
      <c r="G219" s="26" t="s">
        <v>93</v>
      </c>
      <c r="H219" s="27">
        <v>1.0548900000000001</v>
      </c>
      <c r="I219" s="28">
        <v>-1.7076</v>
      </c>
      <c r="J219" s="28">
        <v>0.1842</v>
      </c>
      <c r="K219" s="29">
        <f t="shared" si="6"/>
        <v>-5.1500000000000101E-2</v>
      </c>
      <c r="L219" s="29">
        <f t="shared" si="7"/>
        <v>0.3196</v>
      </c>
    </row>
    <row r="220" spans="1:12" x14ac:dyDescent="0.25">
      <c r="A220" s="21">
        <v>19</v>
      </c>
      <c r="B220" s="22" t="s">
        <v>111</v>
      </c>
      <c r="C220" s="23">
        <v>60</v>
      </c>
      <c r="D220" s="24">
        <v>-1.7726999999999999</v>
      </c>
      <c r="E220" s="24">
        <v>0.51590000000000003</v>
      </c>
      <c r="F220" s="25">
        <v>-0.43959999999999999</v>
      </c>
      <c r="G220" s="26" t="s">
        <v>93</v>
      </c>
      <c r="H220" s="27">
        <v>1.0542400000000001</v>
      </c>
      <c r="I220" s="28">
        <v>-1.7076</v>
      </c>
      <c r="J220" s="28">
        <v>0.1842</v>
      </c>
      <c r="K220" s="29">
        <f t="shared" si="6"/>
        <v>-6.5099999999999936E-2</v>
      </c>
      <c r="L220" s="29">
        <f t="shared" si="7"/>
        <v>0.33169999999999999</v>
      </c>
    </row>
    <row r="221" spans="1:12" x14ac:dyDescent="0.25">
      <c r="A221" s="21">
        <v>19</v>
      </c>
      <c r="B221" s="22" t="s">
        <v>111</v>
      </c>
      <c r="C221" s="23">
        <v>90</v>
      </c>
      <c r="D221" s="24">
        <v>-1.8355999999999999</v>
      </c>
      <c r="E221" s="24">
        <v>0.52669999999999995</v>
      </c>
      <c r="F221" s="25">
        <v>0.52669999999999995</v>
      </c>
      <c r="G221" s="26" t="s">
        <v>93</v>
      </c>
      <c r="H221" s="27">
        <v>1.05749</v>
      </c>
      <c r="I221" s="28">
        <v>-1.7076</v>
      </c>
      <c r="J221" s="28">
        <v>0.1842</v>
      </c>
      <c r="K221" s="29">
        <f t="shared" si="6"/>
        <v>-0.12799999999999989</v>
      </c>
      <c r="L221" s="29">
        <f t="shared" si="7"/>
        <v>0.34249999999999992</v>
      </c>
    </row>
    <row r="222" spans="1:12" x14ac:dyDescent="0.25">
      <c r="A222" s="21">
        <v>19</v>
      </c>
      <c r="B222" s="22" t="s">
        <v>111</v>
      </c>
      <c r="C222" s="23">
        <v>120</v>
      </c>
      <c r="D222" s="24">
        <v>-1.9666999999999999</v>
      </c>
      <c r="E222" s="24">
        <v>0.49509999999999998</v>
      </c>
      <c r="F222" s="25">
        <v>1.4121999999999999</v>
      </c>
      <c r="G222" s="26" t="s">
        <v>93</v>
      </c>
      <c r="H222" s="27">
        <v>1.08728</v>
      </c>
      <c r="I222" s="28">
        <v>-1.7076</v>
      </c>
      <c r="J222" s="28">
        <v>0.1842</v>
      </c>
      <c r="K222" s="29">
        <f t="shared" si="6"/>
        <v>-0.25909999999999989</v>
      </c>
      <c r="L222" s="29">
        <f t="shared" si="7"/>
        <v>0.31089999999999995</v>
      </c>
    </row>
    <row r="223" spans="1:12" x14ac:dyDescent="0.25">
      <c r="A223" s="21">
        <v>19</v>
      </c>
      <c r="B223" s="22" t="s">
        <v>111</v>
      </c>
      <c r="C223" s="23">
        <v>150</v>
      </c>
      <c r="D223" s="24">
        <v>-2.052</v>
      </c>
      <c r="E223" s="24">
        <v>0.40439999999999998</v>
      </c>
      <c r="F223" s="25">
        <v>1.9793000000000001</v>
      </c>
      <c r="G223" s="26" t="s">
        <v>93</v>
      </c>
      <c r="H223" s="27">
        <v>1.1000000000000001</v>
      </c>
      <c r="I223" s="28">
        <v>-1.7076</v>
      </c>
      <c r="J223" s="28">
        <v>0.1842</v>
      </c>
      <c r="K223" s="29">
        <f t="shared" si="6"/>
        <v>-0.34440000000000004</v>
      </c>
      <c r="L223" s="29">
        <f t="shared" si="7"/>
        <v>0.22019999999999998</v>
      </c>
    </row>
    <row r="224" spans="1:12" x14ac:dyDescent="0.25">
      <c r="A224" s="21">
        <v>19</v>
      </c>
      <c r="B224" s="22" t="s">
        <v>111</v>
      </c>
      <c r="C224" s="23">
        <v>180</v>
      </c>
      <c r="D224" s="24">
        <v>-2.0897000000000001</v>
      </c>
      <c r="E224" s="24">
        <v>0.28239999999999998</v>
      </c>
      <c r="F224" s="25">
        <v>2.0897000000000001</v>
      </c>
      <c r="G224" s="26" t="s">
        <v>93</v>
      </c>
      <c r="H224" s="27">
        <v>1.1000000000000001</v>
      </c>
      <c r="I224" s="28">
        <v>-1.7076</v>
      </c>
      <c r="J224" s="28">
        <v>0.1842</v>
      </c>
      <c r="K224" s="29">
        <f t="shared" si="6"/>
        <v>-0.38210000000000011</v>
      </c>
      <c r="L224" s="29">
        <f t="shared" si="7"/>
        <v>9.8199999999999982E-2</v>
      </c>
    </row>
    <row r="225" spans="1:12" x14ac:dyDescent="0.25">
      <c r="A225" s="21">
        <v>19</v>
      </c>
      <c r="B225" s="22" t="s">
        <v>111</v>
      </c>
      <c r="C225" s="23">
        <v>210</v>
      </c>
      <c r="D225" s="24">
        <v>-2.0581</v>
      </c>
      <c r="E225" s="24">
        <v>0.18709999999999999</v>
      </c>
      <c r="F225" s="25">
        <v>1.6888000000000001</v>
      </c>
      <c r="G225" s="26" t="s">
        <v>93</v>
      </c>
      <c r="H225" s="27">
        <v>1.1000000000000001</v>
      </c>
      <c r="I225" s="28">
        <v>-1.7076</v>
      </c>
      <c r="J225" s="28">
        <v>0.1842</v>
      </c>
      <c r="K225" s="29">
        <f t="shared" si="6"/>
        <v>-0.35050000000000003</v>
      </c>
      <c r="L225" s="29">
        <f t="shared" si="7"/>
        <v>2.8999999999999859E-3</v>
      </c>
    </row>
    <row r="226" spans="1:12" x14ac:dyDescent="0.25">
      <c r="A226" s="21">
        <v>19</v>
      </c>
      <c r="B226" s="22" t="s">
        <v>111</v>
      </c>
      <c r="C226" s="23">
        <v>240</v>
      </c>
      <c r="D226" s="24">
        <v>-1.8299000000000001</v>
      </c>
      <c r="E226" s="24">
        <v>-4.9200000000000001E-2</v>
      </c>
      <c r="F226" s="25">
        <v>0.95760000000000001</v>
      </c>
      <c r="G226" s="26" t="s">
        <v>93</v>
      </c>
      <c r="H226" s="27">
        <v>1.1000000000000001</v>
      </c>
      <c r="I226" s="28">
        <v>-1.7076</v>
      </c>
      <c r="J226" s="28">
        <v>0.1842</v>
      </c>
      <c r="K226" s="29">
        <f t="shared" si="6"/>
        <v>-0.12230000000000008</v>
      </c>
      <c r="L226" s="29">
        <f t="shared" si="7"/>
        <v>-0.2334</v>
      </c>
    </row>
    <row r="227" spans="1:12" x14ac:dyDescent="0.25">
      <c r="A227" s="21">
        <v>19</v>
      </c>
      <c r="B227" s="22" t="s">
        <v>111</v>
      </c>
      <c r="C227" s="23">
        <v>270</v>
      </c>
      <c r="D227" s="24">
        <v>-1.7843</v>
      </c>
      <c r="E227" s="24">
        <v>-6.4100000000000004E-2</v>
      </c>
      <c r="F227" s="25">
        <v>6.4100000000000004E-2</v>
      </c>
      <c r="G227" s="26" t="s">
        <v>93</v>
      </c>
      <c r="H227" s="27">
        <v>1.1000000000000001</v>
      </c>
      <c r="I227" s="28">
        <v>-1.7076</v>
      </c>
      <c r="J227" s="28">
        <v>0.1842</v>
      </c>
      <c r="K227" s="29">
        <f t="shared" si="6"/>
        <v>-7.669999999999999E-2</v>
      </c>
      <c r="L227" s="29">
        <f t="shared" si="7"/>
        <v>-0.24830000000000002</v>
      </c>
    </row>
    <row r="228" spans="1:12" x14ac:dyDescent="0.25">
      <c r="A228" s="21">
        <v>19</v>
      </c>
      <c r="B228" s="22" t="s">
        <v>111</v>
      </c>
      <c r="C228" s="23">
        <v>300</v>
      </c>
      <c r="D228" s="24">
        <v>-1.7551000000000001</v>
      </c>
      <c r="E228" s="24">
        <v>-0.06</v>
      </c>
      <c r="F228" s="25">
        <v>-0.8256</v>
      </c>
      <c r="G228" s="26" t="s">
        <v>93</v>
      </c>
      <c r="H228" s="27">
        <v>1.1000000000000001</v>
      </c>
      <c r="I228" s="28">
        <v>-1.7076</v>
      </c>
      <c r="J228" s="28">
        <v>0.1842</v>
      </c>
      <c r="K228" s="29">
        <f t="shared" si="6"/>
        <v>-4.7500000000000098E-2</v>
      </c>
      <c r="L228" s="29">
        <f t="shared" si="7"/>
        <v>-0.2442</v>
      </c>
    </row>
    <row r="229" spans="1:12" x14ac:dyDescent="0.25">
      <c r="A229" s="30">
        <v>19</v>
      </c>
      <c r="B229" s="31" t="s">
        <v>111</v>
      </c>
      <c r="C229" s="32">
        <v>330</v>
      </c>
      <c r="D229" s="33">
        <v>-1.7528999999999999</v>
      </c>
      <c r="E229" s="33">
        <v>-5.79E-2</v>
      </c>
      <c r="F229" s="34">
        <v>-1.4891000000000001</v>
      </c>
      <c r="G229" s="35" t="s">
        <v>93</v>
      </c>
      <c r="H229" s="36">
        <v>1.1000000000000001</v>
      </c>
      <c r="I229" s="37">
        <v>-1.7076</v>
      </c>
      <c r="J229" s="37">
        <v>0.1842</v>
      </c>
      <c r="K229" s="38">
        <f t="shared" si="6"/>
        <v>-4.5299999999999896E-2</v>
      </c>
      <c r="L229" s="38">
        <f t="shared" si="7"/>
        <v>-0.24210000000000001</v>
      </c>
    </row>
    <row r="230" spans="1:12" x14ac:dyDescent="0.25">
      <c r="A230" s="21">
        <v>20</v>
      </c>
      <c r="B230" s="22" t="s">
        <v>112</v>
      </c>
      <c r="C230" s="23">
        <v>0</v>
      </c>
      <c r="D230" s="24">
        <v>-1.9368000000000001</v>
      </c>
      <c r="E230" s="24">
        <v>0.21709999999999999</v>
      </c>
      <c r="F230" s="25">
        <v>-1.9368000000000001</v>
      </c>
      <c r="G230" s="26" t="s">
        <v>93</v>
      </c>
      <c r="H230" s="27">
        <v>1.1000000000000001</v>
      </c>
      <c r="I230" s="28">
        <v>-1.8297000000000001</v>
      </c>
      <c r="J230" s="28">
        <v>0.19850000000000001</v>
      </c>
      <c r="K230" s="29">
        <f t="shared" si="6"/>
        <v>-0.10709999999999997</v>
      </c>
      <c r="L230" s="29">
        <f t="shared" si="7"/>
        <v>1.8599999999999978E-2</v>
      </c>
    </row>
    <row r="231" spans="1:12" x14ac:dyDescent="0.25">
      <c r="A231" s="21">
        <v>20</v>
      </c>
      <c r="B231" s="22" t="s">
        <v>112</v>
      </c>
      <c r="C231" s="23">
        <v>30</v>
      </c>
      <c r="D231" s="24">
        <v>-1.9515</v>
      </c>
      <c r="E231" s="24">
        <v>0.5111</v>
      </c>
      <c r="F231" s="25">
        <v>-1.4345000000000001</v>
      </c>
      <c r="G231" s="26" t="s">
        <v>93</v>
      </c>
      <c r="H231" s="27">
        <v>1.0581499999999999</v>
      </c>
      <c r="I231" s="28">
        <v>-1.8297000000000001</v>
      </c>
      <c r="J231" s="28">
        <v>0.19850000000000001</v>
      </c>
      <c r="K231" s="29">
        <f t="shared" si="6"/>
        <v>-0.12179999999999991</v>
      </c>
      <c r="L231" s="29">
        <f t="shared" si="7"/>
        <v>0.31259999999999999</v>
      </c>
    </row>
    <row r="232" spans="1:12" x14ac:dyDescent="0.25">
      <c r="A232" s="21">
        <v>20</v>
      </c>
      <c r="B232" s="22" t="s">
        <v>112</v>
      </c>
      <c r="C232" s="23">
        <v>60</v>
      </c>
      <c r="D232" s="24">
        <v>-1.9592000000000001</v>
      </c>
      <c r="E232" s="24">
        <v>0.51829999999999998</v>
      </c>
      <c r="F232" s="25">
        <v>-0.53080000000000005</v>
      </c>
      <c r="G232" s="26" t="s">
        <v>93</v>
      </c>
      <c r="H232" s="27">
        <v>1.0585100000000001</v>
      </c>
      <c r="I232" s="28">
        <v>-1.8297000000000001</v>
      </c>
      <c r="J232" s="28">
        <v>0.19850000000000001</v>
      </c>
      <c r="K232" s="29">
        <f t="shared" si="6"/>
        <v>-0.12949999999999995</v>
      </c>
      <c r="L232" s="29">
        <f t="shared" si="7"/>
        <v>0.31979999999999997</v>
      </c>
    </row>
    <row r="233" spans="1:12" x14ac:dyDescent="0.25">
      <c r="A233" s="21">
        <v>20</v>
      </c>
      <c r="B233" s="22" t="s">
        <v>112</v>
      </c>
      <c r="C233" s="23">
        <v>90</v>
      </c>
      <c r="D233" s="24">
        <v>-2.0154999999999998</v>
      </c>
      <c r="E233" s="24">
        <v>0.52659999999999996</v>
      </c>
      <c r="F233" s="25">
        <v>0.52659999999999996</v>
      </c>
      <c r="G233" s="26" t="s">
        <v>93</v>
      </c>
      <c r="H233" s="27">
        <v>1.06067</v>
      </c>
      <c r="I233" s="28">
        <v>-1.8297000000000001</v>
      </c>
      <c r="J233" s="28">
        <v>0.19850000000000001</v>
      </c>
      <c r="K233" s="29">
        <f t="shared" si="6"/>
        <v>-0.18579999999999974</v>
      </c>
      <c r="L233" s="29">
        <f t="shared" si="7"/>
        <v>0.32809999999999995</v>
      </c>
    </row>
    <row r="234" spans="1:12" x14ac:dyDescent="0.25">
      <c r="A234" s="21">
        <v>20</v>
      </c>
      <c r="B234" s="22" t="s">
        <v>112</v>
      </c>
      <c r="C234" s="23">
        <v>120</v>
      </c>
      <c r="D234" s="24">
        <v>-2.1263000000000001</v>
      </c>
      <c r="E234" s="24">
        <v>0.50249999999999995</v>
      </c>
      <c r="F234" s="25">
        <v>1.4983</v>
      </c>
      <c r="G234" s="26" t="s">
        <v>93</v>
      </c>
      <c r="H234" s="27">
        <v>1.0861099999999999</v>
      </c>
      <c r="I234" s="28">
        <v>-1.8297000000000001</v>
      </c>
      <c r="J234" s="28">
        <v>0.19850000000000001</v>
      </c>
      <c r="K234" s="29">
        <f t="shared" si="6"/>
        <v>-0.29659999999999997</v>
      </c>
      <c r="L234" s="29">
        <f t="shared" si="7"/>
        <v>0.30399999999999994</v>
      </c>
    </row>
    <row r="235" spans="1:12" x14ac:dyDescent="0.25">
      <c r="A235" s="21">
        <v>20</v>
      </c>
      <c r="B235" s="22" t="s">
        <v>112</v>
      </c>
      <c r="C235" s="23">
        <v>150</v>
      </c>
      <c r="D235" s="24">
        <v>-2.2239</v>
      </c>
      <c r="E235" s="24">
        <v>0.39839999999999998</v>
      </c>
      <c r="F235" s="25">
        <v>2.1252</v>
      </c>
      <c r="G235" s="26" t="s">
        <v>93</v>
      </c>
      <c r="H235" s="27">
        <v>1.1000000000000001</v>
      </c>
      <c r="I235" s="28">
        <v>-1.8297000000000001</v>
      </c>
      <c r="J235" s="28">
        <v>0.19850000000000001</v>
      </c>
      <c r="K235" s="29">
        <f t="shared" si="6"/>
        <v>-0.39419999999999988</v>
      </c>
      <c r="L235" s="29">
        <f t="shared" si="7"/>
        <v>0.19989999999999997</v>
      </c>
    </row>
    <row r="236" spans="1:12" x14ac:dyDescent="0.25">
      <c r="A236" s="21">
        <v>20</v>
      </c>
      <c r="B236" s="22" t="s">
        <v>112</v>
      </c>
      <c r="C236" s="23">
        <v>180</v>
      </c>
      <c r="D236" s="24">
        <v>-2.2601</v>
      </c>
      <c r="E236" s="24">
        <v>0.27889999999999998</v>
      </c>
      <c r="F236" s="25">
        <v>2.2601</v>
      </c>
      <c r="G236" s="26" t="s">
        <v>93</v>
      </c>
      <c r="H236" s="27">
        <v>1.1000000000000001</v>
      </c>
      <c r="I236" s="28">
        <v>-1.8297000000000001</v>
      </c>
      <c r="J236" s="28">
        <v>0.19850000000000001</v>
      </c>
      <c r="K236" s="29">
        <f t="shared" si="6"/>
        <v>-0.43039999999999989</v>
      </c>
      <c r="L236" s="29">
        <f t="shared" si="7"/>
        <v>8.0399999999999971E-2</v>
      </c>
    </row>
    <row r="237" spans="1:12" x14ac:dyDescent="0.25">
      <c r="A237" s="21">
        <v>20</v>
      </c>
      <c r="B237" s="22" t="s">
        <v>112</v>
      </c>
      <c r="C237" s="23">
        <v>210</v>
      </c>
      <c r="D237" s="24">
        <v>-2.2296999999999998</v>
      </c>
      <c r="E237" s="24">
        <v>0.1958</v>
      </c>
      <c r="F237" s="25">
        <v>1.8331</v>
      </c>
      <c r="G237" s="26" t="s">
        <v>93</v>
      </c>
      <c r="H237" s="27">
        <v>1.1000000000000001</v>
      </c>
      <c r="I237" s="28">
        <v>-1.8297000000000001</v>
      </c>
      <c r="J237" s="28">
        <v>0.19850000000000001</v>
      </c>
      <c r="K237" s="29">
        <f t="shared" si="6"/>
        <v>-0.39999999999999969</v>
      </c>
      <c r="L237" s="29">
        <f t="shared" si="7"/>
        <v>-2.7000000000000079E-3</v>
      </c>
    </row>
    <row r="238" spans="1:12" x14ac:dyDescent="0.25">
      <c r="A238" s="21">
        <v>20</v>
      </c>
      <c r="B238" s="22" t="s">
        <v>112</v>
      </c>
      <c r="C238" s="23">
        <v>240</v>
      </c>
      <c r="D238" s="24">
        <v>-2.0114999999999998</v>
      </c>
      <c r="E238" s="24">
        <v>-2.87E-2</v>
      </c>
      <c r="F238" s="25">
        <v>1.0306999999999999</v>
      </c>
      <c r="G238" s="26" t="s">
        <v>93</v>
      </c>
      <c r="H238" s="27">
        <v>1.1000000000000001</v>
      </c>
      <c r="I238" s="28">
        <v>-1.8297000000000001</v>
      </c>
      <c r="J238" s="28">
        <v>0.19850000000000001</v>
      </c>
      <c r="K238" s="29">
        <f t="shared" si="6"/>
        <v>-0.18179999999999974</v>
      </c>
      <c r="L238" s="29">
        <f t="shared" si="7"/>
        <v>-0.22720000000000001</v>
      </c>
    </row>
    <row r="239" spans="1:12" x14ac:dyDescent="0.25">
      <c r="A239" s="21">
        <v>20</v>
      </c>
      <c r="B239" s="22" t="s">
        <v>112</v>
      </c>
      <c r="C239" s="23">
        <v>270</v>
      </c>
      <c r="D239" s="24">
        <v>-1.9615</v>
      </c>
      <c r="E239" s="24">
        <v>-4.2799999999999998E-2</v>
      </c>
      <c r="F239" s="25">
        <v>4.2799999999999998E-2</v>
      </c>
      <c r="G239" s="26" t="s">
        <v>93</v>
      </c>
      <c r="H239" s="27">
        <v>1.1000000000000001</v>
      </c>
      <c r="I239" s="28">
        <v>-1.8297000000000001</v>
      </c>
      <c r="J239" s="28">
        <v>0.19850000000000001</v>
      </c>
      <c r="K239" s="29">
        <f t="shared" si="6"/>
        <v>-0.13179999999999992</v>
      </c>
      <c r="L239" s="29">
        <f t="shared" si="7"/>
        <v>-0.24130000000000001</v>
      </c>
    </row>
    <row r="240" spans="1:12" x14ac:dyDescent="0.25">
      <c r="A240" s="21">
        <v>20</v>
      </c>
      <c r="B240" s="22" t="s">
        <v>112</v>
      </c>
      <c r="C240" s="23">
        <v>300</v>
      </c>
      <c r="D240" s="24">
        <v>-1.9459</v>
      </c>
      <c r="E240" s="24">
        <v>-4.0399999999999998E-2</v>
      </c>
      <c r="F240" s="25">
        <v>-0.93799999999999994</v>
      </c>
      <c r="G240" s="26" t="s">
        <v>93</v>
      </c>
      <c r="H240" s="27">
        <v>1.1000000000000001</v>
      </c>
      <c r="I240" s="28">
        <v>-1.8297000000000001</v>
      </c>
      <c r="J240" s="28">
        <v>0.19850000000000001</v>
      </c>
      <c r="K240" s="29">
        <f t="shared" si="6"/>
        <v>-0.11619999999999986</v>
      </c>
      <c r="L240" s="29">
        <f t="shared" si="7"/>
        <v>-0.2389</v>
      </c>
    </row>
    <row r="241" spans="1:12" x14ac:dyDescent="0.25">
      <c r="A241" s="30">
        <v>20</v>
      </c>
      <c r="B241" s="31" t="s">
        <v>112</v>
      </c>
      <c r="C241" s="32">
        <v>330</v>
      </c>
      <c r="D241" s="33">
        <v>-1.9454</v>
      </c>
      <c r="E241" s="33">
        <v>-3.9899999999999998E-2</v>
      </c>
      <c r="F241" s="34">
        <v>-1.6648000000000001</v>
      </c>
      <c r="G241" s="35" t="s">
        <v>93</v>
      </c>
      <c r="H241" s="36">
        <v>1.1000000000000001</v>
      </c>
      <c r="I241" s="37">
        <v>-1.8297000000000001</v>
      </c>
      <c r="J241" s="37">
        <v>0.19850000000000001</v>
      </c>
      <c r="K241" s="38">
        <f t="shared" si="6"/>
        <v>-0.11569999999999991</v>
      </c>
      <c r="L241" s="38">
        <f t="shared" si="7"/>
        <v>-0.2384</v>
      </c>
    </row>
    <row r="242" spans="1:12" x14ac:dyDescent="0.25">
      <c r="A242" s="21">
        <v>21</v>
      </c>
      <c r="B242" s="22" t="s">
        <v>113</v>
      </c>
      <c r="C242" s="23">
        <v>0</v>
      </c>
      <c r="D242" s="24">
        <v>-2.0918999999999999</v>
      </c>
      <c r="E242" s="24">
        <v>0.24540000000000001</v>
      </c>
      <c r="F242" s="25">
        <v>-2.0918999999999999</v>
      </c>
      <c r="G242" s="26" t="s">
        <v>93</v>
      </c>
      <c r="H242" s="27">
        <v>1.1000000000000001</v>
      </c>
      <c r="I242" s="28">
        <v>-2.0084</v>
      </c>
      <c r="J242" s="28">
        <v>0.1978</v>
      </c>
      <c r="K242" s="29">
        <f t="shared" si="6"/>
        <v>-8.3499999999999908E-2</v>
      </c>
      <c r="L242" s="29">
        <f t="shared" si="7"/>
        <v>4.7600000000000003E-2</v>
      </c>
    </row>
    <row r="243" spans="1:12" x14ac:dyDescent="0.25">
      <c r="A243" s="21">
        <v>21</v>
      </c>
      <c r="B243" s="22" t="s">
        <v>113</v>
      </c>
      <c r="C243" s="23">
        <v>30</v>
      </c>
      <c r="D243" s="24">
        <v>-2.1074999999999999</v>
      </c>
      <c r="E243" s="24">
        <v>0.51600000000000001</v>
      </c>
      <c r="F243" s="25">
        <v>-1.5670999999999999</v>
      </c>
      <c r="G243" s="26" t="s">
        <v>93</v>
      </c>
      <c r="H243" s="27">
        <v>1.06003</v>
      </c>
      <c r="I243" s="28">
        <v>-2.0084</v>
      </c>
      <c r="J243" s="28">
        <v>0.1978</v>
      </c>
      <c r="K243" s="29">
        <f t="shared" si="6"/>
        <v>-9.9099999999999966E-2</v>
      </c>
      <c r="L243" s="29">
        <f t="shared" si="7"/>
        <v>0.31820000000000004</v>
      </c>
    </row>
    <row r="244" spans="1:12" x14ac:dyDescent="0.25">
      <c r="A244" s="21">
        <v>21</v>
      </c>
      <c r="B244" s="22" t="s">
        <v>113</v>
      </c>
      <c r="C244" s="23">
        <v>60</v>
      </c>
      <c r="D244" s="24">
        <v>-2.1131000000000002</v>
      </c>
      <c r="E244" s="24">
        <v>0.52110000000000001</v>
      </c>
      <c r="F244" s="25">
        <v>-0.60529999999999995</v>
      </c>
      <c r="G244" s="26" t="s">
        <v>93</v>
      </c>
      <c r="H244" s="27">
        <v>1.06043</v>
      </c>
      <c r="I244" s="28">
        <v>-2.0084</v>
      </c>
      <c r="J244" s="28">
        <v>0.1978</v>
      </c>
      <c r="K244" s="29">
        <f t="shared" si="6"/>
        <v>-0.10470000000000024</v>
      </c>
      <c r="L244" s="29">
        <f t="shared" si="7"/>
        <v>0.32330000000000003</v>
      </c>
    </row>
    <row r="245" spans="1:12" x14ac:dyDescent="0.25">
      <c r="A245" s="21">
        <v>21</v>
      </c>
      <c r="B245" s="22" t="s">
        <v>113</v>
      </c>
      <c r="C245" s="23">
        <v>90</v>
      </c>
      <c r="D245" s="24">
        <v>-2.1619000000000002</v>
      </c>
      <c r="E245" s="24">
        <v>0.5272</v>
      </c>
      <c r="F245" s="25">
        <v>0.5272</v>
      </c>
      <c r="G245" s="26" t="s">
        <v>93</v>
      </c>
      <c r="H245" s="27">
        <v>1.06334</v>
      </c>
      <c r="I245" s="28">
        <v>-2.0084</v>
      </c>
      <c r="J245" s="28">
        <v>0.1978</v>
      </c>
      <c r="K245" s="29">
        <f t="shared" si="6"/>
        <v>-0.15350000000000019</v>
      </c>
      <c r="L245" s="29">
        <f t="shared" si="7"/>
        <v>0.32940000000000003</v>
      </c>
    </row>
    <row r="246" spans="1:12" x14ac:dyDescent="0.25">
      <c r="A246" s="21">
        <v>21</v>
      </c>
      <c r="B246" s="22" t="s">
        <v>113</v>
      </c>
      <c r="C246" s="23">
        <v>120</v>
      </c>
      <c r="D246" s="24">
        <v>-2.2578</v>
      </c>
      <c r="E246" s="24">
        <v>0.50690000000000002</v>
      </c>
      <c r="F246" s="25">
        <v>1.5679000000000001</v>
      </c>
      <c r="G246" s="26" t="s">
        <v>93</v>
      </c>
      <c r="H246" s="27">
        <v>1.0916999999999999</v>
      </c>
      <c r="I246" s="28">
        <v>-2.0084</v>
      </c>
      <c r="J246" s="28">
        <v>0.1978</v>
      </c>
      <c r="K246" s="29">
        <f t="shared" si="6"/>
        <v>-0.24940000000000007</v>
      </c>
      <c r="L246" s="29">
        <f t="shared" si="7"/>
        <v>0.30910000000000004</v>
      </c>
    </row>
    <row r="247" spans="1:12" x14ac:dyDescent="0.25">
      <c r="A247" s="21">
        <v>21</v>
      </c>
      <c r="B247" s="22" t="s">
        <v>113</v>
      </c>
      <c r="C247" s="23">
        <v>150</v>
      </c>
      <c r="D247" s="24">
        <v>-2.3591000000000002</v>
      </c>
      <c r="E247" s="24">
        <v>0.39950000000000002</v>
      </c>
      <c r="F247" s="25">
        <v>2.2427999999999999</v>
      </c>
      <c r="G247" s="26" t="s">
        <v>93</v>
      </c>
      <c r="H247" s="27">
        <v>1.1000000000000001</v>
      </c>
      <c r="I247" s="28">
        <v>-2.0084</v>
      </c>
      <c r="J247" s="28">
        <v>0.1978</v>
      </c>
      <c r="K247" s="29">
        <f t="shared" si="6"/>
        <v>-0.35070000000000023</v>
      </c>
      <c r="L247" s="29">
        <f t="shared" si="7"/>
        <v>0.20170000000000002</v>
      </c>
    </row>
    <row r="248" spans="1:12" x14ac:dyDescent="0.25">
      <c r="A248" s="21">
        <v>21</v>
      </c>
      <c r="B248" s="22" t="s">
        <v>113</v>
      </c>
      <c r="C248" s="23">
        <v>180</v>
      </c>
      <c r="D248" s="24">
        <v>-2.3956</v>
      </c>
      <c r="E248" s="24">
        <v>0.28060000000000002</v>
      </c>
      <c r="F248" s="25">
        <v>2.3956</v>
      </c>
      <c r="G248" s="26" t="s">
        <v>93</v>
      </c>
      <c r="H248" s="27">
        <v>1.1000000000000001</v>
      </c>
      <c r="I248" s="28">
        <v>-2.0084</v>
      </c>
      <c r="J248" s="28">
        <v>0.1978</v>
      </c>
      <c r="K248" s="29">
        <f t="shared" si="6"/>
        <v>-0.38719999999999999</v>
      </c>
      <c r="L248" s="29">
        <f t="shared" si="7"/>
        <v>8.2800000000000012E-2</v>
      </c>
    </row>
    <row r="249" spans="1:12" x14ac:dyDescent="0.25">
      <c r="A249" s="21">
        <v>21</v>
      </c>
      <c r="B249" s="22" t="s">
        <v>113</v>
      </c>
      <c r="C249" s="23">
        <v>210</v>
      </c>
      <c r="D249" s="24">
        <v>-2.3738999999999999</v>
      </c>
      <c r="E249" s="24">
        <v>0.21540000000000001</v>
      </c>
      <c r="F249" s="25">
        <v>1.9481999999999999</v>
      </c>
      <c r="G249" s="26" t="s">
        <v>93</v>
      </c>
      <c r="H249" s="27">
        <v>1.1000000000000001</v>
      </c>
      <c r="I249" s="28">
        <v>-2.0084</v>
      </c>
      <c r="J249" s="28">
        <v>0.1978</v>
      </c>
      <c r="K249" s="29">
        <f t="shared" si="6"/>
        <v>-0.36549999999999994</v>
      </c>
      <c r="L249" s="29">
        <f t="shared" si="7"/>
        <v>1.7600000000000005E-2</v>
      </c>
    </row>
    <row r="250" spans="1:12" x14ac:dyDescent="0.25">
      <c r="A250" s="21">
        <v>21</v>
      </c>
      <c r="B250" s="22" t="s">
        <v>113</v>
      </c>
      <c r="C250" s="23">
        <v>240</v>
      </c>
      <c r="D250" s="24">
        <v>-2.1623000000000001</v>
      </c>
      <c r="E250" s="24">
        <v>-3.3999999999999998E-3</v>
      </c>
      <c r="F250" s="25">
        <v>1.0841000000000001</v>
      </c>
      <c r="G250" s="26" t="s">
        <v>93</v>
      </c>
      <c r="H250" s="27">
        <v>1.1000000000000001</v>
      </c>
      <c r="I250" s="28">
        <v>-2.0084</v>
      </c>
      <c r="J250" s="28">
        <v>0.1978</v>
      </c>
      <c r="K250" s="29">
        <f t="shared" si="6"/>
        <v>-0.15390000000000015</v>
      </c>
      <c r="L250" s="29">
        <f t="shared" si="7"/>
        <v>-0.20119999999999999</v>
      </c>
    </row>
    <row r="251" spans="1:12" x14ac:dyDescent="0.25">
      <c r="A251" s="21">
        <v>21</v>
      </c>
      <c r="B251" s="22" t="s">
        <v>113</v>
      </c>
      <c r="C251" s="23">
        <v>270</v>
      </c>
      <c r="D251" s="24">
        <v>-2.1143000000000001</v>
      </c>
      <c r="E251" s="24">
        <v>-1.6299999999999999E-2</v>
      </c>
      <c r="F251" s="25">
        <v>1.6299999999999999E-2</v>
      </c>
      <c r="G251" s="26" t="s">
        <v>93</v>
      </c>
      <c r="H251" s="27">
        <v>1.1000000000000001</v>
      </c>
      <c r="I251" s="28">
        <v>-2.0084</v>
      </c>
      <c r="J251" s="28">
        <v>0.1978</v>
      </c>
      <c r="K251" s="29">
        <f t="shared" si="6"/>
        <v>-0.10590000000000011</v>
      </c>
      <c r="L251" s="29">
        <f t="shared" si="7"/>
        <v>-0.21410000000000001</v>
      </c>
    </row>
    <row r="252" spans="1:12" x14ac:dyDescent="0.25">
      <c r="A252" s="21">
        <v>21</v>
      </c>
      <c r="B252" s="22" t="s">
        <v>113</v>
      </c>
      <c r="C252" s="23">
        <v>300</v>
      </c>
      <c r="D252" s="24">
        <v>-2.1012</v>
      </c>
      <c r="E252" s="24">
        <v>-1.47E-2</v>
      </c>
      <c r="F252" s="25">
        <v>-1.0379</v>
      </c>
      <c r="G252" s="26" t="s">
        <v>93</v>
      </c>
      <c r="H252" s="27">
        <v>1.1000000000000001</v>
      </c>
      <c r="I252" s="28">
        <v>-2.0084</v>
      </c>
      <c r="J252" s="28">
        <v>0.1978</v>
      </c>
      <c r="K252" s="29">
        <f t="shared" si="6"/>
        <v>-9.2799999999999994E-2</v>
      </c>
      <c r="L252" s="29">
        <f t="shared" si="7"/>
        <v>-0.21249999999999999</v>
      </c>
    </row>
    <row r="253" spans="1:12" x14ac:dyDescent="0.25">
      <c r="A253" s="30">
        <v>21</v>
      </c>
      <c r="B253" s="31" t="s">
        <v>113</v>
      </c>
      <c r="C253" s="32">
        <v>330</v>
      </c>
      <c r="D253" s="33">
        <v>-2.1008</v>
      </c>
      <c r="E253" s="33">
        <v>-1.44E-2</v>
      </c>
      <c r="F253" s="34">
        <v>-1.8122</v>
      </c>
      <c r="G253" s="35" t="s">
        <v>93</v>
      </c>
      <c r="H253" s="36">
        <v>1.1000000000000001</v>
      </c>
      <c r="I253" s="37">
        <v>-2.0084</v>
      </c>
      <c r="J253" s="37">
        <v>0.1978</v>
      </c>
      <c r="K253" s="38">
        <f t="shared" si="6"/>
        <v>-9.2400000000000038E-2</v>
      </c>
      <c r="L253" s="38">
        <f t="shared" si="7"/>
        <v>-0.2122</v>
      </c>
    </row>
    <row r="254" spans="1:12" x14ac:dyDescent="0.25">
      <c r="A254" s="21">
        <v>22</v>
      </c>
      <c r="B254" s="22" t="s">
        <v>114</v>
      </c>
      <c r="C254" s="23">
        <v>0</v>
      </c>
      <c r="D254" s="24">
        <v>-2.1819999999999999</v>
      </c>
      <c r="E254" s="24">
        <v>0.25280000000000002</v>
      </c>
      <c r="F254" s="25">
        <v>-2.1819999999999999</v>
      </c>
      <c r="G254" s="26" t="s">
        <v>93</v>
      </c>
      <c r="H254" s="27">
        <v>1.1000000000000001</v>
      </c>
      <c r="I254" s="28">
        <v>-2.1535000000000002</v>
      </c>
      <c r="J254" s="28">
        <v>0.19769999999999999</v>
      </c>
      <c r="K254" s="29">
        <f t="shared" si="6"/>
        <v>-2.8499999999999748E-2</v>
      </c>
      <c r="L254" s="29">
        <f t="shared" si="7"/>
        <v>5.5100000000000038E-2</v>
      </c>
    </row>
    <row r="255" spans="1:12" x14ac:dyDescent="0.25">
      <c r="A255" s="21">
        <v>22</v>
      </c>
      <c r="B255" s="22" t="s">
        <v>114</v>
      </c>
      <c r="C255" s="23">
        <v>30</v>
      </c>
      <c r="D255" s="24">
        <v>-2.1974</v>
      </c>
      <c r="E255" s="24">
        <v>0.51929999999999998</v>
      </c>
      <c r="F255" s="25">
        <v>-1.6433</v>
      </c>
      <c r="G255" s="26" t="s">
        <v>93</v>
      </c>
      <c r="H255" s="27">
        <v>1.0645</v>
      </c>
      <c r="I255" s="28">
        <v>-2.1535000000000002</v>
      </c>
      <c r="J255" s="28">
        <v>0.19769999999999999</v>
      </c>
      <c r="K255" s="29">
        <f t="shared" si="6"/>
        <v>-4.3899999999999828E-2</v>
      </c>
      <c r="L255" s="29">
        <f t="shared" si="7"/>
        <v>0.3216</v>
      </c>
    </row>
    <row r="256" spans="1:12" x14ac:dyDescent="0.25">
      <c r="A256" s="21">
        <v>22</v>
      </c>
      <c r="B256" s="22" t="s">
        <v>114</v>
      </c>
      <c r="C256" s="23">
        <v>60</v>
      </c>
      <c r="D256" s="24">
        <v>-2.202</v>
      </c>
      <c r="E256" s="24">
        <v>0.52359999999999995</v>
      </c>
      <c r="F256" s="25">
        <v>-0.64759999999999995</v>
      </c>
      <c r="G256" s="26" t="s">
        <v>93</v>
      </c>
      <c r="H256" s="27">
        <v>1.0648899999999999</v>
      </c>
      <c r="I256" s="28">
        <v>-2.1535000000000002</v>
      </c>
      <c r="J256" s="28">
        <v>0.19769999999999999</v>
      </c>
      <c r="K256" s="29">
        <f t="shared" si="6"/>
        <v>-4.8499999999999766E-2</v>
      </c>
      <c r="L256" s="29">
        <f t="shared" si="7"/>
        <v>0.32589999999999997</v>
      </c>
    </row>
    <row r="257" spans="1:12" x14ac:dyDescent="0.25">
      <c r="A257" s="21">
        <v>22</v>
      </c>
      <c r="B257" s="22" t="s">
        <v>114</v>
      </c>
      <c r="C257" s="23">
        <v>90</v>
      </c>
      <c r="D257" s="24">
        <v>-2.2462</v>
      </c>
      <c r="E257" s="24">
        <v>0.5282</v>
      </c>
      <c r="F257" s="25">
        <v>0.5282</v>
      </c>
      <c r="G257" s="26" t="s">
        <v>93</v>
      </c>
      <c r="H257" s="27">
        <v>1.06819</v>
      </c>
      <c r="I257" s="28">
        <v>-2.1535000000000002</v>
      </c>
      <c r="J257" s="28">
        <v>0.19769999999999999</v>
      </c>
      <c r="K257" s="29">
        <f t="shared" si="6"/>
        <v>-9.2699999999999783E-2</v>
      </c>
      <c r="L257" s="29">
        <f t="shared" si="7"/>
        <v>0.33050000000000002</v>
      </c>
    </row>
    <row r="258" spans="1:12" x14ac:dyDescent="0.25">
      <c r="A258" s="21">
        <v>22</v>
      </c>
      <c r="B258" s="22" t="s">
        <v>114</v>
      </c>
      <c r="C258" s="23">
        <v>120</v>
      </c>
      <c r="D258" s="24">
        <v>-2.3433999999999999</v>
      </c>
      <c r="E258" s="24">
        <v>0.50729999999999997</v>
      </c>
      <c r="F258" s="25">
        <v>1.6111</v>
      </c>
      <c r="G258" s="26" t="s">
        <v>93</v>
      </c>
      <c r="H258" s="27">
        <v>1.0906199999999999</v>
      </c>
      <c r="I258" s="28">
        <v>-2.1535000000000002</v>
      </c>
      <c r="J258" s="28">
        <v>0.19769999999999999</v>
      </c>
      <c r="K258" s="29">
        <f t="shared" ref="K258:K321" si="8">D258-I258</f>
        <v>-0.18989999999999974</v>
      </c>
      <c r="L258" s="29">
        <f t="shared" ref="L258:L321" si="9">E258-J258</f>
        <v>0.30959999999999999</v>
      </c>
    </row>
    <row r="259" spans="1:12" x14ac:dyDescent="0.25">
      <c r="A259" s="21">
        <v>22</v>
      </c>
      <c r="B259" s="22" t="s">
        <v>114</v>
      </c>
      <c r="C259" s="23">
        <v>150</v>
      </c>
      <c r="D259" s="24">
        <v>-2.4451000000000001</v>
      </c>
      <c r="E259" s="24">
        <v>0.39950000000000002</v>
      </c>
      <c r="F259" s="25">
        <v>2.3172999999999999</v>
      </c>
      <c r="G259" s="26" t="s">
        <v>93</v>
      </c>
      <c r="H259" s="27">
        <v>1.1000000000000001</v>
      </c>
      <c r="I259" s="28">
        <v>-2.1535000000000002</v>
      </c>
      <c r="J259" s="28">
        <v>0.19769999999999999</v>
      </c>
      <c r="K259" s="29">
        <f t="shared" si="8"/>
        <v>-0.29159999999999986</v>
      </c>
      <c r="L259" s="29">
        <f t="shared" si="9"/>
        <v>0.20180000000000003</v>
      </c>
    </row>
    <row r="260" spans="1:12" x14ac:dyDescent="0.25">
      <c r="A260" s="21">
        <v>22</v>
      </c>
      <c r="B260" s="22" t="s">
        <v>114</v>
      </c>
      <c r="C260" s="23">
        <v>180</v>
      </c>
      <c r="D260" s="24">
        <v>-2.4799000000000002</v>
      </c>
      <c r="E260" s="24">
        <v>0.28179999999999999</v>
      </c>
      <c r="F260" s="25">
        <v>2.4799000000000002</v>
      </c>
      <c r="G260" s="26" t="s">
        <v>93</v>
      </c>
      <c r="H260" s="27">
        <v>1.1000000000000001</v>
      </c>
      <c r="I260" s="28">
        <v>-2.1535000000000002</v>
      </c>
      <c r="J260" s="28">
        <v>0.19769999999999999</v>
      </c>
      <c r="K260" s="29">
        <f t="shared" si="8"/>
        <v>-0.32640000000000002</v>
      </c>
      <c r="L260" s="29">
        <f t="shared" si="9"/>
        <v>8.4100000000000008E-2</v>
      </c>
    </row>
    <row r="261" spans="1:12" x14ac:dyDescent="0.25">
      <c r="A261" s="21">
        <v>22</v>
      </c>
      <c r="B261" s="22" t="s">
        <v>114</v>
      </c>
      <c r="C261" s="23">
        <v>210</v>
      </c>
      <c r="D261" s="24">
        <v>-2.4622999999999999</v>
      </c>
      <c r="E261" s="24">
        <v>0.22700000000000001</v>
      </c>
      <c r="F261" s="25">
        <v>2.0190000000000001</v>
      </c>
      <c r="G261" s="26" t="s">
        <v>93</v>
      </c>
      <c r="H261" s="27">
        <v>1.1000000000000001</v>
      </c>
      <c r="I261" s="28">
        <v>-2.1535000000000002</v>
      </c>
      <c r="J261" s="28">
        <v>0.19769999999999999</v>
      </c>
      <c r="K261" s="29">
        <f t="shared" si="8"/>
        <v>-0.30879999999999974</v>
      </c>
      <c r="L261" s="29">
        <f t="shared" si="9"/>
        <v>2.930000000000002E-2</v>
      </c>
    </row>
    <row r="262" spans="1:12" x14ac:dyDescent="0.25">
      <c r="A262" s="21">
        <v>22</v>
      </c>
      <c r="B262" s="22" t="s">
        <v>114</v>
      </c>
      <c r="C262" s="23">
        <v>240</v>
      </c>
      <c r="D262" s="24">
        <v>-2.2563</v>
      </c>
      <c r="E262" s="24">
        <v>8.6E-3</v>
      </c>
      <c r="F262" s="25">
        <v>1.1207</v>
      </c>
      <c r="G262" s="26" t="s">
        <v>93</v>
      </c>
      <c r="H262" s="27">
        <v>1.1000000000000001</v>
      </c>
      <c r="I262" s="28">
        <v>-2.1535000000000002</v>
      </c>
      <c r="J262" s="28">
        <v>0.19769999999999999</v>
      </c>
      <c r="K262" s="29">
        <f t="shared" si="8"/>
        <v>-0.10279999999999978</v>
      </c>
      <c r="L262" s="29">
        <f t="shared" si="9"/>
        <v>-0.18909999999999999</v>
      </c>
    </row>
    <row r="263" spans="1:12" x14ac:dyDescent="0.25">
      <c r="A263" s="21">
        <v>22</v>
      </c>
      <c r="B263" s="22" t="s">
        <v>114</v>
      </c>
      <c r="C263" s="23">
        <v>270</v>
      </c>
      <c r="D263" s="24">
        <v>-2.2000000000000002</v>
      </c>
      <c r="E263" s="24">
        <v>-6.7000000000000002E-3</v>
      </c>
      <c r="F263" s="25">
        <v>6.7000000000000002E-3</v>
      </c>
      <c r="G263" s="26" t="s">
        <v>93</v>
      </c>
      <c r="H263" s="27">
        <v>1.1000000000000001</v>
      </c>
      <c r="I263" s="28">
        <v>-2.1535000000000002</v>
      </c>
      <c r="J263" s="28">
        <v>0.19769999999999999</v>
      </c>
      <c r="K263" s="29">
        <f t="shared" si="8"/>
        <v>-4.6499999999999986E-2</v>
      </c>
      <c r="L263" s="29">
        <f t="shared" si="9"/>
        <v>-0.2044</v>
      </c>
    </row>
    <row r="264" spans="1:12" x14ac:dyDescent="0.25">
      <c r="A264" s="21">
        <v>22</v>
      </c>
      <c r="B264" s="22" t="s">
        <v>114</v>
      </c>
      <c r="C264" s="23">
        <v>300</v>
      </c>
      <c r="D264" s="24">
        <v>-2.1916000000000002</v>
      </c>
      <c r="E264" s="24">
        <v>-5.7000000000000002E-3</v>
      </c>
      <c r="F264" s="25">
        <v>-1.0908</v>
      </c>
      <c r="G264" s="26" t="s">
        <v>93</v>
      </c>
      <c r="H264" s="27">
        <v>1.1000000000000001</v>
      </c>
      <c r="I264" s="28">
        <v>-2.1535000000000002</v>
      </c>
      <c r="J264" s="28">
        <v>0.19769999999999999</v>
      </c>
      <c r="K264" s="29">
        <f t="shared" si="8"/>
        <v>-3.8100000000000023E-2</v>
      </c>
      <c r="L264" s="29">
        <f t="shared" si="9"/>
        <v>-0.2034</v>
      </c>
    </row>
    <row r="265" spans="1:12" x14ac:dyDescent="0.25">
      <c r="A265" s="30">
        <v>22</v>
      </c>
      <c r="B265" s="31" t="s">
        <v>114</v>
      </c>
      <c r="C265" s="32">
        <v>330</v>
      </c>
      <c r="D265" s="33">
        <v>-2.1913</v>
      </c>
      <c r="E265" s="33">
        <v>-5.4999999999999997E-3</v>
      </c>
      <c r="F265" s="34">
        <v>-1.895</v>
      </c>
      <c r="G265" s="35" t="s">
        <v>93</v>
      </c>
      <c r="H265" s="36">
        <v>1.1000000000000001</v>
      </c>
      <c r="I265" s="37">
        <v>-2.1535000000000002</v>
      </c>
      <c r="J265" s="37">
        <v>0.19769999999999999</v>
      </c>
      <c r="K265" s="38">
        <f t="shared" si="8"/>
        <v>-3.7799999999999834E-2</v>
      </c>
      <c r="L265" s="38">
        <f t="shared" si="9"/>
        <v>-0.20319999999999999</v>
      </c>
    </row>
    <row r="266" spans="1:12" x14ac:dyDescent="0.25">
      <c r="A266" s="21">
        <v>23</v>
      </c>
      <c r="B266" s="22" t="s">
        <v>115</v>
      </c>
      <c r="C266" s="23">
        <v>0</v>
      </c>
      <c r="D266" s="24">
        <v>-2.1943000000000001</v>
      </c>
      <c r="E266" s="24">
        <v>0.26329999999999998</v>
      </c>
      <c r="F266" s="25">
        <v>-2.1943000000000001</v>
      </c>
      <c r="G266" s="26" t="s">
        <v>93</v>
      </c>
      <c r="H266" s="27">
        <v>1.1000000000000001</v>
      </c>
      <c r="I266" s="28">
        <v>-2.2382</v>
      </c>
      <c r="J266" s="28">
        <v>0.1988</v>
      </c>
      <c r="K266" s="29">
        <f t="shared" si="8"/>
        <v>4.3899999999999828E-2</v>
      </c>
      <c r="L266" s="29">
        <f t="shared" si="9"/>
        <v>6.4499999999999974E-2</v>
      </c>
    </row>
    <row r="267" spans="1:12" x14ac:dyDescent="0.25">
      <c r="A267" s="21">
        <v>23</v>
      </c>
      <c r="B267" s="22" t="s">
        <v>115</v>
      </c>
      <c r="C267" s="23">
        <v>30</v>
      </c>
      <c r="D267" s="24">
        <v>-2.2088999999999999</v>
      </c>
      <c r="E267" s="24">
        <v>0.52769999999999995</v>
      </c>
      <c r="F267" s="25">
        <v>-1.6491</v>
      </c>
      <c r="G267" s="26" t="s">
        <v>93</v>
      </c>
      <c r="H267" s="27">
        <v>1.0583400000000001</v>
      </c>
      <c r="I267" s="28">
        <v>-2.2382</v>
      </c>
      <c r="J267" s="28">
        <v>0.1988</v>
      </c>
      <c r="K267" s="29">
        <f t="shared" si="8"/>
        <v>2.9300000000000104E-2</v>
      </c>
      <c r="L267" s="29">
        <f t="shared" si="9"/>
        <v>0.32889999999999997</v>
      </c>
    </row>
    <row r="268" spans="1:12" x14ac:dyDescent="0.25">
      <c r="A268" s="21">
        <v>23</v>
      </c>
      <c r="B268" s="22" t="s">
        <v>115</v>
      </c>
      <c r="C268" s="23">
        <v>60</v>
      </c>
      <c r="D268" s="24">
        <v>-2.2122000000000002</v>
      </c>
      <c r="E268" s="24">
        <v>0.53059999999999996</v>
      </c>
      <c r="F268" s="25">
        <v>-0.64659999999999995</v>
      </c>
      <c r="G268" s="26" t="s">
        <v>93</v>
      </c>
      <c r="H268" s="27">
        <v>1.05897</v>
      </c>
      <c r="I268" s="28">
        <v>-2.2382</v>
      </c>
      <c r="J268" s="28">
        <v>0.1988</v>
      </c>
      <c r="K268" s="29">
        <f t="shared" si="8"/>
        <v>2.5999999999999801E-2</v>
      </c>
      <c r="L268" s="29">
        <f t="shared" si="9"/>
        <v>0.33179999999999998</v>
      </c>
    </row>
    <row r="269" spans="1:12" x14ac:dyDescent="0.25">
      <c r="A269" s="21">
        <v>23</v>
      </c>
      <c r="B269" s="22" t="s">
        <v>115</v>
      </c>
      <c r="C269" s="23">
        <v>90</v>
      </c>
      <c r="D269" s="24">
        <v>-2.2553999999999998</v>
      </c>
      <c r="E269" s="24">
        <v>0.53500000000000003</v>
      </c>
      <c r="F269" s="25">
        <v>0.53500000000000003</v>
      </c>
      <c r="G269" s="26" t="s">
        <v>93</v>
      </c>
      <c r="H269" s="27">
        <v>1.0620700000000001</v>
      </c>
      <c r="I269" s="28">
        <v>-2.2382</v>
      </c>
      <c r="J269" s="28">
        <v>0.1988</v>
      </c>
      <c r="K269" s="29">
        <f t="shared" si="8"/>
        <v>-1.7199999999999882E-2</v>
      </c>
      <c r="L269" s="29">
        <f t="shared" si="9"/>
        <v>0.33620000000000005</v>
      </c>
    </row>
    <row r="270" spans="1:12" x14ac:dyDescent="0.25">
      <c r="A270" s="21">
        <v>23</v>
      </c>
      <c r="B270" s="22" t="s">
        <v>115</v>
      </c>
      <c r="C270" s="23">
        <v>120</v>
      </c>
      <c r="D270" s="24">
        <v>-2.3519000000000001</v>
      </c>
      <c r="E270" s="24">
        <v>0.51470000000000005</v>
      </c>
      <c r="F270" s="25">
        <v>1.6216999999999999</v>
      </c>
      <c r="G270" s="26" t="s">
        <v>93</v>
      </c>
      <c r="H270" s="27">
        <v>1.08935</v>
      </c>
      <c r="I270" s="28">
        <v>-2.2382</v>
      </c>
      <c r="J270" s="28">
        <v>0.1988</v>
      </c>
      <c r="K270" s="29">
        <f t="shared" si="8"/>
        <v>-0.11370000000000013</v>
      </c>
      <c r="L270" s="29">
        <f t="shared" si="9"/>
        <v>0.31590000000000007</v>
      </c>
    </row>
    <row r="271" spans="1:12" x14ac:dyDescent="0.25">
      <c r="A271" s="21">
        <v>23</v>
      </c>
      <c r="B271" s="22" t="s">
        <v>115</v>
      </c>
      <c r="C271" s="23">
        <v>150</v>
      </c>
      <c r="D271" s="24">
        <v>-2.4550000000000001</v>
      </c>
      <c r="E271" s="24">
        <v>0.40739999999999998</v>
      </c>
      <c r="F271" s="25">
        <v>2.3298000000000001</v>
      </c>
      <c r="G271" s="26" t="s">
        <v>93</v>
      </c>
      <c r="H271" s="27">
        <v>1.1000000000000001</v>
      </c>
      <c r="I271" s="28">
        <v>-2.2382</v>
      </c>
      <c r="J271" s="28">
        <v>0.1988</v>
      </c>
      <c r="K271" s="29">
        <f t="shared" si="8"/>
        <v>-0.2168000000000001</v>
      </c>
      <c r="L271" s="29">
        <f t="shared" si="9"/>
        <v>0.20859999999999998</v>
      </c>
    </row>
    <row r="272" spans="1:12" x14ac:dyDescent="0.25">
      <c r="A272" s="21">
        <v>23</v>
      </c>
      <c r="B272" s="22" t="s">
        <v>115</v>
      </c>
      <c r="C272" s="23">
        <v>180</v>
      </c>
      <c r="D272" s="24">
        <v>-2.4908000000000001</v>
      </c>
      <c r="E272" s="24">
        <v>0.2878</v>
      </c>
      <c r="F272" s="25">
        <v>2.4908000000000001</v>
      </c>
      <c r="G272" s="26" t="s">
        <v>93</v>
      </c>
      <c r="H272" s="27">
        <v>1.1000000000000001</v>
      </c>
      <c r="I272" s="28">
        <v>-2.2382</v>
      </c>
      <c r="J272" s="28">
        <v>0.1988</v>
      </c>
      <c r="K272" s="29">
        <f t="shared" si="8"/>
        <v>-0.25260000000000016</v>
      </c>
      <c r="L272" s="29">
        <f t="shared" si="9"/>
        <v>8.8999999999999996E-2</v>
      </c>
    </row>
    <row r="273" spans="1:12" x14ac:dyDescent="0.25">
      <c r="A273" s="21">
        <v>23</v>
      </c>
      <c r="B273" s="22" t="s">
        <v>115</v>
      </c>
      <c r="C273" s="23">
        <v>210</v>
      </c>
      <c r="D273" s="24">
        <v>-2.4702999999999999</v>
      </c>
      <c r="E273" s="24">
        <v>0.2276</v>
      </c>
      <c r="F273" s="25">
        <v>2.0255000000000001</v>
      </c>
      <c r="G273" s="26" t="s">
        <v>93</v>
      </c>
      <c r="H273" s="27">
        <v>1.1000000000000001</v>
      </c>
      <c r="I273" s="28">
        <v>-2.2382</v>
      </c>
      <c r="J273" s="28">
        <v>0.1988</v>
      </c>
      <c r="K273" s="29">
        <f t="shared" si="8"/>
        <v>-0.23209999999999997</v>
      </c>
      <c r="L273" s="29">
        <f t="shared" si="9"/>
        <v>2.8799999999999992E-2</v>
      </c>
    </row>
    <row r="274" spans="1:12" x14ac:dyDescent="0.25">
      <c r="A274" s="21">
        <v>23</v>
      </c>
      <c r="B274" s="22" t="s">
        <v>115</v>
      </c>
      <c r="C274" s="23">
        <v>240</v>
      </c>
      <c r="D274" s="24">
        <v>-2.2595000000000001</v>
      </c>
      <c r="E274" s="24">
        <v>8.6999999999999994E-3</v>
      </c>
      <c r="F274" s="25">
        <v>1.1222000000000001</v>
      </c>
      <c r="G274" s="26" t="s">
        <v>93</v>
      </c>
      <c r="H274" s="27">
        <v>1.1000000000000001</v>
      </c>
      <c r="I274" s="28">
        <v>-2.2382</v>
      </c>
      <c r="J274" s="28">
        <v>0.1988</v>
      </c>
      <c r="K274" s="29">
        <f t="shared" si="8"/>
        <v>-2.1300000000000097E-2</v>
      </c>
      <c r="L274" s="29">
        <f t="shared" si="9"/>
        <v>-0.19009999999999999</v>
      </c>
    </row>
    <row r="275" spans="1:12" x14ac:dyDescent="0.25">
      <c r="A275" s="21">
        <v>23</v>
      </c>
      <c r="B275" s="22" t="s">
        <v>115</v>
      </c>
      <c r="C275" s="23">
        <v>270</v>
      </c>
      <c r="D275" s="24">
        <v>-2.2094999999999998</v>
      </c>
      <c r="E275" s="24">
        <v>-6.3E-3</v>
      </c>
      <c r="F275" s="25">
        <v>6.3E-3</v>
      </c>
      <c r="G275" s="26" t="s">
        <v>93</v>
      </c>
      <c r="H275" s="27">
        <v>1.1000000000000001</v>
      </c>
      <c r="I275" s="28">
        <v>-2.2382</v>
      </c>
      <c r="J275" s="28">
        <v>0.1988</v>
      </c>
      <c r="K275" s="29">
        <f t="shared" si="8"/>
        <v>2.870000000000017E-2</v>
      </c>
      <c r="L275" s="29">
        <f t="shared" si="9"/>
        <v>-0.2051</v>
      </c>
    </row>
    <row r="276" spans="1:12" x14ac:dyDescent="0.25">
      <c r="A276" s="21">
        <v>23</v>
      </c>
      <c r="B276" s="22" t="s">
        <v>115</v>
      </c>
      <c r="C276" s="23">
        <v>300</v>
      </c>
      <c r="D276" s="24">
        <v>-2.2033999999999998</v>
      </c>
      <c r="E276" s="24">
        <v>-5.4999999999999997E-3</v>
      </c>
      <c r="F276" s="25">
        <v>-1.0969</v>
      </c>
      <c r="G276" s="26" t="s">
        <v>93</v>
      </c>
      <c r="H276" s="27">
        <v>1.1000000000000001</v>
      </c>
      <c r="I276" s="28">
        <v>-2.2382</v>
      </c>
      <c r="J276" s="28">
        <v>0.1988</v>
      </c>
      <c r="K276" s="29">
        <f t="shared" si="8"/>
        <v>3.4800000000000164E-2</v>
      </c>
      <c r="L276" s="29">
        <f t="shared" si="9"/>
        <v>-0.20430000000000001</v>
      </c>
    </row>
    <row r="277" spans="1:12" x14ac:dyDescent="0.25">
      <c r="A277" s="30">
        <v>23</v>
      </c>
      <c r="B277" s="31" t="s">
        <v>115</v>
      </c>
      <c r="C277" s="32">
        <v>330</v>
      </c>
      <c r="D277" s="33">
        <v>-2.2033999999999998</v>
      </c>
      <c r="E277" s="33">
        <v>-5.4999999999999997E-3</v>
      </c>
      <c r="F277" s="34">
        <v>-1.9055</v>
      </c>
      <c r="G277" s="35" t="s">
        <v>93</v>
      </c>
      <c r="H277" s="36">
        <v>1.1000000000000001</v>
      </c>
      <c r="I277" s="37">
        <v>-2.2382</v>
      </c>
      <c r="J277" s="37">
        <v>0.1988</v>
      </c>
      <c r="K277" s="38">
        <f t="shared" si="8"/>
        <v>3.4800000000000164E-2</v>
      </c>
      <c r="L277" s="38">
        <f t="shared" si="9"/>
        <v>-0.20430000000000001</v>
      </c>
    </row>
    <row r="278" spans="1:12" x14ac:dyDescent="0.25">
      <c r="A278" s="21">
        <v>24</v>
      </c>
      <c r="B278" s="22" t="s">
        <v>116</v>
      </c>
      <c r="C278" s="23">
        <v>0</v>
      </c>
      <c r="D278" s="24">
        <v>-2.2023000000000001</v>
      </c>
      <c r="E278" s="24">
        <v>0.26219999999999999</v>
      </c>
      <c r="F278" s="25">
        <v>-2.2023000000000001</v>
      </c>
      <c r="G278" s="26" t="s">
        <v>93</v>
      </c>
      <c r="H278" s="27">
        <v>1.1000000000000001</v>
      </c>
      <c r="I278" s="28">
        <v>-2.2475999999999998</v>
      </c>
      <c r="J278" s="28">
        <v>0.2056</v>
      </c>
      <c r="K278" s="29">
        <f t="shared" si="8"/>
        <v>4.5299999999999674E-2</v>
      </c>
      <c r="L278" s="29">
        <f t="shared" si="9"/>
        <v>5.6599999999999984E-2</v>
      </c>
    </row>
    <row r="279" spans="1:12" x14ac:dyDescent="0.25">
      <c r="A279" s="21">
        <v>24</v>
      </c>
      <c r="B279" s="22" t="s">
        <v>116</v>
      </c>
      <c r="C279" s="23">
        <v>30</v>
      </c>
      <c r="D279" s="24">
        <v>-2.2181000000000002</v>
      </c>
      <c r="E279" s="24">
        <v>0.52829999999999999</v>
      </c>
      <c r="F279" s="25">
        <v>-1.6568000000000001</v>
      </c>
      <c r="G279" s="26" t="s">
        <v>93</v>
      </c>
      <c r="H279" s="27">
        <v>1.0589299999999999</v>
      </c>
      <c r="I279" s="28">
        <v>-2.2475999999999998</v>
      </c>
      <c r="J279" s="28">
        <v>0.2056</v>
      </c>
      <c r="K279" s="29">
        <f t="shared" si="8"/>
        <v>2.9499999999999638E-2</v>
      </c>
      <c r="L279" s="29">
        <f t="shared" si="9"/>
        <v>0.32269999999999999</v>
      </c>
    </row>
    <row r="280" spans="1:12" x14ac:dyDescent="0.25">
      <c r="A280" s="21">
        <v>24</v>
      </c>
      <c r="B280" s="22" t="s">
        <v>116</v>
      </c>
      <c r="C280" s="23">
        <v>60</v>
      </c>
      <c r="D280" s="24">
        <v>-2.2227000000000001</v>
      </c>
      <c r="E280" s="24">
        <v>0.53259999999999996</v>
      </c>
      <c r="F280" s="25">
        <v>-0.65010000000000001</v>
      </c>
      <c r="G280" s="26" t="s">
        <v>93</v>
      </c>
      <c r="H280" s="27">
        <v>1.0595699999999999</v>
      </c>
      <c r="I280" s="28">
        <v>-2.2475999999999998</v>
      </c>
      <c r="J280" s="28">
        <v>0.2056</v>
      </c>
      <c r="K280" s="29">
        <f t="shared" si="8"/>
        <v>2.48999999999997E-2</v>
      </c>
      <c r="L280" s="29">
        <f t="shared" si="9"/>
        <v>0.32699999999999996</v>
      </c>
    </row>
    <row r="281" spans="1:12" x14ac:dyDescent="0.25">
      <c r="A281" s="21">
        <v>24</v>
      </c>
      <c r="B281" s="22" t="s">
        <v>116</v>
      </c>
      <c r="C281" s="23">
        <v>90</v>
      </c>
      <c r="D281" s="24">
        <v>-2.2673000000000001</v>
      </c>
      <c r="E281" s="24">
        <v>0.53739999999999999</v>
      </c>
      <c r="F281" s="25">
        <v>0.53739999999999999</v>
      </c>
      <c r="G281" s="26" t="s">
        <v>93</v>
      </c>
      <c r="H281" s="27">
        <v>1.0657300000000001</v>
      </c>
      <c r="I281" s="28">
        <v>-2.2475999999999998</v>
      </c>
      <c r="J281" s="28">
        <v>0.2056</v>
      </c>
      <c r="K281" s="29">
        <f t="shared" si="8"/>
        <v>-1.9700000000000273E-2</v>
      </c>
      <c r="L281" s="29">
        <f t="shared" si="9"/>
        <v>0.33179999999999998</v>
      </c>
    </row>
    <row r="282" spans="1:12" x14ac:dyDescent="0.25">
      <c r="A282" s="21">
        <v>24</v>
      </c>
      <c r="B282" s="22" t="s">
        <v>116</v>
      </c>
      <c r="C282" s="23">
        <v>120</v>
      </c>
      <c r="D282" s="24">
        <v>-2.3534000000000002</v>
      </c>
      <c r="E282" s="24">
        <v>0.51839999999999997</v>
      </c>
      <c r="F282" s="25">
        <v>1.6255999999999999</v>
      </c>
      <c r="G282" s="26" t="s">
        <v>93</v>
      </c>
      <c r="H282" s="27">
        <v>1.1000000000000001</v>
      </c>
      <c r="I282" s="28">
        <v>-2.2475999999999998</v>
      </c>
      <c r="J282" s="28">
        <v>0.2056</v>
      </c>
      <c r="K282" s="29">
        <f t="shared" si="8"/>
        <v>-0.10580000000000034</v>
      </c>
      <c r="L282" s="29">
        <f t="shared" si="9"/>
        <v>0.31279999999999997</v>
      </c>
    </row>
    <row r="283" spans="1:12" x14ac:dyDescent="0.25">
      <c r="A283" s="21">
        <v>24</v>
      </c>
      <c r="B283" s="22" t="s">
        <v>116</v>
      </c>
      <c r="C283" s="23">
        <v>150</v>
      </c>
      <c r="D283" s="24">
        <v>-2.4544999999999999</v>
      </c>
      <c r="E283" s="24">
        <v>0.41060000000000002</v>
      </c>
      <c r="F283" s="25">
        <v>2.331</v>
      </c>
      <c r="G283" s="26" t="s">
        <v>93</v>
      </c>
      <c r="H283" s="27">
        <v>1.1000000000000001</v>
      </c>
      <c r="I283" s="28">
        <v>-2.2475999999999998</v>
      </c>
      <c r="J283" s="28">
        <v>0.2056</v>
      </c>
      <c r="K283" s="29">
        <f t="shared" si="8"/>
        <v>-0.20690000000000008</v>
      </c>
      <c r="L283" s="29">
        <f t="shared" si="9"/>
        <v>0.20500000000000002</v>
      </c>
    </row>
    <row r="284" spans="1:12" x14ac:dyDescent="0.25">
      <c r="A284" s="21">
        <v>24</v>
      </c>
      <c r="B284" s="22" t="s">
        <v>116</v>
      </c>
      <c r="C284" s="23">
        <v>180</v>
      </c>
      <c r="D284" s="24">
        <v>-2.492</v>
      </c>
      <c r="E284" s="24">
        <v>0.2903</v>
      </c>
      <c r="F284" s="25">
        <v>2.492</v>
      </c>
      <c r="G284" s="26" t="s">
        <v>93</v>
      </c>
      <c r="H284" s="27">
        <v>1.1000000000000001</v>
      </c>
      <c r="I284" s="28">
        <v>-2.2475999999999998</v>
      </c>
      <c r="J284" s="28">
        <v>0.2056</v>
      </c>
      <c r="K284" s="29">
        <f t="shared" si="8"/>
        <v>-0.24440000000000017</v>
      </c>
      <c r="L284" s="29">
        <f t="shared" si="9"/>
        <v>8.4699999999999998E-2</v>
      </c>
    </row>
    <row r="285" spans="1:12" x14ac:dyDescent="0.25">
      <c r="A285" s="21">
        <v>24</v>
      </c>
      <c r="B285" s="22" t="s">
        <v>116</v>
      </c>
      <c r="C285" s="23">
        <v>210</v>
      </c>
      <c r="D285" s="24">
        <v>-2.4748000000000001</v>
      </c>
      <c r="E285" s="24">
        <v>0.2379</v>
      </c>
      <c r="F285" s="25">
        <v>2.0243000000000002</v>
      </c>
      <c r="G285" s="26" t="s">
        <v>93</v>
      </c>
      <c r="H285" s="27">
        <v>1.1000000000000001</v>
      </c>
      <c r="I285" s="28">
        <v>-2.2475999999999998</v>
      </c>
      <c r="J285" s="28">
        <v>0.2056</v>
      </c>
      <c r="K285" s="29">
        <f t="shared" si="8"/>
        <v>-0.22720000000000029</v>
      </c>
      <c r="L285" s="29">
        <f t="shared" si="9"/>
        <v>3.2299999999999995E-2</v>
      </c>
    </row>
    <row r="286" spans="1:12" x14ac:dyDescent="0.25">
      <c r="A286" s="21">
        <v>24</v>
      </c>
      <c r="B286" s="22" t="s">
        <v>116</v>
      </c>
      <c r="C286" s="23">
        <v>240</v>
      </c>
      <c r="D286" s="24">
        <v>-2.2690000000000001</v>
      </c>
      <c r="E286" s="24">
        <v>2.01E-2</v>
      </c>
      <c r="F286" s="25">
        <v>1.1171</v>
      </c>
      <c r="G286" s="26" t="s">
        <v>93</v>
      </c>
      <c r="H286" s="27">
        <v>1.1000000000000001</v>
      </c>
      <c r="I286" s="28">
        <v>-2.2475999999999998</v>
      </c>
      <c r="J286" s="28">
        <v>0.2056</v>
      </c>
      <c r="K286" s="29">
        <f t="shared" si="8"/>
        <v>-2.1400000000000308E-2</v>
      </c>
      <c r="L286" s="29">
        <f t="shared" si="9"/>
        <v>-0.1855</v>
      </c>
    </row>
    <row r="287" spans="1:12" x14ac:dyDescent="0.25">
      <c r="A287" s="21">
        <v>24</v>
      </c>
      <c r="B287" s="22" t="s">
        <v>116</v>
      </c>
      <c r="C287" s="23">
        <v>270</v>
      </c>
      <c r="D287" s="24">
        <v>-2.2187000000000001</v>
      </c>
      <c r="E287" s="24">
        <v>5.1000000000000004E-3</v>
      </c>
      <c r="F287" s="25">
        <v>-5.1000000000000004E-3</v>
      </c>
      <c r="G287" s="26" t="s">
        <v>93</v>
      </c>
      <c r="H287" s="27">
        <v>1.1000000000000001</v>
      </c>
      <c r="I287" s="28">
        <v>-2.2475999999999998</v>
      </c>
      <c r="J287" s="28">
        <v>0.2056</v>
      </c>
      <c r="K287" s="29">
        <f t="shared" si="8"/>
        <v>2.8899999999999704E-2</v>
      </c>
      <c r="L287" s="29">
        <f t="shared" si="9"/>
        <v>-0.20050000000000001</v>
      </c>
    </row>
    <row r="288" spans="1:12" x14ac:dyDescent="0.25">
      <c r="A288" s="21">
        <v>24</v>
      </c>
      <c r="B288" s="22" t="s">
        <v>116</v>
      </c>
      <c r="C288" s="23">
        <v>300</v>
      </c>
      <c r="D288" s="24">
        <v>-2.2113999999999998</v>
      </c>
      <c r="E288" s="24">
        <v>5.4999999999999997E-3</v>
      </c>
      <c r="F288" s="25">
        <v>-1.1104000000000001</v>
      </c>
      <c r="G288" s="26" t="s">
        <v>93</v>
      </c>
      <c r="H288" s="27">
        <v>1.1000000000000001</v>
      </c>
      <c r="I288" s="28">
        <v>-2.2475999999999998</v>
      </c>
      <c r="J288" s="28">
        <v>0.2056</v>
      </c>
      <c r="K288" s="29">
        <f t="shared" si="8"/>
        <v>3.620000000000001E-2</v>
      </c>
      <c r="L288" s="29">
        <f t="shared" si="9"/>
        <v>-0.2001</v>
      </c>
    </row>
    <row r="289" spans="1:12" x14ac:dyDescent="0.25">
      <c r="A289" s="30">
        <v>24</v>
      </c>
      <c r="B289" s="31" t="s">
        <v>116</v>
      </c>
      <c r="C289" s="32">
        <v>330</v>
      </c>
      <c r="D289" s="33">
        <v>-2.2113</v>
      </c>
      <c r="E289" s="33">
        <v>5.4999999999999997E-3</v>
      </c>
      <c r="F289" s="34">
        <v>-1.9177999999999999</v>
      </c>
      <c r="G289" s="35" t="s">
        <v>93</v>
      </c>
      <c r="H289" s="36">
        <v>1.1000000000000001</v>
      </c>
      <c r="I289" s="37">
        <v>-2.2475999999999998</v>
      </c>
      <c r="J289" s="37">
        <v>0.2056</v>
      </c>
      <c r="K289" s="38">
        <f t="shared" si="8"/>
        <v>3.6299999999999777E-2</v>
      </c>
      <c r="L289" s="38">
        <f t="shared" si="9"/>
        <v>-0.2001</v>
      </c>
    </row>
    <row r="290" spans="1:12" x14ac:dyDescent="0.25">
      <c r="A290" s="21">
        <v>25</v>
      </c>
      <c r="B290" s="22" t="s">
        <v>117</v>
      </c>
      <c r="C290" s="23">
        <v>0</v>
      </c>
      <c r="D290" s="24">
        <v>-2.2589999999999999</v>
      </c>
      <c r="E290" s="24">
        <v>0.24709999999999999</v>
      </c>
      <c r="F290" s="25">
        <v>-2.2589999999999999</v>
      </c>
      <c r="G290" s="26" t="s">
        <v>93</v>
      </c>
      <c r="H290" s="27">
        <v>1.1000000000000001</v>
      </c>
      <c r="I290" s="28">
        <v>-2.2582</v>
      </c>
      <c r="J290" s="28">
        <v>0.20730000000000001</v>
      </c>
      <c r="K290" s="29">
        <f t="shared" si="8"/>
        <v>-7.9999999999991189E-4</v>
      </c>
      <c r="L290" s="29">
        <f t="shared" si="9"/>
        <v>3.9799999999999974E-2</v>
      </c>
    </row>
    <row r="291" spans="1:12" x14ac:dyDescent="0.25">
      <c r="A291" s="21">
        <v>25</v>
      </c>
      <c r="B291" s="22" t="s">
        <v>117</v>
      </c>
      <c r="C291" s="23">
        <v>30</v>
      </c>
      <c r="D291" s="24">
        <v>-2.274</v>
      </c>
      <c r="E291" s="24">
        <v>0.51500000000000001</v>
      </c>
      <c r="F291" s="25">
        <v>-1.7119</v>
      </c>
      <c r="G291" s="26" t="s">
        <v>93</v>
      </c>
      <c r="H291" s="27">
        <v>1.0553300000000001</v>
      </c>
      <c r="I291" s="28">
        <v>-2.2582</v>
      </c>
      <c r="J291" s="28">
        <v>0.20730000000000001</v>
      </c>
      <c r="K291" s="29">
        <f t="shared" si="8"/>
        <v>-1.5800000000000036E-2</v>
      </c>
      <c r="L291" s="29">
        <f t="shared" si="9"/>
        <v>0.30769999999999997</v>
      </c>
    </row>
    <row r="292" spans="1:12" x14ac:dyDescent="0.25">
      <c r="A292" s="21">
        <v>25</v>
      </c>
      <c r="B292" s="22" t="s">
        <v>117</v>
      </c>
      <c r="C292" s="23">
        <v>60</v>
      </c>
      <c r="D292" s="24">
        <v>-2.2778</v>
      </c>
      <c r="E292" s="24">
        <v>0.51829999999999998</v>
      </c>
      <c r="F292" s="25">
        <v>-0.69010000000000005</v>
      </c>
      <c r="G292" s="26" t="s">
        <v>93</v>
      </c>
      <c r="H292" s="27">
        <v>1.05592</v>
      </c>
      <c r="I292" s="28">
        <v>-2.2582</v>
      </c>
      <c r="J292" s="28">
        <v>0.20730000000000001</v>
      </c>
      <c r="K292" s="29">
        <f t="shared" si="8"/>
        <v>-1.9600000000000062E-2</v>
      </c>
      <c r="L292" s="29">
        <f t="shared" si="9"/>
        <v>0.31099999999999994</v>
      </c>
    </row>
    <row r="293" spans="1:12" x14ac:dyDescent="0.25">
      <c r="A293" s="21">
        <v>25</v>
      </c>
      <c r="B293" s="22" t="s">
        <v>117</v>
      </c>
      <c r="C293" s="23">
        <v>90</v>
      </c>
      <c r="D293" s="24">
        <v>-2.3207</v>
      </c>
      <c r="E293" s="24">
        <v>0.52270000000000005</v>
      </c>
      <c r="F293" s="25">
        <v>0.52270000000000005</v>
      </c>
      <c r="G293" s="26" t="s">
        <v>93</v>
      </c>
      <c r="H293" s="27">
        <v>1.06409</v>
      </c>
      <c r="I293" s="28">
        <v>-2.2582</v>
      </c>
      <c r="J293" s="28">
        <v>0.20730000000000001</v>
      </c>
      <c r="K293" s="29">
        <f t="shared" si="8"/>
        <v>-6.25E-2</v>
      </c>
      <c r="L293" s="29">
        <f t="shared" si="9"/>
        <v>0.31540000000000001</v>
      </c>
    </row>
    <row r="294" spans="1:12" x14ac:dyDescent="0.25">
      <c r="A294" s="21">
        <v>25</v>
      </c>
      <c r="B294" s="22" t="s">
        <v>117</v>
      </c>
      <c r="C294" s="23">
        <v>120</v>
      </c>
      <c r="D294" s="24">
        <v>-2.4081000000000001</v>
      </c>
      <c r="E294" s="24">
        <v>0.50329999999999997</v>
      </c>
      <c r="F294" s="25">
        <v>1.6398999999999999</v>
      </c>
      <c r="G294" s="26" t="s">
        <v>93</v>
      </c>
      <c r="H294" s="27">
        <v>1.0991500000000001</v>
      </c>
      <c r="I294" s="28">
        <v>-2.2582</v>
      </c>
      <c r="J294" s="28">
        <v>0.20730000000000001</v>
      </c>
      <c r="K294" s="29">
        <f t="shared" si="8"/>
        <v>-0.14990000000000014</v>
      </c>
      <c r="L294" s="29">
        <f t="shared" si="9"/>
        <v>0.29599999999999993</v>
      </c>
    </row>
    <row r="295" spans="1:12" x14ac:dyDescent="0.25">
      <c r="A295" s="21">
        <v>25</v>
      </c>
      <c r="B295" s="22" t="s">
        <v>117</v>
      </c>
      <c r="C295" s="23">
        <v>150</v>
      </c>
      <c r="D295" s="24">
        <v>-2.5087999999999999</v>
      </c>
      <c r="E295" s="24">
        <v>0.39600000000000002</v>
      </c>
      <c r="F295" s="25">
        <v>2.3706999999999998</v>
      </c>
      <c r="G295" s="26" t="s">
        <v>93</v>
      </c>
      <c r="H295" s="27">
        <v>1.1000000000000001</v>
      </c>
      <c r="I295" s="28">
        <v>-2.2582</v>
      </c>
      <c r="J295" s="28">
        <v>0.20730000000000001</v>
      </c>
      <c r="K295" s="29">
        <f t="shared" si="8"/>
        <v>-0.25059999999999993</v>
      </c>
      <c r="L295" s="29">
        <f t="shared" si="9"/>
        <v>0.18870000000000001</v>
      </c>
    </row>
    <row r="296" spans="1:12" x14ac:dyDescent="0.25">
      <c r="A296" s="21">
        <v>25</v>
      </c>
      <c r="B296" s="22" t="s">
        <v>117</v>
      </c>
      <c r="C296" s="23">
        <v>180</v>
      </c>
      <c r="D296" s="24">
        <v>-2.5455999999999999</v>
      </c>
      <c r="E296" s="24">
        <v>0.27739999999999998</v>
      </c>
      <c r="F296" s="25">
        <v>2.5455999999999999</v>
      </c>
      <c r="G296" s="26" t="s">
        <v>93</v>
      </c>
      <c r="H296" s="27">
        <v>1.1000000000000001</v>
      </c>
      <c r="I296" s="28">
        <v>-2.2582</v>
      </c>
      <c r="J296" s="28">
        <v>0.20730000000000001</v>
      </c>
      <c r="K296" s="29">
        <f t="shared" si="8"/>
        <v>-0.28739999999999988</v>
      </c>
      <c r="L296" s="29">
        <f t="shared" si="9"/>
        <v>7.0099999999999968E-2</v>
      </c>
    </row>
    <row r="297" spans="1:12" x14ac:dyDescent="0.25">
      <c r="A297" s="21">
        <v>25</v>
      </c>
      <c r="B297" s="22" t="s">
        <v>117</v>
      </c>
      <c r="C297" s="23">
        <v>210</v>
      </c>
      <c r="D297" s="24">
        <v>-2.5268999999999999</v>
      </c>
      <c r="E297" s="24">
        <v>0.2235</v>
      </c>
      <c r="F297" s="25">
        <v>2.0766</v>
      </c>
      <c r="G297" s="26" t="s">
        <v>93</v>
      </c>
      <c r="H297" s="27">
        <v>1.1000000000000001</v>
      </c>
      <c r="I297" s="28">
        <v>-2.2582</v>
      </c>
      <c r="J297" s="28">
        <v>0.20730000000000001</v>
      </c>
      <c r="K297" s="29">
        <f t="shared" si="8"/>
        <v>-0.26869999999999994</v>
      </c>
      <c r="L297" s="29">
        <f t="shared" si="9"/>
        <v>1.6199999999999992E-2</v>
      </c>
    </row>
    <row r="298" spans="1:12" x14ac:dyDescent="0.25">
      <c r="A298" s="21">
        <v>25</v>
      </c>
      <c r="B298" s="22" t="s">
        <v>117</v>
      </c>
      <c r="C298" s="23">
        <v>240</v>
      </c>
      <c r="D298" s="24">
        <v>-2.3268</v>
      </c>
      <c r="E298" s="24">
        <v>1.2200000000000001E-2</v>
      </c>
      <c r="F298" s="25">
        <v>1.1529</v>
      </c>
      <c r="G298" s="26" t="s">
        <v>93</v>
      </c>
      <c r="H298" s="27">
        <v>1.1000000000000001</v>
      </c>
      <c r="I298" s="28">
        <v>-2.2582</v>
      </c>
      <c r="J298" s="28">
        <v>0.20730000000000001</v>
      </c>
      <c r="K298" s="29">
        <f t="shared" si="8"/>
        <v>-6.8599999999999994E-2</v>
      </c>
      <c r="L298" s="29">
        <f t="shared" si="9"/>
        <v>-0.19510000000000002</v>
      </c>
    </row>
    <row r="299" spans="1:12" x14ac:dyDescent="0.25">
      <c r="A299" s="21">
        <v>25</v>
      </c>
      <c r="B299" s="22" t="s">
        <v>117</v>
      </c>
      <c r="C299" s="23">
        <v>270</v>
      </c>
      <c r="D299" s="24">
        <v>-2.2763</v>
      </c>
      <c r="E299" s="24">
        <v>-8.9999999999999998E-4</v>
      </c>
      <c r="F299" s="25">
        <v>8.9999999999999998E-4</v>
      </c>
      <c r="G299" s="26" t="s">
        <v>93</v>
      </c>
      <c r="H299" s="27">
        <v>1.1000000000000001</v>
      </c>
      <c r="I299" s="28">
        <v>-2.2582</v>
      </c>
      <c r="J299" s="28">
        <v>0.20730000000000001</v>
      </c>
      <c r="K299" s="29">
        <f t="shared" si="8"/>
        <v>-1.8100000000000005E-2</v>
      </c>
      <c r="L299" s="29">
        <f t="shared" si="9"/>
        <v>-0.20820000000000002</v>
      </c>
    </row>
    <row r="300" spans="1:12" x14ac:dyDescent="0.25">
      <c r="A300" s="21">
        <v>25</v>
      </c>
      <c r="B300" s="22" t="s">
        <v>117</v>
      </c>
      <c r="C300" s="23">
        <v>300</v>
      </c>
      <c r="D300" s="24">
        <v>-2.2673000000000001</v>
      </c>
      <c r="E300" s="24">
        <v>-2.9999999999999997E-4</v>
      </c>
      <c r="F300" s="25">
        <v>-1.1334</v>
      </c>
      <c r="G300" s="26" t="s">
        <v>93</v>
      </c>
      <c r="H300" s="27">
        <v>1.1000000000000001</v>
      </c>
      <c r="I300" s="28">
        <v>-2.2582</v>
      </c>
      <c r="J300" s="28">
        <v>0.20730000000000001</v>
      </c>
      <c r="K300" s="29">
        <f t="shared" si="8"/>
        <v>-9.100000000000108E-3</v>
      </c>
      <c r="L300" s="29">
        <f t="shared" si="9"/>
        <v>-0.20760000000000001</v>
      </c>
    </row>
    <row r="301" spans="1:12" x14ac:dyDescent="0.25">
      <c r="A301" s="30">
        <v>25</v>
      </c>
      <c r="B301" s="31" t="s">
        <v>117</v>
      </c>
      <c r="C301" s="32">
        <v>330</v>
      </c>
      <c r="D301" s="33">
        <v>-2.2673000000000001</v>
      </c>
      <c r="E301" s="33">
        <v>-2.9999999999999997E-4</v>
      </c>
      <c r="F301" s="34">
        <v>-1.9634</v>
      </c>
      <c r="G301" s="35" t="s">
        <v>93</v>
      </c>
      <c r="H301" s="36">
        <v>1.1000000000000001</v>
      </c>
      <c r="I301" s="37">
        <v>-2.2582</v>
      </c>
      <c r="J301" s="37">
        <v>0.20730000000000001</v>
      </c>
      <c r="K301" s="38">
        <f t="shared" si="8"/>
        <v>-9.100000000000108E-3</v>
      </c>
      <c r="L301" s="38">
        <f t="shared" si="9"/>
        <v>-0.20760000000000001</v>
      </c>
    </row>
    <row r="302" spans="1:12" x14ac:dyDescent="0.25">
      <c r="A302" s="21">
        <v>26</v>
      </c>
      <c r="B302" s="22" t="s">
        <v>118</v>
      </c>
      <c r="C302" s="23">
        <v>0</v>
      </c>
      <c r="D302" s="24">
        <v>-2.1732999999999998</v>
      </c>
      <c r="E302" s="24">
        <v>0.24490000000000001</v>
      </c>
      <c r="F302" s="25">
        <v>-2.1732999999999998</v>
      </c>
      <c r="G302" s="26" t="s">
        <v>93</v>
      </c>
      <c r="H302" s="27">
        <v>1.1000000000000001</v>
      </c>
      <c r="I302" s="28">
        <v>-2.3117000000000001</v>
      </c>
      <c r="J302" s="28">
        <v>0.19259999999999999</v>
      </c>
      <c r="K302" s="29">
        <f t="shared" si="8"/>
        <v>0.1384000000000003</v>
      </c>
      <c r="L302" s="29">
        <f t="shared" si="9"/>
        <v>5.2300000000000013E-2</v>
      </c>
    </row>
    <row r="303" spans="1:12" x14ac:dyDescent="0.25">
      <c r="A303" s="21">
        <v>26</v>
      </c>
      <c r="B303" s="22" t="s">
        <v>118</v>
      </c>
      <c r="C303" s="23">
        <v>30</v>
      </c>
      <c r="D303" s="24">
        <v>-2.1882999999999999</v>
      </c>
      <c r="E303" s="24">
        <v>0.51500000000000001</v>
      </c>
      <c r="F303" s="25">
        <v>-1.6375999999999999</v>
      </c>
      <c r="G303" s="26" t="s">
        <v>93</v>
      </c>
      <c r="H303" s="27">
        <v>1.0603899999999999</v>
      </c>
      <c r="I303" s="28">
        <v>-2.3117000000000001</v>
      </c>
      <c r="J303" s="28">
        <v>0.19259999999999999</v>
      </c>
      <c r="K303" s="29">
        <f t="shared" si="8"/>
        <v>0.12340000000000018</v>
      </c>
      <c r="L303" s="29">
        <f t="shared" si="9"/>
        <v>0.32240000000000002</v>
      </c>
    </row>
    <row r="304" spans="1:12" x14ac:dyDescent="0.25">
      <c r="A304" s="21">
        <v>26</v>
      </c>
      <c r="B304" s="22" t="s">
        <v>118</v>
      </c>
      <c r="C304" s="23">
        <v>60</v>
      </c>
      <c r="D304" s="24">
        <v>-2.1907000000000001</v>
      </c>
      <c r="E304" s="24">
        <v>0.51719999999999999</v>
      </c>
      <c r="F304" s="25">
        <v>-0.64749999999999996</v>
      </c>
      <c r="G304" s="26" t="s">
        <v>93</v>
      </c>
      <c r="H304" s="27">
        <v>1.0609999999999999</v>
      </c>
      <c r="I304" s="28">
        <v>-2.3117000000000001</v>
      </c>
      <c r="J304" s="28">
        <v>0.19259999999999999</v>
      </c>
      <c r="K304" s="29">
        <f t="shared" si="8"/>
        <v>0.121</v>
      </c>
      <c r="L304" s="29">
        <f t="shared" si="9"/>
        <v>0.3246</v>
      </c>
    </row>
    <row r="305" spans="1:12" x14ac:dyDescent="0.25">
      <c r="A305" s="21">
        <v>26</v>
      </c>
      <c r="B305" s="22" t="s">
        <v>118</v>
      </c>
      <c r="C305" s="23">
        <v>90</v>
      </c>
      <c r="D305" s="24">
        <v>-2.2332000000000001</v>
      </c>
      <c r="E305" s="24">
        <v>0.52149999999999996</v>
      </c>
      <c r="F305" s="25">
        <v>0.52149999999999996</v>
      </c>
      <c r="G305" s="26" t="s">
        <v>93</v>
      </c>
      <c r="H305" s="27">
        <v>1.06501</v>
      </c>
      <c r="I305" s="28">
        <v>-2.3117000000000001</v>
      </c>
      <c r="J305" s="28">
        <v>0.19259999999999999</v>
      </c>
      <c r="K305" s="29">
        <f t="shared" si="8"/>
        <v>7.8500000000000014E-2</v>
      </c>
      <c r="L305" s="29">
        <f t="shared" si="9"/>
        <v>0.32889999999999997</v>
      </c>
    </row>
    <row r="306" spans="1:12" x14ac:dyDescent="0.25">
      <c r="A306" s="21">
        <v>26</v>
      </c>
      <c r="B306" s="22" t="s">
        <v>118</v>
      </c>
      <c r="C306" s="23">
        <v>120</v>
      </c>
      <c r="D306" s="24">
        <v>-2.3327</v>
      </c>
      <c r="E306" s="24">
        <v>0.50029999999999997</v>
      </c>
      <c r="F306" s="25">
        <v>1.5995999999999999</v>
      </c>
      <c r="G306" s="26" t="s">
        <v>93</v>
      </c>
      <c r="H306" s="27">
        <v>1.1000000000000001</v>
      </c>
      <c r="I306" s="28">
        <v>-2.3117000000000001</v>
      </c>
      <c r="J306" s="28">
        <v>0.19259999999999999</v>
      </c>
      <c r="K306" s="29">
        <f t="shared" si="8"/>
        <v>-2.0999999999999908E-2</v>
      </c>
      <c r="L306" s="29">
        <f t="shared" si="9"/>
        <v>0.30769999999999997</v>
      </c>
    </row>
    <row r="307" spans="1:12" x14ac:dyDescent="0.25">
      <c r="A307" s="21">
        <v>26</v>
      </c>
      <c r="B307" s="22" t="s">
        <v>118</v>
      </c>
      <c r="C307" s="23">
        <v>150</v>
      </c>
      <c r="D307" s="24">
        <v>-2.4318</v>
      </c>
      <c r="E307" s="24">
        <v>0.39410000000000001</v>
      </c>
      <c r="F307" s="25">
        <v>2.3029999999999999</v>
      </c>
      <c r="G307" s="26" t="s">
        <v>93</v>
      </c>
      <c r="H307" s="27">
        <v>1.1000000000000001</v>
      </c>
      <c r="I307" s="28">
        <v>-2.3117000000000001</v>
      </c>
      <c r="J307" s="28">
        <v>0.19259999999999999</v>
      </c>
      <c r="K307" s="29">
        <f t="shared" si="8"/>
        <v>-0.12009999999999987</v>
      </c>
      <c r="L307" s="29">
        <f t="shared" si="9"/>
        <v>0.20150000000000001</v>
      </c>
    </row>
    <row r="308" spans="1:12" x14ac:dyDescent="0.25">
      <c r="A308" s="21">
        <v>26</v>
      </c>
      <c r="B308" s="22" t="s">
        <v>118</v>
      </c>
      <c r="C308" s="23">
        <v>180</v>
      </c>
      <c r="D308" s="24">
        <v>-2.4666999999999999</v>
      </c>
      <c r="E308" s="24">
        <v>0.27750000000000002</v>
      </c>
      <c r="F308" s="25">
        <v>2.4666999999999999</v>
      </c>
      <c r="G308" s="26" t="s">
        <v>93</v>
      </c>
      <c r="H308" s="27">
        <v>1.1000000000000001</v>
      </c>
      <c r="I308" s="28">
        <v>-2.3117000000000001</v>
      </c>
      <c r="J308" s="28">
        <v>0.19259999999999999</v>
      </c>
      <c r="K308" s="29">
        <f t="shared" si="8"/>
        <v>-0.1549999999999998</v>
      </c>
      <c r="L308" s="29">
        <f t="shared" si="9"/>
        <v>8.4900000000000031E-2</v>
      </c>
    </row>
    <row r="309" spans="1:12" x14ac:dyDescent="0.25">
      <c r="A309" s="21">
        <v>26</v>
      </c>
      <c r="B309" s="22" t="s">
        <v>118</v>
      </c>
      <c r="C309" s="23">
        <v>210</v>
      </c>
      <c r="D309" s="24">
        <v>-2.444</v>
      </c>
      <c r="E309" s="24">
        <v>0.2162</v>
      </c>
      <c r="F309" s="25">
        <v>2.0085000000000002</v>
      </c>
      <c r="G309" s="26" t="s">
        <v>93</v>
      </c>
      <c r="H309" s="27">
        <v>1.1000000000000001</v>
      </c>
      <c r="I309" s="28">
        <v>-2.3117000000000001</v>
      </c>
      <c r="J309" s="28">
        <v>0.19259999999999999</v>
      </c>
      <c r="K309" s="29">
        <f t="shared" si="8"/>
        <v>-0.13229999999999986</v>
      </c>
      <c r="L309" s="29">
        <f t="shared" si="9"/>
        <v>2.360000000000001E-2</v>
      </c>
    </row>
    <row r="310" spans="1:12" x14ac:dyDescent="0.25">
      <c r="A310" s="21">
        <v>26</v>
      </c>
      <c r="B310" s="22" t="s">
        <v>118</v>
      </c>
      <c r="C310" s="23">
        <v>240</v>
      </c>
      <c r="D310" s="24">
        <v>-2.2511000000000001</v>
      </c>
      <c r="E310" s="24">
        <v>9.4999999999999998E-3</v>
      </c>
      <c r="F310" s="25">
        <v>1.1173</v>
      </c>
      <c r="G310" s="26" t="s">
        <v>93</v>
      </c>
      <c r="H310" s="27">
        <v>1.1000000000000001</v>
      </c>
      <c r="I310" s="28">
        <v>-2.3117000000000001</v>
      </c>
      <c r="J310" s="28">
        <v>0.19259999999999999</v>
      </c>
      <c r="K310" s="29">
        <f t="shared" si="8"/>
        <v>6.0599999999999987E-2</v>
      </c>
      <c r="L310" s="29">
        <f t="shared" si="9"/>
        <v>-0.18309999999999998</v>
      </c>
    </row>
    <row r="311" spans="1:12" x14ac:dyDescent="0.25">
      <c r="A311" s="21">
        <v>26</v>
      </c>
      <c r="B311" s="22" t="s">
        <v>118</v>
      </c>
      <c r="C311" s="23">
        <v>270</v>
      </c>
      <c r="D311" s="24">
        <v>-2.1928000000000001</v>
      </c>
      <c r="E311" s="24">
        <v>-5.1999999999999998E-3</v>
      </c>
      <c r="F311" s="25">
        <v>5.1999999999999998E-3</v>
      </c>
      <c r="G311" s="26" t="s">
        <v>93</v>
      </c>
      <c r="H311" s="27">
        <v>1.1000000000000001</v>
      </c>
      <c r="I311" s="28">
        <v>-2.3117000000000001</v>
      </c>
      <c r="J311" s="28">
        <v>0.19259999999999999</v>
      </c>
      <c r="K311" s="29">
        <f t="shared" si="8"/>
        <v>0.11890000000000001</v>
      </c>
      <c r="L311" s="29">
        <f t="shared" si="9"/>
        <v>-0.1978</v>
      </c>
    </row>
    <row r="312" spans="1:12" x14ac:dyDescent="0.25">
      <c r="A312" s="21">
        <v>26</v>
      </c>
      <c r="B312" s="22" t="s">
        <v>118</v>
      </c>
      <c r="C312" s="23">
        <v>300</v>
      </c>
      <c r="D312" s="24">
        <v>-2.1821000000000002</v>
      </c>
      <c r="E312" s="24">
        <v>-4.1999999999999997E-3</v>
      </c>
      <c r="F312" s="25">
        <v>-1.0873999999999999</v>
      </c>
      <c r="G312" s="26" t="s">
        <v>93</v>
      </c>
      <c r="H312" s="27">
        <v>1.1000000000000001</v>
      </c>
      <c r="I312" s="28">
        <v>-2.3117000000000001</v>
      </c>
      <c r="J312" s="28">
        <v>0.19259999999999999</v>
      </c>
      <c r="K312" s="29">
        <f t="shared" si="8"/>
        <v>0.12959999999999994</v>
      </c>
      <c r="L312" s="29">
        <f t="shared" si="9"/>
        <v>-0.1968</v>
      </c>
    </row>
    <row r="313" spans="1:12" x14ac:dyDescent="0.25">
      <c r="A313" s="30">
        <v>26</v>
      </c>
      <c r="B313" s="31" t="s">
        <v>118</v>
      </c>
      <c r="C313" s="32">
        <v>330</v>
      </c>
      <c r="D313" s="33">
        <v>-2.1819999999999999</v>
      </c>
      <c r="E313" s="33">
        <v>-4.1999999999999997E-3</v>
      </c>
      <c r="F313" s="34">
        <v>-1.8875999999999999</v>
      </c>
      <c r="G313" s="35" t="s">
        <v>93</v>
      </c>
      <c r="H313" s="36">
        <v>1.1000000000000001</v>
      </c>
      <c r="I313" s="37">
        <v>-2.3117000000000001</v>
      </c>
      <c r="J313" s="37">
        <v>0.19259999999999999</v>
      </c>
      <c r="K313" s="38">
        <f t="shared" si="8"/>
        <v>0.12970000000000015</v>
      </c>
      <c r="L313" s="38">
        <f t="shared" si="9"/>
        <v>-0.1968</v>
      </c>
    </row>
    <row r="314" spans="1:12" x14ac:dyDescent="0.25">
      <c r="A314" s="21">
        <v>27</v>
      </c>
      <c r="B314" s="22" t="s">
        <v>119</v>
      </c>
      <c r="C314" s="23">
        <v>0</v>
      </c>
      <c r="D314" s="24">
        <v>-2.1206999999999998</v>
      </c>
      <c r="E314" s="24">
        <v>0.22639999999999999</v>
      </c>
      <c r="F314" s="25">
        <v>-2.1206999999999998</v>
      </c>
      <c r="G314" s="26" t="s">
        <v>93</v>
      </c>
      <c r="H314" s="27">
        <v>1.1000000000000001</v>
      </c>
      <c r="I314" s="28">
        <v>-2.2250999999999999</v>
      </c>
      <c r="J314" s="28">
        <v>0.1918</v>
      </c>
      <c r="K314" s="29">
        <f t="shared" si="8"/>
        <v>0.10440000000000005</v>
      </c>
      <c r="L314" s="29">
        <f t="shared" si="9"/>
        <v>3.4599999999999992E-2</v>
      </c>
    </row>
    <row r="315" spans="1:12" x14ac:dyDescent="0.25">
      <c r="A315" s="21">
        <v>27</v>
      </c>
      <c r="B315" s="22" t="s">
        <v>119</v>
      </c>
      <c r="C315" s="23">
        <v>30</v>
      </c>
      <c r="D315" s="24">
        <v>-2.1353</v>
      </c>
      <c r="E315" s="24">
        <v>0.50119999999999998</v>
      </c>
      <c r="F315" s="25">
        <v>-1.5986</v>
      </c>
      <c r="G315" s="26" t="s">
        <v>93</v>
      </c>
      <c r="H315" s="27">
        <v>1.05257</v>
      </c>
      <c r="I315" s="28">
        <v>-2.2250999999999999</v>
      </c>
      <c r="J315" s="28">
        <v>0.1918</v>
      </c>
      <c r="K315" s="29">
        <f t="shared" si="8"/>
        <v>8.979999999999988E-2</v>
      </c>
      <c r="L315" s="29">
        <f t="shared" si="9"/>
        <v>0.30940000000000001</v>
      </c>
    </row>
    <row r="316" spans="1:12" x14ac:dyDescent="0.25">
      <c r="A316" s="21">
        <v>27</v>
      </c>
      <c r="B316" s="22" t="s">
        <v>119</v>
      </c>
      <c r="C316" s="23">
        <v>60</v>
      </c>
      <c r="D316" s="24">
        <v>-2.1383000000000001</v>
      </c>
      <c r="E316" s="24">
        <v>0.50380000000000003</v>
      </c>
      <c r="F316" s="25">
        <v>-0.63290000000000002</v>
      </c>
      <c r="G316" s="26" t="s">
        <v>93</v>
      </c>
      <c r="H316" s="27">
        <v>1.05322</v>
      </c>
      <c r="I316" s="28">
        <v>-2.2250999999999999</v>
      </c>
      <c r="J316" s="28">
        <v>0.1918</v>
      </c>
      <c r="K316" s="29">
        <f t="shared" si="8"/>
        <v>8.6799999999999766E-2</v>
      </c>
      <c r="L316" s="29">
        <f t="shared" si="9"/>
        <v>0.31200000000000006</v>
      </c>
    </row>
    <row r="317" spans="1:12" x14ac:dyDescent="0.25">
      <c r="A317" s="21">
        <v>27</v>
      </c>
      <c r="B317" s="22" t="s">
        <v>119</v>
      </c>
      <c r="C317" s="23">
        <v>90</v>
      </c>
      <c r="D317" s="24">
        <v>-2.1802999999999999</v>
      </c>
      <c r="E317" s="24">
        <v>0.50790000000000002</v>
      </c>
      <c r="F317" s="25">
        <v>0.50790000000000002</v>
      </c>
      <c r="G317" s="26" t="s">
        <v>93</v>
      </c>
      <c r="H317" s="27">
        <v>1.0619799999999999</v>
      </c>
      <c r="I317" s="28">
        <v>-2.2250999999999999</v>
      </c>
      <c r="J317" s="28">
        <v>0.1918</v>
      </c>
      <c r="K317" s="29">
        <f t="shared" si="8"/>
        <v>4.4799999999999951E-2</v>
      </c>
      <c r="L317" s="29">
        <f t="shared" si="9"/>
        <v>0.31610000000000005</v>
      </c>
    </row>
    <row r="318" spans="1:12" x14ac:dyDescent="0.25">
      <c r="A318" s="21">
        <v>27</v>
      </c>
      <c r="B318" s="22" t="s">
        <v>119</v>
      </c>
      <c r="C318" s="23">
        <v>120</v>
      </c>
      <c r="D318" s="24">
        <v>-2.2892000000000001</v>
      </c>
      <c r="E318" s="24">
        <v>0.48480000000000001</v>
      </c>
      <c r="F318" s="25">
        <v>1.5645</v>
      </c>
      <c r="G318" s="26" t="s">
        <v>93</v>
      </c>
      <c r="H318" s="27">
        <v>1.1000000000000001</v>
      </c>
      <c r="I318" s="28">
        <v>-2.2250999999999999</v>
      </c>
      <c r="J318" s="28">
        <v>0.1918</v>
      </c>
      <c r="K318" s="29">
        <f t="shared" si="8"/>
        <v>-6.4100000000000268E-2</v>
      </c>
      <c r="L318" s="29">
        <f t="shared" si="9"/>
        <v>0.29300000000000004</v>
      </c>
    </row>
    <row r="319" spans="1:12" x14ac:dyDescent="0.25">
      <c r="A319" s="21">
        <v>27</v>
      </c>
      <c r="B319" s="22" t="s">
        <v>119</v>
      </c>
      <c r="C319" s="23">
        <v>150</v>
      </c>
      <c r="D319" s="24">
        <v>-2.3816000000000002</v>
      </c>
      <c r="E319" s="24">
        <v>0.38650000000000001</v>
      </c>
      <c r="F319" s="25">
        <v>2.2557999999999998</v>
      </c>
      <c r="G319" s="26" t="s">
        <v>93</v>
      </c>
      <c r="H319" s="27">
        <v>1.1000000000000001</v>
      </c>
      <c r="I319" s="28">
        <v>-2.2250999999999999</v>
      </c>
      <c r="J319" s="28">
        <v>0.1918</v>
      </c>
      <c r="K319" s="29">
        <f t="shared" si="8"/>
        <v>-0.15650000000000031</v>
      </c>
      <c r="L319" s="29">
        <f t="shared" si="9"/>
        <v>0.19470000000000001</v>
      </c>
    </row>
    <row r="320" spans="1:12" x14ac:dyDescent="0.25">
      <c r="A320" s="21">
        <v>27</v>
      </c>
      <c r="B320" s="22" t="s">
        <v>119</v>
      </c>
      <c r="C320" s="23">
        <v>180</v>
      </c>
      <c r="D320" s="24">
        <v>-2.4184999999999999</v>
      </c>
      <c r="E320" s="24">
        <v>0.2631</v>
      </c>
      <c r="F320" s="25">
        <v>2.4184999999999999</v>
      </c>
      <c r="G320" s="26" t="s">
        <v>93</v>
      </c>
      <c r="H320" s="27">
        <v>1.1000000000000001</v>
      </c>
      <c r="I320" s="28">
        <v>-2.2250999999999999</v>
      </c>
      <c r="J320" s="28">
        <v>0.1918</v>
      </c>
      <c r="K320" s="29">
        <f t="shared" si="8"/>
        <v>-0.19340000000000002</v>
      </c>
      <c r="L320" s="29">
        <f t="shared" si="9"/>
        <v>7.1300000000000002E-2</v>
      </c>
    </row>
    <row r="321" spans="1:12" x14ac:dyDescent="0.25">
      <c r="A321" s="21">
        <v>27</v>
      </c>
      <c r="B321" s="22" t="s">
        <v>119</v>
      </c>
      <c r="C321" s="23">
        <v>210</v>
      </c>
      <c r="D321" s="24">
        <v>-2.3969</v>
      </c>
      <c r="E321" s="24">
        <v>0.20480000000000001</v>
      </c>
      <c r="F321" s="25">
        <v>1.9734</v>
      </c>
      <c r="G321" s="26" t="s">
        <v>93</v>
      </c>
      <c r="H321" s="27">
        <v>1.1000000000000001</v>
      </c>
      <c r="I321" s="28">
        <v>-2.2250999999999999</v>
      </c>
      <c r="J321" s="28">
        <v>0.1918</v>
      </c>
      <c r="K321" s="29">
        <f t="shared" si="8"/>
        <v>-0.17180000000000017</v>
      </c>
      <c r="L321" s="29">
        <f t="shared" si="9"/>
        <v>1.3000000000000012E-2</v>
      </c>
    </row>
    <row r="322" spans="1:12" x14ac:dyDescent="0.25">
      <c r="A322" s="21">
        <v>27</v>
      </c>
      <c r="B322" s="22" t="s">
        <v>119</v>
      </c>
      <c r="C322" s="23">
        <v>240</v>
      </c>
      <c r="D322" s="24">
        <v>-2.1877</v>
      </c>
      <c r="E322" s="24">
        <v>-1.4200000000000001E-2</v>
      </c>
      <c r="F322" s="25">
        <v>1.1061000000000001</v>
      </c>
      <c r="G322" s="26" t="s">
        <v>93</v>
      </c>
      <c r="H322" s="27">
        <v>1.1000000000000001</v>
      </c>
      <c r="I322" s="28">
        <v>-2.2250999999999999</v>
      </c>
      <c r="J322" s="28">
        <v>0.1918</v>
      </c>
      <c r="K322" s="29">
        <f t="shared" ref="K322:K385" si="10">D322-I322</f>
        <v>3.7399999999999878E-2</v>
      </c>
      <c r="L322" s="29">
        <f t="shared" ref="L322:L385" si="11">E322-J322</f>
        <v>-0.20599999999999999</v>
      </c>
    </row>
    <row r="323" spans="1:12" x14ac:dyDescent="0.25">
      <c r="A323" s="21">
        <v>27</v>
      </c>
      <c r="B323" s="22" t="s">
        <v>119</v>
      </c>
      <c r="C323" s="23">
        <v>270</v>
      </c>
      <c r="D323" s="24">
        <v>-2.1373000000000002</v>
      </c>
      <c r="E323" s="24">
        <v>-2.7900000000000001E-2</v>
      </c>
      <c r="F323" s="25">
        <v>2.7900000000000001E-2</v>
      </c>
      <c r="G323" s="26" t="s">
        <v>93</v>
      </c>
      <c r="H323" s="27">
        <v>1.1000000000000001</v>
      </c>
      <c r="I323" s="28">
        <v>-2.2250999999999999</v>
      </c>
      <c r="J323" s="28">
        <v>0.1918</v>
      </c>
      <c r="K323" s="29">
        <f t="shared" si="10"/>
        <v>8.7799999999999656E-2</v>
      </c>
      <c r="L323" s="29">
        <f t="shared" si="11"/>
        <v>-0.21970000000000001</v>
      </c>
    </row>
    <row r="324" spans="1:12" x14ac:dyDescent="0.25">
      <c r="A324" s="21">
        <v>27</v>
      </c>
      <c r="B324" s="22" t="s">
        <v>119</v>
      </c>
      <c r="C324" s="23">
        <v>300</v>
      </c>
      <c r="D324" s="24">
        <v>-2.1286999999999998</v>
      </c>
      <c r="E324" s="24">
        <v>-2.7E-2</v>
      </c>
      <c r="F324" s="25">
        <v>-1.0409999999999999</v>
      </c>
      <c r="G324" s="26" t="s">
        <v>93</v>
      </c>
      <c r="H324" s="27">
        <v>1.1000000000000001</v>
      </c>
      <c r="I324" s="28">
        <v>-2.2250999999999999</v>
      </c>
      <c r="J324" s="28">
        <v>0.1918</v>
      </c>
      <c r="K324" s="29">
        <f t="shared" si="10"/>
        <v>9.6400000000000041E-2</v>
      </c>
      <c r="L324" s="29">
        <f t="shared" si="11"/>
        <v>-0.21879999999999999</v>
      </c>
    </row>
    <row r="325" spans="1:12" x14ac:dyDescent="0.25">
      <c r="A325" s="30">
        <v>27</v>
      </c>
      <c r="B325" s="31" t="s">
        <v>119</v>
      </c>
      <c r="C325" s="32">
        <v>330</v>
      </c>
      <c r="D325" s="33">
        <v>-2.1286999999999998</v>
      </c>
      <c r="E325" s="33">
        <v>-2.7E-2</v>
      </c>
      <c r="F325" s="34">
        <v>-1.83</v>
      </c>
      <c r="G325" s="35" t="s">
        <v>93</v>
      </c>
      <c r="H325" s="36">
        <v>1.1000000000000001</v>
      </c>
      <c r="I325" s="37">
        <v>-2.2250999999999999</v>
      </c>
      <c r="J325" s="37">
        <v>0.1918</v>
      </c>
      <c r="K325" s="38">
        <f t="shared" si="10"/>
        <v>9.6400000000000041E-2</v>
      </c>
      <c r="L325" s="38">
        <f t="shared" si="11"/>
        <v>-0.21879999999999999</v>
      </c>
    </row>
    <row r="326" spans="1:12" x14ac:dyDescent="0.25">
      <c r="A326" s="21">
        <v>28</v>
      </c>
      <c r="B326" s="22" t="s">
        <v>120</v>
      </c>
      <c r="C326" s="23">
        <v>0</v>
      </c>
      <c r="D326" s="24">
        <v>-1.996</v>
      </c>
      <c r="E326" s="24">
        <v>0.2162</v>
      </c>
      <c r="F326" s="25">
        <v>-1.996</v>
      </c>
      <c r="G326" s="26" t="s">
        <v>93</v>
      </c>
      <c r="H326" s="27">
        <v>1.1000000000000001</v>
      </c>
      <c r="I326" s="28">
        <v>-2.1720000000000002</v>
      </c>
      <c r="J326" s="28">
        <v>0.17829999999999999</v>
      </c>
      <c r="K326" s="29">
        <f t="shared" si="10"/>
        <v>0.17600000000000016</v>
      </c>
      <c r="L326" s="29">
        <f t="shared" si="11"/>
        <v>3.7900000000000017E-2</v>
      </c>
    </row>
    <row r="327" spans="1:12" x14ac:dyDescent="0.25">
      <c r="A327" s="21">
        <v>28</v>
      </c>
      <c r="B327" s="22" t="s">
        <v>120</v>
      </c>
      <c r="C327" s="23">
        <v>30</v>
      </c>
      <c r="D327" s="24">
        <v>-2.0099</v>
      </c>
      <c r="E327" s="24">
        <v>0.49840000000000001</v>
      </c>
      <c r="F327" s="25">
        <v>-1.4914000000000001</v>
      </c>
      <c r="G327" s="26" t="s">
        <v>93</v>
      </c>
      <c r="H327" s="27">
        <v>1.0501100000000001</v>
      </c>
      <c r="I327" s="28">
        <v>-2.1720000000000002</v>
      </c>
      <c r="J327" s="28">
        <v>0.17829999999999999</v>
      </c>
      <c r="K327" s="29">
        <f t="shared" si="10"/>
        <v>0.16210000000000013</v>
      </c>
      <c r="L327" s="29">
        <f t="shared" si="11"/>
        <v>0.32010000000000005</v>
      </c>
    </row>
    <row r="328" spans="1:12" x14ac:dyDescent="0.25">
      <c r="A328" s="21">
        <v>28</v>
      </c>
      <c r="B328" s="22" t="s">
        <v>120</v>
      </c>
      <c r="C328" s="23">
        <v>60</v>
      </c>
      <c r="D328" s="24">
        <v>-2.0122</v>
      </c>
      <c r="E328" s="24">
        <v>0.50049999999999994</v>
      </c>
      <c r="F328" s="25">
        <v>-0.57269999999999999</v>
      </c>
      <c r="G328" s="26" t="s">
        <v>93</v>
      </c>
      <c r="H328" s="27">
        <v>1.05071</v>
      </c>
      <c r="I328" s="28">
        <v>-2.1720000000000002</v>
      </c>
      <c r="J328" s="28">
        <v>0.17829999999999999</v>
      </c>
      <c r="K328" s="29">
        <f t="shared" si="10"/>
        <v>0.15980000000000016</v>
      </c>
      <c r="L328" s="29">
        <f t="shared" si="11"/>
        <v>0.32219999999999993</v>
      </c>
    </row>
    <row r="329" spans="1:12" x14ac:dyDescent="0.25">
      <c r="A329" s="21">
        <v>28</v>
      </c>
      <c r="B329" s="22" t="s">
        <v>120</v>
      </c>
      <c r="C329" s="23">
        <v>90</v>
      </c>
      <c r="D329" s="24">
        <v>-2.0529999999999999</v>
      </c>
      <c r="E329" s="24">
        <v>0.50429999999999997</v>
      </c>
      <c r="F329" s="25">
        <v>0.50429999999999997</v>
      </c>
      <c r="G329" s="26" t="s">
        <v>93</v>
      </c>
      <c r="H329" s="27">
        <v>1.05369</v>
      </c>
      <c r="I329" s="28">
        <v>-2.1720000000000002</v>
      </c>
      <c r="J329" s="28">
        <v>0.17829999999999999</v>
      </c>
      <c r="K329" s="29">
        <f t="shared" si="10"/>
        <v>0.11900000000000022</v>
      </c>
      <c r="L329" s="29">
        <f t="shared" si="11"/>
        <v>0.32599999999999996</v>
      </c>
    </row>
    <row r="330" spans="1:12" x14ac:dyDescent="0.25">
      <c r="A330" s="21">
        <v>28</v>
      </c>
      <c r="B330" s="22" t="s">
        <v>120</v>
      </c>
      <c r="C330" s="23">
        <v>120</v>
      </c>
      <c r="D330" s="24">
        <v>-2.1648000000000001</v>
      </c>
      <c r="E330" s="24">
        <v>0.48010000000000003</v>
      </c>
      <c r="F330" s="25">
        <v>1.4981</v>
      </c>
      <c r="G330" s="26" t="s">
        <v>93</v>
      </c>
      <c r="H330" s="27">
        <v>1.0897300000000001</v>
      </c>
      <c r="I330" s="28">
        <v>-2.1720000000000002</v>
      </c>
      <c r="J330" s="28">
        <v>0.17829999999999999</v>
      </c>
      <c r="K330" s="29">
        <f t="shared" si="10"/>
        <v>7.2000000000000952E-3</v>
      </c>
      <c r="L330" s="29">
        <f t="shared" si="11"/>
        <v>0.30180000000000007</v>
      </c>
    </row>
    <row r="331" spans="1:12" x14ac:dyDescent="0.25">
      <c r="A331" s="21">
        <v>28</v>
      </c>
      <c r="B331" s="22" t="s">
        <v>120</v>
      </c>
      <c r="C331" s="23">
        <v>150</v>
      </c>
      <c r="D331" s="24">
        <v>-2.2625999999999999</v>
      </c>
      <c r="E331" s="24">
        <v>0.376</v>
      </c>
      <c r="F331" s="25">
        <v>2.1475</v>
      </c>
      <c r="G331" s="26" t="s">
        <v>93</v>
      </c>
      <c r="H331" s="27">
        <v>1.1000000000000001</v>
      </c>
      <c r="I331" s="28">
        <v>-2.1720000000000002</v>
      </c>
      <c r="J331" s="28">
        <v>0.17829999999999999</v>
      </c>
      <c r="K331" s="29">
        <f t="shared" si="10"/>
        <v>-9.0599999999999792E-2</v>
      </c>
      <c r="L331" s="29">
        <f t="shared" si="11"/>
        <v>0.19770000000000001</v>
      </c>
    </row>
    <row r="332" spans="1:12" x14ac:dyDescent="0.25">
      <c r="A332" s="21">
        <v>28</v>
      </c>
      <c r="B332" s="22" t="s">
        <v>120</v>
      </c>
      <c r="C332" s="23">
        <v>180</v>
      </c>
      <c r="D332" s="24">
        <v>-2.2978999999999998</v>
      </c>
      <c r="E332" s="24">
        <v>0.2581</v>
      </c>
      <c r="F332" s="25">
        <v>2.2978999999999998</v>
      </c>
      <c r="G332" s="26" t="s">
        <v>93</v>
      </c>
      <c r="H332" s="27">
        <v>1.1000000000000001</v>
      </c>
      <c r="I332" s="28">
        <v>-2.1720000000000002</v>
      </c>
      <c r="J332" s="28">
        <v>0.17829999999999999</v>
      </c>
      <c r="K332" s="29">
        <f t="shared" si="10"/>
        <v>-0.12589999999999968</v>
      </c>
      <c r="L332" s="29">
        <f t="shared" si="11"/>
        <v>7.980000000000001E-2</v>
      </c>
    </row>
    <row r="333" spans="1:12" x14ac:dyDescent="0.25">
      <c r="A333" s="21">
        <v>28</v>
      </c>
      <c r="B333" s="22" t="s">
        <v>120</v>
      </c>
      <c r="C333" s="23">
        <v>210</v>
      </c>
      <c r="D333" s="24">
        <v>-2.2698</v>
      </c>
      <c r="E333" s="24">
        <v>0.18390000000000001</v>
      </c>
      <c r="F333" s="25">
        <v>1.8737999999999999</v>
      </c>
      <c r="G333" s="26" t="s">
        <v>93</v>
      </c>
      <c r="H333" s="27">
        <v>1.1000000000000001</v>
      </c>
      <c r="I333" s="28">
        <v>-2.1720000000000002</v>
      </c>
      <c r="J333" s="28">
        <v>0.17829999999999999</v>
      </c>
      <c r="K333" s="29">
        <f t="shared" si="10"/>
        <v>-9.7799999999999887E-2</v>
      </c>
      <c r="L333" s="29">
        <f t="shared" si="11"/>
        <v>5.6000000000000216E-3</v>
      </c>
    </row>
    <row r="334" spans="1:12" x14ac:dyDescent="0.25">
      <c r="A334" s="21">
        <v>28</v>
      </c>
      <c r="B334" s="22" t="s">
        <v>120</v>
      </c>
      <c r="C334" s="23">
        <v>240</v>
      </c>
      <c r="D334" s="24">
        <v>-2.0626000000000002</v>
      </c>
      <c r="E334" s="24">
        <v>-0.03</v>
      </c>
      <c r="F334" s="25">
        <v>1.0572999999999999</v>
      </c>
      <c r="G334" s="26" t="s">
        <v>93</v>
      </c>
      <c r="H334" s="27">
        <v>1.1000000000000001</v>
      </c>
      <c r="I334" s="28">
        <v>-2.1720000000000002</v>
      </c>
      <c r="J334" s="28">
        <v>0.17829999999999999</v>
      </c>
      <c r="K334" s="29">
        <f t="shared" si="10"/>
        <v>0.10939999999999994</v>
      </c>
      <c r="L334" s="29">
        <f t="shared" si="11"/>
        <v>-0.20829999999999999</v>
      </c>
    </row>
    <row r="335" spans="1:12" x14ac:dyDescent="0.25">
      <c r="A335" s="21">
        <v>28</v>
      </c>
      <c r="B335" s="22" t="s">
        <v>120</v>
      </c>
      <c r="C335" s="23">
        <v>270</v>
      </c>
      <c r="D335" s="24">
        <v>-2.012</v>
      </c>
      <c r="E335" s="24">
        <v>-4.3700000000000003E-2</v>
      </c>
      <c r="F335" s="25">
        <v>4.3700000000000003E-2</v>
      </c>
      <c r="G335" s="26" t="s">
        <v>93</v>
      </c>
      <c r="H335" s="27">
        <v>1.1000000000000001</v>
      </c>
      <c r="I335" s="28">
        <v>-2.1720000000000002</v>
      </c>
      <c r="J335" s="28">
        <v>0.17829999999999999</v>
      </c>
      <c r="K335" s="29">
        <f t="shared" si="10"/>
        <v>0.16000000000000014</v>
      </c>
      <c r="L335" s="29">
        <f t="shared" si="11"/>
        <v>-0.22199999999999998</v>
      </c>
    </row>
    <row r="336" spans="1:12" x14ac:dyDescent="0.25">
      <c r="A336" s="21">
        <v>28</v>
      </c>
      <c r="B336" s="22" t="s">
        <v>120</v>
      </c>
      <c r="C336" s="23">
        <v>300</v>
      </c>
      <c r="D336" s="24">
        <v>-2.0038999999999998</v>
      </c>
      <c r="E336" s="24">
        <v>-4.3099999999999999E-2</v>
      </c>
      <c r="F336" s="25">
        <v>-0.96460000000000001</v>
      </c>
      <c r="G336" s="26" t="s">
        <v>93</v>
      </c>
      <c r="H336" s="27">
        <v>1.1000000000000001</v>
      </c>
      <c r="I336" s="28">
        <v>-2.1720000000000002</v>
      </c>
      <c r="J336" s="28">
        <v>0.17829999999999999</v>
      </c>
      <c r="K336" s="29">
        <f t="shared" si="10"/>
        <v>0.16810000000000036</v>
      </c>
      <c r="L336" s="29">
        <f t="shared" si="11"/>
        <v>-0.22139999999999999</v>
      </c>
    </row>
    <row r="337" spans="1:12" x14ac:dyDescent="0.25">
      <c r="A337" s="30">
        <v>28</v>
      </c>
      <c r="B337" s="31" t="s">
        <v>120</v>
      </c>
      <c r="C337" s="32">
        <v>330</v>
      </c>
      <c r="D337" s="33">
        <v>-2.0038999999999998</v>
      </c>
      <c r="E337" s="33">
        <v>-4.3099999999999999E-2</v>
      </c>
      <c r="F337" s="34">
        <v>-1.7139</v>
      </c>
      <c r="G337" s="35" t="s">
        <v>93</v>
      </c>
      <c r="H337" s="36">
        <v>1.1000000000000001</v>
      </c>
      <c r="I337" s="37">
        <v>-2.1720000000000002</v>
      </c>
      <c r="J337" s="37">
        <v>0.17829999999999999</v>
      </c>
      <c r="K337" s="38">
        <f t="shared" si="10"/>
        <v>0.16810000000000036</v>
      </c>
      <c r="L337" s="38">
        <f t="shared" si="11"/>
        <v>-0.22139999999999999</v>
      </c>
    </row>
    <row r="338" spans="1:12" x14ac:dyDescent="0.25">
      <c r="A338" s="21">
        <v>29</v>
      </c>
      <c r="B338" s="22" t="s">
        <v>121</v>
      </c>
      <c r="C338" s="23">
        <v>0</v>
      </c>
      <c r="D338" s="24">
        <v>-1.8440000000000001</v>
      </c>
      <c r="E338" s="24">
        <v>0.2122</v>
      </c>
      <c r="F338" s="25">
        <v>-1.8440000000000001</v>
      </c>
      <c r="G338" s="26" t="s">
        <v>93</v>
      </c>
      <c r="H338" s="27">
        <v>1.1000000000000001</v>
      </c>
      <c r="I338" s="28">
        <v>-2.0453999999999999</v>
      </c>
      <c r="J338" s="28">
        <v>0.17519999999999999</v>
      </c>
      <c r="K338" s="29">
        <f t="shared" si="10"/>
        <v>0.2013999999999998</v>
      </c>
      <c r="L338" s="29">
        <f t="shared" si="11"/>
        <v>3.7000000000000005E-2</v>
      </c>
    </row>
    <row r="339" spans="1:12" x14ac:dyDescent="0.25">
      <c r="A339" s="21">
        <v>29</v>
      </c>
      <c r="B339" s="22" t="s">
        <v>121</v>
      </c>
      <c r="C339" s="23">
        <v>30</v>
      </c>
      <c r="D339" s="24">
        <v>-1.8574999999999999</v>
      </c>
      <c r="E339" s="24">
        <v>0.49259999999999998</v>
      </c>
      <c r="F339" s="25">
        <v>-1.3623000000000001</v>
      </c>
      <c r="G339" s="26" t="s">
        <v>93</v>
      </c>
      <c r="H339" s="27">
        <v>1.0524800000000001</v>
      </c>
      <c r="I339" s="28">
        <v>-2.0453999999999999</v>
      </c>
      <c r="J339" s="28">
        <v>0.17519999999999999</v>
      </c>
      <c r="K339" s="29">
        <f t="shared" si="10"/>
        <v>0.18789999999999996</v>
      </c>
      <c r="L339" s="29">
        <f t="shared" si="11"/>
        <v>0.31740000000000002</v>
      </c>
    </row>
    <row r="340" spans="1:12" x14ac:dyDescent="0.25">
      <c r="A340" s="21">
        <v>29</v>
      </c>
      <c r="B340" s="22" t="s">
        <v>121</v>
      </c>
      <c r="C340" s="23">
        <v>60</v>
      </c>
      <c r="D340" s="24">
        <v>-1.8588</v>
      </c>
      <c r="E340" s="24">
        <v>0.49349999999999999</v>
      </c>
      <c r="F340" s="25">
        <v>-0.502</v>
      </c>
      <c r="G340" s="26" t="s">
        <v>93</v>
      </c>
      <c r="H340" s="27">
        <v>1.05278</v>
      </c>
      <c r="I340" s="28">
        <v>-2.0453999999999999</v>
      </c>
      <c r="J340" s="28">
        <v>0.17519999999999999</v>
      </c>
      <c r="K340" s="29">
        <f t="shared" si="10"/>
        <v>0.18659999999999988</v>
      </c>
      <c r="L340" s="29">
        <f t="shared" si="11"/>
        <v>0.31830000000000003</v>
      </c>
    </row>
    <row r="341" spans="1:12" x14ac:dyDescent="0.25">
      <c r="A341" s="21">
        <v>29</v>
      </c>
      <c r="B341" s="22" t="s">
        <v>121</v>
      </c>
      <c r="C341" s="23">
        <v>90</v>
      </c>
      <c r="D341" s="24">
        <v>-1.8987000000000001</v>
      </c>
      <c r="E341" s="24">
        <v>0.49709999999999999</v>
      </c>
      <c r="F341" s="25">
        <v>0.49709999999999999</v>
      </c>
      <c r="G341" s="26" t="s">
        <v>93</v>
      </c>
      <c r="H341" s="27">
        <v>1.05616</v>
      </c>
      <c r="I341" s="28">
        <v>-2.0453999999999999</v>
      </c>
      <c r="J341" s="28">
        <v>0.17519999999999999</v>
      </c>
      <c r="K341" s="29">
        <f t="shared" si="10"/>
        <v>0.14669999999999983</v>
      </c>
      <c r="L341" s="29">
        <f t="shared" si="11"/>
        <v>0.32189999999999996</v>
      </c>
    </row>
    <row r="342" spans="1:12" x14ac:dyDescent="0.25">
      <c r="A342" s="21">
        <v>29</v>
      </c>
      <c r="B342" s="22" t="s">
        <v>121</v>
      </c>
      <c r="C342" s="23">
        <v>120</v>
      </c>
      <c r="D342" s="24">
        <v>-2.0198999999999998</v>
      </c>
      <c r="E342" s="24">
        <v>0.47</v>
      </c>
      <c r="F342" s="25">
        <v>1.4169</v>
      </c>
      <c r="G342" s="26" t="s">
        <v>93</v>
      </c>
      <c r="H342" s="27">
        <v>1.08849</v>
      </c>
      <c r="I342" s="28">
        <v>-2.0453999999999999</v>
      </c>
      <c r="J342" s="28">
        <v>0.17519999999999999</v>
      </c>
      <c r="K342" s="29">
        <f t="shared" si="10"/>
        <v>2.5500000000000078E-2</v>
      </c>
      <c r="L342" s="29">
        <f t="shared" si="11"/>
        <v>0.29479999999999995</v>
      </c>
    </row>
    <row r="343" spans="1:12" x14ac:dyDescent="0.25">
      <c r="A343" s="21">
        <v>29</v>
      </c>
      <c r="B343" s="22" t="s">
        <v>121</v>
      </c>
      <c r="C343" s="23">
        <v>150</v>
      </c>
      <c r="D343" s="24">
        <v>-2.1153</v>
      </c>
      <c r="E343" s="24">
        <v>0.36780000000000002</v>
      </c>
      <c r="F343" s="25">
        <v>2.0158</v>
      </c>
      <c r="G343" s="26" t="s">
        <v>93</v>
      </c>
      <c r="H343" s="27">
        <v>1.1000000000000001</v>
      </c>
      <c r="I343" s="28">
        <v>-2.0453999999999999</v>
      </c>
      <c r="J343" s="28">
        <v>0.17519999999999999</v>
      </c>
      <c r="K343" s="29">
        <f t="shared" si="10"/>
        <v>-6.9900000000000073E-2</v>
      </c>
      <c r="L343" s="29">
        <f t="shared" si="11"/>
        <v>0.19260000000000002</v>
      </c>
    </row>
    <row r="344" spans="1:12" x14ac:dyDescent="0.25">
      <c r="A344" s="21">
        <v>29</v>
      </c>
      <c r="B344" s="22" t="s">
        <v>121</v>
      </c>
      <c r="C344" s="23">
        <v>180</v>
      </c>
      <c r="D344" s="24">
        <v>-2.15</v>
      </c>
      <c r="E344" s="24">
        <v>0.25430000000000003</v>
      </c>
      <c r="F344" s="25">
        <v>2.15</v>
      </c>
      <c r="G344" s="26" t="s">
        <v>93</v>
      </c>
      <c r="H344" s="27">
        <v>1.1000000000000001</v>
      </c>
      <c r="I344" s="28">
        <v>-2.0453999999999999</v>
      </c>
      <c r="J344" s="28">
        <v>0.17519999999999999</v>
      </c>
      <c r="K344" s="29">
        <f t="shared" si="10"/>
        <v>-0.10460000000000003</v>
      </c>
      <c r="L344" s="29">
        <f t="shared" si="11"/>
        <v>7.9100000000000031E-2</v>
      </c>
    </row>
    <row r="345" spans="1:12" x14ac:dyDescent="0.25">
      <c r="A345" s="21">
        <v>29</v>
      </c>
      <c r="B345" s="22" t="s">
        <v>121</v>
      </c>
      <c r="C345" s="23">
        <v>210</v>
      </c>
      <c r="D345" s="24">
        <v>-2.1227</v>
      </c>
      <c r="E345" s="24">
        <v>0.1726</v>
      </c>
      <c r="F345" s="25">
        <v>1.752</v>
      </c>
      <c r="G345" s="26" t="s">
        <v>93</v>
      </c>
      <c r="H345" s="27">
        <v>1.1000000000000001</v>
      </c>
      <c r="I345" s="28">
        <v>-2.0453999999999999</v>
      </c>
      <c r="J345" s="28">
        <v>0.17519999999999999</v>
      </c>
      <c r="K345" s="29">
        <f t="shared" si="10"/>
        <v>-7.7300000000000146E-2</v>
      </c>
      <c r="L345" s="29">
        <f t="shared" si="11"/>
        <v>-2.5999999999999912E-3</v>
      </c>
    </row>
    <row r="346" spans="1:12" x14ac:dyDescent="0.25">
      <c r="A346" s="21">
        <v>29</v>
      </c>
      <c r="B346" s="22" t="s">
        <v>121</v>
      </c>
      <c r="C346" s="23">
        <v>240</v>
      </c>
      <c r="D346" s="24">
        <v>-1.9133</v>
      </c>
      <c r="E346" s="24">
        <v>-4.7500000000000001E-2</v>
      </c>
      <c r="F346" s="25">
        <v>0.99780000000000002</v>
      </c>
      <c r="G346" s="26" t="s">
        <v>93</v>
      </c>
      <c r="H346" s="27">
        <v>1.1000000000000001</v>
      </c>
      <c r="I346" s="28">
        <v>-2.0453999999999999</v>
      </c>
      <c r="J346" s="28">
        <v>0.17519999999999999</v>
      </c>
      <c r="K346" s="29">
        <f t="shared" si="10"/>
        <v>0.13209999999999988</v>
      </c>
      <c r="L346" s="29">
        <f t="shared" si="11"/>
        <v>-0.22270000000000001</v>
      </c>
    </row>
    <row r="347" spans="1:12" x14ac:dyDescent="0.25">
      <c r="A347" s="21">
        <v>29</v>
      </c>
      <c r="B347" s="22" t="s">
        <v>121</v>
      </c>
      <c r="C347" s="23">
        <v>270</v>
      </c>
      <c r="D347" s="24">
        <v>-1.8613999999999999</v>
      </c>
      <c r="E347" s="24">
        <v>-6.25E-2</v>
      </c>
      <c r="F347" s="25">
        <v>6.25E-2</v>
      </c>
      <c r="G347" s="26" t="s">
        <v>93</v>
      </c>
      <c r="H347" s="27">
        <v>1.1000000000000001</v>
      </c>
      <c r="I347" s="28">
        <v>-2.0453999999999999</v>
      </c>
      <c r="J347" s="28">
        <v>0.17519999999999999</v>
      </c>
      <c r="K347" s="29">
        <f t="shared" si="10"/>
        <v>0.18399999999999994</v>
      </c>
      <c r="L347" s="29">
        <f t="shared" si="11"/>
        <v>-0.23769999999999999</v>
      </c>
    </row>
    <row r="348" spans="1:12" x14ac:dyDescent="0.25">
      <c r="A348" s="21">
        <v>29</v>
      </c>
      <c r="B348" s="22" t="s">
        <v>121</v>
      </c>
      <c r="C348" s="23">
        <v>300</v>
      </c>
      <c r="D348" s="24">
        <v>-1.8522000000000001</v>
      </c>
      <c r="E348" s="24">
        <v>-6.1800000000000001E-2</v>
      </c>
      <c r="F348" s="25">
        <v>-0.87260000000000004</v>
      </c>
      <c r="G348" s="26" t="s">
        <v>93</v>
      </c>
      <c r="H348" s="27">
        <v>1.1000000000000001</v>
      </c>
      <c r="I348" s="28">
        <v>-2.0453999999999999</v>
      </c>
      <c r="J348" s="28">
        <v>0.17519999999999999</v>
      </c>
      <c r="K348" s="29">
        <f t="shared" si="10"/>
        <v>0.19319999999999982</v>
      </c>
      <c r="L348" s="29">
        <f t="shared" si="11"/>
        <v>-0.23699999999999999</v>
      </c>
    </row>
    <row r="349" spans="1:12" x14ac:dyDescent="0.25">
      <c r="A349" s="30">
        <v>29</v>
      </c>
      <c r="B349" s="31" t="s">
        <v>121</v>
      </c>
      <c r="C349" s="32">
        <v>330</v>
      </c>
      <c r="D349" s="33">
        <v>-1.8522000000000001</v>
      </c>
      <c r="E349" s="33">
        <v>-6.1800000000000001E-2</v>
      </c>
      <c r="F349" s="34">
        <v>-1.5731999999999999</v>
      </c>
      <c r="G349" s="35" t="s">
        <v>93</v>
      </c>
      <c r="H349" s="36">
        <v>1.1000000000000001</v>
      </c>
      <c r="I349" s="37">
        <v>-2.0453999999999999</v>
      </c>
      <c r="J349" s="37">
        <v>0.17519999999999999</v>
      </c>
      <c r="K349" s="38">
        <f t="shared" si="10"/>
        <v>0.19319999999999982</v>
      </c>
      <c r="L349" s="38">
        <f t="shared" si="11"/>
        <v>-0.23699999999999999</v>
      </c>
    </row>
    <row r="350" spans="1:12" x14ac:dyDescent="0.25">
      <c r="A350" s="21">
        <v>30</v>
      </c>
      <c r="B350" s="22" t="s">
        <v>122</v>
      </c>
      <c r="C350" s="23">
        <v>0</v>
      </c>
      <c r="D350" s="24">
        <v>-1.6777</v>
      </c>
      <c r="E350" s="24">
        <v>0.18379999999999999</v>
      </c>
      <c r="F350" s="25">
        <v>-1.6777</v>
      </c>
      <c r="G350" s="26" t="s">
        <v>93</v>
      </c>
      <c r="H350" s="27">
        <v>1.1000000000000001</v>
      </c>
      <c r="I350" s="28">
        <v>-1.8918999999999999</v>
      </c>
      <c r="J350" s="28">
        <v>0.16839999999999999</v>
      </c>
      <c r="K350" s="29">
        <f t="shared" si="10"/>
        <v>0.21419999999999995</v>
      </c>
      <c r="L350" s="29">
        <f t="shared" si="11"/>
        <v>1.5399999999999997E-2</v>
      </c>
    </row>
    <row r="351" spans="1:12" x14ac:dyDescent="0.25">
      <c r="A351" s="21">
        <v>30</v>
      </c>
      <c r="B351" s="22" t="s">
        <v>122</v>
      </c>
      <c r="C351" s="23">
        <v>30</v>
      </c>
      <c r="D351" s="24">
        <v>-1.6899</v>
      </c>
      <c r="E351" s="24">
        <v>0.48959999999999998</v>
      </c>
      <c r="F351" s="25">
        <v>-1.2186999999999999</v>
      </c>
      <c r="G351" s="26" t="s">
        <v>93</v>
      </c>
      <c r="H351" s="27">
        <v>1.0502899999999999</v>
      </c>
      <c r="I351" s="28">
        <v>-1.8918999999999999</v>
      </c>
      <c r="J351" s="28">
        <v>0.16839999999999999</v>
      </c>
      <c r="K351" s="29">
        <f t="shared" si="10"/>
        <v>0.20199999999999996</v>
      </c>
      <c r="L351" s="29">
        <f t="shared" si="11"/>
        <v>0.32119999999999999</v>
      </c>
    </row>
    <row r="352" spans="1:12" x14ac:dyDescent="0.25">
      <c r="A352" s="21">
        <v>30</v>
      </c>
      <c r="B352" s="22" t="s">
        <v>122</v>
      </c>
      <c r="C352" s="23">
        <v>60</v>
      </c>
      <c r="D352" s="24">
        <v>-1.6899</v>
      </c>
      <c r="E352" s="24">
        <v>0.48959999999999998</v>
      </c>
      <c r="F352" s="25">
        <v>-0.42099999999999999</v>
      </c>
      <c r="G352" s="26" t="s">
        <v>93</v>
      </c>
      <c r="H352" s="27">
        <v>1.0502899999999999</v>
      </c>
      <c r="I352" s="28">
        <v>-1.8918999999999999</v>
      </c>
      <c r="J352" s="28">
        <v>0.16839999999999999</v>
      </c>
      <c r="K352" s="29">
        <f t="shared" si="10"/>
        <v>0.20199999999999996</v>
      </c>
      <c r="L352" s="29">
        <f t="shared" si="11"/>
        <v>0.32119999999999999</v>
      </c>
    </row>
    <row r="353" spans="1:12" x14ac:dyDescent="0.25">
      <c r="A353" s="21">
        <v>30</v>
      </c>
      <c r="B353" s="22" t="s">
        <v>122</v>
      </c>
      <c r="C353" s="23">
        <v>90</v>
      </c>
      <c r="D353" s="24">
        <v>-1.7286999999999999</v>
      </c>
      <c r="E353" s="24">
        <v>0.49280000000000002</v>
      </c>
      <c r="F353" s="25">
        <v>0.49280000000000002</v>
      </c>
      <c r="G353" s="26" t="s">
        <v>93</v>
      </c>
      <c r="H353" s="27">
        <v>1.0538400000000001</v>
      </c>
      <c r="I353" s="28">
        <v>-1.8918999999999999</v>
      </c>
      <c r="J353" s="28">
        <v>0.16839999999999999</v>
      </c>
      <c r="K353" s="29">
        <f t="shared" si="10"/>
        <v>0.16320000000000001</v>
      </c>
      <c r="L353" s="29">
        <f t="shared" si="11"/>
        <v>0.32440000000000002</v>
      </c>
    </row>
    <row r="354" spans="1:12" x14ac:dyDescent="0.25">
      <c r="A354" s="21">
        <v>30</v>
      </c>
      <c r="B354" s="22" t="s">
        <v>122</v>
      </c>
      <c r="C354" s="23">
        <v>120</v>
      </c>
      <c r="D354" s="24">
        <v>-1.8640000000000001</v>
      </c>
      <c r="E354" s="24">
        <v>0.46</v>
      </c>
      <c r="F354" s="25">
        <v>1.3304</v>
      </c>
      <c r="G354" s="26" t="s">
        <v>93</v>
      </c>
      <c r="H354" s="27">
        <v>1.08189</v>
      </c>
      <c r="I354" s="28">
        <v>-1.8918999999999999</v>
      </c>
      <c r="J354" s="28">
        <v>0.16839999999999999</v>
      </c>
      <c r="K354" s="29">
        <f t="shared" si="10"/>
        <v>2.7899999999999814E-2</v>
      </c>
      <c r="L354" s="29">
        <f t="shared" si="11"/>
        <v>0.29160000000000003</v>
      </c>
    </row>
    <row r="355" spans="1:12" x14ac:dyDescent="0.25">
      <c r="A355" s="21">
        <v>30</v>
      </c>
      <c r="B355" s="22" t="s">
        <v>122</v>
      </c>
      <c r="C355" s="23">
        <v>150</v>
      </c>
      <c r="D355" s="24">
        <v>-1.9530000000000001</v>
      </c>
      <c r="E355" s="24">
        <v>0.36940000000000001</v>
      </c>
      <c r="F355" s="25">
        <v>1.8761000000000001</v>
      </c>
      <c r="G355" s="26" t="s">
        <v>93</v>
      </c>
      <c r="H355" s="27">
        <v>1.1000000000000001</v>
      </c>
      <c r="I355" s="28">
        <v>-1.8918999999999999</v>
      </c>
      <c r="J355" s="28">
        <v>0.16839999999999999</v>
      </c>
      <c r="K355" s="29">
        <f t="shared" si="10"/>
        <v>-6.1100000000000154E-2</v>
      </c>
      <c r="L355" s="29">
        <f t="shared" si="11"/>
        <v>0.20100000000000001</v>
      </c>
    </row>
    <row r="356" spans="1:12" x14ac:dyDescent="0.25">
      <c r="A356" s="21">
        <v>30</v>
      </c>
      <c r="B356" s="22" t="s">
        <v>122</v>
      </c>
      <c r="C356" s="23">
        <v>180</v>
      </c>
      <c r="D356" s="24">
        <v>-1.9896</v>
      </c>
      <c r="E356" s="24">
        <v>0.25480000000000003</v>
      </c>
      <c r="F356" s="25">
        <v>1.9896</v>
      </c>
      <c r="G356" s="26" t="s">
        <v>93</v>
      </c>
      <c r="H356" s="27">
        <v>1.1000000000000001</v>
      </c>
      <c r="I356" s="28">
        <v>-1.8918999999999999</v>
      </c>
      <c r="J356" s="28">
        <v>0.16839999999999999</v>
      </c>
      <c r="K356" s="29">
        <f t="shared" si="10"/>
        <v>-9.770000000000012E-2</v>
      </c>
      <c r="L356" s="29">
        <f t="shared" si="11"/>
        <v>8.6400000000000032E-2</v>
      </c>
    </row>
    <row r="357" spans="1:12" x14ac:dyDescent="0.25">
      <c r="A357" s="21">
        <v>30</v>
      </c>
      <c r="B357" s="22" t="s">
        <v>122</v>
      </c>
      <c r="C357" s="23">
        <v>210</v>
      </c>
      <c r="D357" s="24">
        <v>-1.9571000000000001</v>
      </c>
      <c r="E357" s="24">
        <v>0.1479</v>
      </c>
      <c r="F357" s="25">
        <v>1.621</v>
      </c>
      <c r="G357" s="26" t="s">
        <v>93</v>
      </c>
      <c r="H357" s="27">
        <v>1.1000000000000001</v>
      </c>
      <c r="I357" s="28">
        <v>-1.8918999999999999</v>
      </c>
      <c r="J357" s="28">
        <v>0.16839999999999999</v>
      </c>
      <c r="K357" s="29">
        <f t="shared" si="10"/>
        <v>-6.5200000000000147E-2</v>
      </c>
      <c r="L357" s="29">
        <f t="shared" si="11"/>
        <v>-2.049999999999999E-2</v>
      </c>
    </row>
    <row r="358" spans="1:12" x14ac:dyDescent="0.25">
      <c r="A358" s="21">
        <v>30</v>
      </c>
      <c r="B358" s="22" t="s">
        <v>122</v>
      </c>
      <c r="C358" s="23">
        <v>240</v>
      </c>
      <c r="D358" s="24">
        <v>-1.7497</v>
      </c>
      <c r="E358" s="24">
        <v>-6.8099999999999994E-2</v>
      </c>
      <c r="F358" s="25">
        <v>0.93379999999999996</v>
      </c>
      <c r="G358" s="26" t="s">
        <v>93</v>
      </c>
      <c r="H358" s="27">
        <v>1.1000000000000001</v>
      </c>
      <c r="I358" s="28">
        <v>-1.8918999999999999</v>
      </c>
      <c r="J358" s="28">
        <v>0.16839999999999999</v>
      </c>
      <c r="K358" s="29">
        <f t="shared" si="10"/>
        <v>0.14219999999999988</v>
      </c>
      <c r="L358" s="29">
        <f t="shared" si="11"/>
        <v>-0.23649999999999999</v>
      </c>
    </row>
    <row r="359" spans="1:12" x14ac:dyDescent="0.25">
      <c r="A359" s="21">
        <v>30</v>
      </c>
      <c r="B359" s="22" t="s">
        <v>122</v>
      </c>
      <c r="C359" s="23">
        <v>270</v>
      </c>
      <c r="D359" s="24">
        <v>-1.6934</v>
      </c>
      <c r="E359" s="24">
        <v>-8.48E-2</v>
      </c>
      <c r="F359" s="25">
        <v>8.48E-2</v>
      </c>
      <c r="G359" s="26" t="s">
        <v>93</v>
      </c>
      <c r="H359" s="27">
        <v>1.1000000000000001</v>
      </c>
      <c r="I359" s="28">
        <v>-1.8918999999999999</v>
      </c>
      <c r="J359" s="28">
        <v>0.16839999999999999</v>
      </c>
      <c r="K359" s="29">
        <f t="shared" si="10"/>
        <v>0.1984999999999999</v>
      </c>
      <c r="L359" s="29">
        <f t="shared" si="11"/>
        <v>-0.25319999999999998</v>
      </c>
    </row>
    <row r="360" spans="1:12" x14ac:dyDescent="0.25">
      <c r="A360" s="21">
        <v>30</v>
      </c>
      <c r="B360" s="22" t="s">
        <v>122</v>
      </c>
      <c r="C360" s="23">
        <v>300</v>
      </c>
      <c r="D360" s="24">
        <v>-1.6852</v>
      </c>
      <c r="E360" s="24">
        <v>-8.4199999999999997E-2</v>
      </c>
      <c r="F360" s="25">
        <v>-0.76970000000000005</v>
      </c>
      <c r="G360" s="26" t="s">
        <v>93</v>
      </c>
      <c r="H360" s="27">
        <v>1.1000000000000001</v>
      </c>
      <c r="I360" s="28">
        <v>-1.8918999999999999</v>
      </c>
      <c r="J360" s="28">
        <v>0.16839999999999999</v>
      </c>
      <c r="K360" s="29">
        <f t="shared" si="10"/>
        <v>0.20669999999999988</v>
      </c>
      <c r="L360" s="29">
        <f t="shared" si="11"/>
        <v>-0.25259999999999999</v>
      </c>
    </row>
    <row r="361" spans="1:12" x14ac:dyDescent="0.25">
      <c r="A361" s="30">
        <v>30</v>
      </c>
      <c r="B361" s="31" t="s">
        <v>122</v>
      </c>
      <c r="C361" s="32">
        <v>330</v>
      </c>
      <c r="D361" s="33">
        <v>-1.6852</v>
      </c>
      <c r="E361" s="33">
        <v>-8.4199999999999997E-2</v>
      </c>
      <c r="F361" s="34">
        <v>-1.4173</v>
      </c>
      <c r="G361" s="35" t="s">
        <v>93</v>
      </c>
      <c r="H361" s="36">
        <v>1.1000000000000001</v>
      </c>
      <c r="I361" s="37">
        <v>-1.8918999999999999</v>
      </c>
      <c r="J361" s="37">
        <v>0.16839999999999999</v>
      </c>
      <c r="K361" s="38">
        <f t="shared" si="10"/>
        <v>0.20669999999999988</v>
      </c>
      <c r="L361" s="38">
        <f t="shared" si="11"/>
        <v>-0.25259999999999999</v>
      </c>
    </row>
    <row r="362" spans="1:12" x14ac:dyDescent="0.25">
      <c r="A362" s="21">
        <v>31</v>
      </c>
      <c r="B362" s="22" t="s">
        <v>123</v>
      </c>
      <c r="C362" s="23">
        <v>0</v>
      </c>
      <c r="D362" s="24">
        <v>-1.4843999999999999</v>
      </c>
      <c r="E362" s="24">
        <v>0.18079999999999999</v>
      </c>
      <c r="F362" s="25">
        <v>-1.4843999999999999</v>
      </c>
      <c r="G362" s="26" t="s">
        <v>93</v>
      </c>
      <c r="H362" s="27">
        <v>1.1000000000000001</v>
      </c>
      <c r="I362" s="28">
        <v>-1.7230000000000001</v>
      </c>
      <c r="J362" s="28">
        <v>0.1648</v>
      </c>
      <c r="K362" s="29">
        <f t="shared" si="10"/>
        <v>0.23860000000000015</v>
      </c>
      <c r="L362" s="29">
        <f t="shared" si="11"/>
        <v>1.5999999999999986E-2</v>
      </c>
    </row>
    <row r="363" spans="1:12" x14ac:dyDescent="0.25">
      <c r="A363" s="21">
        <v>31</v>
      </c>
      <c r="B363" s="22" t="s">
        <v>123</v>
      </c>
      <c r="C363" s="23">
        <v>30</v>
      </c>
      <c r="D363" s="24">
        <v>-1.4959</v>
      </c>
      <c r="E363" s="24">
        <v>0.48139999999999999</v>
      </c>
      <c r="F363" s="25">
        <v>-1.0548</v>
      </c>
      <c r="G363" s="26" t="s">
        <v>93</v>
      </c>
      <c r="H363" s="27">
        <v>1.04575</v>
      </c>
      <c r="I363" s="28">
        <v>-1.7230000000000001</v>
      </c>
      <c r="J363" s="28">
        <v>0.1648</v>
      </c>
      <c r="K363" s="29">
        <f t="shared" si="10"/>
        <v>0.22710000000000008</v>
      </c>
      <c r="L363" s="29">
        <f t="shared" si="11"/>
        <v>0.31659999999999999</v>
      </c>
    </row>
    <row r="364" spans="1:12" x14ac:dyDescent="0.25">
      <c r="A364" s="21">
        <v>31</v>
      </c>
      <c r="B364" s="22" t="s">
        <v>123</v>
      </c>
      <c r="C364" s="23">
        <v>60</v>
      </c>
      <c r="D364" s="24">
        <v>-1.4963</v>
      </c>
      <c r="E364" s="24">
        <v>0.48170000000000002</v>
      </c>
      <c r="F364" s="25">
        <v>-0.33100000000000002</v>
      </c>
      <c r="G364" s="26" t="s">
        <v>93</v>
      </c>
      <c r="H364" s="27">
        <v>1.0457399999999999</v>
      </c>
      <c r="I364" s="28">
        <v>-1.7230000000000001</v>
      </c>
      <c r="J364" s="28">
        <v>0.1648</v>
      </c>
      <c r="K364" s="29">
        <f t="shared" si="10"/>
        <v>0.22670000000000012</v>
      </c>
      <c r="L364" s="29">
        <f t="shared" si="11"/>
        <v>0.31690000000000002</v>
      </c>
    </row>
    <row r="365" spans="1:12" x14ac:dyDescent="0.25">
      <c r="A365" s="21">
        <v>31</v>
      </c>
      <c r="B365" s="22" t="s">
        <v>123</v>
      </c>
      <c r="C365" s="23">
        <v>90</v>
      </c>
      <c r="D365" s="24">
        <v>-1.5354000000000001</v>
      </c>
      <c r="E365" s="24">
        <v>0.48480000000000001</v>
      </c>
      <c r="F365" s="25">
        <v>0.48480000000000001</v>
      </c>
      <c r="G365" s="26" t="s">
        <v>93</v>
      </c>
      <c r="H365" s="27">
        <v>1.04857</v>
      </c>
      <c r="I365" s="28">
        <v>-1.7230000000000001</v>
      </c>
      <c r="J365" s="28">
        <v>0.1648</v>
      </c>
      <c r="K365" s="29">
        <f t="shared" si="10"/>
        <v>0.18759999999999999</v>
      </c>
      <c r="L365" s="29">
        <f t="shared" si="11"/>
        <v>0.32</v>
      </c>
    </row>
    <row r="366" spans="1:12" x14ac:dyDescent="0.25">
      <c r="A366" s="21">
        <v>31</v>
      </c>
      <c r="B366" s="22" t="s">
        <v>123</v>
      </c>
      <c r="C366" s="23">
        <v>120</v>
      </c>
      <c r="D366" s="24">
        <v>-1.6803999999999999</v>
      </c>
      <c r="E366" s="24">
        <v>0.44800000000000001</v>
      </c>
      <c r="F366" s="25">
        <v>1.2282</v>
      </c>
      <c r="G366" s="26" t="s">
        <v>93</v>
      </c>
      <c r="H366" s="27">
        <v>1.08067</v>
      </c>
      <c r="I366" s="28">
        <v>-1.7230000000000001</v>
      </c>
      <c r="J366" s="28">
        <v>0.1648</v>
      </c>
      <c r="K366" s="29">
        <f t="shared" si="10"/>
        <v>4.2600000000000193E-2</v>
      </c>
      <c r="L366" s="29">
        <f t="shared" si="11"/>
        <v>0.28320000000000001</v>
      </c>
    </row>
    <row r="367" spans="1:12" x14ac:dyDescent="0.25">
      <c r="A367" s="21">
        <v>31</v>
      </c>
      <c r="B367" s="22" t="s">
        <v>123</v>
      </c>
      <c r="C367" s="23">
        <v>150</v>
      </c>
      <c r="D367" s="24">
        <v>-1.7649999999999999</v>
      </c>
      <c r="E367" s="24">
        <v>0.36120000000000002</v>
      </c>
      <c r="F367" s="25">
        <v>1.7092000000000001</v>
      </c>
      <c r="G367" s="26" t="s">
        <v>93</v>
      </c>
      <c r="H367" s="27">
        <v>1.1000000000000001</v>
      </c>
      <c r="I367" s="28">
        <v>-1.7230000000000001</v>
      </c>
      <c r="J367" s="28">
        <v>0.1648</v>
      </c>
      <c r="K367" s="29">
        <f t="shared" si="10"/>
        <v>-4.1999999999999815E-2</v>
      </c>
      <c r="L367" s="29">
        <f t="shared" si="11"/>
        <v>0.19640000000000002</v>
      </c>
    </row>
    <row r="368" spans="1:12" x14ac:dyDescent="0.25">
      <c r="A368" s="21">
        <v>31</v>
      </c>
      <c r="B368" s="22" t="s">
        <v>123</v>
      </c>
      <c r="C368" s="23">
        <v>180</v>
      </c>
      <c r="D368" s="24">
        <v>-1.8030999999999999</v>
      </c>
      <c r="E368" s="24">
        <v>0.24160000000000001</v>
      </c>
      <c r="F368" s="25">
        <v>1.8030999999999999</v>
      </c>
      <c r="G368" s="26" t="s">
        <v>93</v>
      </c>
      <c r="H368" s="27">
        <v>1.1000000000000001</v>
      </c>
      <c r="I368" s="28">
        <v>-1.7230000000000001</v>
      </c>
      <c r="J368" s="28">
        <v>0.1648</v>
      </c>
      <c r="K368" s="29">
        <f t="shared" si="10"/>
        <v>-8.0099999999999838E-2</v>
      </c>
      <c r="L368" s="29">
        <f t="shared" si="11"/>
        <v>7.6800000000000007E-2</v>
      </c>
    </row>
    <row r="369" spans="1:12" x14ac:dyDescent="0.25">
      <c r="A369" s="21">
        <v>31</v>
      </c>
      <c r="B369" s="22" t="s">
        <v>123</v>
      </c>
      <c r="C369" s="23">
        <v>210</v>
      </c>
      <c r="D369" s="24">
        <v>-1.7685</v>
      </c>
      <c r="E369" s="24">
        <v>0.1351</v>
      </c>
      <c r="F369" s="25">
        <v>1.464</v>
      </c>
      <c r="G369" s="26" t="s">
        <v>93</v>
      </c>
      <c r="H369" s="27">
        <v>1.1000000000000001</v>
      </c>
      <c r="I369" s="28">
        <v>-1.7230000000000001</v>
      </c>
      <c r="J369" s="28">
        <v>0.1648</v>
      </c>
      <c r="K369" s="29">
        <f t="shared" si="10"/>
        <v>-4.5499999999999874E-2</v>
      </c>
      <c r="L369" s="29">
        <f t="shared" si="11"/>
        <v>-2.9700000000000004E-2</v>
      </c>
    </row>
    <row r="370" spans="1:12" x14ac:dyDescent="0.25">
      <c r="A370" s="21">
        <v>31</v>
      </c>
      <c r="B370" s="22" t="s">
        <v>123</v>
      </c>
      <c r="C370" s="23">
        <v>240</v>
      </c>
      <c r="D370" s="24">
        <v>-1.5546</v>
      </c>
      <c r="E370" s="24">
        <v>-8.7800000000000003E-2</v>
      </c>
      <c r="F370" s="25">
        <v>0.85340000000000005</v>
      </c>
      <c r="G370" s="26" t="s">
        <v>93</v>
      </c>
      <c r="H370" s="27">
        <v>1.1000000000000001</v>
      </c>
      <c r="I370" s="28">
        <v>-1.7230000000000001</v>
      </c>
      <c r="J370" s="28">
        <v>0.1648</v>
      </c>
      <c r="K370" s="29">
        <f t="shared" si="10"/>
        <v>0.16840000000000011</v>
      </c>
      <c r="L370" s="29">
        <f t="shared" si="11"/>
        <v>-0.25259999999999999</v>
      </c>
    </row>
    <row r="371" spans="1:12" x14ac:dyDescent="0.25">
      <c r="A371" s="21">
        <v>31</v>
      </c>
      <c r="B371" s="22" t="s">
        <v>123</v>
      </c>
      <c r="C371" s="23">
        <v>270</v>
      </c>
      <c r="D371" s="24">
        <v>-1.5024999999999999</v>
      </c>
      <c r="E371" s="24">
        <v>-0.1055</v>
      </c>
      <c r="F371" s="25">
        <v>0.1055</v>
      </c>
      <c r="G371" s="26" t="s">
        <v>93</v>
      </c>
      <c r="H371" s="27">
        <v>1.1000000000000001</v>
      </c>
      <c r="I371" s="28">
        <v>-1.7230000000000001</v>
      </c>
      <c r="J371" s="28">
        <v>0.1648</v>
      </c>
      <c r="K371" s="29">
        <f t="shared" si="10"/>
        <v>0.22050000000000014</v>
      </c>
      <c r="L371" s="29">
        <f t="shared" si="11"/>
        <v>-0.27029999999999998</v>
      </c>
    </row>
    <row r="372" spans="1:12" x14ac:dyDescent="0.25">
      <c r="A372" s="21">
        <v>31</v>
      </c>
      <c r="B372" s="22" t="s">
        <v>123</v>
      </c>
      <c r="C372" s="23">
        <v>300</v>
      </c>
      <c r="D372" s="24">
        <v>-1.4915</v>
      </c>
      <c r="E372" s="24">
        <v>-0.1046</v>
      </c>
      <c r="F372" s="25">
        <v>-0.6552</v>
      </c>
      <c r="G372" s="26" t="s">
        <v>93</v>
      </c>
      <c r="H372" s="27">
        <v>1.1000000000000001</v>
      </c>
      <c r="I372" s="28">
        <v>-1.7230000000000001</v>
      </c>
      <c r="J372" s="28">
        <v>0.1648</v>
      </c>
      <c r="K372" s="29">
        <f t="shared" si="10"/>
        <v>0.23150000000000004</v>
      </c>
      <c r="L372" s="29">
        <f t="shared" si="11"/>
        <v>-0.26939999999999997</v>
      </c>
    </row>
    <row r="373" spans="1:12" x14ac:dyDescent="0.25">
      <c r="A373" s="30">
        <v>31</v>
      </c>
      <c r="B373" s="31" t="s">
        <v>123</v>
      </c>
      <c r="C373" s="32">
        <v>330</v>
      </c>
      <c r="D373" s="33">
        <v>-1.4915</v>
      </c>
      <c r="E373" s="33">
        <v>-0.1046</v>
      </c>
      <c r="F373" s="34">
        <v>-1.2394000000000001</v>
      </c>
      <c r="G373" s="35" t="s">
        <v>93</v>
      </c>
      <c r="H373" s="36">
        <v>1.1000000000000001</v>
      </c>
      <c r="I373" s="37">
        <v>-1.7230000000000001</v>
      </c>
      <c r="J373" s="37">
        <v>0.1648</v>
      </c>
      <c r="K373" s="38">
        <f t="shared" si="10"/>
        <v>0.23150000000000004</v>
      </c>
      <c r="L373" s="38">
        <f t="shared" si="11"/>
        <v>-0.26939999999999997</v>
      </c>
    </row>
    <row r="374" spans="1:12" x14ac:dyDescent="0.25">
      <c r="A374" s="21">
        <v>32</v>
      </c>
      <c r="B374" s="22" t="s">
        <v>124</v>
      </c>
      <c r="C374" s="23">
        <v>0</v>
      </c>
      <c r="D374" s="24">
        <v>-1.1769000000000001</v>
      </c>
      <c r="E374" s="24">
        <v>0.1653</v>
      </c>
      <c r="F374" s="25">
        <v>-1.1769000000000001</v>
      </c>
      <c r="G374" s="26" t="s">
        <v>93</v>
      </c>
      <c r="H374" s="27">
        <v>1.09999</v>
      </c>
      <c r="I374" s="28">
        <v>-1.5298</v>
      </c>
      <c r="J374" s="28">
        <v>0.15709999999999999</v>
      </c>
      <c r="K374" s="29">
        <f t="shared" si="10"/>
        <v>0.35289999999999999</v>
      </c>
      <c r="L374" s="29">
        <f t="shared" si="11"/>
        <v>8.2000000000000128E-3</v>
      </c>
    </row>
    <row r="375" spans="1:12" x14ac:dyDescent="0.25">
      <c r="A375" s="21">
        <v>32</v>
      </c>
      <c r="B375" s="22" t="s">
        <v>124</v>
      </c>
      <c r="C375" s="23">
        <v>30</v>
      </c>
      <c r="D375" s="24">
        <v>-1.1865000000000001</v>
      </c>
      <c r="E375" s="24">
        <v>0.48880000000000001</v>
      </c>
      <c r="F375" s="25">
        <v>-0.78320000000000001</v>
      </c>
      <c r="G375" s="26" t="s">
        <v>93</v>
      </c>
      <c r="H375" s="27">
        <v>1.0397099999999999</v>
      </c>
      <c r="I375" s="28">
        <v>-1.5298</v>
      </c>
      <c r="J375" s="28">
        <v>0.15709999999999999</v>
      </c>
      <c r="K375" s="29">
        <f t="shared" si="10"/>
        <v>0.34329999999999994</v>
      </c>
      <c r="L375" s="29">
        <f t="shared" si="11"/>
        <v>0.33169999999999999</v>
      </c>
    </row>
    <row r="376" spans="1:12" x14ac:dyDescent="0.25">
      <c r="A376" s="21">
        <v>32</v>
      </c>
      <c r="B376" s="22" t="s">
        <v>124</v>
      </c>
      <c r="C376" s="23">
        <v>60</v>
      </c>
      <c r="D376" s="24">
        <v>-1.1879</v>
      </c>
      <c r="E376" s="24">
        <v>0.49020000000000002</v>
      </c>
      <c r="F376" s="25">
        <v>-0.16950000000000001</v>
      </c>
      <c r="G376" s="26" t="s">
        <v>93</v>
      </c>
      <c r="H376" s="27">
        <v>1.03982</v>
      </c>
      <c r="I376" s="28">
        <v>-1.5298</v>
      </c>
      <c r="J376" s="28">
        <v>0.15709999999999999</v>
      </c>
      <c r="K376" s="29">
        <f t="shared" si="10"/>
        <v>0.34190000000000009</v>
      </c>
      <c r="L376" s="29">
        <f t="shared" si="11"/>
        <v>0.33310000000000006</v>
      </c>
    </row>
    <row r="377" spans="1:12" x14ac:dyDescent="0.25">
      <c r="A377" s="21">
        <v>32</v>
      </c>
      <c r="B377" s="22" t="s">
        <v>124</v>
      </c>
      <c r="C377" s="23">
        <v>90</v>
      </c>
      <c r="D377" s="24">
        <v>-1.2237</v>
      </c>
      <c r="E377" s="24">
        <v>0.49259999999999998</v>
      </c>
      <c r="F377" s="25">
        <v>0.49259999999999998</v>
      </c>
      <c r="G377" s="26" t="s">
        <v>93</v>
      </c>
      <c r="H377" s="27">
        <v>1.04315</v>
      </c>
      <c r="I377" s="28">
        <v>-1.5298</v>
      </c>
      <c r="J377" s="28">
        <v>0.15709999999999999</v>
      </c>
      <c r="K377" s="29">
        <f t="shared" si="10"/>
        <v>0.30610000000000004</v>
      </c>
      <c r="L377" s="29">
        <f t="shared" si="11"/>
        <v>0.33550000000000002</v>
      </c>
    </row>
    <row r="378" spans="1:12" x14ac:dyDescent="0.25">
      <c r="A378" s="21">
        <v>32</v>
      </c>
      <c r="B378" s="22" t="s">
        <v>124</v>
      </c>
      <c r="C378" s="23">
        <v>120</v>
      </c>
      <c r="D378" s="24">
        <v>-1.3791</v>
      </c>
      <c r="E378" s="24">
        <v>0.45090000000000002</v>
      </c>
      <c r="F378" s="25">
        <v>1.08</v>
      </c>
      <c r="G378" s="26" t="s">
        <v>93</v>
      </c>
      <c r="H378" s="27">
        <v>1.0723</v>
      </c>
      <c r="I378" s="28">
        <v>-1.5298</v>
      </c>
      <c r="J378" s="28">
        <v>0.15709999999999999</v>
      </c>
      <c r="K378" s="29">
        <f t="shared" si="10"/>
        <v>0.15070000000000006</v>
      </c>
      <c r="L378" s="29">
        <f t="shared" si="11"/>
        <v>0.29380000000000006</v>
      </c>
    </row>
    <row r="379" spans="1:12" x14ac:dyDescent="0.25">
      <c r="A379" s="21">
        <v>32</v>
      </c>
      <c r="B379" s="22" t="s">
        <v>124</v>
      </c>
      <c r="C379" s="23">
        <v>150</v>
      </c>
      <c r="D379" s="24">
        <v>-1.4749000000000001</v>
      </c>
      <c r="E379" s="24">
        <v>0.35639999999999999</v>
      </c>
      <c r="F379" s="25">
        <v>1.4555</v>
      </c>
      <c r="G379" s="26" t="s">
        <v>93</v>
      </c>
      <c r="H379" s="27">
        <v>1.1000000000000001</v>
      </c>
      <c r="I379" s="28">
        <v>-1.5298</v>
      </c>
      <c r="J379" s="28">
        <v>0.15709999999999999</v>
      </c>
      <c r="K379" s="29">
        <f t="shared" si="10"/>
        <v>5.4899999999999949E-2</v>
      </c>
      <c r="L379" s="29">
        <f t="shared" si="11"/>
        <v>0.1993</v>
      </c>
    </row>
    <row r="380" spans="1:12" x14ac:dyDescent="0.25">
      <c r="A380" s="21">
        <v>32</v>
      </c>
      <c r="B380" s="22" t="s">
        <v>124</v>
      </c>
      <c r="C380" s="23">
        <v>180</v>
      </c>
      <c r="D380" s="24">
        <v>-1.5085</v>
      </c>
      <c r="E380" s="24">
        <v>0.25180000000000002</v>
      </c>
      <c r="F380" s="25">
        <v>1.5085</v>
      </c>
      <c r="G380" s="26" t="s">
        <v>93</v>
      </c>
      <c r="H380" s="27">
        <v>1.1000000000000001</v>
      </c>
      <c r="I380" s="28">
        <v>-1.5298</v>
      </c>
      <c r="J380" s="28">
        <v>0.15709999999999999</v>
      </c>
      <c r="K380" s="29">
        <f t="shared" si="10"/>
        <v>2.1300000000000097E-2</v>
      </c>
      <c r="L380" s="29">
        <f t="shared" si="11"/>
        <v>9.4700000000000034E-2</v>
      </c>
    </row>
    <row r="381" spans="1:12" x14ac:dyDescent="0.25">
      <c r="A381" s="21">
        <v>32</v>
      </c>
      <c r="B381" s="22" t="s">
        <v>124</v>
      </c>
      <c r="C381" s="23">
        <v>210</v>
      </c>
      <c r="D381" s="24">
        <v>-1.4708000000000001</v>
      </c>
      <c r="E381" s="24">
        <v>0.12570000000000001</v>
      </c>
      <c r="F381" s="25">
        <v>1.2109000000000001</v>
      </c>
      <c r="G381" s="26" t="s">
        <v>93</v>
      </c>
      <c r="H381" s="27">
        <v>1.1000000000000001</v>
      </c>
      <c r="I381" s="28">
        <v>-1.5298</v>
      </c>
      <c r="J381" s="28">
        <v>0.15709999999999999</v>
      </c>
      <c r="K381" s="29">
        <f t="shared" si="10"/>
        <v>5.8999999999999941E-2</v>
      </c>
      <c r="L381" s="29">
        <f t="shared" si="11"/>
        <v>-3.1399999999999983E-2</v>
      </c>
    </row>
    <row r="382" spans="1:12" x14ac:dyDescent="0.25">
      <c r="A382" s="21">
        <v>32</v>
      </c>
      <c r="B382" s="22" t="s">
        <v>124</v>
      </c>
      <c r="C382" s="23">
        <v>240</v>
      </c>
      <c r="D382" s="24">
        <v>-1.258</v>
      </c>
      <c r="E382" s="24">
        <v>-9.7600000000000006E-2</v>
      </c>
      <c r="F382" s="25">
        <v>0.71350000000000002</v>
      </c>
      <c r="G382" s="26" t="s">
        <v>93</v>
      </c>
      <c r="H382" s="27">
        <v>1.1000000000000001</v>
      </c>
      <c r="I382" s="28">
        <v>-1.5298</v>
      </c>
      <c r="J382" s="28">
        <v>0.15709999999999999</v>
      </c>
      <c r="K382" s="29">
        <f t="shared" si="10"/>
        <v>0.27180000000000004</v>
      </c>
      <c r="L382" s="29">
        <f t="shared" si="11"/>
        <v>-0.25469999999999998</v>
      </c>
    </row>
    <row r="383" spans="1:12" x14ac:dyDescent="0.25">
      <c r="A383" s="21">
        <v>32</v>
      </c>
      <c r="B383" s="22" t="s">
        <v>124</v>
      </c>
      <c r="C383" s="23">
        <v>270</v>
      </c>
      <c r="D383" s="24">
        <v>-1.1984999999999999</v>
      </c>
      <c r="E383" s="24">
        <v>-0.1173</v>
      </c>
      <c r="F383" s="25">
        <v>0.1173</v>
      </c>
      <c r="G383" s="26" t="s">
        <v>93</v>
      </c>
      <c r="H383" s="27">
        <v>1.1000000000000001</v>
      </c>
      <c r="I383" s="28">
        <v>-1.5298</v>
      </c>
      <c r="J383" s="28">
        <v>0.15709999999999999</v>
      </c>
      <c r="K383" s="29">
        <f t="shared" si="10"/>
        <v>0.33130000000000015</v>
      </c>
      <c r="L383" s="29">
        <f t="shared" si="11"/>
        <v>-0.27439999999999998</v>
      </c>
    </row>
    <row r="384" spans="1:12" x14ac:dyDescent="0.25">
      <c r="A384" s="21">
        <v>32</v>
      </c>
      <c r="B384" s="22" t="s">
        <v>124</v>
      </c>
      <c r="C384" s="23">
        <v>300</v>
      </c>
      <c r="D384" s="24">
        <v>-1.1847000000000001</v>
      </c>
      <c r="E384" s="24">
        <v>-0.1157</v>
      </c>
      <c r="F384" s="25">
        <v>-0.49209999999999998</v>
      </c>
      <c r="G384" s="26" t="s">
        <v>93</v>
      </c>
      <c r="H384" s="27">
        <v>1.1000000000000001</v>
      </c>
      <c r="I384" s="28">
        <v>-1.5298</v>
      </c>
      <c r="J384" s="28">
        <v>0.15709999999999999</v>
      </c>
      <c r="K384" s="29">
        <f t="shared" si="10"/>
        <v>0.34509999999999996</v>
      </c>
      <c r="L384" s="29">
        <f t="shared" si="11"/>
        <v>-0.27279999999999999</v>
      </c>
    </row>
    <row r="385" spans="1:12" x14ac:dyDescent="0.25">
      <c r="A385" s="30">
        <v>32</v>
      </c>
      <c r="B385" s="31" t="s">
        <v>124</v>
      </c>
      <c r="C385" s="32">
        <v>330</v>
      </c>
      <c r="D385" s="33">
        <v>-1.1839</v>
      </c>
      <c r="E385" s="33">
        <v>-0.1149</v>
      </c>
      <c r="F385" s="34">
        <v>-0.96779999999999999</v>
      </c>
      <c r="G385" s="35" t="s">
        <v>93</v>
      </c>
      <c r="H385" s="36">
        <v>1.1000000000000001</v>
      </c>
      <c r="I385" s="37">
        <v>-1.5298</v>
      </c>
      <c r="J385" s="37">
        <v>0.15709999999999999</v>
      </c>
      <c r="K385" s="38">
        <f t="shared" si="10"/>
        <v>0.3459000000000001</v>
      </c>
      <c r="L385" s="38">
        <f t="shared" si="11"/>
        <v>-0.27200000000000002</v>
      </c>
    </row>
    <row r="386" spans="1:12" x14ac:dyDescent="0.25">
      <c r="A386" s="21">
        <v>33</v>
      </c>
      <c r="B386" s="22" t="s">
        <v>125</v>
      </c>
      <c r="C386" s="23">
        <v>0</v>
      </c>
      <c r="D386" s="24">
        <v>-0.82469999999999999</v>
      </c>
      <c r="E386" s="24">
        <v>0.1535</v>
      </c>
      <c r="F386" s="25">
        <v>-0.82469999999999999</v>
      </c>
      <c r="G386" s="26" t="s">
        <v>93</v>
      </c>
      <c r="H386" s="27">
        <v>1.09996</v>
      </c>
      <c r="I386" s="28">
        <v>-1.2201</v>
      </c>
      <c r="J386" s="28">
        <v>0.16589999999999999</v>
      </c>
      <c r="K386" s="29">
        <f t="shared" ref="K386:K449" si="12">D386-I386</f>
        <v>0.39539999999999997</v>
      </c>
      <c r="L386" s="29">
        <f t="shared" ref="L386:L449" si="13">E386-J386</f>
        <v>-1.2399999999999994E-2</v>
      </c>
    </row>
    <row r="387" spans="1:12" x14ac:dyDescent="0.25">
      <c r="A387" s="21">
        <v>33</v>
      </c>
      <c r="B387" s="22" t="s">
        <v>125</v>
      </c>
      <c r="C387" s="23">
        <v>30</v>
      </c>
      <c r="D387" s="24">
        <v>-0.83150000000000002</v>
      </c>
      <c r="E387" s="24">
        <v>0.49659999999999999</v>
      </c>
      <c r="F387" s="25">
        <v>-0.4718</v>
      </c>
      <c r="G387" s="26" t="s">
        <v>93</v>
      </c>
      <c r="H387" s="27">
        <v>1.0323899999999999</v>
      </c>
      <c r="I387" s="28">
        <v>-1.2201</v>
      </c>
      <c r="J387" s="28">
        <v>0.16589999999999999</v>
      </c>
      <c r="K387" s="29">
        <f t="shared" si="12"/>
        <v>0.38859999999999995</v>
      </c>
      <c r="L387" s="29">
        <f t="shared" si="13"/>
        <v>0.33069999999999999</v>
      </c>
    </row>
    <row r="388" spans="1:12" x14ac:dyDescent="0.25">
      <c r="A388" s="21">
        <v>33</v>
      </c>
      <c r="B388" s="22" t="s">
        <v>125</v>
      </c>
      <c r="C388" s="23">
        <v>60</v>
      </c>
      <c r="D388" s="24">
        <v>-0.83209999999999995</v>
      </c>
      <c r="E388" s="24">
        <v>0.497</v>
      </c>
      <c r="F388" s="25">
        <v>1.44E-2</v>
      </c>
      <c r="G388" s="26" t="s">
        <v>93</v>
      </c>
      <c r="H388" s="27">
        <v>1.0323899999999999</v>
      </c>
      <c r="I388" s="28">
        <v>-1.2201</v>
      </c>
      <c r="J388" s="28">
        <v>0.16589999999999999</v>
      </c>
      <c r="K388" s="29">
        <f t="shared" si="12"/>
        <v>0.38800000000000001</v>
      </c>
      <c r="L388" s="29">
        <f t="shared" si="13"/>
        <v>0.33110000000000001</v>
      </c>
    </row>
    <row r="389" spans="1:12" x14ac:dyDescent="0.25">
      <c r="A389" s="21">
        <v>33</v>
      </c>
      <c r="B389" s="22" t="s">
        <v>125</v>
      </c>
      <c r="C389" s="23">
        <v>90</v>
      </c>
      <c r="D389" s="24">
        <v>-0.86739999999999995</v>
      </c>
      <c r="E389" s="24">
        <v>0.49940000000000001</v>
      </c>
      <c r="F389" s="25">
        <v>0.49940000000000001</v>
      </c>
      <c r="G389" s="26" t="s">
        <v>93</v>
      </c>
      <c r="H389" s="27">
        <v>1.0358400000000001</v>
      </c>
      <c r="I389" s="28">
        <v>-1.2201</v>
      </c>
      <c r="J389" s="28">
        <v>0.16589999999999999</v>
      </c>
      <c r="K389" s="29">
        <f t="shared" si="12"/>
        <v>0.35270000000000001</v>
      </c>
      <c r="L389" s="29">
        <f t="shared" si="13"/>
        <v>0.33350000000000002</v>
      </c>
    </row>
    <row r="390" spans="1:12" x14ac:dyDescent="0.25">
      <c r="A390" s="21">
        <v>33</v>
      </c>
      <c r="B390" s="22" t="s">
        <v>125</v>
      </c>
      <c r="C390" s="23">
        <v>120</v>
      </c>
      <c r="D390" s="24">
        <v>-1.0249999999999999</v>
      </c>
      <c r="E390" s="24">
        <v>0.45710000000000001</v>
      </c>
      <c r="F390" s="25">
        <v>0.90839999999999999</v>
      </c>
      <c r="G390" s="26" t="s">
        <v>93</v>
      </c>
      <c r="H390" s="27">
        <v>1.0626</v>
      </c>
      <c r="I390" s="28">
        <v>-1.2201</v>
      </c>
      <c r="J390" s="28">
        <v>0.16589999999999999</v>
      </c>
      <c r="K390" s="29">
        <f t="shared" si="12"/>
        <v>0.19510000000000005</v>
      </c>
      <c r="L390" s="29">
        <f t="shared" si="13"/>
        <v>0.29120000000000001</v>
      </c>
    </row>
    <row r="391" spans="1:12" x14ac:dyDescent="0.25">
      <c r="A391" s="21">
        <v>33</v>
      </c>
      <c r="B391" s="22" t="s">
        <v>125</v>
      </c>
      <c r="C391" s="23">
        <v>150</v>
      </c>
      <c r="D391" s="24">
        <v>-1.1364000000000001</v>
      </c>
      <c r="E391" s="24">
        <v>0.34870000000000001</v>
      </c>
      <c r="F391" s="25">
        <v>1.1585000000000001</v>
      </c>
      <c r="G391" s="26" t="s">
        <v>93</v>
      </c>
      <c r="H391" s="27">
        <v>1.1000000000000001</v>
      </c>
      <c r="I391" s="28">
        <v>-1.2201</v>
      </c>
      <c r="J391" s="28">
        <v>0.16589999999999999</v>
      </c>
      <c r="K391" s="29">
        <f t="shared" si="12"/>
        <v>8.3699999999999886E-2</v>
      </c>
      <c r="L391" s="29">
        <f t="shared" si="13"/>
        <v>0.18280000000000002</v>
      </c>
    </row>
    <row r="392" spans="1:12" x14ac:dyDescent="0.25">
      <c r="A392" s="21">
        <v>33</v>
      </c>
      <c r="B392" s="22" t="s">
        <v>125</v>
      </c>
      <c r="C392" s="23">
        <v>180</v>
      </c>
      <c r="D392" s="24">
        <v>-1.1669</v>
      </c>
      <c r="E392" s="24">
        <v>0.248</v>
      </c>
      <c r="F392" s="25">
        <v>1.1669</v>
      </c>
      <c r="G392" s="26" t="s">
        <v>93</v>
      </c>
      <c r="H392" s="27">
        <v>1.1000000000000001</v>
      </c>
      <c r="I392" s="28">
        <v>-1.2201</v>
      </c>
      <c r="J392" s="28">
        <v>0.16589999999999999</v>
      </c>
      <c r="K392" s="29">
        <f t="shared" si="12"/>
        <v>5.3199999999999914E-2</v>
      </c>
      <c r="L392" s="29">
        <f t="shared" si="13"/>
        <v>8.2100000000000006E-2</v>
      </c>
    </row>
    <row r="393" spans="1:12" x14ac:dyDescent="0.25">
      <c r="A393" s="21">
        <v>33</v>
      </c>
      <c r="B393" s="22" t="s">
        <v>125</v>
      </c>
      <c r="C393" s="23">
        <v>210</v>
      </c>
      <c r="D393" s="24">
        <v>-1.1232</v>
      </c>
      <c r="E393" s="24">
        <v>0.1016</v>
      </c>
      <c r="F393" s="25">
        <v>0.92200000000000004</v>
      </c>
      <c r="G393" s="26" t="s">
        <v>93</v>
      </c>
      <c r="H393" s="27">
        <v>1.1000000000000001</v>
      </c>
      <c r="I393" s="28">
        <v>-1.2201</v>
      </c>
      <c r="J393" s="28">
        <v>0.16589999999999999</v>
      </c>
      <c r="K393" s="29">
        <f t="shared" si="12"/>
        <v>9.6899999999999986E-2</v>
      </c>
      <c r="L393" s="29">
        <f t="shared" si="13"/>
        <v>-6.4299999999999996E-2</v>
      </c>
    </row>
    <row r="394" spans="1:12" x14ac:dyDescent="0.25">
      <c r="A394" s="21">
        <v>33</v>
      </c>
      <c r="B394" s="22" t="s">
        <v>125</v>
      </c>
      <c r="C394" s="23">
        <v>240</v>
      </c>
      <c r="D394" s="24">
        <v>-0.9214</v>
      </c>
      <c r="E394" s="24">
        <v>-0.1091</v>
      </c>
      <c r="F394" s="25">
        <v>0.55520000000000003</v>
      </c>
      <c r="G394" s="26" t="s">
        <v>93</v>
      </c>
      <c r="H394" s="27">
        <v>1.1000000000000001</v>
      </c>
      <c r="I394" s="28">
        <v>-1.2201</v>
      </c>
      <c r="J394" s="28">
        <v>0.16589999999999999</v>
      </c>
      <c r="K394" s="29">
        <f t="shared" si="12"/>
        <v>0.29869999999999997</v>
      </c>
      <c r="L394" s="29">
        <f t="shared" si="13"/>
        <v>-0.27500000000000002</v>
      </c>
    </row>
    <row r="395" spans="1:12" x14ac:dyDescent="0.25">
      <c r="A395" s="21">
        <v>33</v>
      </c>
      <c r="B395" s="22" t="s">
        <v>125</v>
      </c>
      <c r="C395" s="23">
        <v>270</v>
      </c>
      <c r="D395" s="24">
        <v>-0.83879999999999999</v>
      </c>
      <c r="E395" s="24">
        <v>-0.13550000000000001</v>
      </c>
      <c r="F395" s="25">
        <v>0.13550000000000001</v>
      </c>
      <c r="G395" s="26" t="s">
        <v>93</v>
      </c>
      <c r="H395" s="27">
        <v>1.1000000000000001</v>
      </c>
      <c r="I395" s="28">
        <v>-1.2201</v>
      </c>
      <c r="J395" s="28">
        <v>0.16589999999999999</v>
      </c>
      <c r="K395" s="29">
        <f t="shared" si="12"/>
        <v>0.38129999999999997</v>
      </c>
      <c r="L395" s="29">
        <f t="shared" si="13"/>
        <v>-0.3014</v>
      </c>
    </row>
    <row r="396" spans="1:12" x14ac:dyDescent="0.25">
      <c r="A396" s="21">
        <v>33</v>
      </c>
      <c r="B396" s="22" t="s">
        <v>125</v>
      </c>
      <c r="C396" s="23">
        <v>300</v>
      </c>
      <c r="D396" s="24">
        <v>-0.83120000000000005</v>
      </c>
      <c r="E396" s="24">
        <v>-0.13439999999999999</v>
      </c>
      <c r="F396" s="25">
        <v>-0.29920000000000002</v>
      </c>
      <c r="G396" s="26" t="s">
        <v>93</v>
      </c>
      <c r="H396" s="27">
        <v>1.1000000000000001</v>
      </c>
      <c r="I396" s="28">
        <v>-1.2201</v>
      </c>
      <c r="J396" s="28">
        <v>0.16589999999999999</v>
      </c>
      <c r="K396" s="29">
        <f t="shared" si="12"/>
        <v>0.38889999999999991</v>
      </c>
      <c r="L396" s="29">
        <f t="shared" si="13"/>
        <v>-0.30030000000000001</v>
      </c>
    </row>
    <row r="397" spans="1:12" x14ac:dyDescent="0.25">
      <c r="A397" s="30">
        <v>33</v>
      </c>
      <c r="B397" s="31" t="s">
        <v>125</v>
      </c>
      <c r="C397" s="32">
        <v>330</v>
      </c>
      <c r="D397" s="33">
        <v>-0.83099999999999996</v>
      </c>
      <c r="E397" s="33">
        <v>-0.13420000000000001</v>
      </c>
      <c r="F397" s="34">
        <v>-0.65249999999999997</v>
      </c>
      <c r="G397" s="35" t="s">
        <v>93</v>
      </c>
      <c r="H397" s="36">
        <v>1.1000000000000001</v>
      </c>
      <c r="I397" s="37">
        <v>-1.2201</v>
      </c>
      <c r="J397" s="37">
        <v>0.16589999999999999</v>
      </c>
      <c r="K397" s="38">
        <f t="shared" si="12"/>
        <v>0.3891</v>
      </c>
      <c r="L397" s="38">
        <f t="shared" si="13"/>
        <v>-0.30010000000000003</v>
      </c>
    </row>
    <row r="398" spans="1:12" x14ac:dyDescent="0.25">
      <c r="A398" s="21">
        <v>34</v>
      </c>
      <c r="B398" s="22" t="s">
        <v>126</v>
      </c>
      <c r="C398" s="23">
        <v>0</v>
      </c>
      <c r="D398" s="24">
        <v>-0.50490000000000002</v>
      </c>
      <c r="E398" s="24">
        <v>0.15840000000000001</v>
      </c>
      <c r="F398" s="25">
        <v>-0.50490000000000002</v>
      </c>
      <c r="G398" s="26" t="s">
        <v>93</v>
      </c>
      <c r="H398" s="27">
        <v>1.09999</v>
      </c>
      <c r="I398" s="28">
        <v>-0.86609999999999998</v>
      </c>
      <c r="J398" s="28">
        <v>0.1739</v>
      </c>
      <c r="K398" s="29">
        <f t="shared" si="12"/>
        <v>0.36119999999999997</v>
      </c>
      <c r="L398" s="29">
        <f t="shared" si="13"/>
        <v>-1.5499999999999986E-2</v>
      </c>
    </row>
    <row r="399" spans="1:12" x14ac:dyDescent="0.25">
      <c r="A399" s="21">
        <v>34</v>
      </c>
      <c r="B399" s="22" t="s">
        <v>126</v>
      </c>
      <c r="C399" s="23">
        <v>30</v>
      </c>
      <c r="D399" s="24">
        <v>-0.50990000000000002</v>
      </c>
      <c r="E399" s="24">
        <v>0.50139999999999996</v>
      </c>
      <c r="F399" s="25">
        <v>-0.19089999999999999</v>
      </c>
      <c r="G399" s="26" t="s">
        <v>93</v>
      </c>
      <c r="H399" s="27">
        <v>1.0223100000000001</v>
      </c>
      <c r="I399" s="28">
        <v>-0.86609999999999998</v>
      </c>
      <c r="J399" s="28">
        <v>0.1739</v>
      </c>
      <c r="K399" s="29">
        <f t="shared" si="12"/>
        <v>0.35619999999999996</v>
      </c>
      <c r="L399" s="29">
        <f t="shared" si="13"/>
        <v>0.32749999999999996</v>
      </c>
    </row>
    <row r="400" spans="1:12" x14ac:dyDescent="0.25">
      <c r="A400" s="21">
        <v>34</v>
      </c>
      <c r="B400" s="22" t="s">
        <v>126</v>
      </c>
      <c r="C400" s="23">
        <v>60</v>
      </c>
      <c r="D400" s="24">
        <v>-0.51049999999999995</v>
      </c>
      <c r="E400" s="24">
        <v>0.50170000000000003</v>
      </c>
      <c r="F400" s="25">
        <v>0.17929999999999999</v>
      </c>
      <c r="G400" s="26" t="s">
        <v>93</v>
      </c>
      <c r="H400" s="27">
        <v>1.02224</v>
      </c>
      <c r="I400" s="28">
        <v>-0.86609999999999998</v>
      </c>
      <c r="J400" s="28">
        <v>0.1739</v>
      </c>
      <c r="K400" s="29">
        <f t="shared" si="12"/>
        <v>0.35560000000000003</v>
      </c>
      <c r="L400" s="29">
        <f t="shared" si="13"/>
        <v>0.32780000000000004</v>
      </c>
    </row>
    <row r="401" spans="1:12" x14ac:dyDescent="0.25">
      <c r="A401" s="21">
        <v>34</v>
      </c>
      <c r="B401" s="22" t="s">
        <v>126</v>
      </c>
      <c r="C401" s="23">
        <v>90</v>
      </c>
      <c r="D401" s="24">
        <v>-0.54720000000000002</v>
      </c>
      <c r="E401" s="24">
        <v>0.50470000000000004</v>
      </c>
      <c r="F401" s="25">
        <v>0.50470000000000004</v>
      </c>
      <c r="G401" s="26" t="s">
        <v>93</v>
      </c>
      <c r="H401" s="27">
        <v>1.0249200000000001</v>
      </c>
      <c r="I401" s="28">
        <v>-0.86609999999999998</v>
      </c>
      <c r="J401" s="28">
        <v>0.1739</v>
      </c>
      <c r="K401" s="29">
        <f t="shared" si="12"/>
        <v>0.31889999999999996</v>
      </c>
      <c r="L401" s="29">
        <f t="shared" si="13"/>
        <v>0.33080000000000004</v>
      </c>
    </row>
    <row r="402" spans="1:12" x14ac:dyDescent="0.25">
      <c r="A402" s="21">
        <v>34</v>
      </c>
      <c r="B402" s="22" t="s">
        <v>126</v>
      </c>
      <c r="C402" s="23">
        <v>120</v>
      </c>
      <c r="D402" s="24">
        <v>-0.70640000000000003</v>
      </c>
      <c r="E402" s="24">
        <v>0.46200000000000002</v>
      </c>
      <c r="F402" s="25">
        <v>0.75329999999999997</v>
      </c>
      <c r="G402" s="26" t="s">
        <v>93</v>
      </c>
      <c r="H402" s="27">
        <v>1.05691</v>
      </c>
      <c r="I402" s="28">
        <v>-0.86609999999999998</v>
      </c>
      <c r="J402" s="28">
        <v>0.1739</v>
      </c>
      <c r="K402" s="29">
        <f t="shared" si="12"/>
        <v>0.15969999999999995</v>
      </c>
      <c r="L402" s="29">
        <f t="shared" si="13"/>
        <v>0.28810000000000002</v>
      </c>
    </row>
    <row r="403" spans="1:12" x14ac:dyDescent="0.25">
      <c r="A403" s="21">
        <v>34</v>
      </c>
      <c r="B403" s="22" t="s">
        <v>126</v>
      </c>
      <c r="C403" s="23">
        <v>150</v>
      </c>
      <c r="D403" s="24">
        <v>-0.82169999999999999</v>
      </c>
      <c r="E403" s="24">
        <v>0.34810000000000002</v>
      </c>
      <c r="F403" s="25">
        <v>0.88570000000000004</v>
      </c>
      <c r="G403" s="26" t="s">
        <v>93</v>
      </c>
      <c r="H403" s="27">
        <v>1.1000000000000001</v>
      </c>
      <c r="I403" s="28">
        <v>-0.86609999999999998</v>
      </c>
      <c r="J403" s="28">
        <v>0.1739</v>
      </c>
      <c r="K403" s="29">
        <f t="shared" si="12"/>
        <v>4.4399999999999995E-2</v>
      </c>
      <c r="L403" s="29">
        <f t="shared" si="13"/>
        <v>0.17420000000000002</v>
      </c>
    </row>
    <row r="404" spans="1:12" x14ac:dyDescent="0.25">
      <c r="A404" s="21">
        <v>34</v>
      </c>
      <c r="B404" s="22" t="s">
        <v>126</v>
      </c>
      <c r="C404" s="23">
        <v>180</v>
      </c>
      <c r="D404" s="24">
        <v>-0.85419999999999996</v>
      </c>
      <c r="E404" s="24">
        <v>0.2351</v>
      </c>
      <c r="F404" s="25">
        <v>0.85419999999999996</v>
      </c>
      <c r="G404" s="26" t="s">
        <v>93</v>
      </c>
      <c r="H404" s="27">
        <v>1.1000000000000001</v>
      </c>
      <c r="I404" s="28">
        <v>-0.86609999999999998</v>
      </c>
      <c r="J404" s="28">
        <v>0.1739</v>
      </c>
      <c r="K404" s="29">
        <f t="shared" si="12"/>
        <v>1.1900000000000022E-2</v>
      </c>
      <c r="L404" s="29">
        <f t="shared" si="13"/>
        <v>6.1200000000000004E-2</v>
      </c>
    </row>
    <row r="405" spans="1:12" x14ac:dyDescent="0.25">
      <c r="A405" s="21">
        <v>34</v>
      </c>
      <c r="B405" s="22" t="s">
        <v>126</v>
      </c>
      <c r="C405" s="23">
        <v>210</v>
      </c>
      <c r="D405" s="24">
        <v>-0.81159999999999999</v>
      </c>
      <c r="E405" s="24">
        <v>8.9300000000000004E-2</v>
      </c>
      <c r="F405" s="25">
        <v>0.6583</v>
      </c>
      <c r="G405" s="26" t="s">
        <v>93</v>
      </c>
      <c r="H405" s="27">
        <v>1.1000000000000001</v>
      </c>
      <c r="I405" s="28">
        <v>-0.86609999999999998</v>
      </c>
      <c r="J405" s="28">
        <v>0.1739</v>
      </c>
      <c r="K405" s="29">
        <f t="shared" si="12"/>
        <v>5.4499999999999993E-2</v>
      </c>
      <c r="L405" s="29">
        <f t="shared" si="13"/>
        <v>-8.4599999999999995E-2</v>
      </c>
    </row>
    <row r="406" spans="1:12" x14ac:dyDescent="0.25">
      <c r="A406" s="21">
        <v>34</v>
      </c>
      <c r="B406" s="22" t="s">
        <v>126</v>
      </c>
      <c r="C406" s="23">
        <v>240</v>
      </c>
      <c r="D406" s="24">
        <v>-0.62</v>
      </c>
      <c r="E406" s="24">
        <v>-0.1129</v>
      </c>
      <c r="F406" s="25">
        <v>0.4078</v>
      </c>
      <c r="G406" s="26" t="s">
        <v>93</v>
      </c>
      <c r="H406" s="27">
        <v>1.1000000000000001</v>
      </c>
      <c r="I406" s="28">
        <v>-0.86609999999999998</v>
      </c>
      <c r="J406" s="28">
        <v>0.1739</v>
      </c>
      <c r="K406" s="29">
        <f t="shared" si="12"/>
        <v>0.24609999999999999</v>
      </c>
      <c r="L406" s="29">
        <f t="shared" si="13"/>
        <v>-0.2868</v>
      </c>
    </row>
    <row r="407" spans="1:12" x14ac:dyDescent="0.25">
      <c r="A407" s="21">
        <v>34</v>
      </c>
      <c r="B407" s="22" t="s">
        <v>126</v>
      </c>
      <c r="C407" s="23">
        <v>270</v>
      </c>
      <c r="D407" s="24">
        <v>-0.53120000000000001</v>
      </c>
      <c r="E407" s="24">
        <v>-0.1404</v>
      </c>
      <c r="F407" s="25">
        <v>0.1404</v>
      </c>
      <c r="G407" s="26" t="s">
        <v>93</v>
      </c>
      <c r="H407" s="27">
        <v>1.1000000000000001</v>
      </c>
      <c r="I407" s="28">
        <v>-0.86609999999999998</v>
      </c>
      <c r="J407" s="28">
        <v>0.1739</v>
      </c>
      <c r="K407" s="29">
        <f t="shared" si="12"/>
        <v>0.33489999999999998</v>
      </c>
      <c r="L407" s="29">
        <f t="shared" si="13"/>
        <v>-0.31430000000000002</v>
      </c>
    </row>
    <row r="408" spans="1:12" x14ac:dyDescent="0.25">
      <c r="A408" s="21">
        <v>34</v>
      </c>
      <c r="B408" s="22" t="s">
        <v>126</v>
      </c>
      <c r="C408" s="23">
        <v>300</v>
      </c>
      <c r="D408" s="24">
        <v>-0.51419999999999999</v>
      </c>
      <c r="E408" s="24">
        <v>-0.1376</v>
      </c>
      <c r="F408" s="25">
        <v>-0.13800000000000001</v>
      </c>
      <c r="G408" s="26" t="s">
        <v>93</v>
      </c>
      <c r="H408" s="27">
        <v>1.1000000000000001</v>
      </c>
      <c r="I408" s="28">
        <v>-0.86609999999999998</v>
      </c>
      <c r="J408" s="28">
        <v>0.1739</v>
      </c>
      <c r="K408" s="29">
        <f t="shared" si="12"/>
        <v>0.35189999999999999</v>
      </c>
      <c r="L408" s="29">
        <f t="shared" si="13"/>
        <v>-0.3115</v>
      </c>
    </row>
    <row r="409" spans="1:12" x14ac:dyDescent="0.25">
      <c r="A409" s="30">
        <v>34</v>
      </c>
      <c r="B409" s="31" t="s">
        <v>126</v>
      </c>
      <c r="C409" s="32">
        <v>330</v>
      </c>
      <c r="D409" s="33">
        <v>-0.51060000000000005</v>
      </c>
      <c r="E409" s="33">
        <v>-0.13519999999999999</v>
      </c>
      <c r="F409" s="34">
        <v>-0.37459999999999999</v>
      </c>
      <c r="G409" s="35" t="s">
        <v>93</v>
      </c>
      <c r="H409" s="36">
        <v>1.1000000000000001</v>
      </c>
      <c r="I409" s="37">
        <v>-0.86609999999999998</v>
      </c>
      <c r="J409" s="37">
        <v>0.1739</v>
      </c>
      <c r="K409" s="38">
        <f t="shared" si="12"/>
        <v>0.35549999999999993</v>
      </c>
      <c r="L409" s="38">
        <f t="shared" si="13"/>
        <v>-0.30909999999999999</v>
      </c>
    </row>
    <row r="410" spans="1:12" x14ac:dyDescent="0.25">
      <c r="A410" s="21">
        <v>35</v>
      </c>
      <c r="B410" s="22" t="s">
        <v>127</v>
      </c>
      <c r="C410" s="23">
        <v>0</v>
      </c>
      <c r="D410" s="24">
        <v>-5.67E-2</v>
      </c>
      <c r="E410" s="24">
        <v>0.3397</v>
      </c>
      <c r="F410" s="25">
        <v>-5.67E-2</v>
      </c>
      <c r="G410" s="26" t="s">
        <v>93</v>
      </c>
      <c r="H410" s="27">
        <v>1.0648599999999999</v>
      </c>
      <c r="I410" s="28">
        <v>-0.54730000000000001</v>
      </c>
      <c r="J410" s="28">
        <v>0.1799</v>
      </c>
      <c r="K410" s="29">
        <f t="shared" si="12"/>
        <v>0.49060000000000004</v>
      </c>
      <c r="L410" s="29">
        <f t="shared" si="13"/>
        <v>0.1598</v>
      </c>
    </row>
    <row r="411" spans="1:12" x14ac:dyDescent="0.25">
      <c r="A411" s="21">
        <v>35</v>
      </c>
      <c r="B411" s="22" t="s">
        <v>127</v>
      </c>
      <c r="C411" s="23">
        <v>30</v>
      </c>
      <c r="D411" s="24">
        <v>-5.8599999999999999E-2</v>
      </c>
      <c r="E411" s="24">
        <v>0.53110000000000002</v>
      </c>
      <c r="F411" s="25">
        <v>0.21479999999999999</v>
      </c>
      <c r="G411" s="26" t="s">
        <v>93</v>
      </c>
      <c r="H411" s="27">
        <v>1.01278</v>
      </c>
      <c r="I411" s="28">
        <v>-0.54730000000000001</v>
      </c>
      <c r="J411" s="28">
        <v>0.1799</v>
      </c>
      <c r="K411" s="29">
        <f t="shared" si="12"/>
        <v>0.48870000000000002</v>
      </c>
      <c r="L411" s="29">
        <f t="shared" si="13"/>
        <v>0.35120000000000001</v>
      </c>
    </row>
    <row r="412" spans="1:12" x14ac:dyDescent="0.25">
      <c r="A412" s="21">
        <v>35</v>
      </c>
      <c r="B412" s="22" t="s">
        <v>127</v>
      </c>
      <c r="C412" s="23">
        <v>60</v>
      </c>
      <c r="D412" s="24">
        <v>-5.9400000000000001E-2</v>
      </c>
      <c r="E412" s="24">
        <v>0.53159999999999996</v>
      </c>
      <c r="F412" s="25">
        <v>0.43070000000000003</v>
      </c>
      <c r="G412" s="26" t="s">
        <v>93</v>
      </c>
      <c r="H412" s="27">
        <v>1.01257</v>
      </c>
      <c r="I412" s="28">
        <v>-0.54730000000000001</v>
      </c>
      <c r="J412" s="28">
        <v>0.1799</v>
      </c>
      <c r="K412" s="29">
        <f t="shared" si="12"/>
        <v>0.4879</v>
      </c>
      <c r="L412" s="29">
        <f t="shared" si="13"/>
        <v>0.35169999999999996</v>
      </c>
    </row>
    <row r="413" spans="1:12" x14ac:dyDescent="0.25">
      <c r="A413" s="21">
        <v>35</v>
      </c>
      <c r="B413" s="22" t="s">
        <v>127</v>
      </c>
      <c r="C413" s="23">
        <v>90</v>
      </c>
      <c r="D413" s="24">
        <v>-9.7100000000000006E-2</v>
      </c>
      <c r="E413" s="24">
        <v>0.53490000000000004</v>
      </c>
      <c r="F413" s="25">
        <v>0.53490000000000004</v>
      </c>
      <c r="G413" s="26" t="s">
        <v>93</v>
      </c>
      <c r="H413" s="27">
        <v>1.0154799999999999</v>
      </c>
      <c r="I413" s="28">
        <v>-0.54730000000000001</v>
      </c>
      <c r="J413" s="28">
        <v>0.1799</v>
      </c>
      <c r="K413" s="29">
        <f t="shared" si="12"/>
        <v>0.45019999999999999</v>
      </c>
      <c r="L413" s="29">
        <f t="shared" si="13"/>
        <v>0.35500000000000004</v>
      </c>
    </row>
    <row r="414" spans="1:12" x14ac:dyDescent="0.25">
      <c r="A414" s="21">
        <v>35</v>
      </c>
      <c r="B414" s="22" t="s">
        <v>127</v>
      </c>
      <c r="C414" s="23">
        <v>120</v>
      </c>
      <c r="D414" s="24">
        <v>-0.25890000000000002</v>
      </c>
      <c r="E414" s="24">
        <v>0.4914</v>
      </c>
      <c r="F414" s="25">
        <v>0.55500000000000005</v>
      </c>
      <c r="G414" s="26" t="s">
        <v>93</v>
      </c>
      <c r="H414" s="27">
        <v>1.0472600000000001</v>
      </c>
      <c r="I414" s="28">
        <v>-0.54730000000000001</v>
      </c>
      <c r="J414" s="28">
        <v>0.1799</v>
      </c>
      <c r="K414" s="29">
        <f t="shared" si="12"/>
        <v>0.28839999999999999</v>
      </c>
      <c r="L414" s="29">
        <f t="shared" si="13"/>
        <v>0.3115</v>
      </c>
    </row>
    <row r="415" spans="1:12" x14ac:dyDescent="0.25">
      <c r="A415" s="21">
        <v>35</v>
      </c>
      <c r="B415" s="22" t="s">
        <v>127</v>
      </c>
      <c r="C415" s="23">
        <v>150</v>
      </c>
      <c r="D415" s="24">
        <v>-0.37790000000000001</v>
      </c>
      <c r="E415" s="24">
        <v>0.37269999999999998</v>
      </c>
      <c r="F415" s="25">
        <v>0.51359999999999995</v>
      </c>
      <c r="G415" s="26" t="s">
        <v>93</v>
      </c>
      <c r="H415" s="27">
        <v>1.1000000000000001</v>
      </c>
      <c r="I415" s="28">
        <v>-0.54730000000000001</v>
      </c>
      <c r="J415" s="28">
        <v>0.1799</v>
      </c>
      <c r="K415" s="29">
        <f t="shared" si="12"/>
        <v>0.1694</v>
      </c>
      <c r="L415" s="29">
        <f t="shared" si="13"/>
        <v>0.19279999999999997</v>
      </c>
    </row>
    <row r="416" spans="1:12" x14ac:dyDescent="0.25">
      <c r="A416" s="21">
        <v>35</v>
      </c>
      <c r="B416" s="22" t="s">
        <v>127</v>
      </c>
      <c r="C416" s="23">
        <v>180</v>
      </c>
      <c r="D416" s="24">
        <v>-0.4133</v>
      </c>
      <c r="E416" s="24">
        <v>0.2432</v>
      </c>
      <c r="F416" s="25">
        <v>0.4133</v>
      </c>
      <c r="G416" s="26" t="s">
        <v>93</v>
      </c>
      <c r="H416" s="27">
        <v>1.1000000000000001</v>
      </c>
      <c r="I416" s="28">
        <v>-0.54730000000000001</v>
      </c>
      <c r="J416" s="28">
        <v>0.1799</v>
      </c>
      <c r="K416" s="29">
        <f t="shared" si="12"/>
        <v>0.13400000000000001</v>
      </c>
      <c r="L416" s="29">
        <f t="shared" si="13"/>
        <v>6.3299999999999995E-2</v>
      </c>
    </row>
    <row r="417" spans="1:12" x14ac:dyDescent="0.25">
      <c r="A417" s="21">
        <v>35</v>
      </c>
      <c r="B417" s="22" t="s">
        <v>127</v>
      </c>
      <c r="C417" s="23">
        <v>210</v>
      </c>
      <c r="D417" s="24">
        <v>-0.371</v>
      </c>
      <c r="E417" s="24">
        <v>9.0399999999999994E-2</v>
      </c>
      <c r="F417" s="25">
        <v>0.27610000000000001</v>
      </c>
      <c r="G417" s="26" t="s">
        <v>93</v>
      </c>
      <c r="H417" s="27">
        <v>1.1000000000000001</v>
      </c>
      <c r="I417" s="28">
        <v>-0.54730000000000001</v>
      </c>
      <c r="J417" s="28">
        <v>0.1799</v>
      </c>
      <c r="K417" s="29">
        <f t="shared" si="12"/>
        <v>0.17630000000000001</v>
      </c>
      <c r="L417" s="29">
        <f t="shared" si="13"/>
        <v>-8.950000000000001E-2</v>
      </c>
    </row>
    <row r="418" spans="1:12" x14ac:dyDescent="0.25">
      <c r="A418" s="21">
        <v>35</v>
      </c>
      <c r="B418" s="22" t="s">
        <v>127</v>
      </c>
      <c r="C418" s="23">
        <v>240</v>
      </c>
      <c r="D418" s="24">
        <v>-0.20979999999999999</v>
      </c>
      <c r="E418" s="24">
        <v>-7.9000000000000001E-2</v>
      </c>
      <c r="F418" s="25">
        <v>0.17330000000000001</v>
      </c>
      <c r="G418" s="26" t="s">
        <v>93</v>
      </c>
      <c r="H418" s="27">
        <v>1.1000000000000001</v>
      </c>
      <c r="I418" s="28">
        <v>-0.54730000000000001</v>
      </c>
      <c r="J418" s="28">
        <v>0.1799</v>
      </c>
      <c r="K418" s="29">
        <f t="shared" si="12"/>
        <v>0.33750000000000002</v>
      </c>
      <c r="L418" s="29">
        <f t="shared" si="13"/>
        <v>-0.25890000000000002</v>
      </c>
    </row>
    <row r="419" spans="1:12" x14ac:dyDescent="0.25">
      <c r="A419" s="21">
        <v>35</v>
      </c>
      <c r="B419" s="22" t="s">
        <v>127</v>
      </c>
      <c r="C419" s="23">
        <v>270</v>
      </c>
      <c r="D419" s="24">
        <v>-9.7199999999999995E-2</v>
      </c>
      <c r="E419" s="24">
        <v>-0.112</v>
      </c>
      <c r="F419" s="25">
        <v>0.112</v>
      </c>
      <c r="G419" s="26" t="s">
        <v>93</v>
      </c>
      <c r="H419" s="27">
        <v>1.1000000000000001</v>
      </c>
      <c r="I419" s="28">
        <v>-0.54730000000000001</v>
      </c>
      <c r="J419" s="28">
        <v>0.1799</v>
      </c>
      <c r="K419" s="29">
        <f t="shared" si="12"/>
        <v>0.4501</v>
      </c>
      <c r="L419" s="29">
        <f t="shared" si="13"/>
        <v>-0.29189999999999999</v>
      </c>
    </row>
    <row r="420" spans="1:12" x14ac:dyDescent="0.25">
      <c r="A420" s="21">
        <v>35</v>
      </c>
      <c r="B420" s="22" t="s">
        <v>127</v>
      </c>
      <c r="C420" s="23">
        <v>300</v>
      </c>
      <c r="D420" s="24">
        <v>-6.3600000000000004E-2</v>
      </c>
      <c r="E420" s="24">
        <v>-0.109</v>
      </c>
      <c r="F420" s="25">
        <v>6.2600000000000003E-2</v>
      </c>
      <c r="G420" s="26" t="s">
        <v>93</v>
      </c>
      <c r="H420" s="27">
        <v>1.1000000000000001</v>
      </c>
      <c r="I420" s="28">
        <v>-0.54730000000000001</v>
      </c>
      <c r="J420" s="28">
        <v>0.1799</v>
      </c>
      <c r="K420" s="29">
        <f t="shared" si="12"/>
        <v>0.48370000000000002</v>
      </c>
      <c r="L420" s="29">
        <f t="shared" si="13"/>
        <v>-0.28889999999999999</v>
      </c>
    </row>
    <row r="421" spans="1:12" x14ac:dyDescent="0.25">
      <c r="A421" s="30">
        <v>35</v>
      </c>
      <c r="B421" s="31" t="s">
        <v>127</v>
      </c>
      <c r="C421" s="32">
        <v>330</v>
      </c>
      <c r="D421" s="33">
        <v>-6.1800000000000001E-2</v>
      </c>
      <c r="E421" s="33">
        <v>-0.1076</v>
      </c>
      <c r="F421" s="34">
        <v>2.0000000000000001E-4</v>
      </c>
      <c r="G421" s="35" t="s">
        <v>93</v>
      </c>
      <c r="H421" s="36">
        <v>1.1000000000000001</v>
      </c>
      <c r="I421" s="37">
        <v>-0.54730000000000001</v>
      </c>
      <c r="J421" s="37">
        <v>0.1799</v>
      </c>
      <c r="K421" s="38">
        <f t="shared" si="12"/>
        <v>0.48549999999999999</v>
      </c>
      <c r="L421" s="38">
        <f t="shared" si="13"/>
        <v>-0.28749999999999998</v>
      </c>
    </row>
    <row r="422" spans="1:12" x14ac:dyDescent="0.25">
      <c r="A422" s="21">
        <v>36</v>
      </c>
      <c r="B422" s="22" t="s">
        <v>128</v>
      </c>
      <c r="C422" s="23">
        <v>0</v>
      </c>
      <c r="D422" s="24">
        <v>0.18210000000000001</v>
      </c>
      <c r="E422" s="24">
        <v>0.33779999999999999</v>
      </c>
      <c r="F422" s="25">
        <v>0.18210000000000001</v>
      </c>
      <c r="G422" s="26" t="s">
        <v>93</v>
      </c>
      <c r="H422" s="27">
        <v>1.06535</v>
      </c>
      <c r="I422" s="28">
        <v>-9.98E-2</v>
      </c>
      <c r="J422" s="28">
        <v>0.21129999999999999</v>
      </c>
      <c r="K422" s="29">
        <f t="shared" si="12"/>
        <v>0.28190000000000004</v>
      </c>
      <c r="L422" s="29">
        <f t="shared" si="13"/>
        <v>0.1265</v>
      </c>
    </row>
    <row r="423" spans="1:12" x14ac:dyDescent="0.25">
      <c r="A423" s="21">
        <v>36</v>
      </c>
      <c r="B423" s="22" t="s">
        <v>128</v>
      </c>
      <c r="C423" s="23">
        <v>30</v>
      </c>
      <c r="D423" s="24">
        <v>0.18149999999999999</v>
      </c>
      <c r="E423" s="24">
        <v>0.51670000000000005</v>
      </c>
      <c r="F423" s="25">
        <v>0.41560000000000002</v>
      </c>
      <c r="G423" s="26" t="s">
        <v>93</v>
      </c>
      <c r="H423" s="27">
        <v>1.0078400000000001</v>
      </c>
      <c r="I423" s="28">
        <v>-9.98E-2</v>
      </c>
      <c r="J423" s="28">
        <v>0.21129999999999999</v>
      </c>
      <c r="K423" s="29">
        <f t="shared" si="12"/>
        <v>0.28129999999999999</v>
      </c>
      <c r="L423" s="29">
        <f t="shared" si="13"/>
        <v>0.30540000000000006</v>
      </c>
    </row>
    <row r="424" spans="1:12" x14ac:dyDescent="0.25">
      <c r="A424" s="21">
        <v>36</v>
      </c>
      <c r="B424" s="22" t="s">
        <v>128</v>
      </c>
      <c r="C424" s="23">
        <v>60</v>
      </c>
      <c r="D424" s="24">
        <v>0.17799999999999999</v>
      </c>
      <c r="E424" s="24">
        <v>0.52</v>
      </c>
      <c r="F424" s="25">
        <v>0.5393</v>
      </c>
      <c r="G424" s="26" t="s">
        <v>93</v>
      </c>
      <c r="H424" s="27">
        <v>1.0079400000000001</v>
      </c>
      <c r="I424" s="28">
        <v>-9.98E-2</v>
      </c>
      <c r="J424" s="28">
        <v>0.21129999999999999</v>
      </c>
      <c r="K424" s="29">
        <f t="shared" si="12"/>
        <v>0.27779999999999999</v>
      </c>
      <c r="L424" s="29">
        <f t="shared" si="13"/>
        <v>0.30870000000000003</v>
      </c>
    </row>
    <row r="425" spans="1:12" x14ac:dyDescent="0.25">
      <c r="A425" s="21">
        <v>36</v>
      </c>
      <c r="B425" s="22" t="s">
        <v>128</v>
      </c>
      <c r="C425" s="23">
        <v>90</v>
      </c>
      <c r="D425" s="24">
        <v>0.1358</v>
      </c>
      <c r="E425" s="24">
        <v>0.5242</v>
      </c>
      <c r="F425" s="25">
        <v>0.5242</v>
      </c>
      <c r="G425" s="26" t="s">
        <v>93</v>
      </c>
      <c r="H425" s="27">
        <v>1.01189</v>
      </c>
      <c r="I425" s="28">
        <v>-9.98E-2</v>
      </c>
      <c r="J425" s="28">
        <v>0.21129999999999999</v>
      </c>
      <c r="K425" s="29">
        <f t="shared" si="12"/>
        <v>0.2356</v>
      </c>
      <c r="L425" s="29">
        <f t="shared" si="13"/>
        <v>0.31290000000000001</v>
      </c>
    </row>
    <row r="426" spans="1:12" x14ac:dyDescent="0.25">
      <c r="A426" s="21">
        <v>36</v>
      </c>
      <c r="B426" s="22" t="s">
        <v>128</v>
      </c>
      <c r="C426" s="23">
        <v>120</v>
      </c>
      <c r="D426" s="24">
        <v>-2.7400000000000001E-2</v>
      </c>
      <c r="E426" s="24">
        <v>0.48039999999999999</v>
      </c>
      <c r="F426" s="25">
        <v>0.42970000000000003</v>
      </c>
      <c r="G426" s="26" t="s">
        <v>93</v>
      </c>
      <c r="H426" s="27">
        <v>1.04233</v>
      </c>
      <c r="I426" s="28">
        <v>-9.98E-2</v>
      </c>
      <c r="J426" s="28">
        <v>0.21129999999999999</v>
      </c>
      <c r="K426" s="29">
        <f t="shared" si="12"/>
        <v>7.2399999999999992E-2</v>
      </c>
      <c r="L426" s="29">
        <f t="shared" si="13"/>
        <v>0.26910000000000001</v>
      </c>
    </row>
    <row r="427" spans="1:12" x14ac:dyDescent="0.25">
      <c r="A427" s="21">
        <v>36</v>
      </c>
      <c r="B427" s="22" t="s">
        <v>128</v>
      </c>
      <c r="C427" s="23">
        <v>150</v>
      </c>
      <c r="D427" s="24">
        <v>-0.14779999999999999</v>
      </c>
      <c r="E427" s="24">
        <v>0.36</v>
      </c>
      <c r="F427" s="25">
        <v>0.308</v>
      </c>
      <c r="G427" s="26" t="s">
        <v>93</v>
      </c>
      <c r="H427" s="27">
        <v>1.09772</v>
      </c>
      <c r="I427" s="28">
        <v>-9.98E-2</v>
      </c>
      <c r="J427" s="28">
        <v>0.21129999999999999</v>
      </c>
      <c r="K427" s="29">
        <f t="shared" si="12"/>
        <v>-4.7999999999999987E-2</v>
      </c>
      <c r="L427" s="29">
        <f t="shared" si="13"/>
        <v>0.1487</v>
      </c>
    </row>
    <row r="428" spans="1:12" x14ac:dyDescent="0.25">
      <c r="A428" s="21">
        <v>36</v>
      </c>
      <c r="B428" s="22" t="s">
        <v>128</v>
      </c>
      <c r="C428" s="23">
        <v>180</v>
      </c>
      <c r="D428" s="24">
        <v>-0.1842</v>
      </c>
      <c r="E428" s="24">
        <v>0.22739999999999999</v>
      </c>
      <c r="F428" s="25">
        <v>0.1842</v>
      </c>
      <c r="G428" s="26" t="s">
        <v>93</v>
      </c>
      <c r="H428" s="27">
        <v>1.1000000000000001</v>
      </c>
      <c r="I428" s="28">
        <v>-9.98E-2</v>
      </c>
      <c r="J428" s="28">
        <v>0.21129999999999999</v>
      </c>
      <c r="K428" s="29">
        <f t="shared" si="12"/>
        <v>-8.4400000000000003E-2</v>
      </c>
      <c r="L428" s="29">
        <f t="shared" si="13"/>
        <v>1.6100000000000003E-2</v>
      </c>
    </row>
    <row r="429" spans="1:12" x14ac:dyDescent="0.25">
      <c r="A429" s="21">
        <v>36</v>
      </c>
      <c r="B429" s="22" t="s">
        <v>128</v>
      </c>
      <c r="C429" s="23">
        <v>210</v>
      </c>
      <c r="D429" s="24">
        <v>-0.1421</v>
      </c>
      <c r="E429" s="24">
        <v>6.3200000000000006E-2</v>
      </c>
      <c r="F429" s="25">
        <v>9.1399999999999995E-2</v>
      </c>
      <c r="G429" s="26" t="s">
        <v>93</v>
      </c>
      <c r="H429" s="27">
        <v>1.1000000000000001</v>
      </c>
      <c r="I429" s="28">
        <v>-9.98E-2</v>
      </c>
      <c r="J429" s="28">
        <v>0.21129999999999999</v>
      </c>
      <c r="K429" s="29">
        <f t="shared" si="12"/>
        <v>-4.2300000000000004E-2</v>
      </c>
      <c r="L429" s="29">
        <f t="shared" si="13"/>
        <v>-0.14809999999999998</v>
      </c>
    </row>
    <row r="430" spans="1:12" x14ac:dyDescent="0.25">
      <c r="A430" s="21">
        <v>36</v>
      </c>
      <c r="B430" s="22" t="s">
        <v>128</v>
      </c>
      <c r="C430" s="23">
        <v>240</v>
      </c>
      <c r="D430" s="24">
        <v>3.5999999999999999E-3</v>
      </c>
      <c r="E430" s="24">
        <v>-8.8599999999999998E-2</v>
      </c>
      <c r="F430" s="25">
        <v>7.4899999999999994E-2</v>
      </c>
      <c r="G430" s="26" t="s">
        <v>93</v>
      </c>
      <c r="H430" s="27">
        <v>1.1000000000000001</v>
      </c>
      <c r="I430" s="28">
        <v>-9.98E-2</v>
      </c>
      <c r="J430" s="28">
        <v>0.21129999999999999</v>
      </c>
      <c r="K430" s="29">
        <f t="shared" si="12"/>
        <v>0.10340000000000001</v>
      </c>
      <c r="L430" s="29">
        <f t="shared" si="13"/>
        <v>-0.2999</v>
      </c>
    </row>
    <row r="431" spans="1:12" x14ac:dyDescent="0.25">
      <c r="A431" s="21">
        <v>36</v>
      </c>
      <c r="B431" s="22" t="s">
        <v>128</v>
      </c>
      <c r="C431" s="23">
        <v>270</v>
      </c>
      <c r="D431" s="24">
        <v>0.1298</v>
      </c>
      <c r="E431" s="24">
        <v>-0.1217</v>
      </c>
      <c r="F431" s="25">
        <v>0.1217</v>
      </c>
      <c r="G431" s="26" t="s">
        <v>93</v>
      </c>
      <c r="H431" s="27">
        <v>1.1000000000000001</v>
      </c>
      <c r="I431" s="28">
        <v>-9.98E-2</v>
      </c>
      <c r="J431" s="28">
        <v>0.21129999999999999</v>
      </c>
      <c r="K431" s="29">
        <f t="shared" si="12"/>
        <v>0.2296</v>
      </c>
      <c r="L431" s="29">
        <f t="shared" si="13"/>
        <v>-0.33299999999999996</v>
      </c>
    </row>
    <row r="432" spans="1:12" x14ac:dyDescent="0.25">
      <c r="A432" s="21">
        <v>36</v>
      </c>
      <c r="B432" s="22" t="s">
        <v>128</v>
      </c>
      <c r="C432" s="23">
        <v>300</v>
      </c>
      <c r="D432" s="24">
        <v>0.17449999999999999</v>
      </c>
      <c r="E432" s="24">
        <v>-0.1167</v>
      </c>
      <c r="F432" s="25">
        <v>0.1883</v>
      </c>
      <c r="G432" s="26" t="s">
        <v>93</v>
      </c>
      <c r="H432" s="27">
        <v>1.09606</v>
      </c>
      <c r="I432" s="28">
        <v>-9.98E-2</v>
      </c>
      <c r="J432" s="28">
        <v>0.21129999999999999</v>
      </c>
      <c r="K432" s="29">
        <f t="shared" si="12"/>
        <v>0.27429999999999999</v>
      </c>
      <c r="L432" s="29">
        <f t="shared" si="13"/>
        <v>-0.32799999999999996</v>
      </c>
    </row>
    <row r="433" spans="1:12" x14ac:dyDescent="0.25">
      <c r="A433" s="30">
        <v>36</v>
      </c>
      <c r="B433" s="31" t="s">
        <v>128</v>
      </c>
      <c r="C433" s="32">
        <v>330</v>
      </c>
      <c r="D433" s="33">
        <v>0.17749999999999999</v>
      </c>
      <c r="E433" s="33">
        <v>-0.114</v>
      </c>
      <c r="F433" s="34">
        <v>0.2107</v>
      </c>
      <c r="G433" s="35" t="s">
        <v>93</v>
      </c>
      <c r="H433" s="36">
        <v>1.0961799999999999</v>
      </c>
      <c r="I433" s="37">
        <v>-9.98E-2</v>
      </c>
      <c r="J433" s="37">
        <v>0.21129999999999999</v>
      </c>
      <c r="K433" s="38">
        <f t="shared" si="12"/>
        <v>0.27729999999999999</v>
      </c>
      <c r="L433" s="38">
        <f t="shared" si="13"/>
        <v>-0.32529999999999998</v>
      </c>
    </row>
    <row r="434" spans="1:12" x14ac:dyDescent="0.25">
      <c r="A434" s="21">
        <v>37</v>
      </c>
      <c r="B434" s="22" t="s">
        <v>129</v>
      </c>
      <c r="C434" s="23">
        <v>0</v>
      </c>
      <c r="D434" s="24">
        <v>0.4123</v>
      </c>
      <c r="E434" s="24">
        <v>0.50790000000000002</v>
      </c>
      <c r="F434" s="25">
        <v>0.4123</v>
      </c>
      <c r="G434" s="26" t="s">
        <v>93</v>
      </c>
      <c r="H434" s="27">
        <v>1.0077</v>
      </c>
      <c r="I434" s="28">
        <v>0.1318</v>
      </c>
      <c r="J434" s="28">
        <v>0.20130000000000001</v>
      </c>
      <c r="K434" s="29">
        <f t="shared" si="12"/>
        <v>0.28049999999999997</v>
      </c>
      <c r="L434" s="29">
        <f t="shared" si="13"/>
        <v>0.30659999999999998</v>
      </c>
    </row>
    <row r="435" spans="1:12" x14ac:dyDescent="0.25">
      <c r="A435" s="21">
        <v>37</v>
      </c>
      <c r="B435" s="22" t="s">
        <v>129</v>
      </c>
      <c r="C435" s="23">
        <v>30</v>
      </c>
      <c r="D435" s="24">
        <v>0.41220000000000001</v>
      </c>
      <c r="E435" s="24">
        <v>0.50800000000000001</v>
      </c>
      <c r="F435" s="25">
        <v>0.61099999999999999</v>
      </c>
      <c r="G435" s="26" t="s">
        <v>93</v>
      </c>
      <c r="H435" s="27">
        <v>1.0076799999999999</v>
      </c>
      <c r="I435" s="28">
        <v>0.1318</v>
      </c>
      <c r="J435" s="28">
        <v>0.20130000000000001</v>
      </c>
      <c r="K435" s="29">
        <f t="shared" si="12"/>
        <v>0.28039999999999998</v>
      </c>
      <c r="L435" s="29">
        <f t="shared" si="13"/>
        <v>0.30669999999999997</v>
      </c>
    </row>
    <row r="436" spans="1:12" x14ac:dyDescent="0.25">
      <c r="A436" s="21">
        <v>37</v>
      </c>
      <c r="B436" s="22" t="s">
        <v>129</v>
      </c>
      <c r="C436" s="23">
        <v>60</v>
      </c>
      <c r="D436" s="24">
        <v>0.40949999999999998</v>
      </c>
      <c r="E436" s="24">
        <v>0.51039999999999996</v>
      </c>
      <c r="F436" s="25">
        <v>0.64680000000000004</v>
      </c>
      <c r="G436" s="26" t="s">
        <v>93</v>
      </c>
      <c r="H436" s="27">
        <v>1.00701</v>
      </c>
      <c r="I436" s="28">
        <v>0.1318</v>
      </c>
      <c r="J436" s="28">
        <v>0.20130000000000001</v>
      </c>
      <c r="K436" s="29">
        <f t="shared" si="12"/>
        <v>0.27769999999999995</v>
      </c>
      <c r="L436" s="29">
        <f t="shared" si="13"/>
        <v>0.30909999999999993</v>
      </c>
    </row>
    <row r="437" spans="1:12" x14ac:dyDescent="0.25">
      <c r="A437" s="21">
        <v>37</v>
      </c>
      <c r="B437" s="22" t="s">
        <v>129</v>
      </c>
      <c r="C437" s="23">
        <v>90</v>
      </c>
      <c r="D437" s="24">
        <v>0.36609999999999998</v>
      </c>
      <c r="E437" s="24">
        <v>0.5151</v>
      </c>
      <c r="F437" s="25">
        <v>0.5151</v>
      </c>
      <c r="G437" s="26" t="s">
        <v>93</v>
      </c>
      <c r="H437" s="27">
        <v>1.01081</v>
      </c>
      <c r="I437" s="28">
        <v>0.1318</v>
      </c>
      <c r="J437" s="28">
        <v>0.20130000000000001</v>
      </c>
      <c r="K437" s="29">
        <f t="shared" si="12"/>
        <v>0.23429999999999998</v>
      </c>
      <c r="L437" s="29">
        <f t="shared" si="13"/>
        <v>0.31379999999999997</v>
      </c>
    </row>
    <row r="438" spans="1:12" x14ac:dyDescent="0.25">
      <c r="A438" s="21">
        <v>37</v>
      </c>
      <c r="B438" s="22" t="s">
        <v>129</v>
      </c>
      <c r="C438" s="23">
        <v>120</v>
      </c>
      <c r="D438" s="24">
        <v>0.20080000000000001</v>
      </c>
      <c r="E438" s="24">
        <v>0.47060000000000002</v>
      </c>
      <c r="F438" s="25">
        <v>0.30719999999999997</v>
      </c>
      <c r="G438" s="26" t="s">
        <v>93</v>
      </c>
      <c r="H438" s="27">
        <v>1.03545</v>
      </c>
      <c r="I438" s="28">
        <v>0.1318</v>
      </c>
      <c r="J438" s="28">
        <v>0.20130000000000001</v>
      </c>
      <c r="K438" s="29">
        <f t="shared" si="12"/>
        <v>6.9000000000000006E-2</v>
      </c>
      <c r="L438" s="29">
        <f t="shared" si="13"/>
        <v>0.26929999999999998</v>
      </c>
    </row>
    <row r="439" spans="1:12" x14ac:dyDescent="0.25">
      <c r="A439" s="21">
        <v>37</v>
      </c>
      <c r="B439" s="22" t="s">
        <v>129</v>
      </c>
      <c r="C439" s="23">
        <v>150</v>
      </c>
      <c r="D439" s="24">
        <v>7.9399999999999998E-2</v>
      </c>
      <c r="E439" s="24">
        <v>0.3493</v>
      </c>
      <c r="F439" s="25">
        <v>0.10589999999999999</v>
      </c>
      <c r="G439" s="26" t="s">
        <v>93</v>
      </c>
      <c r="H439" s="27">
        <v>1.0780799999999999</v>
      </c>
      <c r="I439" s="28">
        <v>0.1318</v>
      </c>
      <c r="J439" s="28">
        <v>0.20130000000000001</v>
      </c>
      <c r="K439" s="29">
        <f t="shared" si="12"/>
        <v>-5.2400000000000002E-2</v>
      </c>
      <c r="L439" s="29">
        <f t="shared" si="13"/>
        <v>0.14799999999999999</v>
      </c>
    </row>
    <row r="440" spans="1:12" x14ac:dyDescent="0.25">
      <c r="A440" s="21">
        <v>37</v>
      </c>
      <c r="B440" s="22" t="s">
        <v>129</v>
      </c>
      <c r="C440" s="23">
        <v>180</v>
      </c>
      <c r="D440" s="24">
        <v>3.8100000000000002E-2</v>
      </c>
      <c r="E440" s="24">
        <v>0.2059</v>
      </c>
      <c r="F440" s="25">
        <v>-3.8100000000000002E-2</v>
      </c>
      <c r="G440" s="26" t="s">
        <v>93</v>
      </c>
      <c r="H440" s="27">
        <v>1.1000000000000001</v>
      </c>
      <c r="I440" s="28">
        <v>0.1318</v>
      </c>
      <c r="J440" s="28">
        <v>0.20130000000000001</v>
      </c>
      <c r="K440" s="29">
        <f t="shared" si="12"/>
        <v>-9.3700000000000006E-2</v>
      </c>
      <c r="L440" s="29">
        <f t="shared" si="13"/>
        <v>4.599999999999993E-3</v>
      </c>
    </row>
    <row r="441" spans="1:12" x14ac:dyDescent="0.25">
      <c r="A441" s="21">
        <v>37</v>
      </c>
      <c r="B441" s="22" t="s">
        <v>129</v>
      </c>
      <c r="C441" s="23">
        <v>210</v>
      </c>
      <c r="D441" s="24">
        <v>8.2199999999999995E-2</v>
      </c>
      <c r="E441" s="24">
        <v>3.9300000000000002E-2</v>
      </c>
      <c r="F441" s="25">
        <v>-9.0800000000000006E-2</v>
      </c>
      <c r="G441" s="26" t="s">
        <v>93</v>
      </c>
      <c r="H441" s="27">
        <v>1.1000000000000001</v>
      </c>
      <c r="I441" s="28">
        <v>0.1318</v>
      </c>
      <c r="J441" s="28">
        <v>0.20130000000000001</v>
      </c>
      <c r="K441" s="29">
        <f t="shared" si="12"/>
        <v>-4.9600000000000005E-2</v>
      </c>
      <c r="L441" s="29">
        <f t="shared" si="13"/>
        <v>-0.16200000000000001</v>
      </c>
    </row>
    <row r="442" spans="1:12" x14ac:dyDescent="0.25">
      <c r="A442" s="21">
        <v>37</v>
      </c>
      <c r="B442" s="22" t="s">
        <v>129</v>
      </c>
      <c r="C442" s="23">
        <v>240</v>
      </c>
      <c r="D442" s="24">
        <v>0.2127</v>
      </c>
      <c r="E442" s="24">
        <v>-9.3399999999999997E-2</v>
      </c>
      <c r="F442" s="25">
        <v>-2.5399999999999999E-2</v>
      </c>
      <c r="G442" s="26" t="s">
        <v>93</v>
      </c>
      <c r="H442" s="27">
        <v>1.1000000000000001</v>
      </c>
      <c r="I442" s="28">
        <v>0.1318</v>
      </c>
      <c r="J442" s="28">
        <v>0.20130000000000001</v>
      </c>
      <c r="K442" s="29">
        <f t="shared" si="12"/>
        <v>8.09E-2</v>
      </c>
      <c r="L442" s="29">
        <f t="shared" si="13"/>
        <v>-0.29470000000000002</v>
      </c>
    </row>
    <row r="443" spans="1:12" x14ac:dyDescent="0.25">
      <c r="A443" s="21">
        <v>37</v>
      </c>
      <c r="B443" s="22" t="s">
        <v>129</v>
      </c>
      <c r="C443" s="23">
        <v>270</v>
      </c>
      <c r="D443" s="24">
        <v>0.35460000000000003</v>
      </c>
      <c r="E443" s="24">
        <v>-0.12909999999999999</v>
      </c>
      <c r="F443" s="25">
        <v>0.12909999999999999</v>
      </c>
      <c r="G443" s="26" t="s">
        <v>93</v>
      </c>
      <c r="H443" s="27">
        <v>1.09535</v>
      </c>
      <c r="I443" s="28">
        <v>0.1318</v>
      </c>
      <c r="J443" s="28">
        <v>0.20130000000000001</v>
      </c>
      <c r="K443" s="29">
        <f t="shared" si="12"/>
        <v>0.22280000000000003</v>
      </c>
      <c r="L443" s="29">
        <f t="shared" si="13"/>
        <v>-0.33040000000000003</v>
      </c>
    </row>
    <row r="444" spans="1:12" x14ac:dyDescent="0.25">
      <c r="A444" s="21">
        <v>37</v>
      </c>
      <c r="B444" s="22" t="s">
        <v>129</v>
      </c>
      <c r="C444" s="23">
        <v>300</v>
      </c>
      <c r="D444" s="24">
        <v>0.40379999999999999</v>
      </c>
      <c r="E444" s="24">
        <v>-0.1237</v>
      </c>
      <c r="F444" s="25">
        <v>0.309</v>
      </c>
      <c r="G444" s="26" t="s">
        <v>93</v>
      </c>
      <c r="H444" s="27">
        <v>1.0922099999999999</v>
      </c>
      <c r="I444" s="28">
        <v>0.1318</v>
      </c>
      <c r="J444" s="28">
        <v>0.20130000000000001</v>
      </c>
      <c r="K444" s="29">
        <f t="shared" si="12"/>
        <v>0.27200000000000002</v>
      </c>
      <c r="L444" s="29">
        <f t="shared" si="13"/>
        <v>-0.32500000000000001</v>
      </c>
    </row>
    <row r="445" spans="1:12" x14ac:dyDescent="0.25">
      <c r="A445" s="30">
        <v>37</v>
      </c>
      <c r="B445" s="31" t="s">
        <v>129</v>
      </c>
      <c r="C445" s="32">
        <v>330</v>
      </c>
      <c r="D445" s="33">
        <v>0.40660000000000002</v>
      </c>
      <c r="E445" s="33">
        <v>-0.1211</v>
      </c>
      <c r="F445" s="34">
        <v>0.41270000000000001</v>
      </c>
      <c r="G445" s="35" t="s">
        <v>93</v>
      </c>
      <c r="H445" s="36">
        <v>1.0925</v>
      </c>
      <c r="I445" s="37">
        <v>0.1318</v>
      </c>
      <c r="J445" s="37">
        <v>0.20130000000000001</v>
      </c>
      <c r="K445" s="38">
        <f t="shared" si="12"/>
        <v>0.27480000000000004</v>
      </c>
      <c r="L445" s="38">
        <f t="shared" si="13"/>
        <v>-0.32240000000000002</v>
      </c>
    </row>
    <row r="446" spans="1:12" x14ac:dyDescent="0.25">
      <c r="A446" s="21">
        <v>38</v>
      </c>
      <c r="B446" s="22" t="s">
        <v>130</v>
      </c>
      <c r="C446" s="23">
        <v>0</v>
      </c>
      <c r="D446" s="24">
        <v>0.67</v>
      </c>
      <c r="E446" s="24">
        <v>0.50680000000000003</v>
      </c>
      <c r="F446" s="25">
        <v>0.67</v>
      </c>
      <c r="G446" s="26" t="s">
        <v>93</v>
      </c>
      <c r="H446" s="27">
        <v>1.004</v>
      </c>
      <c r="I446" s="28">
        <v>0.36030000000000001</v>
      </c>
      <c r="J446" s="28">
        <v>0.193</v>
      </c>
      <c r="K446" s="29">
        <f t="shared" si="12"/>
        <v>0.30970000000000003</v>
      </c>
      <c r="L446" s="29">
        <f t="shared" si="13"/>
        <v>0.31380000000000002</v>
      </c>
    </row>
    <row r="447" spans="1:12" x14ac:dyDescent="0.25">
      <c r="A447" s="21">
        <v>38</v>
      </c>
      <c r="B447" s="22" t="s">
        <v>130</v>
      </c>
      <c r="C447" s="23">
        <v>30</v>
      </c>
      <c r="D447" s="24">
        <v>0.66969999999999996</v>
      </c>
      <c r="E447" s="24">
        <v>0.50770000000000004</v>
      </c>
      <c r="F447" s="25">
        <v>0.83379999999999999</v>
      </c>
      <c r="G447" s="26" t="s">
        <v>93</v>
      </c>
      <c r="H447" s="27">
        <v>1.0037400000000001</v>
      </c>
      <c r="I447" s="28">
        <v>0.36030000000000001</v>
      </c>
      <c r="J447" s="28">
        <v>0.193</v>
      </c>
      <c r="K447" s="29">
        <f t="shared" si="12"/>
        <v>0.30939999999999995</v>
      </c>
      <c r="L447" s="29">
        <f t="shared" si="13"/>
        <v>0.31470000000000004</v>
      </c>
    </row>
    <row r="448" spans="1:12" x14ac:dyDescent="0.25">
      <c r="A448" s="21">
        <v>38</v>
      </c>
      <c r="B448" s="22" t="s">
        <v>130</v>
      </c>
      <c r="C448" s="23">
        <v>60</v>
      </c>
      <c r="D448" s="24">
        <v>0.6673</v>
      </c>
      <c r="E448" s="24">
        <v>0.50970000000000004</v>
      </c>
      <c r="F448" s="25">
        <v>0.77510000000000001</v>
      </c>
      <c r="G448" s="26" t="s">
        <v>93</v>
      </c>
      <c r="H448" s="27">
        <v>1.0043800000000001</v>
      </c>
      <c r="I448" s="28">
        <v>0.36030000000000001</v>
      </c>
      <c r="J448" s="28">
        <v>0.193</v>
      </c>
      <c r="K448" s="29">
        <f t="shared" si="12"/>
        <v>0.307</v>
      </c>
      <c r="L448" s="29">
        <f t="shared" si="13"/>
        <v>0.31670000000000004</v>
      </c>
    </row>
    <row r="449" spans="1:12" x14ac:dyDescent="0.25">
      <c r="A449" s="21">
        <v>38</v>
      </c>
      <c r="B449" s="22" t="s">
        <v>130</v>
      </c>
      <c r="C449" s="23">
        <v>90</v>
      </c>
      <c r="D449" s="24">
        <v>0.61539999999999995</v>
      </c>
      <c r="E449" s="24">
        <v>0.51680000000000004</v>
      </c>
      <c r="F449" s="25">
        <v>0.51680000000000004</v>
      </c>
      <c r="G449" s="26" t="s">
        <v>93</v>
      </c>
      <c r="H449" s="27">
        <v>1.0068999999999999</v>
      </c>
      <c r="I449" s="28">
        <v>0.36030000000000001</v>
      </c>
      <c r="J449" s="28">
        <v>0.193</v>
      </c>
      <c r="K449" s="29">
        <f t="shared" si="12"/>
        <v>0.25509999999999994</v>
      </c>
      <c r="L449" s="29">
        <f t="shared" si="13"/>
        <v>0.32380000000000003</v>
      </c>
    </row>
    <row r="450" spans="1:12" x14ac:dyDescent="0.25">
      <c r="A450" s="21">
        <v>38</v>
      </c>
      <c r="B450" s="22" t="s">
        <v>130</v>
      </c>
      <c r="C450" s="23">
        <v>120</v>
      </c>
      <c r="D450" s="24">
        <v>0.44929999999999998</v>
      </c>
      <c r="E450" s="24">
        <v>0.47210000000000002</v>
      </c>
      <c r="F450" s="25">
        <v>0.1842</v>
      </c>
      <c r="G450" s="26" t="s">
        <v>93</v>
      </c>
      <c r="H450" s="27">
        <v>1.02742</v>
      </c>
      <c r="I450" s="28">
        <v>0.36030000000000001</v>
      </c>
      <c r="J450" s="28">
        <v>0.193</v>
      </c>
      <c r="K450" s="29">
        <f t="shared" ref="K450:K513" si="14">D450-I450</f>
        <v>8.8999999999999968E-2</v>
      </c>
      <c r="L450" s="29">
        <f t="shared" ref="L450:L513" si="15">E450-J450</f>
        <v>0.27910000000000001</v>
      </c>
    </row>
    <row r="451" spans="1:12" x14ac:dyDescent="0.25">
      <c r="A451" s="21">
        <v>38</v>
      </c>
      <c r="B451" s="22" t="s">
        <v>130</v>
      </c>
      <c r="C451" s="23">
        <v>150</v>
      </c>
      <c r="D451" s="24">
        <v>0.32750000000000001</v>
      </c>
      <c r="E451" s="24">
        <v>0.35049999999999998</v>
      </c>
      <c r="F451" s="25">
        <v>-0.1084</v>
      </c>
      <c r="G451" s="26" t="s">
        <v>93</v>
      </c>
      <c r="H451" s="27">
        <v>1.0822400000000001</v>
      </c>
      <c r="I451" s="28">
        <v>0.36030000000000001</v>
      </c>
      <c r="J451" s="28">
        <v>0.193</v>
      </c>
      <c r="K451" s="29">
        <f t="shared" si="14"/>
        <v>-3.2799999999999996E-2</v>
      </c>
      <c r="L451" s="29">
        <f t="shared" si="15"/>
        <v>0.15749999999999997</v>
      </c>
    </row>
    <row r="452" spans="1:12" x14ac:dyDescent="0.25">
      <c r="A452" s="21">
        <v>38</v>
      </c>
      <c r="B452" s="22" t="s">
        <v>130</v>
      </c>
      <c r="C452" s="23">
        <v>180</v>
      </c>
      <c r="D452" s="24">
        <v>0.28689999999999999</v>
      </c>
      <c r="E452" s="24">
        <v>0.20749999999999999</v>
      </c>
      <c r="F452" s="25">
        <v>-0.28689999999999999</v>
      </c>
      <c r="G452" s="26" t="s">
        <v>93</v>
      </c>
      <c r="H452" s="27">
        <v>1.1000000000000001</v>
      </c>
      <c r="I452" s="28">
        <v>0.36030000000000001</v>
      </c>
      <c r="J452" s="28">
        <v>0.193</v>
      </c>
      <c r="K452" s="29">
        <f t="shared" si="14"/>
        <v>-7.3400000000000021E-2</v>
      </c>
      <c r="L452" s="29">
        <f t="shared" si="15"/>
        <v>1.4499999999999985E-2</v>
      </c>
    </row>
    <row r="453" spans="1:12" x14ac:dyDescent="0.25">
      <c r="A453" s="21">
        <v>38</v>
      </c>
      <c r="B453" s="22" t="s">
        <v>130</v>
      </c>
      <c r="C453" s="23">
        <v>210</v>
      </c>
      <c r="D453" s="24">
        <v>0.3342</v>
      </c>
      <c r="E453" s="24">
        <v>3.3000000000000002E-2</v>
      </c>
      <c r="F453" s="25">
        <v>-0.30590000000000001</v>
      </c>
      <c r="G453" s="26" t="s">
        <v>93</v>
      </c>
      <c r="H453" s="27">
        <v>1.1000000000000001</v>
      </c>
      <c r="I453" s="28">
        <v>0.36030000000000001</v>
      </c>
      <c r="J453" s="28">
        <v>0.193</v>
      </c>
      <c r="K453" s="29">
        <f t="shared" si="14"/>
        <v>-2.6100000000000012E-2</v>
      </c>
      <c r="L453" s="29">
        <f t="shared" si="15"/>
        <v>-0.16</v>
      </c>
    </row>
    <row r="454" spans="1:12" x14ac:dyDescent="0.25">
      <c r="A454" s="21">
        <v>38</v>
      </c>
      <c r="B454" s="22" t="s">
        <v>130</v>
      </c>
      <c r="C454" s="23">
        <v>240</v>
      </c>
      <c r="D454" s="24">
        <v>0.45550000000000002</v>
      </c>
      <c r="E454" s="24">
        <v>-8.8700000000000001E-2</v>
      </c>
      <c r="F454" s="25">
        <v>-0.15090000000000001</v>
      </c>
      <c r="G454" s="26" t="s">
        <v>93</v>
      </c>
      <c r="H454" s="27">
        <v>1.1000000000000001</v>
      </c>
      <c r="I454" s="28">
        <v>0.36030000000000001</v>
      </c>
      <c r="J454" s="28">
        <v>0.193</v>
      </c>
      <c r="K454" s="29">
        <f t="shared" si="14"/>
        <v>9.5200000000000007E-2</v>
      </c>
      <c r="L454" s="29">
        <f t="shared" si="15"/>
        <v>-0.28170000000000001</v>
      </c>
    </row>
    <row r="455" spans="1:12" x14ac:dyDescent="0.25">
      <c r="A455" s="21">
        <v>38</v>
      </c>
      <c r="B455" s="22" t="s">
        <v>130</v>
      </c>
      <c r="C455" s="23">
        <v>270</v>
      </c>
      <c r="D455" s="24">
        <v>0.6028</v>
      </c>
      <c r="E455" s="24">
        <v>-0.12690000000000001</v>
      </c>
      <c r="F455" s="25">
        <v>0.12690000000000001</v>
      </c>
      <c r="G455" s="26" t="s">
        <v>93</v>
      </c>
      <c r="H455" s="27">
        <v>1.09348</v>
      </c>
      <c r="I455" s="28">
        <v>0.36030000000000001</v>
      </c>
      <c r="J455" s="28">
        <v>0.193</v>
      </c>
      <c r="K455" s="29">
        <f t="shared" si="14"/>
        <v>0.24249999999999999</v>
      </c>
      <c r="L455" s="29">
        <f t="shared" si="15"/>
        <v>-0.31990000000000002</v>
      </c>
    </row>
    <row r="456" spans="1:12" x14ac:dyDescent="0.25">
      <c r="A456" s="21">
        <v>38</v>
      </c>
      <c r="B456" s="22" t="s">
        <v>130</v>
      </c>
      <c r="C456" s="23">
        <v>300</v>
      </c>
      <c r="D456" s="24">
        <v>0.66159999999999997</v>
      </c>
      <c r="E456" s="24">
        <v>-0.11849999999999999</v>
      </c>
      <c r="F456" s="25">
        <v>0.43340000000000001</v>
      </c>
      <c r="G456" s="26" t="s">
        <v>93</v>
      </c>
      <c r="H456" s="27">
        <v>1.08443</v>
      </c>
      <c r="I456" s="28">
        <v>0.36030000000000001</v>
      </c>
      <c r="J456" s="28">
        <v>0.193</v>
      </c>
      <c r="K456" s="29">
        <f t="shared" si="14"/>
        <v>0.30129999999999996</v>
      </c>
      <c r="L456" s="29">
        <f t="shared" si="15"/>
        <v>-0.3115</v>
      </c>
    </row>
    <row r="457" spans="1:12" x14ac:dyDescent="0.25">
      <c r="A457" s="30">
        <v>38</v>
      </c>
      <c r="B457" s="31" t="s">
        <v>130</v>
      </c>
      <c r="C457" s="32">
        <v>330</v>
      </c>
      <c r="D457" s="33">
        <v>0.6643</v>
      </c>
      <c r="E457" s="33">
        <v>-0.11650000000000001</v>
      </c>
      <c r="F457" s="34">
        <v>0.63349999999999995</v>
      </c>
      <c r="G457" s="35" t="s">
        <v>93</v>
      </c>
      <c r="H457" s="36">
        <v>1.0844199999999999</v>
      </c>
      <c r="I457" s="37">
        <v>0.36030000000000001</v>
      </c>
      <c r="J457" s="37">
        <v>0.193</v>
      </c>
      <c r="K457" s="38">
        <f t="shared" si="14"/>
        <v>0.30399999999999999</v>
      </c>
      <c r="L457" s="38">
        <f t="shared" si="15"/>
        <v>-0.3095</v>
      </c>
    </row>
    <row r="458" spans="1:12" x14ac:dyDescent="0.25">
      <c r="A458" s="21">
        <v>39</v>
      </c>
      <c r="B458" s="22" t="s">
        <v>131</v>
      </c>
      <c r="C458" s="23">
        <v>0</v>
      </c>
      <c r="D458" s="24">
        <v>1.0837000000000001</v>
      </c>
      <c r="E458" s="24">
        <v>0.51839999999999997</v>
      </c>
      <c r="F458" s="25">
        <v>1.0837000000000001</v>
      </c>
      <c r="G458" s="26" t="s">
        <v>93</v>
      </c>
      <c r="H458" s="27">
        <v>1</v>
      </c>
      <c r="I458" s="28">
        <v>0.60909999999999997</v>
      </c>
      <c r="J458" s="28">
        <v>0.19500000000000001</v>
      </c>
      <c r="K458" s="29">
        <f t="shared" si="14"/>
        <v>0.47460000000000013</v>
      </c>
      <c r="L458" s="29">
        <f t="shared" si="15"/>
        <v>0.32339999999999997</v>
      </c>
    </row>
    <row r="459" spans="1:12" x14ac:dyDescent="0.25">
      <c r="A459" s="21">
        <v>39</v>
      </c>
      <c r="B459" s="22" t="s">
        <v>131</v>
      </c>
      <c r="C459" s="23">
        <v>30</v>
      </c>
      <c r="D459" s="24">
        <v>1.0802</v>
      </c>
      <c r="E459" s="24">
        <v>0.53410000000000002</v>
      </c>
      <c r="F459" s="25">
        <v>1.2024999999999999</v>
      </c>
      <c r="G459" s="26" t="s">
        <v>93</v>
      </c>
      <c r="H459" s="27">
        <v>1</v>
      </c>
      <c r="I459" s="28">
        <v>0.60909999999999997</v>
      </c>
      <c r="J459" s="28">
        <v>0.19500000000000001</v>
      </c>
      <c r="K459" s="29">
        <f t="shared" si="14"/>
        <v>0.47110000000000007</v>
      </c>
      <c r="L459" s="29">
        <f t="shared" si="15"/>
        <v>0.33910000000000001</v>
      </c>
    </row>
    <row r="460" spans="1:12" x14ac:dyDescent="0.25">
      <c r="A460" s="21">
        <v>39</v>
      </c>
      <c r="B460" s="22" t="s">
        <v>131</v>
      </c>
      <c r="C460" s="23">
        <v>60</v>
      </c>
      <c r="D460" s="24">
        <v>1.0701000000000001</v>
      </c>
      <c r="E460" s="24">
        <v>0.54179999999999995</v>
      </c>
      <c r="F460" s="25">
        <v>1.0042</v>
      </c>
      <c r="G460" s="26" t="s">
        <v>93</v>
      </c>
      <c r="H460" s="27">
        <v>1</v>
      </c>
      <c r="I460" s="28">
        <v>0.60909999999999997</v>
      </c>
      <c r="J460" s="28">
        <v>0.19500000000000001</v>
      </c>
      <c r="K460" s="29">
        <f t="shared" si="14"/>
        <v>0.46100000000000008</v>
      </c>
      <c r="L460" s="29">
        <f t="shared" si="15"/>
        <v>0.34679999999999994</v>
      </c>
    </row>
    <row r="461" spans="1:12" x14ac:dyDescent="0.25">
      <c r="A461" s="21">
        <v>39</v>
      </c>
      <c r="B461" s="22" t="s">
        <v>131</v>
      </c>
      <c r="C461" s="23">
        <v>90</v>
      </c>
      <c r="D461" s="24">
        <v>1.0194000000000001</v>
      </c>
      <c r="E461" s="24">
        <v>0.55030000000000001</v>
      </c>
      <c r="F461" s="25">
        <v>0.55030000000000001</v>
      </c>
      <c r="G461" s="26" t="s">
        <v>93</v>
      </c>
      <c r="H461" s="27">
        <v>1</v>
      </c>
      <c r="I461" s="28">
        <v>0.60909999999999997</v>
      </c>
      <c r="J461" s="28">
        <v>0.19500000000000001</v>
      </c>
      <c r="K461" s="29">
        <f t="shared" si="14"/>
        <v>0.41030000000000011</v>
      </c>
      <c r="L461" s="29">
        <f t="shared" si="15"/>
        <v>0.3553</v>
      </c>
    </row>
    <row r="462" spans="1:12" x14ac:dyDescent="0.25">
      <c r="A462" s="21">
        <v>39</v>
      </c>
      <c r="B462" s="22" t="s">
        <v>131</v>
      </c>
      <c r="C462" s="23">
        <v>120</v>
      </c>
      <c r="D462" s="24">
        <v>0.85029999999999994</v>
      </c>
      <c r="E462" s="24">
        <v>0.50480000000000003</v>
      </c>
      <c r="F462" s="25">
        <v>1.2E-2</v>
      </c>
      <c r="G462" s="26" t="s">
        <v>93</v>
      </c>
      <c r="H462" s="27">
        <v>1.0129900000000001</v>
      </c>
      <c r="I462" s="28">
        <v>0.60909999999999997</v>
      </c>
      <c r="J462" s="28">
        <v>0.19500000000000001</v>
      </c>
      <c r="K462" s="29">
        <f t="shared" si="14"/>
        <v>0.24119999999999997</v>
      </c>
      <c r="L462" s="29">
        <f t="shared" si="15"/>
        <v>0.30980000000000002</v>
      </c>
    </row>
    <row r="463" spans="1:12" x14ac:dyDescent="0.25">
      <c r="A463" s="21">
        <v>39</v>
      </c>
      <c r="B463" s="22" t="s">
        <v>131</v>
      </c>
      <c r="C463" s="23">
        <v>150</v>
      </c>
      <c r="D463" s="24">
        <v>0.72660000000000002</v>
      </c>
      <c r="E463" s="24">
        <v>0.38140000000000002</v>
      </c>
      <c r="F463" s="25">
        <v>-0.4385</v>
      </c>
      <c r="G463" s="26" t="s">
        <v>93</v>
      </c>
      <c r="H463" s="27">
        <v>1.06867</v>
      </c>
      <c r="I463" s="28">
        <v>0.60909999999999997</v>
      </c>
      <c r="J463" s="28">
        <v>0.19500000000000001</v>
      </c>
      <c r="K463" s="29">
        <f t="shared" si="14"/>
        <v>0.11750000000000005</v>
      </c>
      <c r="L463" s="29">
        <f t="shared" si="15"/>
        <v>0.18640000000000001</v>
      </c>
    </row>
    <row r="464" spans="1:12" x14ac:dyDescent="0.25">
      <c r="A464" s="21">
        <v>39</v>
      </c>
      <c r="B464" s="22" t="s">
        <v>131</v>
      </c>
      <c r="C464" s="23">
        <v>180</v>
      </c>
      <c r="D464" s="24">
        <v>0.68369999999999997</v>
      </c>
      <c r="E464" s="24">
        <v>0.23</v>
      </c>
      <c r="F464" s="25">
        <v>-0.68369999999999997</v>
      </c>
      <c r="G464" s="26" t="s">
        <v>93</v>
      </c>
      <c r="H464" s="27">
        <v>1.1000000000000001</v>
      </c>
      <c r="I464" s="28">
        <v>0.60909999999999997</v>
      </c>
      <c r="J464" s="28">
        <v>0.19500000000000001</v>
      </c>
      <c r="K464" s="29">
        <f t="shared" si="14"/>
        <v>7.46E-2</v>
      </c>
      <c r="L464" s="29">
        <f t="shared" si="15"/>
        <v>3.5000000000000003E-2</v>
      </c>
    </row>
    <row r="465" spans="1:12" x14ac:dyDescent="0.25">
      <c r="A465" s="21">
        <v>39</v>
      </c>
      <c r="B465" s="22" t="s">
        <v>131</v>
      </c>
      <c r="C465" s="23">
        <v>210</v>
      </c>
      <c r="D465" s="24">
        <v>0.73</v>
      </c>
      <c r="E465" s="24">
        <v>6.3899999999999998E-2</v>
      </c>
      <c r="F465" s="25">
        <v>-0.66410000000000002</v>
      </c>
      <c r="G465" s="26" t="s">
        <v>93</v>
      </c>
      <c r="H465" s="27">
        <v>1.1000000000000001</v>
      </c>
      <c r="I465" s="28">
        <v>0.60909999999999997</v>
      </c>
      <c r="J465" s="28">
        <v>0.19500000000000001</v>
      </c>
      <c r="K465" s="29">
        <f t="shared" si="14"/>
        <v>0.12090000000000001</v>
      </c>
      <c r="L465" s="29">
        <f t="shared" si="15"/>
        <v>-0.13109999999999999</v>
      </c>
    </row>
    <row r="466" spans="1:12" x14ac:dyDescent="0.25">
      <c r="A466" s="21">
        <v>39</v>
      </c>
      <c r="B466" s="22" t="s">
        <v>131</v>
      </c>
      <c r="C466" s="23">
        <v>240</v>
      </c>
      <c r="D466" s="24">
        <v>0.8427</v>
      </c>
      <c r="E466" s="24">
        <v>-0.05</v>
      </c>
      <c r="F466" s="25">
        <v>-0.37809999999999999</v>
      </c>
      <c r="G466" s="26" t="s">
        <v>93</v>
      </c>
      <c r="H466" s="27">
        <v>1.1000000000000001</v>
      </c>
      <c r="I466" s="28">
        <v>0.60909999999999997</v>
      </c>
      <c r="J466" s="28">
        <v>0.19500000000000001</v>
      </c>
      <c r="K466" s="29">
        <f t="shared" si="14"/>
        <v>0.23360000000000003</v>
      </c>
      <c r="L466" s="29">
        <f t="shared" si="15"/>
        <v>-0.245</v>
      </c>
    </row>
    <row r="467" spans="1:12" x14ac:dyDescent="0.25">
      <c r="A467" s="21">
        <v>39</v>
      </c>
      <c r="B467" s="22" t="s">
        <v>131</v>
      </c>
      <c r="C467" s="23">
        <v>270</v>
      </c>
      <c r="D467" s="24">
        <v>0.99990000000000001</v>
      </c>
      <c r="E467" s="24">
        <v>-9.0899999999999995E-2</v>
      </c>
      <c r="F467" s="25">
        <v>9.0899999999999995E-2</v>
      </c>
      <c r="G467" s="26" t="s">
        <v>93</v>
      </c>
      <c r="H467" s="27">
        <v>1.08517</v>
      </c>
      <c r="I467" s="28">
        <v>0.60909999999999997</v>
      </c>
      <c r="J467" s="28">
        <v>0.19500000000000001</v>
      </c>
      <c r="K467" s="29">
        <f t="shared" si="14"/>
        <v>0.39080000000000004</v>
      </c>
      <c r="L467" s="29">
        <f t="shared" si="15"/>
        <v>-0.28589999999999999</v>
      </c>
    </row>
    <row r="468" spans="1:12" x14ac:dyDescent="0.25">
      <c r="A468" s="21">
        <v>39</v>
      </c>
      <c r="B468" s="22" t="s">
        <v>131</v>
      </c>
      <c r="C468" s="23">
        <v>300</v>
      </c>
      <c r="D468" s="24">
        <v>1.0698000000000001</v>
      </c>
      <c r="E468" s="24">
        <v>-8.0100000000000005E-2</v>
      </c>
      <c r="F468" s="25">
        <v>0.60429999999999995</v>
      </c>
      <c r="G468" s="26" t="s">
        <v>93</v>
      </c>
      <c r="H468" s="27">
        <v>1.0789500000000001</v>
      </c>
      <c r="I468" s="28">
        <v>0.60909999999999997</v>
      </c>
      <c r="J468" s="28">
        <v>0.19500000000000001</v>
      </c>
      <c r="K468" s="29">
        <f t="shared" si="14"/>
        <v>0.46070000000000011</v>
      </c>
      <c r="L468" s="29">
        <f t="shared" si="15"/>
        <v>-0.27510000000000001</v>
      </c>
    </row>
    <row r="469" spans="1:12" x14ac:dyDescent="0.25">
      <c r="A469" s="30">
        <v>39</v>
      </c>
      <c r="B469" s="31" t="s">
        <v>131</v>
      </c>
      <c r="C469" s="32">
        <v>330</v>
      </c>
      <c r="D469" s="33">
        <v>1.0746</v>
      </c>
      <c r="E469" s="33">
        <v>-7.6399999999999996E-2</v>
      </c>
      <c r="F469" s="34">
        <v>0.96879999999999999</v>
      </c>
      <c r="G469" s="35" t="s">
        <v>93</v>
      </c>
      <c r="H469" s="36">
        <v>1.0780099999999999</v>
      </c>
      <c r="I469" s="37">
        <v>0.60909999999999997</v>
      </c>
      <c r="J469" s="37">
        <v>0.19500000000000001</v>
      </c>
      <c r="K469" s="38">
        <f t="shared" si="14"/>
        <v>0.46550000000000002</v>
      </c>
      <c r="L469" s="38">
        <f t="shared" si="15"/>
        <v>-0.27139999999999997</v>
      </c>
    </row>
    <row r="470" spans="1:12" x14ac:dyDescent="0.25">
      <c r="A470" s="21">
        <v>40</v>
      </c>
      <c r="B470" s="22" t="s">
        <v>132</v>
      </c>
      <c r="C470" s="23">
        <v>0</v>
      </c>
      <c r="D470" s="24">
        <v>1.2639</v>
      </c>
      <c r="E470" s="24">
        <v>0.50039999999999996</v>
      </c>
      <c r="F470" s="25">
        <v>1.2639</v>
      </c>
      <c r="G470" s="26" t="s">
        <v>93</v>
      </c>
      <c r="H470" s="27">
        <v>1</v>
      </c>
      <c r="I470" s="28">
        <v>1.0097</v>
      </c>
      <c r="J470" s="28">
        <v>0.22969999999999999</v>
      </c>
      <c r="K470" s="29">
        <f t="shared" si="14"/>
        <v>0.25419999999999998</v>
      </c>
      <c r="L470" s="29">
        <f t="shared" si="15"/>
        <v>0.27069999999999994</v>
      </c>
    </row>
    <row r="471" spans="1:12" x14ac:dyDescent="0.25">
      <c r="A471" s="21">
        <v>40</v>
      </c>
      <c r="B471" s="22" t="s">
        <v>132</v>
      </c>
      <c r="C471" s="23">
        <v>30</v>
      </c>
      <c r="D471" s="24">
        <v>1.2548999999999999</v>
      </c>
      <c r="E471" s="24">
        <v>0.5323</v>
      </c>
      <c r="F471" s="25">
        <v>1.3529</v>
      </c>
      <c r="G471" s="26" t="s">
        <v>93</v>
      </c>
      <c r="H471" s="27">
        <v>1</v>
      </c>
      <c r="I471" s="28">
        <v>1.0097</v>
      </c>
      <c r="J471" s="28">
        <v>0.22969999999999999</v>
      </c>
      <c r="K471" s="29">
        <f t="shared" si="14"/>
        <v>0.24519999999999986</v>
      </c>
      <c r="L471" s="29">
        <f t="shared" si="15"/>
        <v>0.30259999999999998</v>
      </c>
    </row>
    <row r="472" spans="1:12" x14ac:dyDescent="0.25">
      <c r="A472" s="21">
        <v>40</v>
      </c>
      <c r="B472" s="22" t="s">
        <v>132</v>
      </c>
      <c r="C472" s="23">
        <v>60</v>
      </c>
      <c r="D472" s="24">
        <v>1.2371000000000001</v>
      </c>
      <c r="E472" s="24">
        <v>0.54679999999999995</v>
      </c>
      <c r="F472" s="25">
        <v>1.0921000000000001</v>
      </c>
      <c r="G472" s="26" t="s">
        <v>93</v>
      </c>
      <c r="H472" s="27">
        <v>1</v>
      </c>
      <c r="I472" s="28">
        <v>1.0097</v>
      </c>
      <c r="J472" s="28">
        <v>0.22969999999999999</v>
      </c>
      <c r="K472" s="29">
        <f t="shared" si="14"/>
        <v>0.22740000000000005</v>
      </c>
      <c r="L472" s="29">
        <f t="shared" si="15"/>
        <v>0.31709999999999994</v>
      </c>
    </row>
    <row r="473" spans="1:12" x14ac:dyDescent="0.25">
      <c r="A473" s="21">
        <v>40</v>
      </c>
      <c r="B473" s="22" t="s">
        <v>132</v>
      </c>
      <c r="C473" s="23">
        <v>90</v>
      </c>
      <c r="D473" s="24">
        <v>1.1606000000000001</v>
      </c>
      <c r="E473" s="24">
        <v>0.56399999999999995</v>
      </c>
      <c r="F473" s="25">
        <v>0.56399999999999995</v>
      </c>
      <c r="G473" s="26" t="s">
        <v>93</v>
      </c>
      <c r="H473" s="27">
        <v>1</v>
      </c>
      <c r="I473" s="28">
        <v>1.0097</v>
      </c>
      <c r="J473" s="28">
        <v>0.22969999999999999</v>
      </c>
      <c r="K473" s="29">
        <f t="shared" si="14"/>
        <v>0.15090000000000003</v>
      </c>
      <c r="L473" s="29">
        <f t="shared" si="15"/>
        <v>0.33429999999999993</v>
      </c>
    </row>
    <row r="474" spans="1:12" x14ac:dyDescent="0.25">
      <c r="A474" s="21">
        <v>40</v>
      </c>
      <c r="B474" s="22" t="s">
        <v>132</v>
      </c>
      <c r="C474" s="23">
        <v>120</v>
      </c>
      <c r="D474" s="24">
        <v>0.99690000000000001</v>
      </c>
      <c r="E474" s="24">
        <v>0.51849999999999996</v>
      </c>
      <c r="F474" s="25">
        <v>-4.9399999999999999E-2</v>
      </c>
      <c r="G474" s="26" t="s">
        <v>93</v>
      </c>
      <c r="H474" s="27">
        <v>1.0124500000000001</v>
      </c>
      <c r="I474" s="28">
        <v>1.0097</v>
      </c>
      <c r="J474" s="28">
        <v>0.22969999999999999</v>
      </c>
      <c r="K474" s="29">
        <f t="shared" si="14"/>
        <v>-1.2800000000000034E-2</v>
      </c>
      <c r="L474" s="29">
        <f t="shared" si="15"/>
        <v>0.28879999999999995</v>
      </c>
    </row>
    <row r="475" spans="1:12" x14ac:dyDescent="0.25">
      <c r="A475" s="21">
        <v>40</v>
      </c>
      <c r="B475" s="22" t="s">
        <v>132</v>
      </c>
      <c r="C475" s="23">
        <v>150</v>
      </c>
      <c r="D475" s="24">
        <v>0.87250000000000005</v>
      </c>
      <c r="E475" s="24">
        <v>0.39450000000000002</v>
      </c>
      <c r="F475" s="25">
        <v>-0.55830000000000002</v>
      </c>
      <c r="G475" s="26" t="s">
        <v>93</v>
      </c>
      <c r="H475" s="27">
        <v>1.06565</v>
      </c>
      <c r="I475" s="28">
        <v>1.0097</v>
      </c>
      <c r="J475" s="28">
        <v>0.22969999999999999</v>
      </c>
      <c r="K475" s="29">
        <f t="shared" si="14"/>
        <v>-0.13719999999999999</v>
      </c>
      <c r="L475" s="29">
        <f t="shared" si="15"/>
        <v>0.16480000000000003</v>
      </c>
    </row>
    <row r="476" spans="1:12" x14ac:dyDescent="0.25">
      <c r="A476" s="21">
        <v>40</v>
      </c>
      <c r="B476" s="22" t="s">
        <v>132</v>
      </c>
      <c r="C476" s="23">
        <v>180</v>
      </c>
      <c r="D476" s="24">
        <v>0.82940000000000003</v>
      </c>
      <c r="E476" s="24">
        <v>0.23960000000000001</v>
      </c>
      <c r="F476" s="25">
        <v>-0.82940000000000003</v>
      </c>
      <c r="G476" s="26" t="s">
        <v>93</v>
      </c>
      <c r="H476" s="27">
        <v>1.1000000000000001</v>
      </c>
      <c r="I476" s="28">
        <v>1.0097</v>
      </c>
      <c r="J476" s="28">
        <v>0.22969999999999999</v>
      </c>
      <c r="K476" s="29">
        <f t="shared" si="14"/>
        <v>-0.18030000000000002</v>
      </c>
      <c r="L476" s="29">
        <f t="shared" si="15"/>
        <v>9.9000000000000199E-3</v>
      </c>
    </row>
    <row r="477" spans="1:12" x14ac:dyDescent="0.25">
      <c r="A477" s="21">
        <v>40</v>
      </c>
      <c r="B477" s="22" t="s">
        <v>132</v>
      </c>
      <c r="C477" s="23">
        <v>210</v>
      </c>
      <c r="D477" s="24">
        <v>0.87309999999999999</v>
      </c>
      <c r="E477" s="24">
        <v>7.9100000000000004E-2</v>
      </c>
      <c r="F477" s="25">
        <v>-0.79569999999999996</v>
      </c>
      <c r="G477" s="26" t="s">
        <v>93</v>
      </c>
      <c r="H477" s="27">
        <v>1.1000000000000001</v>
      </c>
      <c r="I477" s="28">
        <v>1.0097</v>
      </c>
      <c r="J477" s="28">
        <v>0.22969999999999999</v>
      </c>
      <c r="K477" s="29">
        <f t="shared" si="14"/>
        <v>-0.13660000000000005</v>
      </c>
      <c r="L477" s="29">
        <f t="shared" si="15"/>
        <v>-0.15059999999999998</v>
      </c>
    </row>
    <row r="478" spans="1:12" x14ac:dyDescent="0.25">
      <c r="A478" s="21">
        <v>40</v>
      </c>
      <c r="B478" s="22" t="s">
        <v>132</v>
      </c>
      <c r="C478" s="23">
        <v>240</v>
      </c>
      <c r="D478" s="24">
        <v>0.98580000000000001</v>
      </c>
      <c r="E478" s="24">
        <v>-3.4200000000000001E-2</v>
      </c>
      <c r="F478" s="25">
        <v>-0.46329999999999999</v>
      </c>
      <c r="G478" s="26" t="s">
        <v>93</v>
      </c>
      <c r="H478" s="27">
        <v>1.1000000000000001</v>
      </c>
      <c r="I478" s="28">
        <v>1.0097</v>
      </c>
      <c r="J478" s="28">
        <v>0.22969999999999999</v>
      </c>
      <c r="K478" s="29">
        <f t="shared" si="14"/>
        <v>-2.3900000000000032E-2</v>
      </c>
      <c r="L478" s="29">
        <f t="shared" si="15"/>
        <v>-0.26389999999999997</v>
      </c>
    </row>
    <row r="479" spans="1:12" x14ac:dyDescent="0.25">
      <c r="A479" s="21">
        <v>40</v>
      </c>
      <c r="B479" s="22" t="s">
        <v>132</v>
      </c>
      <c r="C479" s="23">
        <v>270</v>
      </c>
      <c r="D479" s="24">
        <v>1.1454</v>
      </c>
      <c r="E479" s="24">
        <v>-7.5999999999999998E-2</v>
      </c>
      <c r="F479" s="25">
        <v>7.5999999999999998E-2</v>
      </c>
      <c r="G479" s="26" t="s">
        <v>93</v>
      </c>
      <c r="H479" s="27">
        <v>1.0831900000000001</v>
      </c>
      <c r="I479" s="28">
        <v>1.0097</v>
      </c>
      <c r="J479" s="28">
        <v>0.22969999999999999</v>
      </c>
      <c r="K479" s="29">
        <f t="shared" si="14"/>
        <v>0.13569999999999993</v>
      </c>
      <c r="L479" s="29">
        <f t="shared" si="15"/>
        <v>-0.30569999999999997</v>
      </c>
    </row>
    <row r="480" spans="1:12" x14ac:dyDescent="0.25">
      <c r="A480" s="21">
        <v>40</v>
      </c>
      <c r="B480" s="22" t="s">
        <v>132</v>
      </c>
      <c r="C480" s="23">
        <v>300</v>
      </c>
      <c r="D480" s="24">
        <v>1.2436</v>
      </c>
      <c r="E480" s="24">
        <v>-5.7500000000000002E-2</v>
      </c>
      <c r="F480" s="25">
        <v>0.67159999999999997</v>
      </c>
      <c r="G480" s="26" t="s">
        <v>93</v>
      </c>
      <c r="H480" s="27">
        <v>1.07829</v>
      </c>
      <c r="I480" s="28">
        <v>1.0097</v>
      </c>
      <c r="J480" s="28">
        <v>0.22969999999999999</v>
      </c>
      <c r="K480" s="29">
        <f t="shared" si="14"/>
        <v>0.2339</v>
      </c>
      <c r="L480" s="29">
        <f t="shared" si="15"/>
        <v>-0.28720000000000001</v>
      </c>
    </row>
    <row r="481" spans="1:12" x14ac:dyDescent="0.25">
      <c r="A481" s="30">
        <v>40</v>
      </c>
      <c r="B481" s="31" t="s">
        <v>132</v>
      </c>
      <c r="C481" s="32">
        <v>330</v>
      </c>
      <c r="D481" s="33">
        <v>1.2543</v>
      </c>
      <c r="E481" s="33">
        <v>-4.8500000000000001E-2</v>
      </c>
      <c r="F481" s="34">
        <v>1.1105</v>
      </c>
      <c r="G481" s="35" t="s">
        <v>93</v>
      </c>
      <c r="H481" s="36">
        <v>1.07701</v>
      </c>
      <c r="I481" s="37">
        <v>1.0097</v>
      </c>
      <c r="J481" s="37">
        <v>0.22969999999999999</v>
      </c>
      <c r="K481" s="38">
        <f t="shared" si="14"/>
        <v>0.24459999999999993</v>
      </c>
      <c r="L481" s="38">
        <f t="shared" si="15"/>
        <v>-0.2782</v>
      </c>
    </row>
    <row r="482" spans="1:12" x14ac:dyDescent="0.25">
      <c r="A482" s="21">
        <v>41</v>
      </c>
      <c r="B482" s="22" t="s">
        <v>133</v>
      </c>
      <c r="C482" s="23">
        <v>0</v>
      </c>
      <c r="D482" s="24">
        <v>1.3748</v>
      </c>
      <c r="E482" s="24">
        <v>0.47710000000000002</v>
      </c>
      <c r="F482" s="25">
        <v>1.3748</v>
      </c>
      <c r="G482" s="26" t="s">
        <v>93</v>
      </c>
      <c r="H482" s="27">
        <v>1</v>
      </c>
      <c r="I482" s="28">
        <v>1.1563000000000001</v>
      </c>
      <c r="J482" s="28">
        <v>0.2442</v>
      </c>
      <c r="K482" s="29">
        <f t="shared" si="14"/>
        <v>0.21849999999999992</v>
      </c>
      <c r="L482" s="29">
        <f t="shared" si="15"/>
        <v>0.23290000000000002</v>
      </c>
    </row>
    <row r="483" spans="1:12" x14ac:dyDescent="0.25">
      <c r="A483" s="21">
        <v>41</v>
      </c>
      <c r="B483" s="22" t="s">
        <v>133</v>
      </c>
      <c r="C483" s="23">
        <v>30</v>
      </c>
      <c r="D483" s="24">
        <v>1.3601000000000001</v>
      </c>
      <c r="E483" s="24">
        <v>0.5232</v>
      </c>
      <c r="F483" s="25">
        <v>1.4395</v>
      </c>
      <c r="G483" s="26" t="s">
        <v>93</v>
      </c>
      <c r="H483" s="27">
        <v>1</v>
      </c>
      <c r="I483" s="28">
        <v>1.1563000000000001</v>
      </c>
      <c r="J483" s="28">
        <v>0.2442</v>
      </c>
      <c r="K483" s="29">
        <f t="shared" si="14"/>
        <v>0.20379999999999998</v>
      </c>
      <c r="L483" s="29">
        <f t="shared" si="15"/>
        <v>0.27900000000000003</v>
      </c>
    </row>
    <row r="484" spans="1:12" x14ac:dyDescent="0.25">
      <c r="A484" s="21">
        <v>41</v>
      </c>
      <c r="B484" s="22" t="s">
        <v>133</v>
      </c>
      <c r="C484" s="23">
        <v>60</v>
      </c>
      <c r="D484" s="24">
        <v>1.3297000000000001</v>
      </c>
      <c r="E484" s="24">
        <v>0.55200000000000005</v>
      </c>
      <c r="F484" s="25">
        <v>1.1429</v>
      </c>
      <c r="G484" s="26" t="s">
        <v>93</v>
      </c>
      <c r="H484" s="27">
        <v>1</v>
      </c>
      <c r="I484" s="28">
        <v>1.1563000000000001</v>
      </c>
      <c r="J484" s="28">
        <v>0.2442</v>
      </c>
      <c r="K484" s="29">
        <f t="shared" si="14"/>
        <v>0.1734</v>
      </c>
      <c r="L484" s="29">
        <f t="shared" si="15"/>
        <v>0.30780000000000007</v>
      </c>
    </row>
    <row r="485" spans="1:12" x14ac:dyDescent="0.25">
      <c r="A485" s="21">
        <v>41</v>
      </c>
      <c r="B485" s="22" t="s">
        <v>133</v>
      </c>
      <c r="C485" s="23">
        <v>90</v>
      </c>
      <c r="D485" s="24">
        <v>1.2333000000000001</v>
      </c>
      <c r="E485" s="24">
        <v>0.57620000000000005</v>
      </c>
      <c r="F485" s="25">
        <v>0.57620000000000005</v>
      </c>
      <c r="G485" s="26" t="s">
        <v>93</v>
      </c>
      <c r="H485" s="27">
        <v>1.0002500000000001</v>
      </c>
      <c r="I485" s="28">
        <v>1.1563000000000001</v>
      </c>
      <c r="J485" s="28">
        <v>0.2442</v>
      </c>
      <c r="K485" s="29">
        <f t="shared" si="14"/>
        <v>7.6999999999999957E-2</v>
      </c>
      <c r="L485" s="29">
        <f t="shared" si="15"/>
        <v>0.33200000000000007</v>
      </c>
    </row>
    <row r="486" spans="1:12" x14ac:dyDescent="0.25">
      <c r="A486" s="21">
        <v>41</v>
      </c>
      <c r="B486" s="22" t="s">
        <v>133</v>
      </c>
      <c r="C486" s="23">
        <v>120</v>
      </c>
      <c r="D486" s="24">
        <v>1.0729</v>
      </c>
      <c r="E486" s="24">
        <v>0.53139999999999998</v>
      </c>
      <c r="F486" s="25">
        <v>-7.6300000000000007E-2</v>
      </c>
      <c r="G486" s="26" t="s">
        <v>93</v>
      </c>
      <c r="H486" s="27">
        <v>1.0132399999999999</v>
      </c>
      <c r="I486" s="28">
        <v>1.1563000000000001</v>
      </c>
      <c r="J486" s="28">
        <v>0.2442</v>
      </c>
      <c r="K486" s="29">
        <f t="shared" si="14"/>
        <v>-8.3400000000000141E-2</v>
      </c>
      <c r="L486" s="29">
        <f t="shared" si="15"/>
        <v>0.28720000000000001</v>
      </c>
    </row>
    <row r="487" spans="1:12" x14ac:dyDescent="0.25">
      <c r="A487" s="21">
        <v>41</v>
      </c>
      <c r="B487" s="22" t="s">
        <v>133</v>
      </c>
      <c r="C487" s="23">
        <v>150</v>
      </c>
      <c r="D487" s="24">
        <v>0.94979999999999998</v>
      </c>
      <c r="E487" s="24">
        <v>0.40870000000000001</v>
      </c>
      <c r="F487" s="25">
        <v>-0.61819999999999997</v>
      </c>
      <c r="G487" s="26" t="s">
        <v>93</v>
      </c>
      <c r="H487" s="27">
        <v>1.06765</v>
      </c>
      <c r="I487" s="28">
        <v>1.1563000000000001</v>
      </c>
      <c r="J487" s="28">
        <v>0.2442</v>
      </c>
      <c r="K487" s="29">
        <f t="shared" si="14"/>
        <v>-0.20650000000000013</v>
      </c>
      <c r="L487" s="29">
        <f t="shared" si="15"/>
        <v>0.16450000000000001</v>
      </c>
    </row>
    <row r="488" spans="1:12" x14ac:dyDescent="0.25">
      <c r="A488" s="21">
        <v>41</v>
      </c>
      <c r="B488" s="22" t="s">
        <v>133</v>
      </c>
      <c r="C488" s="23">
        <v>180</v>
      </c>
      <c r="D488" s="24">
        <v>0.90810000000000002</v>
      </c>
      <c r="E488" s="24">
        <v>0.25679999999999997</v>
      </c>
      <c r="F488" s="25">
        <v>-0.90810000000000002</v>
      </c>
      <c r="G488" s="26" t="s">
        <v>93</v>
      </c>
      <c r="H488" s="27">
        <v>1.1000000000000001</v>
      </c>
      <c r="I488" s="28">
        <v>1.1563000000000001</v>
      </c>
      <c r="J488" s="28">
        <v>0.2442</v>
      </c>
      <c r="K488" s="29">
        <f t="shared" si="14"/>
        <v>-0.24820000000000009</v>
      </c>
      <c r="L488" s="29">
        <f t="shared" si="15"/>
        <v>1.2599999999999972E-2</v>
      </c>
    </row>
    <row r="489" spans="1:12" x14ac:dyDescent="0.25">
      <c r="A489" s="21">
        <v>41</v>
      </c>
      <c r="B489" s="22" t="s">
        <v>133</v>
      </c>
      <c r="C489" s="23">
        <v>210</v>
      </c>
      <c r="D489" s="24">
        <v>0.95079999999999998</v>
      </c>
      <c r="E489" s="24">
        <v>8.9399999999999993E-2</v>
      </c>
      <c r="F489" s="25">
        <v>-0.86809999999999998</v>
      </c>
      <c r="G489" s="26" t="s">
        <v>93</v>
      </c>
      <c r="H489" s="27">
        <v>1.1000000000000001</v>
      </c>
      <c r="I489" s="28">
        <v>1.1563000000000001</v>
      </c>
      <c r="J489" s="28">
        <v>0.2442</v>
      </c>
      <c r="K489" s="29">
        <f t="shared" si="14"/>
        <v>-0.20550000000000013</v>
      </c>
      <c r="L489" s="29">
        <f t="shared" si="15"/>
        <v>-0.15479999999999999</v>
      </c>
    </row>
    <row r="490" spans="1:12" x14ac:dyDescent="0.25">
      <c r="A490" s="21">
        <v>41</v>
      </c>
      <c r="B490" s="22" t="s">
        <v>133</v>
      </c>
      <c r="C490" s="23">
        <v>240</v>
      </c>
      <c r="D490" s="24">
        <v>1.0619000000000001</v>
      </c>
      <c r="E490" s="24">
        <v>-2.1899999999999999E-2</v>
      </c>
      <c r="F490" s="25">
        <v>-0.51200000000000001</v>
      </c>
      <c r="G490" s="26" t="s">
        <v>93</v>
      </c>
      <c r="H490" s="27">
        <v>1.1000000000000001</v>
      </c>
      <c r="I490" s="28">
        <v>1.1563000000000001</v>
      </c>
      <c r="J490" s="28">
        <v>0.2442</v>
      </c>
      <c r="K490" s="29">
        <f t="shared" si="14"/>
        <v>-9.4400000000000039E-2</v>
      </c>
      <c r="L490" s="29">
        <f t="shared" si="15"/>
        <v>-0.2661</v>
      </c>
    </row>
    <row r="491" spans="1:12" x14ac:dyDescent="0.25">
      <c r="A491" s="21">
        <v>41</v>
      </c>
      <c r="B491" s="22" t="s">
        <v>133</v>
      </c>
      <c r="C491" s="23">
        <v>270</v>
      </c>
      <c r="D491" s="24">
        <v>1.2202</v>
      </c>
      <c r="E491" s="24">
        <v>-6.3299999999999995E-2</v>
      </c>
      <c r="F491" s="25">
        <v>6.3299999999999995E-2</v>
      </c>
      <c r="G491" s="26" t="s">
        <v>93</v>
      </c>
      <c r="H491" s="27">
        <v>1.0828199999999999</v>
      </c>
      <c r="I491" s="28">
        <v>1.1563000000000001</v>
      </c>
      <c r="J491" s="28">
        <v>0.2442</v>
      </c>
      <c r="K491" s="29">
        <f t="shared" si="14"/>
        <v>6.3899999999999846E-2</v>
      </c>
      <c r="L491" s="29">
        <f t="shared" si="15"/>
        <v>-0.3075</v>
      </c>
    </row>
    <row r="492" spans="1:12" x14ac:dyDescent="0.25">
      <c r="A492" s="21">
        <v>41</v>
      </c>
      <c r="B492" s="22" t="s">
        <v>133</v>
      </c>
      <c r="C492" s="23">
        <v>300</v>
      </c>
      <c r="D492" s="24">
        <v>1.3419000000000001</v>
      </c>
      <c r="E492" s="24">
        <v>-3.6999999999999998E-2</v>
      </c>
      <c r="F492" s="25">
        <v>0.70289999999999997</v>
      </c>
      <c r="G492" s="26" t="s">
        <v>93</v>
      </c>
      <c r="H492" s="27">
        <v>1.07613</v>
      </c>
      <c r="I492" s="28">
        <v>1.1563000000000001</v>
      </c>
      <c r="J492" s="28">
        <v>0.2442</v>
      </c>
      <c r="K492" s="29">
        <f t="shared" si="14"/>
        <v>0.18559999999999999</v>
      </c>
      <c r="L492" s="29">
        <f t="shared" si="15"/>
        <v>-0.28120000000000001</v>
      </c>
    </row>
    <row r="493" spans="1:12" x14ac:dyDescent="0.25">
      <c r="A493" s="30">
        <v>41</v>
      </c>
      <c r="B493" s="31" t="s">
        <v>133</v>
      </c>
      <c r="C493" s="32">
        <v>330</v>
      </c>
      <c r="D493" s="33">
        <v>1.3645</v>
      </c>
      <c r="E493" s="33">
        <v>-1.6899999999999998E-2</v>
      </c>
      <c r="F493" s="34">
        <v>1.1900999999999999</v>
      </c>
      <c r="G493" s="35" t="s">
        <v>93</v>
      </c>
      <c r="H493" s="36">
        <v>1.0737099999999999</v>
      </c>
      <c r="I493" s="37">
        <v>1.1563000000000001</v>
      </c>
      <c r="J493" s="37">
        <v>0.2442</v>
      </c>
      <c r="K493" s="38">
        <f t="shared" si="14"/>
        <v>0.20819999999999994</v>
      </c>
      <c r="L493" s="38">
        <f t="shared" si="15"/>
        <v>-0.2611</v>
      </c>
    </row>
    <row r="494" spans="1:12" x14ac:dyDescent="0.25">
      <c r="A494" s="21">
        <v>42</v>
      </c>
      <c r="B494" s="22" t="s">
        <v>134</v>
      </c>
      <c r="C494" s="23">
        <v>0</v>
      </c>
      <c r="D494" s="24">
        <v>1.4133</v>
      </c>
      <c r="E494" s="24">
        <v>0.41570000000000001</v>
      </c>
      <c r="F494" s="25">
        <v>1.4133</v>
      </c>
      <c r="G494" s="26" t="s">
        <v>93</v>
      </c>
      <c r="H494" s="27">
        <v>1.01536</v>
      </c>
      <c r="I494" s="28">
        <v>1.2314000000000001</v>
      </c>
      <c r="J494" s="28">
        <v>0.25679999999999997</v>
      </c>
      <c r="K494" s="29">
        <f t="shared" si="14"/>
        <v>0.18189999999999995</v>
      </c>
      <c r="L494" s="29">
        <f t="shared" si="15"/>
        <v>0.15890000000000004</v>
      </c>
    </row>
    <row r="495" spans="1:12" x14ac:dyDescent="0.25">
      <c r="A495" s="21">
        <v>42</v>
      </c>
      <c r="B495" s="22" t="s">
        <v>134</v>
      </c>
      <c r="C495" s="23">
        <v>30</v>
      </c>
      <c r="D495" s="24">
        <v>1.3937999999999999</v>
      </c>
      <c r="E495" s="24">
        <v>0.50090000000000001</v>
      </c>
      <c r="F495" s="25">
        <v>1.4575</v>
      </c>
      <c r="G495" s="26" t="s">
        <v>93</v>
      </c>
      <c r="H495" s="27">
        <v>1</v>
      </c>
      <c r="I495" s="28">
        <v>1.2314000000000001</v>
      </c>
      <c r="J495" s="28">
        <v>0.25679999999999997</v>
      </c>
      <c r="K495" s="29">
        <f t="shared" si="14"/>
        <v>0.16239999999999988</v>
      </c>
      <c r="L495" s="29">
        <f t="shared" si="15"/>
        <v>0.24410000000000004</v>
      </c>
    </row>
    <row r="496" spans="1:12" x14ac:dyDescent="0.25">
      <c r="A496" s="21">
        <v>42</v>
      </c>
      <c r="B496" s="22" t="s">
        <v>134</v>
      </c>
      <c r="C496" s="23">
        <v>60</v>
      </c>
      <c r="D496" s="24">
        <v>1.3452999999999999</v>
      </c>
      <c r="E496" s="24">
        <v>0.54730000000000001</v>
      </c>
      <c r="F496" s="25">
        <v>1.1466000000000001</v>
      </c>
      <c r="G496" s="26" t="s">
        <v>93</v>
      </c>
      <c r="H496" s="27">
        <v>1</v>
      </c>
      <c r="I496" s="28">
        <v>1.2314000000000001</v>
      </c>
      <c r="J496" s="28">
        <v>0.25679999999999997</v>
      </c>
      <c r="K496" s="29">
        <f t="shared" si="14"/>
        <v>0.11389999999999989</v>
      </c>
      <c r="L496" s="29">
        <f t="shared" si="15"/>
        <v>0.29050000000000004</v>
      </c>
    </row>
    <row r="497" spans="1:12" x14ac:dyDescent="0.25">
      <c r="A497" s="21">
        <v>42</v>
      </c>
      <c r="B497" s="22" t="s">
        <v>134</v>
      </c>
      <c r="C497" s="23">
        <v>90</v>
      </c>
      <c r="D497" s="24">
        <v>1.2363</v>
      </c>
      <c r="E497" s="24">
        <v>0.57689999999999997</v>
      </c>
      <c r="F497" s="25">
        <v>0.57689999999999997</v>
      </c>
      <c r="G497" s="26" t="s">
        <v>93</v>
      </c>
      <c r="H497" s="27">
        <v>1</v>
      </c>
      <c r="I497" s="28">
        <v>1.2314000000000001</v>
      </c>
      <c r="J497" s="28">
        <v>0.25679999999999997</v>
      </c>
      <c r="K497" s="29">
        <f t="shared" si="14"/>
        <v>4.8999999999999044E-3</v>
      </c>
      <c r="L497" s="29">
        <f t="shared" si="15"/>
        <v>0.3201</v>
      </c>
    </row>
    <row r="498" spans="1:12" x14ac:dyDescent="0.25">
      <c r="A498" s="21">
        <v>42</v>
      </c>
      <c r="B498" s="22" t="s">
        <v>134</v>
      </c>
      <c r="C498" s="23">
        <v>120</v>
      </c>
      <c r="D498" s="24">
        <v>1.0793999999999999</v>
      </c>
      <c r="E498" s="24">
        <v>0.5323</v>
      </c>
      <c r="F498" s="25">
        <v>-7.8700000000000006E-2</v>
      </c>
      <c r="G498" s="26" t="s">
        <v>93</v>
      </c>
      <c r="H498" s="27">
        <v>1.0119400000000001</v>
      </c>
      <c r="I498" s="28">
        <v>1.2314000000000001</v>
      </c>
      <c r="J498" s="28">
        <v>0.25679999999999997</v>
      </c>
      <c r="K498" s="29">
        <f t="shared" si="14"/>
        <v>-0.15200000000000014</v>
      </c>
      <c r="L498" s="29">
        <f t="shared" si="15"/>
        <v>0.27550000000000002</v>
      </c>
    </row>
    <row r="499" spans="1:12" x14ac:dyDescent="0.25">
      <c r="A499" s="21">
        <v>42</v>
      </c>
      <c r="B499" s="22" t="s">
        <v>134</v>
      </c>
      <c r="C499" s="23">
        <v>150</v>
      </c>
      <c r="D499" s="24">
        <v>0.95699999999999996</v>
      </c>
      <c r="E499" s="24">
        <v>0.41070000000000001</v>
      </c>
      <c r="F499" s="25">
        <v>-0.62350000000000005</v>
      </c>
      <c r="G499" s="26" t="s">
        <v>93</v>
      </c>
      <c r="H499" s="27">
        <v>1.06145</v>
      </c>
      <c r="I499" s="28">
        <v>1.2314000000000001</v>
      </c>
      <c r="J499" s="28">
        <v>0.25679999999999997</v>
      </c>
      <c r="K499" s="29">
        <f t="shared" si="14"/>
        <v>-0.27440000000000009</v>
      </c>
      <c r="L499" s="29">
        <f t="shared" si="15"/>
        <v>0.15390000000000004</v>
      </c>
    </row>
    <row r="500" spans="1:12" x14ac:dyDescent="0.25">
      <c r="A500" s="21">
        <v>42</v>
      </c>
      <c r="B500" s="22" t="s">
        <v>134</v>
      </c>
      <c r="C500" s="23">
        <v>180</v>
      </c>
      <c r="D500" s="24">
        <v>0.91559999999999997</v>
      </c>
      <c r="E500" s="24">
        <v>0.2432</v>
      </c>
      <c r="F500" s="25">
        <v>-0.91559999999999997</v>
      </c>
      <c r="G500" s="26" t="s">
        <v>93</v>
      </c>
      <c r="H500" s="27">
        <v>1.1000000000000001</v>
      </c>
      <c r="I500" s="28">
        <v>1.2314000000000001</v>
      </c>
      <c r="J500" s="28">
        <v>0.25679999999999997</v>
      </c>
      <c r="K500" s="29">
        <f t="shared" si="14"/>
        <v>-0.31580000000000008</v>
      </c>
      <c r="L500" s="29">
        <f t="shared" si="15"/>
        <v>-1.3599999999999973E-2</v>
      </c>
    </row>
    <row r="501" spans="1:12" x14ac:dyDescent="0.25">
      <c r="A501" s="21">
        <v>42</v>
      </c>
      <c r="B501" s="22" t="s">
        <v>134</v>
      </c>
      <c r="C501" s="23">
        <v>210</v>
      </c>
      <c r="D501" s="24">
        <v>0.95669999999999999</v>
      </c>
      <c r="E501" s="24">
        <v>8.9300000000000004E-2</v>
      </c>
      <c r="F501" s="25">
        <v>-0.87319999999999998</v>
      </c>
      <c r="G501" s="26" t="s">
        <v>93</v>
      </c>
      <c r="H501" s="27">
        <v>1.1000000000000001</v>
      </c>
      <c r="I501" s="28">
        <v>1.2314000000000001</v>
      </c>
      <c r="J501" s="28">
        <v>0.25679999999999997</v>
      </c>
      <c r="K501" s="29">
        <f t="shared" si="14"/>
        <v>-0.27470000000000006</v>
      </c>
      <c r="L501" s="29">
        <f t="shared" si="15"/>
        <v>-0.16749999999999998</v>
      </c>
    </row>
    <row r="502" spans="1:12" x14ac:dyDescent="0.25">
      <c r="A502" s="21">
        <v>42</v>
      </c>
      <c r="B502" s="22" t="s">
        <v>134</v>
      </c>
      <c r="C502" s="23">
        <v>240</v>
      </c>
      <c r="D502" s="24">
        <v>1.0664</v>
      </c>
      <c r="E502" s="24">
        <v>-2.0299999999999999E-2</v>
      </c>
      <c r="F502" s="25">
        <v>-0.51559999999999995</v>
      </c>
      <c r="G502" s="26" t="s">
        <v>93</v>
      </c>
      <c r="H502" s="27">
        <v>1.1000000000000001</v>
      </c>
      <c r="I502" s="28">
        <v>1.2314000000000001</v>
      </c>
      <c r="J502" s="28">
        <v>0.25679999999999997</v>
      </c>
      <c r="K502" s="29">
        <f t="shared" si="14"/>
        <v>-0.16500000000000004</v>
      </c>
      <c r="L502" s="29">
        <f t="shared" si="15"/>
        <v>-0.27709999999999996</v>
      </c>
    </row>
    <row r="503" spans="1:12" x14ac:dyDescent="0.25">
      <c r="A503" s="21">
        <v>42</v>
      </c>
      <c r="B503" s="22" t="s">
        <v>134</v>
      </c>
      <c r="C503" s="23">
        <v>270</v>
      </c>
      <c r="D503" s="24">
        <v>1.2251000000000001</v>
      </c>
      <c r="E503" s="24">
        <v>-6.1899999999999997E-2</v>
      </c>
      <c r="F503" s="25">
        <v>6.1899999999999997E-2</v>
      </c>
      <c r="G503" s="26" t="s">
        <v>93</v>
      </c>
      <c r="H503" s="27">
        <v>1.0821099999999999</v>
      </c>
      <c r="I503" s="28">
        <v>1.2314000000000001</v>
      </c>
      <c r="J503" s="28">
        <v>0.25679999999999997</v>
      </c>
      <c r="K503" s="29">
        <f t="shared" si="14"/>
        <v>-6.2999999999999723E-3</v>
      </c>
      <c r="L503" s="29">
        <f t="shared" si="15"/>
        <v>-0.31869999999999998</v>
      </c>
    </row>
    <row r="504" spans="1:12" x14ac:dyDescent="0.25">
      <c r="A504" s="21">
        <v>42</v>
      </c>
      <c r="B504" s="22" t="s">
        <v>134</v>
      </c>
      <c r="C504" s="23">
        <v>300</v>
      </c>
      <c r="D504" s="24">
        <v>1.3649</v>
      </c>
      <c r="E504" s="24">
        <v>-2.8799999999999999E-2</v>
      </c>
      <c r="F504" s="25">
        <v>0.70740000000000003</v>
      </c>
      <c r="G504" s="26" t="s">
        <v>93</v>
      </c>
      <c r="H504" s="27">
        <v>1.0723499999999999</v>
      </c>
      <c r="I504" s="28">
        <v>1.2314000000000001</v>
      </c>
      <c r="J504" s="28">
        <v>0.25679999999999997</v>
      </c>
      <c r="K504" s="29">
        <f t="shared" si="14"/>
        <v>0.13349999999999995</v>
      </c>
      <c r="L504" s="29">
        <f t="shared" si="15"/>
        <v>-0.28559999999999997</v>
      </c>
    </row>
    <row r="505" spans="1:12" x14ac:dyDescent="0.25">
      <c r="A505" s="30">
        <v>42</v>
      </c>
      <c r="B505" s="31" t="s">
        <v>134</v>
      </c>
      <c r="C505" s="32">
        <v>330</v>
      </c>
      <c r="D505" s="33">
        <v>1.4019999999999999</v>
      </c>
      <c r="E505" s="33">
        <v>4.7000000000000002E-3</v>
      </c>
      <c r="F505" s="34">
        <v>1.2118</v>
      </c>
      <c r="G505" s="35" t="s">
        <v>93</v>
      </c>
      <c r="H505" s="36">
        <v>1.0686800000000001</v>
      </c>
      <c r="I505" s="37">
        <v>1.2314000000000001</v>
      </c>
      <c r="J505" s="37">
        <v>0.25679999999999997</v>
      </c>
      <c r="K505" s="38">
        <f t="shared" si="14"/>
        <v>0.17059999999999986</v>
      </c>
      <c r="L505" s="38">
        <f t="shared" si="15"/>
        <v>-0.25209999999999999</v>
      </c>
    </row>
    <row r="506" spans="1:12" x14ac:dyDescent="0.25">
      <c r="A506" s="21">
        <v>43</v>
      </c>
      <c r="B506" s="22" t="s">
        <v>135</v>
      </c>
      <c r="C506" s="23">
        <v>0</v>
      </c>
      <c r="D506" s="24">
        <v>1.4056999999999999</v>
      </c>
      <c r="E506" s="24">
        <v>0.34970000000000001</v>
      </c>
      <c r="F506" s="25">
        <v>1.4056999999999999</v>
      </c>
      <c r="G506" s="26" t="s">
        <v>93</v>
      </c>
      <c r="H506" s="27">
        <v>1.0178400000000001</v>
      </c>
      <c r="I506" s="28">
        <v>1.2369000000000001</v>
      </c>
      <c r="J506" s="28">
        <v>0.25800000000000001</v>
      </c>
      <c r="K506" s="29">
        <f t="shared" si="14"/>
        <v>0.16879999999999984</v>
      </c>
      <c r="L506" s="29">
        <f t="shared" si="15"/>
        <v>9.1700000000000004E-2</v>
      </c>
    </row>
    <row r="507" spans="1:12" x14ac:dyDescent="0.25">
      <c r="A507" s="21">
        <v>43</v>
      </c>
      <c r="B507" s="22" t="s">
        <v>135</v>
      </c>
      <c r="C507" s="23">
        <v>30</v>
      </c>
      <c r="D507" s="24">
        <v>1.3832</v>
      </c>
      <c r="E507" s="24">
        <v>0.47020000000000001</v>
      </c>
      <c r="F507" s="25">
        <v>1.4330000000000001</v>
      </c>
      <c r="G507" s="26" t="s">
        <v>93</v>
      </c>
      <c r="H507" s="27">
        <v>1</v>
      </c>
      <c r="I507" s="28">
        <v>1.2369000000000001</v>
      </c>
      <c r="J507" s="28">
        <v>0.25800000000000001</v>
      </c>
      <c r="K507" s="29">
        <f t="shared" si="14"/>
        <v>0.14629999999999987</v>
      </c>
      <c r="L507" s="29">
        <f t="shared" si="15"/>
        <v>0.2122</v>
      </c>
    </row>
    <row r="508" spans="1:12" x14ac:dyDescent="0.25">
      <c r="A508" s="21">
        <v>43</v>
      </c>
      <c r="B508" s="22" t="s">
        <v>135</v>
      </c>
      <c r="C508" s="23">
        <v>60</v>
      </c>
      <c r="D508" s="24">
        <v>1.3164</v>
      </c>
      <c r="E508" s="24">
        <v>0.53559999999999997</v>
      </c>
      <c r="F508" s="25">
        <v>1.1220000000000001</v>
      </c>
      <c r="G508" s="26" t="s">
        <v>93</v>
      </c>
      <c r="H508" s="27">
        <v>1</v>
      </c>
      <c r="I508" s="28">
        <v>1.2369000000000001</v>
      </c>
      <c r="J508" s="28">
        <v>0.25800000000000001</v>
      </c>
      <c r="K508" s="29">
        <f t="shared" si="14"/>
        <v>7.9499999999999904E-2</v>
      </c>
      <c r="L508" s="29">
        <f t="shared" si="15"/>
        <v>0.27759999999999996</v>
      </c>
    </row>
    <row r="509" spans="1:12" x14ac:dyDescent="0.25">
      <c r="A509" s="21">
        <v>43</v>
      </c>
      <c r="B509" s="22" t="s">
        <v>135</v>
      </c>
      <c r="C509" s="23">
        <v>90</v>
      </c>
      <c r="D509" s="24">
        <v>1.1981999999999999</v>
      </c>
      <c r="E509" s="24">
        <v>0.56850000000000001</v>
      </c>
      <c r="F509" s="25">
        <v>0.56850000000000001</v>
      </c>
      <c r="G509" s="26" t="s">
        <v>93</v>
      </c>
      <c r="H509" s="27">
        <v>1</v>
      </c>
      <c r="I509" s="28">
        <v>1.2369000000000001</v>
      </c>
      <c r="J509" s="28">
        <v>0.25800000000000001</v>
      </c>
      <c r="K509" s="29">
        <f t="shared" si="14"/>
        <v>-3.8700000000000179E-2</v>
      </c>
      <c r="L509" s="29">
        <f t="shared" si="15"/>
        <v>0.3105</v>
      </c>
    </row>
    <row r="510" spans="1:12" x14ac:dyDescent="0.25">
      <c r="A510" s="21">
        <v>43</v>
      </c>
      <c r="B510" s="22" t="s">
        <v>135</v>
      </c>
      <c r="C510" s="23">
        <v>120</v>
      </c>
      <c r="D510" s="24">
        <v>1.038</v>
      </c>
      <c r="E510" s="24">
        <v>0.52400000000000002</v>
      </c>
      <c r="F510" s="25">
        <v>-6.5199999999999994E-2</v>
      </c>
      <c r="G510" s="26" t="s">
        <v>93</v>
      </c>
      <c r="H510" s="27">
        <v>1.0101199999999999</v>
      </c>
      <c r="I510" s="28">
        <v>1.2369000000000001</v>
      </c>
      <c r="J510" s="28">
        <v>0.25800000000000001</v>
      </c>
      <c r="K510" s="29">
        <f t="shared" si="14"/>
        <v>-0.19890000000000008</v>
      </c>
      <c r="L510" s="29">
        <f t="shared" si="15"/>
        <v>0.26600000000000001</v>
      </c>
    </row>
    <row r="511" spans="1:12" x14ac:dyDescent="0.25">
      <c r="A511" s="21">
        <v>43</v>
      </c>
      <c r="B511" s="22" t="s">
        <v>135</v>
      </c>
      <c r="C511" s="23">
        <v>150</v>
      </c>
      <c r="D511" s="24">
        <v>0.91990000000000005</v>
      </c>
      <c r="E511" s="24">
        <v>0.40710000000000002</v>
      </c>
      <c r="F511" s="25">
        <v>-0.59309999999999996</v>
      </c>
      <c r="G511" s="26" t="s">
        <v>93</v>
      </c>
      <c r="H511" s="27">
        <v>1.0674699999999999</v>
      </c>
      <c r="I511" s="28">
        <v>1.2369000000000001</v>
      </c>
      <c r="J511" s="28">
        <v>0.25800000000000001</v>
      </c>
      <c r="K511" s="29">
        <f t="shared" si="14"/>
        <v>-0.31700000000000006</v>
      </c>
      <c r="L511" s="29">
        <f t="shared" si="15"/>
        <v>0.14910000000000001</v>
      </c>
    </row>
    <row r="512" spans="1:12" x14ac:dyDescent="0.25">
      <c r="A512" s="21">
        <v>43</v>
      </c>
      <c r="B512" s="22" t="s">
        <v>135</v>
      </c>
      <c r="C512" s="23">
        <v>180</v>
      </c>
      <c r="D512" s="24">
        <v>0.88080000000000003</v>
      </c>
      <c r="E512" s="24">
        <v>0.23899999999999999</v>
      </c>
      <c r="F512" s="25">
        <v>-0.88080000000000003</v>
      </c>
      <c r="G512" s="26" t="s">
        <v>93</v>
      </c>
      <c r="H512" s="27">
        <v>1.1000000000000001</v>
      </c>
      <c r="I512" s="28">
        <v>1.2369000000000001</v>
      </c>
      <c r="J512" s="28">
        <v>0.25800000000000001</v>
      </c>
      <c r="K512" s="29">
        <f t="shared" si="14"/>
        <v>-0.35610000000000008</v>
      </c>
      <c r="L512" s="29">
        <f t="shared" si="15"/>
        <v>-1.9000000000000017E-2</v>
      </c>
    </row>
    <row r="513" spans="1:12" x14ac:dyDescent="0.25">
      <c r="A513" s="21">
        <v>43</v>
      </c>
      <c r="B513" s="22" t="s">
        <v>135</v>
      </c>
      <c r="C513" s="23">
        <v>210</v>
      </c>
      <c r="D513" s="24">
        <v>0.92159999999999997</v>
      </c>
      <c r="E513" s="24">
        <v>7.5700000000000003E-2</v>
      </c>
      <c r="F513" s="25">
        <v>-0.83589999999999998</v>
      </c>
      <c r="G513" s="26" t="s">
        <v>93</v>
      </c>
      <c r="H513" s="27">
        <v>1.1000000000000001</v>
      </c>
      <c r="I513" s="28">
        <v>1.2369000000000001</v>
      </c>
      <c r="J513" s="28">
        <v>0.25800000000000001</v>
      </c>
      <c r="K513" s="29">
        <f t="shared" si="14"/>
        <v>-0.31530000000000014</v>
      </c>
      <c r="L513" s="29">
        <f t="shared" si="15"/>
        <v>-0.18230000000000002</v>
      </c>
    </row>
    <row r="514" spans="1:12" x14ac:dyDescent="0.25">
      <c r="A514" s="21">
        <v>43</v>
      </c>
      <c r="B514" s="22" t="s">
        <v>135</v>
      </c>
      <c r="C514" s="23">
        <v>240</v>
      </c>
      <c r="D514" s="24">
        <v>1.0273000000000001</v>
      </c>
      <c r="E514" s="24">
        <v>-0.03</v>
      </c>
      <c r="F514" s="25">
        <v>-0.48759999999999998</v>
      </c>
      <c r="G514" s="26" t="s">
        <v>93</v>
      </c>
      <c r="H514" s="27">
        <v>1.1000000000000001</v>
      </c>
      <c r="I514" s="28">
        <v>1.2369000000000001</v>
      </c>
      <c r="J514" s="28">
        <v>0.25800000000000001</v>
      </c>
      <c r="K514" s="29">
        <f t="shared" ref="K514:K577" si="16">D514-I514</f>
        <v>-0.20960000000000001</v>
      </c>
      <c r="L514" s="29">
        <f t="shared" ref="L514:L577" si="17">E514-J514</f>
        <v>-0.28800000000000003</v>
      </c>
    </row>
    <row r="515" spans="1:12" x14ac:dyDescent="0.25">
      <c r="A515" s="21">
        <v>43</v>
      </c>
      <c r="B515" s="22" t="s">
        <v>135</v>
      </c>
      <c r="C515" s="23">
        <v>270</v>
      </c>
      <c r="D515" s="24">
        <v>1.1841999999999999</v>
      </c>
      <c r="E515" s="24">
        <v>-7.1099999999999997E-2</v>
      </c>
      <c r="F515" s="25">
        <v>7.1099999999999997E-2</v>
      </c>
      <c r="G515" s="26" t="s">
        <v>93</v>
      </c>
      <c r="H515" s="27">
        <v>1.0814299999999999</v>
      </c>
      <c r="I515" s="28">
        <v>1.2369000000000001</v>
      </c>
      <c r="J515" s="28">
        <v>0.25800000000000001</v>
      </c>
      <c r="K515" s="29">
        <f t="shared" si="16"/>
        <v>-5.2700000000000191E-2</v>
      </c>
      <c r="L515" s="29">
        <f t="shared" si="17"/>
        <v>-0.3291</v>
      </c>
    </row>
    <row r="516" spans="1:12" x14ac:dyDescent="0.25">
      <c r="A516" s="21">
        <v>43</v>
      </c>
      <c r="B516" s="22" t="s">
        <v>135</v>
      </c>
      <c r="C516" s="23">
        <v>300</v>
      </c>
      <c r="D516" s="24">
        <v>1.3344</v>
      </c>
      <c r="E516" s="24">
        <v>-3.3799999999999997E-2</v>
      </c>
      <c r="F516" s="25">
        <v>0.69650000000000001</v>
      </c>
      <c r="G516" s="26" t="s">
        <v>93</v>
      </c>
      <c r="H516" s="27">
        <v>1.06839</v>
      </c>
      <c r="I516" s="28">
        <v>1.2369000000000001</v>
      </c>
      <c r="J516" s="28">
        <v>0.25800000000000001</v>
      </c>
      <c r="K516" s="29">
        <f t="shared" si="16"/>
        <v>9.749999999999992E-2</v>
      </c>
      <c r="L516" s="29">
        <f t="shared" si="17"/>
        <v>-0.2918</v>
      </c>
    </row>
    <row r="517" spans="1:12" x14ac:dyDescent="0.25">
      <c r="A517" s="30">
        <v>43</v>
      </c>
      <c r="B517" s="31" t="s">
        <v>135</v>
      </c>
      <c r="C517" s="32">
        <v>330</v>
      </c>
      <c r="D517" s="33">
        <v>1.3914</v>
      </c>
      <c r="E517" s="33">
        <v>1.8200000000000001E-2</v>
      </c>
      <c r="F517" s="34">
        <v>1.1959</v>
      </c>
      <c r="G517" s="35" t="s">
        <v>93</v>
      </c>
      <c r="H517" s="36">
        <v>1.0617399999999999</v>
      </c>
      <c r="I517" s="37">
        <v>1.2369000000000001</v>
      </c>
      <c r="J517" s="37">
        <v>0.25800000000000001</v>
      </c>
      <c r="K517" s="38">
        <f t="shared" si="16"/>
        <v>0.15449999999999986</v>
      </c>
      <c r="L517" s="38">
        <f t="shared" si="17"/>
        <v>-0.23980000000000001</v>
      </c>
    </row>
    <row r="518" spans="1:12" x14ac:dyDescent="0.25">
      <c r="A518" s="21">
        <v>44</v>
      </c>
      <c r="B518" s="22" t="s">
        <v>136</v>
      </c>
      <c r="C518" s="23">
        <v>0</v>
      </c>
      <c r="D518" s="24">
        <v>1.3925000000000001</v>
      </c>
      <c r="E518" s="24">
        <v>0.30359999999999998</v>
      </c>
      <c r="F518" s="25">
        <v>1.3925000000000001</v>
      </c>
      <c r="G518" s="26" t="s">
        <v>93</v>
      </c>
      <c r="H518" s="27">
        <v>1.02597</v>
      </c>
      <c r="I518" s="28">
        <v>1.1953</v>
      </c>
      <c r="J518" s="28">
        <v>0.24909999999999999</v>
      </c>
      <c r="K518" s="29">
        <f t="shared" si="16"/>
        <v>0.19720000000000004</v>
      </c>
      <c r="L518" s="29">
        <f t="shared" si="17"/>
        <v>5.4499999999999993E-2</v>
      </c>
    </row>
    <row r="519" spans="1:12" x14ac:dyDescent="0.25">
      <c r="A519" s="21">
        <v>44</v>
      </c>
      <c r="B519" s="22" t="s">
        <v>136</v>
      </c>
      <c r="C519" s="23">
        <v>30</v>
      </c>
      <c r="D519" s="24">
        <v>1.3693</v>
      </c>
      <c r="E519" s="24">
        <v>0.43049999999999999</v>
      </c>
      <c r="F519" s="25">
        <v>1.4011</v>
      </c>
      <c r="G519" s="26" t="s">
        <v>93</v>
      </c>
      <c r="H519" s="27">
        <v>1</v>
      </c>
      <c r="I519" s="28">
        <v>1.1953</v>
      </c>
      <c r="J519" s="28">
        <v>0.24909999999999999</v>
      </c>
      <c r="K519" s="29">
        <f t="shared" si="16"/>
        <v>0.17399999999999993</v>
      </c>
      <c r="L519" s="29">
        <f t="shared" si="17"/>
        <v>0.18140000000000001</v>
      </c>
    </row>
    <row r="520" spans="1:12" x14ac:dyDescent="0.25">
      <c r="A520" s="21">
        <v>44</v>
      </c>
      <c r="B520" s="22" t="s">
        <v>136</v>
      </c>
      <c r="C520" s="23">
        <v>60</v>
      </c>
      <c r="D520" s="24">
        <v>1.2753000000000001</v>
      </c>
      <c r="E520" s="24">
        <v>0.52569999999999995</v>
      </c>
      <c r="F520" s="25">
        <v>1.0929</v>
      </c>
      <c r="G520" s="26" t="s">
        <v>93</v>
      </c>
      <c r="H520" s="27">
        <v>1</v>
      </c>
      <c r="I520" s="28">
        <v>1.1953</v>
      </c>
      <c r="J520" s="28">
        <v>0.24909999999999999</v>
      </c>
      <c r="K520" s="29">
        <f t="shared" si="16"/>
        <v>8.0000000000000071E-2</v>
      </c>
      <c r="L520" s="29">
        <f t="shared" si="17"/>
        <v>0.27659999999999996</v>
      </c>
    </row>
    <row r="521" spans="1:12" x14ac:dyDescent="0.25">
      <c r="A521" s="21">
        <v>44</v>
      </c>
      <c r="B521" s="22" t="s">
        <v>136</v>
      </c>
      <c r="C521" s="23">
        <v>90</v>
      </c>
      <c r="D521" s="24">
        <v>1.1539999999999999</v>
      </c>
      <c r="E521" s="24">
        <v>0.55920000000000003</v>
      </c>
      <c r="F521" s="25">
        <v>0.55920000000000003</v>
      </c>
      <c r="G521" s="26" t="s">
        <v>93</v>
      </c>
      <c r="H521" s="27">
        <v>1</v>
      </c>
      <c r="I521" s="28">
        <v>1.1953</v>
      </c>
      <c r="J521" s="28">
        <v>0.24909999999999999</v>
      </c>
      <c r="K521" s="29">
        <f t="shared" si="16"/>
        <v>-4.1300000000000114E-2</v>
      </c>
      <c r="L521" s="29">
        <f t="shared" si="17"/>
        <v>0.31010000000000004</v>
      </c>
    </row>
    <row r="522" spans="1:12" x14ac:dyDescent="0.25">
      <c r="A522" s="21">
        <v>44</v>
      </c>
      <c r="B522" s="22" t="s">
        <v>136</v>
      </c>
      <c r="C522" s="23">
        <v>120</v>
      </c>
      <c r="D522" s="24">
        <v>0.99639999999999995</v>
      </c>
      <c r="E522" s="24">
        <v>0.51539999999999997</v>
      </c>
      <c r="F522" s="25">
        <v>-5.1900000000000002E-2</v>
      </c>
      <c r="G522" s="26" t="s">
        <v>93</v>
      </c>
      <c r="H522" s="27">
        <v>1.0104599999999999</v>
      </c>
      <c r="I522" s="28">
        <v>1.1953</v>
      </c>
      <c r="J522" s="28">
        <v>0.24909999999999999</v>
      </c>
      <c r="K522" s="29">
        <f t="shared" si="16"/>
        <v>-0.19890000000000008</v>
      </c>
      <c r="L522" s="29">
        <f t="shared" si="17"/>
        <v>0.26629999999999998</v>
      </c>
    </row>
    <row r="523" spans="1:12" x14ac:dyDescent="0.25">
      <c r="A523" s="21">
        <v>44</v>
      </c>
      <c r="B523" s="22" t="s">
        <v>136</v>
      </c>
      <c r="C523" s="23">
        <v>150</v>
      </c>
      <c r="D523" s="24">
        <v>0.88490000000000002</v>
      </c>
      <c r="E523" s="24">
        <v>0.40500000000000003</v>
      </c>
      <c r="F523" s="25">
        <v>-0.56389999999999996</v>
      </c>
      <c r="G523" s="26" t="s">
        <v>93</v>
      </c>
      <c r="H523" s="27">
        <v>1.06751</v>
      </c>
      <c r="I523" s="28">
        <v>1.1953</v>
      </c>
      <c r="J523" s="28">
        <v>0.24909999999999999</v>
      </c>
      <c r="K523" s="29">
        <f t="shared" si="16"/>
        <v>-0.31040000000000001</v>
      </c>
      <c r="L523" s="29">
        <f t="shared" si="17"/>
        <v>0.15590000000000004</v>
      </c>
    </row>
    <row r="524" spans="1:12" x14ac:dyDescent="0.25">
      <c r="A524" s="21">
        <v>44</v>
      </c>
      <c r="B524" s="22" t="s">
        <v>136</v>
      </c>
      <c r="C524" s="23">
        <v>180</v>
      </c>
      <c r="D524" s="24">
        <v>0.84899999999999998</v>
      </c>
      <c r="E524" s="24">
        <v>0.20019999999999999</v>
      </c>
      <c r="F524" s="25">
        <v>-0.84899999999999998</v>
      </c>
      <c r="G524" s="26" t="s">
        <v>93</v>
      </c>
      <c r="H524" s="27">
        <v>1.1000000000000001</v>
      </c>
      <c r="I524" s="28">
        <v>1.1953</v>
      </c>
      <c r="J524" s="28">
        <v>0.24909999999999999</v>
      </c>
      <c r="K524" s="29">
        <f t="shared" si="16"/>
        <v>-0.34630000000000005</v>
      </c>
      <c r="L524" s="29">
        <f t="shared" si="17"/>
        <v>-4.8899999999999999E-2</v>
      </c>
    </row>
    <row r="525" spans="1:12" x14ac:dyDescent="0.25">
      <c r="A525" s="21">
        <v>44</v>
      </c>
      <c r="B525" s="22" t="s">
        <v>136</v>
      </c>
      <c r="C525" s="23">
        <v>210</v>
      </c>
      <c r="D525" s="24">
        <v>0.88680000000000003</v>
      </c>
      <c r="E525" s="24">
        <v>5.9499999999999997E-2</v>
      </c>
      <c r="F525" s="25">
        <v>-0.79769999999999996</v>
      </c>
      <c r="G525" s="26" t="s">
        <v>93</v>
      </c>
      <c r="H525" s="27">
        <v>1.1000000000000001</v>
      </c>
      <c r="I525" s="28">
        <v>1.1953</v>
      </c>
      <c r="J525" s="28">
        <v>0.24909999999999999</v>
      </c>
      <c r="K525" s="29">
        <f t="shared" si="16"/>
        <v>-0.3085</v>
      </c>
      <c r="L525" s="29">
        <f t="shared" si="17"/>
        <v>-0.18959999999999999</v>
      </c>
    </row>
    <row r="526" spans="1:12" x14ac:dyDescent="0.25">
      <c r="A526" s="21">
        <v>44</v>
      </c>
      <c r="B526" s="22" t="s">
        <v>136</v>
      </c>
      <c r="C526" s="23">
        <v>240</v>
      </c>
      <c r="D526" s="24">
        <v>0.98619999999999997</v>
      </c>
      <c r="E526" s="24">
        <v>-0.04</v>
      </c>
      <c r="F526" s="25">
        <v>-0.45850000000000002</v>
      </c>
      <c r="G526" s="26" t="s">
        <v>93</v>
      </c>
      <c r="H526" s="27">
        <v>1.1000000000000001</v>
      </c>
      <c r="I526" s="28">
        <v>1.1953</v>
      </c>
      <c r="J526" s="28">
        <v>0.24909999999999999</v>
      </c>
      <c r="K526" s="29">
        <f t="shared" si="16"/>
        <v>-0.20910000000000006</v>
      </c>
      <c r="L526" s="29">
        <f t="shared" si="17"/>
        <v>-0.28909999999999997</v>
      </c>
    </row>
    <row r="527" spans="1:12" x14ac:dyDescent="0.25">
      <c r="A527" s="21">
        <v>44</v>
      </c>
      <c r="B527" s="22" t="s">
        <v>136</v>
      </c>
      <c r="C527" s="23">
        <v>270</v>
      </c>
      <c r="D527" s="24">
        <v>1.1413</v>
      </c>
      <c r="E527" s="24">
        <v>-8.0299999999999996E-2</v>
      </c>
      <c r="F527" s="25">
        <v>8.0299999999999996E-2</v>
      </c>
      <c r="G527" s="26" t="s">
        <v>93</v>
      </c>
      <c r="H527" s="27">
        <v>1.083</v>
      </c>
      <c r="I527" s="28">
        <v>1.1953</v>
      </c>
      <c r="J527" s="28">
        <v>0.24909999999999999</v>
      </c>
      <c r="K527" s="29">
        <f t="shared" si="16"/>
        <v>-5.4000000000000048E-2</v>
      </c>
      <c r="L527" s="29">
        <f t="shared" si="17"/>
        <v>-0.32939999999999997</v>
      </c>
    </row>
    <row r="528" spans="1:12" x14ac:dyDescent="0.25">
      <c r="A528" s="21">
        <v>44</v>
      </c>
      <c r="B528" s="22" t="s">
        <v>136</v>
      </c>
      <c r="C528" s="23">
        <v>300</v>
      </c>
      <c r="D528" s="24">
        <v>1.2985</v>
      </c>
      <c r="E528" s="24">
        <v>-4.02E-2</v>
      </c>
      <c r="F528" s="25">
        <v>0.68410000000000004</v>
      </c>
      <c r="G528" s="26" t="s">
        <v>93</v>
      </c>
      <c r="H528" s="27">
        <v>1.06751</v>
      </c>
      <c r="I528" s="28">
        <v>1.1953</v>
      </c>
      <c r="J528" s="28">
        <v>0.24909999999999999</v>
      </c>
      <c r="K528" s="29">
        <f t="shared" si="16"/>
        <v>0.10319999999999996</v>
      </c>
      <c r="L528" s="29">
        <f t="shared" si="17"/>
        <v>-0.2893</v>
      </c>
    </row>
    <row r="529" spans="1:12" x14ac:dyDescent="0.25">
      <c r="A529" s="30">
        <v>44</v>
      </c>
      <c r="B529" s="31" t="s">
        <v>136</v>
      </c>
      <c r="C529" s="32">
        <v>330</v>
      </c>
      <c r="D529" s="33">
        <v>1.3734999999999999</v>
      </c>
      <c r="E529" s="33">
        <v>3.0700000000000002E-2</v>
      </c>
      <c r="F529" s="34">
        <v>1.1740999999999999</v>
      </c>
      <c r="G529" s="35" t="s">
        <v>93</v>
      </c>
      <c r="H529" s="36">
        <v>1.0576399999999999</v>
      </c>
      <c r="I529" s="37">
        <v>1.1953</v>
      </c>
      <c r="J529" s="37">
        <v>0.24909999999999999</v>
      </c>
      <c r="K529" s="38">
        <f t="shared" si="16"/>
        <v>0.17819999999999991</v>
      </c>
      <c r="L529" s="38">
        <f t="shared" si="17"/>
        <v>-0.21839999999999998</v>
      </c>
    </row>
    <row r="530" spans="1:12" x14ac:dyDescent="0.25">
      <c r="A530" s="21">
        <v>45</v>
      </c>
      <c r="B530" s="22" t="s">
        <v>137</v>
      </c>
      <c r="C530" s="23">
        <v>0</v>
      </c>
      <c r="D530" s="24">
        <v>1.2931999999999999</v>
      </c>
      <c r="E530" s="24">
        <v>0.24970000000000001</v>
      </c>
      <c r="F530" s="25">
        <v>1.2931999999999999</v>
      </c>
      <c r="G530" s="26" t="s">
        <v>93</v>
      </c>
      <c r="H530" s="27">
        <v>1.0263800000000001</v>
      </c>
      <c r="I530" s="28">
        <v>1.1524000000000001</v>
      </c>
      <c r="J530" s="28">
        <v>0.2399</v>
      </c>
      <c r="K530" s="29">
        <f t="shared" si="16"/>
        <v>0.14079999999999981</v>
      </c>
      <c r="L530" s="29">
        <f t="shared" si="17"/>
        <v>9.8000000000000032E-3</v>
      </c>
    </row>
    <row r="531" spans="1:12" x14ac:dyDescent="0.25">
      <c r="A531" s="21">
        <v>45</v>
      </c>
      <c r="B531" s="22" t="s">
        <v>137</v>
      </c>
      <c r="C531" s="23">
        <v>30</v>
      </c>
      <c r="D531" s="24">
        <v>1.2625999999999999</v>
      </c>
      <c r="E531" s="24">
        <v>0.4</v>
      </c>
      <c r="F531" s="25">
        <v>1.2934000000000001</v>
      </c>
      <c r="G531" s="26" t="s">
        <v>93</v>
      </c>
      <c r="H531" s="27">
        <v>1</v>
      </c>
      <c r="I531" s="28">
        <v>1.1524000000000001</v>
      </c>
      <c r="J531" s="28">
        <v>0.2399</v>
      </c>
      <c r="K531" s="29">
        <f t="shared" si="16"/>
        <v>0.11019999999999985</v>
      </c>
      <c r="L531" s="29">
        <f t="shared" si="17"/>
        <v>0.16010000000000002</v>
      </c>
    </row>
    <row r="532" spans="1:12" x14ac:dyDescent="0.25">
      <c r="A532" s="21">
        <v>45</v>
      </c>
      <c r="B532" s="22" t="s">
        <v>137</v>
      </c>
      <c r="C532" s="23">
        <v>60</v>
      </c>
      <c r="D532" s="24">
        <v>1.1619999999999999</v>
      </c>
      <c r="E532" s="24">
        <v>0.50009999999999999</v>
      </c>
      <c r="F532" s="25">
        <v>1.0141</v>
      </c>
      <c r="G532" s="26" t="s">
        <v>93</v>
      </c>
      <c r="H532" s="27">
        <v>1</v>
      </c>
      <c r="I532" s="28">
        <v>1.1524000000000001</v>
      </c>
      <c r="J532" s="28">
        <v>0.2399</v>
      </c>
      <c r="K532" s="29">
        <f t="shared" si="16"/>
        <v>9.5999999999998309E-3</v>
      </c>
      <c r="L532" s="29">
        <f t="shared" si="17"/>
        <v>0.26019999999999999</v>
      </c>
    </row>
    <row r="533" spans="1:12" x14ac:dyDescent="0.25">
      <c r="A533" s="21">
        <v>45</v>
      </c>
      <c r="B533" s="22" t="s">
        <v>137</v>
      </c>
      <c r="C533" s="23">
        <v>90</v>
      </c>
      <c r="D533" s="24">
        <v>1.0381</v>
      </c>
      <c r="E533" s="24">
        <v>0.53459999999999996</v>
      </c>
      <c r="F533" s="25">
        <v>0.53459999999999996</v>
      </c>
      <c r="G533" s="26" t="s">
        <v>93</v>
      </c>
      <c r="H533" s="27">
        <v>1</v>
      </c>
      <c r="I533" s="28">
        <v>1.1524000000000001</v>
      </c>
      <c r="J533" s="28">
        <v>0.2399</v>
      </c>
      <c r="K533" s="29">
        <f t="shared" si="16"/>
        <v>-0.11430000000000007</v>
      </c>
      <c r="L533" s="29">
        <f t="shared" si="17"/>
        <v>0.29469999999999996</v>
      </c>
    </row>
    <row r="534" spans="1:12" x14ac:dyDescent="0.25">
      <c r="A534" s="21">
        <v>45</v>
      </c>
      <c r="B534" s="22" t="s">
        <v>137</v>
      </c>
      <c r="C534" s="23">
        <v>120</v>
      </c>
      <c r="D534" s="24">
        <v>0.88500000000000001</v>
      </c>
      <c r="E534" s="24">
        <v>0.4929</v>
      </c>
      <c r="F534" s="25">
        <v>-1.5599999999999999E-2</v>
      </c>
      <c r="G534" s="26" t="s">
        <v>93</v>
      </c>
      <c r="H534" s="27">
        <v>1.00905</v>
      </c>
      <c r="I534" s="28">
        <v>1.1524000000000001</v>
      </c>
      <c r="J534" s="28">
        <v>0.2399</v>
      </c>
      <c r="K534" s="29">
        <f t="shared" si="16"/>
        <v>-0.26740000000000008</v>
      </c>
      <c r="L534" s="29">
        <f t="shared" si="17"/>
        <v>0.253</v>
      </c>
    </row>
    <row r="535" spans="1:12" x14ac:dyDescent="0.25">
      <c r="A535" s="21">
        <v>45</v>
      </c>
      <c r="B535" s="22" t="s">
        <v>137</v>
      </c>
      <c r="C535" s="23">
        <v>150</v>
      </c>
      <c r="D535" s="24">
        <v>0.7823</v>
      </c>
      <c r="E535" s="24">
        <v>0.39250000000000002</v>
      </c>
      <c r="F535" s="25">
        <v>-0.48130000000000001</v>
      </c>
      <c r="G535" s="26" t="s">
        <v>93</v>
      </c>
      <c r="H535" s="27">
        <v>1.0568</v>
      </c>
      <c r="I535" s="28">
        <v>1.1524000000000001</v>
      </c>
      <c r="J535" s="28">
        <v>0.2399</v>
      </c>
      <c r="K535" s="29">
        <f t="shared" si="16"/>
        <v>-0.3701000000000001</v>
      </c>
      <c r="L535" s="29">
        <f t="shared" si="17"/>
        <v>0.15260000000000001</v>
      </c>
    </row>
    <row r="536" spans="1:12" x14ac:dyDescent="0.25">
      <c r="A536" s="21">
        <v>45</v>
      </c>
      <c r="B536" s="22" t="s">
        <v>137</v>
      </c>
      <c r="C536" s="23">
        <v>180</v>
      </c>
      <c r="D536" s="24">
        <v>0.75009999999999999</v>
      </c>
      <c r="E536" s="24">
        <v>0.1396</v>
      </c>
      <c r="F536" s="25">
        <v>-0.75009999999999999</v>
      </c>
      <c r="G536" s="26" t="s">
        <v>93</v>
      </c>
      <c r="H536" s="27">
        <v>1.1000000000000001</v>
      </c>
      <c r="I536" s="28">
        <v>1.1524000000000001</v>
      </c>
      <c r="J536" s="28">
        <v>0.2399</v>
      </c>
      <c r="K536" s="29">
        <f t="shared" si="16"/>
        <v>-0.4023000000000001</v>
      </c>
      <c r="L536" s="29">
        <f t="shared" si="17"/>
        <v>-0.1003</v>
      </c>
    </row>
    <row r="537" spans="1:12" x14ac:dyDescent="0.25">
      <c r="A537" s="21">
        <v>45</v>
      </c>
      <c r="B537" s="22" t="s">
        <v>137</v>
      </c>
      <c r="C537" s="23">
        <v>210</v>
      </c>
      <c r="D537" s="24">
        <v>0.78339999999999999</v>
      </c>
      <c r="E537" s="24">
        <v>2.3599999999999999E-2</v>
      </c>
      <c r="F537" s="25">
        <v>-0.69030000000000002</v>
      </c>
      <c r="G537" s="26" t="s">
        <v>93</v>
      </c>
      <c r="H537" s="27">
        <v>1.1000000000000001</v>
      </c>
      <c r="I537" s="28">
        <v>1.1524000000000001</v>
      </c>
      <c r="J537" s="28">
        <v>0.2399</v>
      </c>
      <c r="K537" s="29">
        <f t="shared" si="16"/>
        <v>-0.36900000000000011</v>
      </c>
      <c r="L537" s="29">
        <f t="shared" si="17"/>
        <v>-0.21629999999999999</v>
      </c>
    </row>
    <row r="538" spans="1:12" x14ac:dyDescent="0.25">
      <c r="A538" s="21">
        <v>45</v>
      </c>
      <c r="B538" s="22" t="s">
        <v>137</v>
      </c>
      <c r="C538" s="23">
        <v>240</v>
      </c>
      <c r="D538" s="24">
        <v>0.87570000000000003</v>
      </c>
      <c r="E538" s="24">
        <v>-6.8099999999999994E-2</v>
      </c>
      <c r="F538" s="25">
        <v>-0.37890000000000001</v>
      </c>
      <c r="G538" s="26" t="s">
        <v>93</v>
      </c>
      <c r="H538" s="27">
        <v>1.1000000000000001</v>
      </c>
      <c r="I538" s="28">
        <v>1.1524000000000001</v>
      </c>
      <c r="J538" s="28">
        <v>0.2399</v>
      </c>
      <c r="K538" s="29">
        <f t="shared" si="16"/>
        <v>-0.27670000000000006</v>
      </c>
      <c r="L538" s="29">
        <f t="shared" si="17"/>
        <v>-0.308</v>
      </c>
    </row>
    <row r="539" spans="1:12" x14ac:dyDescent="0.25">
      <c r="A539" s="21">
        <v>45</v>
      </c>
      <c r="B539" s="22" t="s">
        <v>137</v>
      </c>
      <c r="C539" s="23">
        <v>270</v>
      </c>
      <c r="D539" s="24">
        <v>1.0226999999999999</v>
      </c>
      <c r="E539" s="24">
        <v>-0.106</v>
      </c>
      <c r="F539" s="25">
        <v>0.106</v>
      </c>
      <c r="G539" s="26" t="s">
        <v>93</v>
      </c>
      <c r="H539" s="27">
        <v>1.0855699999999999</v>
      </c>
      <c r="I539" s="28">
        <v>1.1524000000000001</v>
      </c>
      <c r="J539" s="28">
        <v>0.2399</v>
      </c>
      <c r="K539" s="29">
        <f t="shared" si="16"/>
        <v>-0.12970000000000015</v>
      </c>
      <c r="L539" s="29">
        <f t="shared" si="17"/>
        <v>-0.34589999999999999</v>
      </c>
    </row>
    <row r="540" spans="1:12" x14ac:dyDescent="0.25">
      <c r="A540" s="21">
        <v>45</v>
      </c>
      <c r="B540" s="22" t="s">
        <v>137</v>
      </c>
      <c r="C540" s="23">
        <v>300</v>
      </c>
      <c r="D540" s="24">
        <v>1.1838</v>
      </c>
      <c r="E540" s="24">
        <v>-6.4199999999999993E-2</v>
      </c>
      <c r="F540" s="25">
        <v>0.64749999999999996</v>
      </c>
      <c r="G540" s="26" t="s">
        <v>93</v>
      </c>
      <c r="H540" s="27">
        <v>1.06917</v>
      </c>
      <c r="I540" s="28">
        <v>1.1524000000000001</v>
      </c>
      <c r="J540" s="28">
        <v>0.2399</v>
      </c>
      <c r="K540" s="29">
        <f t="shared" si="16"/>
        <v>3.1399999999999872E-2</v>
      </c>
      <c r="L540" s="29">
        <f t="shared" si="17"/>
        <v>-0.30409999999999998</v>
      </c>
    </row>
    <row r="541" spans="1:12" x14ac:dyDescent="0.25">
      <c r="A541" s="30">
        <v>45</v>
      </c>
      <c r="B541" s="31" t="s">
        <v>137</v>
      </c>
      <c r="C541" s="32">
        <v>330</v>
      </c>
      <c r="D541" s="33">
        <v>1.2716000000000001</v>
      </c>
      <c r="E541" s="33">
        <v>2.0299999999999999E-2</v>
      </c>
      <c r="F541" s="34">
        <v>1.0911</v>
      </c>
      <c r="G541" s="35" t="s">
        <v>93</v>
      </c>
      <c r="H541" s="36">
        <v>1.05541</v>
      </c>
      <c r="I541" s="37">
        <v>1.1524000000000001</v>
      </c>
      <c r="J541" s="37">
        <v>0.2399</v>
      </c>
      <c r="K541" s="38">
        <f t="shared" si="16"/>
        <v>0.11919999999999997</v>
      </c>
      <c r="L541" s="38">
        <f t="shared" si="17"/>
        <v>-0.21960000000000002</v>
      </c>
    </row>
    <row r="542" spans="1:12" x14ac:dyDescent="0.25">
      <c r="A542" s="21">
        <v>46</v>
      </c>
      <c r="B542" s="22" t="s">
        <v>138</v>
      </c>
      <c r="C542" s="23">
        <v>0</v>
      </c>
      <c r="D542" s="24">
        <v>1.1257999999999999</v>
      </c>
      <c r="E542" s="24">
        <v>0.20280000000000001</v>
      </c>
      <c r="F542" s="25">
        <v>1.1257999999999999</v>
      </c>
      <c r="G542" s="26" t="s">
        <v>93</v>
      </c>
      <c r="H542" s="27">
        <v>1.02521</v>
      </c>
      <c r="I542" s="28">
        <v>1.0326</v>
      </c>
      <c r="J542" s="28">
        <v>0.21429999999999999</v>
      </c>
      <c r="K542" s="29">
        <f t="shared" si="16"/>
        <v>9.319999999999995E-2</v>
      </c>
      <c r="L542" s="29">
        <f t="shared" si="17"/>
        <v>-1.1499999999999982E-2</v>
      </c>
    </row>
    <row r="543" spans="1:12" x14ac:dyDescent="0.25">
      <c r="A543" s="21">
        <v>46</v>
      </c>
      <c r="B543" s="22" t="s">
        <v>138</v>
      </c>
      <c r="C543" s="23">
        <v>30</v>
      </c>
      <c r="D543" s="24">
        <v>1.0941000000000001</v>
      </c>
      <c r="E543" s="24">
        <v>0.35659999999999997</v>
      </c>
      <c r="F543" s="25">
        <v>1.1257999999999999</v>
      </c>
      <c r="G543" s="26" t="s">
        <v>93</v>
      </c>
      <c r="H543" s="27">
        <v>1.00099</v>
      </c>
      <c r="I543" s="28">
        <v>1.0326</v>
      </c>
      <c r="J543" s="28">
        <v>0.21429999999999999</v>
      </c>
      <c r="K543" s="29">
        <f t="shared" si="16"/>
        <v>6.150000000000011E-2</v>
      </c>
      <c r="L543" s="29">
        <f t="shared" si="17"/>
        <v>0.14229999999999998</v>
      </c>
    </row>
    <row r="544" spans="1:12" x14ac:dyDescent="0.25">
      <c r="A544" s="21">
        <v>46</v>
      </c>
      <c r="B544" s="22" t="s">
        <v>138</v>
      </c>
      <c r="C544" s="23">
        <v>60</v>
      </c>
      <c r="D544" s="24">
        <v>0.98780000000000001</v>
      </c>
      <c r="E544" s="24">
        <v>0.46250000000000002</v>
      </c>
      <c r="F544" s="25">
        <v>0.89439999999999997</v>
      </c>
      <c r="G544" s="26" t="s">
        <v>93</v>
      </c>
      <c r="H544" s="27">
        <v>1</v>
      </c>
      <c r="I544" s="28">
        <v>1.0326</v>
      </c>
      <c r="J544" s="28">
        <v>0.21429999999999999</v>
      </c>
      <c r="K544" s="29">
        <f t="shared" si="16"/>
        <v>-4.4799999999999951E-2</v>
      </c>
      <c r="L544" s="29">
        <f t="shared" si="17"/>
        <v>0.24820000000000003</v>
      </c>
    </row>
    <row r="545" spans="1:12" x14ac:dyDescent="0.25">
      <c r="A545" s="21">
        <v>46</v>
      </c>
      <c r="B545" s="22" t="s">
        <v>138</v>
      </c>
      <c r="C545" s="23">
        <v>90</v>
      </c>
      <c r="D545" s="24">
        <v>0.85750000000000004</v>
      </c>
      <c r="E545" s="24">
        <v>0.49690000000000001</v>
      </c>
      <c r="F545" s="25">
        <v>0.49690000000000001</v>
      </c>
      <c r="G545" s="26" t="s">
        <v>93</v>
      </c>
      <c r="H545" s="27">
        <v>1.00379</v>
      </c>
      <c r="I545" s="28">
        <v>1.0326</v>
      </c>
      <c r="J545" s="28">
        <v>0.21429999999999999</v>
      </c>
      <c r="K545" s="29">
        <f t="shared" si="16"/>
        <v>-0.17509999999999992</v>
      </c>
      <c r="L545" s="29">
        <f t="shared" si="17"/>
        <v>0.28260000000000002</v>
      </c>
    </row>
    <row r="546" spans="1:12" x14ac:dyDescent="0.25">
      <c r="A546" s="21">
        <v>46</v>
      </c>
      <c r="B546" s="22" t="s">
        <v>138</v>
      </c>
      <c r="C546" s="23">
        <v>120</v>
      </c>
      <c r="D546" s="24">
        <v>0.70750000000000002</v>
      </c>
      <c r="E546" s="24">
        <v>0.45750000000000002</v>
      </c>
      <c r="F546" s="25">
        <v>4.24E-2</v>
      </c>
      <c r="G546" s="26" t="s">
        <v>93</v>
      </c>
      <c r="H546" s="27">
        <v>1.0155700000000001</v>
      </c>
      <c r="I546" s="28">
        <v>1.0326</v>
      </c>
      <c r="J546" s="28">
        <v>0.21429999999999999</v>
      </c>
      <c r="K546" s="29">
        <f t="shared" si="16"/>
        <v>-0.32509999999999994</v>
      </c>
      <c r="L546" s="29">
        <f t="shared" si="17"/>
        <v>0.24320000000000003</v>
      </c>
    </row>
    <row r="547" spans="1:12" x14ac:dyDescent="0.25">
      <c r="A547" s="21">
        <v>46</v>
      </c>
      <c r="B547" s="22" t="s">
        <v>138</v>
      </c>
      <c r="C547" s="23">
        <v>150</v>
      </c>
      <c r="D547" s="24">
        <v>0.6169</v>
      </c>
      <c r="E547" s="24">
        <v>0.36899999999999999</v>
      </c>
      <c r="F547" s="25">
        <v>-0.3498</v>
      </c>
      <c r="G547" s="26" t="s">
        <v>93</v>
      </c>
      <c r="H547" s="27">
        <v>1.05383</v>
      </c>
      <c r="I547" s="28">
        <v>1.0326</v>
      </c>
      <c r="J547" s="28">
        <v>0.21429999999999999</v>
      </c>
      <c r="K547" s="29">
        <f t="shared" si="16"/>
        <v>-0.41569999999999996</v>
      </c>
      <c r="L547" s="29">
        <f t="shared" si="17"/>
        <v>0.1547</v>
      </c>
    </row>
    <row r="548" spans="1:12" x14ac:dyDescent="0.25">
      <c r="A548" s="21">
        <v>46</v>
      </c>
      <c r="B548" s="22" t="s">
        <v>138</v>
      </c>
      <c r="C548" s="23">
        <v>180</v>
      </c>
      <c r="D548" s="24">
        <v>0.58809999999999996</v>
      </c>
      <c r="E548" s="24">
        <v>0.1046</v>
      </c>
      <c r="F548" s="25">
        <v>-0.58809999999999996</v>
      </c>
      <c r="G548" s="26" t="s">
        <v>93</v>
      </c>
      <c r="H548" s="27">
        <v>1.1000000000000001</v>
      </c>
      <c r="I548" s="28">
        <v>1.0326</v>
      </c>
      <c r="J548" s="28">
        <v>0.21429999999999999</v>
      </c>
      <c r="K548" s="29">
        <f t="shared" si="16"/>
        <v>-0.44450000000000001</v>
      </c>
      <c r="L548" s="29">
        <f t="shared" si="17"/>
        <v>-0.10969999999999999</v>
      </c>
    </row>
    <row r="549" spans="1:12" x14ac:dyDescent="0.25">
      <c r="A549" s="21">
        <v>46</v>
      </c>
      <c r="B549" s="22" t="s">
        <v>138</v>
      </c>
      <c r="C549" s="23">
        <v>210</v>
      </c>
      <c r="D549" s="24">
        <v>0.62009999999999998</v>
      </c>
      <c r="E549" s="24">
        <v>-2.7199999999999998E-2</v>
      </c>
      <c r="F549" s="25">
        <v>-0.52339999999999998</v>
      </c>
      <c r="G549" s="26" t="s">
        <v>93</v>
      </c>
      <c r="H549" s="27">
        <v>1.1000000000000001</v>
      </c>
      <c r="I549" s="28">
        <v>1.0326</v>
      </c>
      <c r="J549" s="28">
        <v>0.21429999999999999</v>
      </c>
      <c r="K549" s="29">
        <f t="shared" si="16"/>
        <v>-0.41249999999999998</v>
      </c>
      <c r="L549" s="29">
        <f t="shared" si="17"/>
        <v>-0.24149999999999999</v>
      </c>
    </row>
    <row r="550" spans="1:12" x14ac:dyDescent="0.25">
      <c r="A550" s="21">
        <v>46</v>
      </c>
      <c r="B550" s="22" t="s">
        <v>138</v>
      </c>
      <c r="C550" s="23">
        <v>240</v>
      </c>
      <c r="D550" s="24">
        <v>0.70369999999999999</v>
      </c>
      <c r="E550" s="24">
        <v>-0.1099</v>
      </c>
      <c r="F550" s="25">
        <v>-0.25659999999999999</v>
      </c>
      <c r="G550" s="26" t="s">
        <v>93</v>
      </c>
      <c r="H550" s="27">
        <v>1.1000000000000001</v>
      </c>
      <c r="I550" s="28">
        <v>1.0326</v>
      </c>
      <c r="J550" s="28">
        <v>0.21429999999999999</v>
      </c>
      <c r="K550" s="29">
        <f t="shared" si="16"/>
        <v>-0.32889999999999997</v>
      </c>
      <c r="L550" s="29">
        <f t="shared" si="17"/>
        <v>-0.32419999999999999</v>
      </c>
    </row>
    <row r="551" spans="1:12" x14ac:dyDescent="0.25">
      <c r="A551" s="21">
        <v>46</v>
      </c>
      <c r="B551" s="22" t="s">
        <v>138</v>
      </c>
      <c r="C551" s="23">
        <v>270</v>
      </c>
      <c r="D551" s="24">
        <v>0.84230000000000005</v>
      </c>
      <c r="E551" s="24">
        <v>-0.1452</v>
      </c>
      <c r="F551" s="25">
        <v>0.1452</v>
      </c>
      <c r="G551" s="26" t="s">
        <v>93</v>
      </c>
      <c r="H551" s="27">
        <v>1.08446</v>
      </c>
      <c r="I551" s="28">
        <v>1.0326</v>
      </c>
      <c r="J551" s="28">
        <v>0.21429999999999999</v>
      </c>
      <c r="K551" s="29">
        <f t="shared" si="16"/>
        <v>-0.19029999999999991</v>
      </c>
      <c r="L551" s="29">
        <f t="shared" si="17"/>
        <v>-0.35949999999999999</v>
      </c>
    </row>
    <row r="552" spans="1:12" x14ac:dyDescent="0.25">
      <c r="A552" s="21">
        <v>46</v>
      </c>
      <c r="B552" s="22" t="s">
        <v>138</v>
      </c>
      <c r="C552" s="23">
        <v>300</v>
      </c>
      <c r="D552" s="24">
        <v>1.0042</v>
      </c>
      <c r="E552" s="24">
        <v>-0.1027</v>
      </c>
      <c r="F552" s="25">
        <v>0.59099999999999997</v>
      </c>
      <c r="G552" s="26" t="s">
        <v>93</v>
      </c>
      <c r="H552" s="27">
        <v>1.0669200000000001</v>
      </c>
      <c r="I552" s="28">
        <v>1.0326</v>
      </c>
      <c r="J552" s="28">
        <v>0.21429999999999999</v>
      </c>
      <c r="K552" s="29">
        <f t="shared" si="16"/>
        <v>-2.8399999999999981E-2</v>
      </c>
      <c r="L552" s="29">
        <f t="shared" si="17"/>
        <v>-0.317</v>
      </c>
    </row>
    <row r="553" spans="1:12" x14ac:dyDescent="0.25">
      <c r="A553" s="30">
        <v>46</v>
      </c>
      <c r="B553" s="31" t="s">
        <v>138</v>
      </c>
      <c r="C553" s="32">
        <v>330</v>
      </c>
      <c r="D553" s="33">
        <v>1.0995999999999999</v>
      </c>
      <c r="E553" s="33">
        <v>-9.4999999999999998E-3</v>
      </c>
      <c r="F553" s="34">
        <v>0.95709999999999995</v>
      </c>
      <c r="G553" s="35" t="s">
        <v>93</v>
      </c>
      <c r="H553" s="36">
        <v>1.0489200000000001</v>
      </c>
      <c r="I553" s="37">
        <v>1.0326</v>
      </c>
      <c r="J553" s="37">
        <v>0.21429999999999999</v>
      </c>
      <c r="K553" s="38">
        <f t="shared" si="16"/>
        <v>6.6999999999999948E-2</v>
      </c>
      <c r="L553" s="38">
        <f t="shared" si="17"/>
        <v>-0.2238</v>
      </c>
    </row>
    <row r="554" spans="1:12" x14ac:dyDescent="0.25">
      <c r="A554" s="21">
        <v>47</v>
      </c>
      <c r="B554" s="22" t="s">
        <v>139</v>
      </c>
      <c r="C554" s="23">
        <v>0</v>
      </c>
      <c r="D554" s="24">
        <v>0.93540000000000001</v>
      </c>
      <c r="E554" s="24">
        <v>0.13700000000000001</v>
      </c>
      <c r="F554" s="25">
        <v>0.93540000000000001</v>
      </c>
      <c r="G554" s="26" t="s">
        <v>93</v>
      </c>
      <c r="H554" s="27">
        <v>1.02572</v>
      </c>
      <c r="I554" s="28">
        <v>0.85</v>
      </c>
      <c r="J554" s="28">
        <v>0.1759</v>
      </c>
      <c r="K554" s="29">
        <f t="shared" si="16"/>
        <v>8.5400000000000031E-2</v>
      </c>
      <c r="L554" s="29">
        <f t="shared" si="17"/>
        <v>-3.889999999999999E-2</v>
      </c>
    </row>
    <row r="555" spans="1:12" x14ac:dyDescent="0.25">
      <c r="A555" s="21">
        <v>47</v>
      </c>
      <c r="B555" s="22" t="s">
        <v>139</v>
      </c>
      <c r="C555" s="23">
        <v>30</v>
      </c>
      <c r="D555" s="24">
        <v>0.9002</v>
      </c>
      <c r="E555" s="24">
        <v>0.31669999999999998</v>
      </c>
      <c r="F555" s="25">
        <v>0.93789999999999996</v>
      </c>
      <c r="G555" s="26" t="s">
        <v>93</v>
      </c>
      <c r="H555" s="27">
        <v>1.00407</v>
      </c>
      <c r="I555" s="28">
        <v>0.85</v>
      </c>
      <c r="J555" s="28">
        <v>0.1759</v>
      </c>
      <c r="K555" s="29">
        <f t="shared" si="16"/>
        <v>5.0200000000000022E-2</v>
      </c>
      <c r="L555" s="29">
        <f t="shared" si="17"/>
        <v>0.14079999999999998</v>
      </c>
    </row>
    <row r="556" spans="1:12" x14ac:dyDescent="0.25">
      <c r="A556" s="21">
        <v>47</v>
      </c>
      <c r="B556" s="22" t="s">
        <v>139</v>
      </c>
      <c r="C556" s="23">
        <v>60</v>
      </c>
      <c r="D556" s="24">
        <v>0.79530000000000001</v>
      </c>
      <c r="E556" s="24">
        <v>0.41980000000000001</v>
      </c>
      <c r="F556" s="25">
        <v>0.76119999999999999</v>
      </c>
      <c r="G556" s="26" t="s">
        <v>93</v>
      </c>
      <c r="H556" s="27">
        <v>1.00024</v>
      </c>
      <c r="I556" s="28">
        <v>0.85</v>
      </c>
      <c r="J556" s="28">
        <v>0.1759</v>
      </c>
      <c r="K556" s="29">
        <f t="shared" si="16"/>
        <v>-5.4699999999999971E-2</v>
      </c>
      <c r="L556" s="29">
        <f t="shared" si="17"/>
        <v>0.24390000000000001</v>
      </c>
    </row>
    <row r="557" spans="1:12" x14ac:dyDescent="0.25">
      <c r="A557" s="21">
        <v>47</v>
      </c>
      <c r="B557" s="22" t="s">
        <v>139</v>
      </c>
      <c r="C557" s="23">
        <v>90</v>
      </c>
      <c r="D557" s="24">
        <v>0.65510000000000002</v>
      </c>
      <c r="E557" s="24">
        <v>0.4551</v>
      </c>
      <c r="F557" s="25">
        <v>0.4551</v>
      </c>
      <c r="G557" s="26" t="s">
        <v>93</v>
      </c>
      <c r="H557" s="27">
        <v>1.00539</v>
      </c>
      <c r="I557" s="28">
        <v>0.85</v>
      </c>
      <c r="J557" s="28">
        <v>0.1759</v>
      </c>
      <c r="K557" s="29">
        <f t="shared" si="16"/>
        <v>-0.19489999999999996</v>
      </c>
      <c r="L557" s="29">
        <f t="shared" si="17"/>
        <v>0.2792</v>
      </c>
    </row>
    <row r="558" spans="1:12" x14ac:dyDescent="0.25">
      <c r="A558" s="21">
        <v>47</v>
      </c>
      <c r="B558" s="22" t="s">
        <v>139</v>
      </c>
      <c r="C558" s="23">
        <v>120</v>
      </c>
      <c r="D558" s="24">
        <v>0.51259999999999994</v>
      </c>
      <c r="E558" s="24">
        <v>0.41810000000000003</v>
      </c>
      <c r="F558" s="25">
        <v>0.1057</v>
      </c>
      <c r="G558" s="26" t="s">
        <v>93</v>
      </c>
      <c r="H558" s="27">
        <v>1.0204299999999999</v>
      </c>
      <c r="I558" s="28">
        <v>0.85</v>
      </c>
      <c r="J558" s="28">
        <v>0.1759</v>
      </c>
      <c r="K558" s="29">
        <f t="shared" si="16"/>
        <v>-0.33740000000000003</v>
      </c>
      <c r="L558" s="29">
        <f t="shared" si="17"/>
        <v>0.24220000000000003</v>
      </c>
    </row>
    <row r="559" spans="1:12" x14ac:dyDescent="0.25">
      <c r="A559" s="21">
        <v>47</v>
      </c>
      <c r="B559" s="22" t="s">
        <v>139</v>
      </c>
      <c r="C559" s="23">
        <v>150</v>
      </c>
      <c r="D559" s="24">
        <v>0.42799999999999999</v>
      </c>
      <c r="E559" s="24">
        <v>0.33489999999999998</v>
      </c>
      <c r="F559" s="25">
        <v>-0.20319999999999999</v>
      </c>
      <c r="G559" s="26" t="s">
        <v>93</v>
      </c>
      <c r="H559" s="27">
        <v>1.05389</v>
      </c>
      <c r="I559" s="28">
        <v>0.85</v>
      </c>
      <c r="J559" s="28">
        <v>0.1759</v>
      </c>
      <c r="K559" s="29">
        <f t="shared" si="16"/>
        <v>-0.42199999999999999</v>
      </c>
      <c r="L559" s="29">
        <f t="shared" si="17"/>
        <v>0.15899999999999997</v>
      </c>
    </row>
    <row r="560" spans="1:12" x14ac:dyDescent="0.25">
      <c r="A560" s="21">
        <v>47</v>
      </c>
      <c r="B560" s="22" t="s">
        <v>139</v>
      </c>
      <c r="C560" s="23">
        <v>180</v>
      </c>
      <c r="D560" s="24">
        <v>0.40200000000000002</v>
      </c>
      <c r="E560" s="24">
        <v>7.4499999999999997E-2</v>
      </c>
      <c r="F560" s="25">
        <v>-0.40200000000000002</v>
      </c>
      <c r="G560" s="26" t="s">
        <v>93</v>
      </c>
      <c r="H560" s="27">
        <v>1.1000000000000001</v>
      </c>
      <c r="I560" s="28">
        <v>0.85</v>
      </c>
      <c r="J560" s="28">
        <v>0.1759</v>
      </c>
      <c r="K560" s="29">
        <f t="shared" si="16"/>
        <v>-0.44799999999999995</v>
      </c>
      <c r="L560" s="29">
        <f t="shared" si="17"/>
        <v>-0.1014</v>
      </c>
    </row>
    <row r="561" spans="1:12" x14ac:dyDescent="0.25">
      <c r="A561" s="21">
        <v>47</v>
      </c>
      <c r="B561" s="22" t="s">
        <v>139</v>
      </c>
      <c r="C561" s="23">
        <v>210</v>
      </c>
      <c r="D561" s="24">
        <v>0.4304</v>
      </c>
      <c r="E561" s="24">
        <v>-7.4499999999999997E-2</v>
      </c>
      <c r="F561" s="25">
        <v>-0.33550000000000002</v>
      </c>
      <c r="G561" s="26" t="s">
        <v>93</v>
      </c>
      <c r="H561" s="27">
        <v>1.1000000000000001</v>
      </c>
      <c r="I561" s="28">
        <v>0.85</v>
      </c>
      <c r="J561" s="28">
        <v>0.1759</v>
      </c>
      <c r="K561" s="29">
        <f t="shared" si="16"/>
        <v>-0.41959999999999997</v>
      </c>
      <c r="L561" s="29">
        <f t="shared" si="17"/>
        <v>-0.25040000000000001</v>
      </c>
    </row>
    <row r="562" spans="1:12" x14ac:dyDescent="0.25">
      <c r="A562" s="21">
        <v>47</v>
      </c>
      <c r="B562" s="22" t="s">
        <v>139</v>
      </c>
      <c r="C562" s="23">
        <v>240</v>
      </c>
      <c r="D562" s="24">
        <v>0.51300000000000001</v>
      </c>
      <c r="E562" s="24">
        <v>-0.15540000000000001</v>
      </c>
      <c r="F562" s="25">
        <v>-0.12189999999999999</v>
      </c>
      <c r="G562" s="26" t="s">
        <v>93</v>
      </c>
      <c r="H562" s="27">
        <v>1.1000000000000001</v>
      </c>
      <c r="I562" s="28">
        <v>0.85</v>
      </c>
      <c r="J562" s="28">
        <v>0.1759</v>
      </c>
      <c r="K562" s="29">
        <f t="shared" si="16"/>
        <v>-0.33699999999999997</v>
      </c>
      <c r="L562" s="29">
        <f t="shared" si="17"/>
        <v>-0.33130000000000004</v>
      </c>
    </row>
    <row r="563" spans="1:12" x14ac:dyDescent="0.25">
      <c r="A563" s="21">
        <v>47</v>
      </c>
      <c r="B563" s="22" t="s">
        <v>139</v>
      </c>
      <c r="C563" s="23">
        <v>270</v>
      </c>
      <c r="D563" s="24">
        <v>0.64259999999999995</v>
      </c>
      <c r="E563" s="24">
        <v>-0.18779999999999999</v>
      </c>
      <c r="F563" s="25">
        <v>0.18779999999999999</v>
      </c>
      <c r="G563" s="26" t="s">
        <v>93</v>
      </c>
      <c r="H563" s="27">
        <v>1.0930599999999999</v>
      </c>
      <c r="I563" s="28">
        <v>0.85</v>
      </c>
      <c r="J563" s="28">
        <v>0.1759</v>
      </c>
      <c r="K563" s="29">
        <f t="shared" si="16"/>
        <v>-0.20740000000000003</v>
      </c>
      <c r="L563" s="29">
        <f t="shared" si="17"/>
        <v>-0.36370000000000002</v>
      </c>
    </row>
    <row r="564" spans="1:12" x14ac:dyDescent="0.25">
      <c r="A564" s="21">
        <v>47</v>
      </c>
      <c r="B564" s="22" t="s">
        <v>139</v>
      </c>
      <c r="C564" s="23">
        <v>300</v>
      </c>
      <c r="D564" s="24">
        <v>0.80510000000000004</v>
      </c>
      <c r="E564" s="24">
        <v>-0.1449</v>
      </c>
      <c r="F564" s="25">
        <v>0.52800000000000002</v>
      </c>
      <c r="G564" s="26" t="s">
        <v>93</v>
      </c>
      <c r="H564" s="27">
        <v>1.0739700000000001</v>
      </c>
      <c r="I564" s="28">
        <v>0.85</v>
      </c>
      <c r="J564" s="28">
        <v>0.1759</v>
      </c>
      <c r="K564" s="29">
        <f t="shared" si="16"/>
        <v>-4.489999999999994E-2</v>
      </c>
      <c r="L564" s="29">
        <f t="shared" si="17"/>
        <v>-0.32079999999999997</v>
      </c>
    </row>
    <row r="565" spans="1:12" x14ac:dyDescent="0.25">
      <c r="A565" s="30">
        <v>47</v>
      </c>
      <c r="B565" s="31" t="s">
        <v>139</v>
      </c>
      <c r="C565" s="32">
        <v>330</v>
      </c>
      <c r="D565" s="33">
        <v>0.90620000000000001</v>
      </c>
      <c r="E565" s="33">
        <v>-4.5100000000000001E-2</v>
      </c>
      <c r="F565" s="34">
        <v>0.80740000000000001</v>
      </c>
      <c r="G565" s="35" t="s">
        <v>93</v>
      </c>
      <c r="H565" s="36">
        <v>1.04959</v>
      </c>
      <c r="I565" s="37">
        <v>0.85</v>
      </c>
      <c r="J565" s="37">
        <v>0.1759</v>
      </c>
      <c r="K565" s="38">
        <f t="shared" si="16"/>
        <v>5.6200000000000028E-2</v>
      </c>
      <c r="L565" s="38">
        <f t="shared" si="17"/>
        <v>-0.221</v>
      </c>
    </row>
    <row r="566" spans="1:12" x14ac:dyDescent="0.25">
      <c r="A566" s="21">
        <v>48</v>
      </c>
      <c r="B566" s="22" t="s">
        <v>140</v>
      </c>
      <c r="C566" s="23">
        <v>0</v>
      </c>
      <c r="D566" s="24">
        <v>0.83899999999999997</v>
      </c>
      <c r="E566" s="24">
        <v>0.14449999999999999</v>
      </c>
      <c r="F566" s="25">
        <v>0.83899999999999997</v>
      </c>
      <c r="G566" s="26" t="s">
        <v>93</v>
      </c>
      <c r="H566" s="27">
        <v>1.0240899999999999</v>
      </c>
      <c r="I566" s="28">
        <v>0.64880000000000004</v>
      </c>
      <c r="J566" s="28">
        <v>0.13370000000000001</v>
      </c>
      <c r="K566" s="29">
        <f t="shared" si="16"/>
        <v>0.19019999999999992</v>
      </c>
      <c r="L566" s="29">
        <f t="shared" si="17"/>
        <v>1.0799999999999976E-2</v>
      </c>
    </row>
    <row r="567" spans="1:12" x14ac:dyDescent="0.25">
      <c r="A567" s="21">
        <v>48</v>
      </c>
      <c r="B567" s="22" t="s">
        <v>140</v>
      </c>
      <c r="C567" s="23">
        <v>30</v>
      </c>
      <c r="D567" s="24">
        <v>0.80349999999999999</v>
      </c>
      <c r="E567" s="24">
        <v>0.29199999999999998</v>
      </c>
      <c r="F567" s="25">
        <v>0.84189999999999998</v>
      </c>
      <c r="G567" s="26" t="s">
        <v>93</v>
      </c>
      <c r="H567" s="27">
        <v>1.0077700000000001</v>
      </c>
      <c r="I567" s="28">
        <v>0.64880000000000004</v>
      </c>
      <c r="J567" s="28">
        <v>0.13370000000000001</v>
      </c>
      <c r="K567" s="29">
        <f t="shared" si="16"/>
        <v>0.15469999999999995</v>
      </c>
      <c r="L567" s="29">
        <f t="shared" si="17"/>
        <v>0.15829999999999997</v>
      </c>
    </row>
    <row r="568" spans="1:12" x14ac:dyDescent="0.25">
      <c r="A568" s="21">
        <v>48</v>
      </c>
      <c r="B568" s="22" t="s">
        <v>140</v>
      </c>
      <c r="C568" s="23">
        <v>60</v>
      </c>
      <c r="D568" s="24">
        <v>0.69779999999999998</v>
      </c>
      <c r="E568" s="24">
        <v>0.39660000000000001</v>
      </c>
      <c r="F568" s="25">
        <v>0.69240000000000002</v>
      </c>
      <c r="G568" s="26" t="s">
        <v>93</v>
      </c>
      <c r="H568" s="27">
        <v>1.00421</v>
      </c>
      <c r="I568" s="28">
        <v>0.64880000000000004</v>
      </c>
      <c r="J568" s="28">
        <v>0.13370000000000001</v>
      </c>
      <c r="K568" s="29">
        <f t="shared" si="16"/>
        <v>4.8999999999999932E-2</v>
      </c>
      <c r="L568" s="29">
        <f t="shared" si="17"/>
        <v>0.26290000000000002</v>
      </c>
    </row>
    <row r="569" spans="1:12" x14ac:dyDescent="0.25">
      <c r="A569" s="21">
        <v>48</v>
      </c>
      <c r="B569" s="22" t="s">
        <v>140</v>
      </c>
      <c r="C569" s="23">
        <v>90</v>
      </c>
      <c r="D569" s="24">
        <v>0.5504</v>
      </c>
      <c r="E569" s="24">
        <v>0.43390000000000001</v>
      </c>
      <c r="F569" s="25">
        <v>0.43390000000000001</v>
      </c>
      <c r="G569" s="26" t="s">
        <v>93</v>
      </c>
      <c r="H569" s="27">
        <v>1.00874</v>
      </c>
      <c r="I569" s="28">
        <v>0.64880000000000004</v>
      </c>
      <c r="J569" s="28">
        <v>0.13370000000000001</v>
      </c>
      <c r="K569" s="29">
        <f t="shared" si="16"/>
        <v>-9.8400000000000043E-2</v>
      </c>
      <c r="L569" s="29">
        <f t="shared" si="17"/>
        <v>0.30020000000000002</v>
      </c>
    </row>
    <row r="570" spans="1:12" x14ac:dyDescent="0.25">
      <c r="A570" s="21">
        <v>48</v>
      </c>
      <c r="B570" s="22" t="s">
        <v>140</v>
      </c>
      <c r="C570" s="23">
        <v>120</v>
      </c>
      <c r="D570" s="24">
        <v>0.41499999999999998</v>
      </c>
      <c r="E570" s="24">
        <v>0.39889999999999998</v>
      </c>
      <c r="F570" s="25">
        <v>0.13789999999999999</v>
      </c>
      <c r="G570" s="26" t="s">
        <v>93</v>
      </c>
      <c r="H570" s="27">
        <v>1.01877</v>
      </c>
      <c r="I570" s="28">
        <v>0.64880000000000004</v>
      </c>
      <c r="J570" s="28">
        <v>0.13370000000000001</v>
      </c>
      <c r="K570" s="29">
        <f t="shared" si="16"/>
        <v>-0.23380000000000006</v>
      </c>
      <c r="L570" s="29">
        <f t="shared" si="17"/>
        <v>0.26519999999999999</v>
      </c>
    </row>
    <row r="571" spans="1:12" x14ac:dyDescent="0.25">
      <c r="A571" s="21">
        <v>48</v>
      </c>
      <c r="B571" s="22" t="s">
        <v>140</v>
      </c>
      <c r="C571" s="23">
        <v>150</v>
      </c>
      <c r="D571" s="24">
        <v>0.33589999999999998</v>
      </c>
      <c r="E571" s="24">
        <v>0.32200000000000001</v>
      </c>
      <c r="F571" s="25">
        <v>-0.12989999999999999</v>
      </c>
      <c r="G571" s="26" t="s">
        <v>93</v>
      </c>
      <c r="H571" s="27">
        <v>1.05524</v>
      </c>
      <c r="I571" s="28">
        <v>0.64880000000000004</v>
      </c>
      <c r="J571" s="28">
        <v>0.13370000000000001</v>
      </c>
      <c r="K571" s="29">
        <f t="shared" si="16"/>
        <v>-0.31290000000000007</v>
      </c>
      <c r="L571" s="29">
        <f t="shared" si="17"/>
        <v>0.1883</v>
      </c>
    </row>
    <row r="572" spans="1:12" x14ac:dyDescent="0.25">
      <c r="A572" s="21">
        <v>48</v>
      </c>
      <c r="B572" s="22" t="s">
        <v>140</v>
      </c>
      <c r="C572" s="23">
        <v>180</v>
      </c>
      <c r="D572" s="24">
        <v>0.3145</v>
      </c>
      <c r="E572" s="24">
        <v>1.8599999999999998E-2</v>
      </c>
      <c r="F572" s="25">
        <v>-0.3145</v>
      </c>
      <c r="G572" s="26" t="s">
        <v>93</v>
      </c>
      <c r="H572" s="27">
        <v>1.1000000000000001</v>
      </c>
      <c r="I572" s="28">
        <v>0.64880000000000004</v>
      </c>
      <c r="J572" s="28">
        <v>0.13370000000000001</v>
      </c>
      <c r="K572" s="29">
        <f t="shared" si="16"/>
        <v>-0.33430000000000004</v>
      </c>
      <c r="L572" s="29">
        <f t="shared" si="17"/>
        <v>-0.11510000000000001</v>
      </c>
    </row>
    <row r="573" spans="1:12" x14ac:dyDescent="0.25">
      <c r="A573" s="21">
        <v>48</v>
      </c>
      <c r="B573" s="22" t="s">
        <v>140</v>
      </c>
      <c r="C573" s="23">
        <v>210</v>
      </c>
      <c r="D573" s="24">
        <v>0.34210000000000002</v>
      </c>
      <c r="E573" s="24">
        <v>-0.104</v>
      </c>
      <c r="F573" s="25">
        <v>-0.2442</v>
      </c>
      <c r="G573" s="26" t="s">
        <v>93</v>
      </c>
      <c r="H573" s="27">
        <v>1.1000000000000001</v>
      </c>
      <c r="I573" s="28">
        <v>0.64880000000000004</v>
      </c>
      <c r="J573" s="28">
        <v>0.13370000000000001</v>
      </c>
      <c r="K573" s="29">
        <f t="shared" si="16"/>
        <v>-0.30670000000000003</v>
      </c>
      <c r="L573" s="29">
        <f t="shared" si="17"/>
        <v>-0.23770000000000002</v>
      </c>
    </row>
    <row r="574" spans="1:12" x14ac:dyDescent="0.25">
      <c r="A574" s="21">
        <v>48</v>
      </c>
      <c r="B574" s="22" t="s">
        <v>140</v>
      </c>
      <c r="C574" s="23">
        <v>240</v>
      </c>
      <c r="D574" s="24">
        <v>0.42049999999999998</v>
      </c>
      <c r="E574" s="24">
        <v>-0.17979999999999999</v>
      </c>
      <c r="F574" s="25">
        <v>-5.45E-2</v>
      </c>
      <c r="G574" s="26" t="s">
        <v>93</v>
      </c>
      <c r="H574" s="27">
        <v>1.1000000000000001</v>
      </c>
      <c r="I574" s="28">
        <v>0.64880000000000004</v>
      </c>
      <c r="J574" s="28">
        <v>0.13370000000000001</v>
      </c>
      <c r="K574" s="29">
        <f t="shared" si="16"/>
        <v>-0.22830000000000006</v>
      </c>
      <c r="L574" s="29">
        <f t="shared" si="17"/>
        <v>-0.3135</v>
      </c>
    </row>
    <row r="575" spans="1:12" x14ac:dyDescent="0.25">
      <c r="A575" s="21">
        <v>48</v>
      </c>
      <c r="B575" s="22" t="s">
        <v>140</v>
      </c>
      <c r="C575" s="23">
        <v>270</v>
      </c>
      <c r="D575" s="24">
        <v>0.54049999999999998</v>
      </c>
      <c r="E575" s="24">
        <v>-0.2099</v>
      </c>
      <c r="F575" s="25">
        <v>0.2099</v>
      </c>
      <c r="G575" s="26" t="s">
        <v>93</v>
      </c>
      <c r="H575" s="27">
        <v>1.09491</v>
      </c>
      <c r="I575" s="28">
        <v>0.64880000000000004</v>
      </c>
      <c r="J575" s="28">
        <v>0.13370000000000001</v>
      </c>
      <c r="K575" s="29">
        <f t="shared" si="16"/>
        <v>-0.10830000000000006</v>
      </c>
      <c r="L575" s="29">
        <f t="shared" si="17"/>
        <v>-0.34360000000000002</v>
      </c>
    </row>
    <row r="576" spans="1:12" x14ac:dyDescent="0.25">
      <c r="A576" s="21">
        <v>48</v>
      </c>
      <c r="B576" s="22" t="s">
        <v>140</v>
      </c>
      <c r="C576" s="23">
        <v>300</v>
      </c>
      <c r="D576" s="24">
        <v>0.70350000000000001</v>
      </c>
      <c r="E576" s="24">
        <v>-0.1666</v>
      </c>
      <c r="F576" s="25">
        <v>0.496</v>
      </c>
      <c r="G576" s="26" t="s">
        <v>93</v>
      </c>
      <c r="H576" s="27">
        <v>1.07437</v>
      </c>
      <c r="I576" s="28">
        <v>0.64880000000000004</v>
      </c>
      <c r="J576" s="28">
        <v>0.13370000000000001</v>
      </c>
      <c r="K576" s="29">
        <f t="shared" si="16"/>
        <v>5.4699999999999971E-2</v>
      </c>
      <c r="L576" s="29">
        <f t="shared" si="17"/>
        <v>-0.30030000000000001</v>
      </c>
    </row>
    <row r="577" spans="1:12" x14ac:dyDescent="0.25">
      <c r="A577" s="30">
        <v>48</v>
      </c>
      <c r="B577" s="31" t="s">
        <v>140</v>
      </c>
      <c r="C577" s="32">
        <v>330</v>
      </c>
      <c r="D577" s="33">
        <v>0.80679999999999996</v>
      </c>
      <c r="E577" s="33">
        <v>-6.4199999999999993E-2</v>
      </c>
      <c r="F577" s="34">
        <v>0.73080000000000001</v>
      </c>
      <c r="G577" s="35" t="s">
        <v>93</v>
      </c>
      <c r="H577" s="36">
        <v>1.0489900000000001</v>
      </c>
      <c r="I577" s="37">
        <v>0.64880000000000004</v>
      </c>
      <c r="J577" s="37">
        <v>0.13370000000000001</v>
      </c>
      <c r="K577" s="38">
        <f t="shared" si="16"/>
        <v>0.15799999999999992</v>
      </c>
      <c r="L577" s="38">
        <f t="shared" si="17"/>
        <v>-0.19790000000000002</v>
      </c>
    </row>
  </sheetData>
  <autoFilter ref="A1:L577" xr:uid="{00000000-0009-0000-0000-000003000000}"/>
  <conditionalFormatting sqref="H2:H577">
    <cfRule type="cellIs" dxfId="95" priority="1" operator="greaterThanOrEqual">
      <formula>1.0999</formula>
    </cfRule>
  </conditionalFormatting>
  <conditionalFormatting sqref="G2:G577">
    <cfRule type="cellIs" dxfId="94" priority="2" operator="notEqual">
      <formula>"Optimal"</formula>
    </cfRule>
  </conditionalFormatting>
  <pageMargins left="0.4" right="0.4" top="0.6" bottom="0.6" header="0.5" footer="0.5"/>
  <pageSetup fitToHeight="0" orientation="landscape" r:id="rId1"/>
  <headerFooter>
    <oddFooter>&amp;L&amp;8 &amp;K595959TR9 rolling FOR — flexibility operating region at the PCC&amp;R&amp;8 &amp;K595959Page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141</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'4_All_periods'!I14</f>
        <v>0.4511</v>
      </c>
      <c r="C4" s="10" t="s">
        <v>69</v>
      </c>
      <c r="D4" s="11">
        <f>'4_All_periods'!J14</f>
        <v>9.2399999999999996E-2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'4_All_periods'!C14</f>
        <v>0</v>
      </c>
      <c r="B7" s="14">
        <f>'4_All_periods'!D14</f>
        <v>0.68510000000000004</v>
      </c>
      <c r="C7" s="14">
        <f>'4_All_periods'!E14</f>
        <v>6.7599999999999993E-2</v>
      </c>
      <c r="D7" s="15">
        <f t="shared" ref="D7:D18" si="0">B7-$B$4</f>
        <v>0.23400000000000004</v>
      </c>
      <c r="E7" s="15">
        <f t="shared" ref="E7:E18" si="1">C7-$D$4</f>
        <v>-2.4800000000000003E-2</v>
      </c>
      <c r="F7" s="15">
        <f t="shared" ref="F7:F18" si="2">B7*COS(RADIANS(A7))+C7*SIN(RADIANS(A7))</f>
        <v>0.68510000000000004</v>
      </c>
      <c r="G7" s="16" t="str">
        <f t="shared" ref="G7:G18" si="3">IF(D7&gt;0,"charge/import","discharge/export")</f>
        <v>charge/import</v>
      </c>
    </row>
    <row r="8" spans="1:7" ht="17.100000000000001" customHeight="1" x14ac:dyDescent="0.25">
      <c r="A8" s="13">
        <f>'4_All_periods'!C15</f>
        <v>30</v>
      </c>
      <c r="B8" s="14">
        <f>'4_All_periods'!D15</f>
        <v>0.63670000000000004</v>
      </c>
      <c r="C8" s="14">
        <f>'4_All_periods'!E15</f>
        <v>0.2389</v>
      </c>
      <c r="D8" s="15">
        <f t="shared" si="0"/>
        <v>0.18560000000000004</v>
      </c>
      <c r="E8" s="15">
        <f t="shared" si="1"/>
        <v>0.14650000000000002</v>
      </c>
      <c r="F8" s="15">
        <f t="shared" si="2"/>
        <v>0.67084837458955215</v>
      </c>
      <c r="G8" s="16" t="str">
        <f t="shared" si="3"/>
        <v>charge/import</v>
      </c>
    </row>
    <row r="9" spans="1:7" ht="17.100000000000001" customHeight="1" x14ac:dyDescent="0.25">
      <c r="A9" s="13">
        <f>'4_All_periods'!C16</f>
        <v>60</v>
      </c>
      <c r="B9" s="14">
        <f>'4_All_periods'!D16</f>
        <v>0.52200000000000002</v>
      </c>
      <c r="C9" s="14">
        <f>'4_All_periods'!E16</f>
        <v>0.35499999999999998</v>
      </c>
      <c r="D9" s="15">
        <f t="shared" si="0"/>
        <v>7.0900000000000019E-2</v>
      </c>
      <c r="E9" s="15">
        <f t="shared" si="1"/>
        <v>0.2626</v>
      </c>
      <c r="F9" s="15">
        <f t="shared" si="2"/>
        <v>0.56843901834347577</v>
      </c>
      <c r="G9" s="16" t="str">
        <f t="shared" si="3"/>
        <v>charge/import</v>
      </c>
    </row>
    <row r="10" spans="1:7" ht="17.100000000000001" customHeight="1" x14ac:dyDescent="0.25">
      <c r="A10" s="13">
        <f>'4_All_periods'!C17</f>
        <v>90</v>
      </c>
      <c r="B10" s="14">
        <f>'4_All_periods'!D17</f>
        <v>0.36459999999999998</v>
      </c>
      <c r="C10" s="14">
        <f>'4_All_periods'!E17</f>
        <v>0.39629999999999999</v>
      </c>
      <c r="D10" s="15">
        <f t="shared" si="0"/>
        <v>-8.6500000000000021E-2</v>
      </c>
      <c r="E10" s="15">
        <f t="shared" si="1"/>
        <v>0.3039</v>
      </c>
      <c r="F10" s="15">
        <f t="shared" si="2"/>
        <v>0.39629999999999999</v>
      </c>
      <c r="G10" s="16" t="str">
        <f t="shared" si="3"/>
        <v>discharge/export</v>
      </c>
    </row>
    <row r="11" spans="1:7" ht="17.100000000000001" customHeight="1" x14ac:dyDescent="0.25">
      <c r="A11" s="13">
        <f>'4_All_periods'!C18</f>
        <v>120</v>
      </c>
      <c r="B11" s="14">
        <f>'4_All_periods'!D18</f>
        <v>0.21010000000000001</v>
      </c>
      <c r="C11" s="14">
        <f>'4_All_periods'!E18</f>
        <v>0.35649999999999998</v>
      </c>
      <c r="D11" s="15">
        <f t="shared" si="0"/>
        <v>-0.24099999999999999</v>
      </c>
      <c r="E11" s="15">
        <f t="shared" si="1"/>
        <v>0.2641</v>
      </c>
      <c r="F11" s="15">
        <f t="shared" si="2"/>
        <v>0.20368805644915239</v>
      </c>
      <c r="G11" s="16" t="str">
        <f t="shared" si="3"/>
        <v>discharge/export</v>
      </c>
    </row>
    <row r="12" spans="1:7" ht="17.100000000000001" customHeight="1" x14ac:dyDescent="0.25">
      <c r="A12" s="13">
        <f>'4_All_periods'!C19</f>
        <v>150</v>
      </c>
      <c r="B12" s="14">
        <f>'4_All_periods'!D19</f>
        <v>0.187</v>
      </c>
      <c r="C12" s="14">
        <f>'4_All_periods'!E19</f>
        <v>0.34129999999999999</v>
      </c>
      <c r="D12" s="15">
        <f t="shared" si="0"/>
        <v>-0.2641</v>
      </c>
      <c r="E12" s="15">
        <f t="shared" si="1"/>
        <v>0.24890000000000001</v>
      </c>
      <c r="F12" s="15">
        <f t="shared" si="2"/>
        <v>8.7032494923099391E-3</v>
      </c>
      <c r="G12" s="16" t="str">
        <f t="shared" si="3"/>
        <v>discharge/export</v>
      </c>
    </row>
    <row r="13" spans="1:7" ht="17.100000000000001" customHeight="1" x14ac:dyDescent="0.25">
      <c r="A13" s="13">
        <f>'4_All_periods'!C20</f>
        <v>180</v>
      </c>
      <c r="B13" s="14">
        <f>'4_All_periods'!D20</f>
        <v>0.1845</v>
      </c>
      <c r="C13" s="14">
        <f>'4_All_periods'!E20</f>
        <v>-0.14430000000000001</v>
      </c>
      <c r="D13" s="15">
        <f t="shared" si="0"/>
        <v>-0.2666</v>
      </c>
      <c r="E13" s="15">
        <f t="shared" si="1"/>
        <v>-0.23670000000000002</v>
      </c>
      <c r="F13" s="15">
        <f t="shared" si="2"/>
        <v>-0.18450000000000003</v>
      </c>
      <c r="G13" s="16" t="str">
        <f t="shared" si="3"/>
        <v>discharge/export</v>
      </c>
    </row>
    <row r="14" spans="1:7" ht="17.100000000000001" customHeight="1" x14ac:dyDescent="0.25">
      <c r="A14" s="13">
        <f>'4_All_periods'!C21</f>
        <v>210</v>
      </c>
      <c r="B14" s="14">
        <f>'4_All_periods'!D21</f>
        <v>0.1963</v>
      </c>
      <c r="C14" s="14">
        <f>'4_All_periods'!E21</f>
        <v>-0.1915</v>
      </c>
      <c r="D14" s="15">
        <f t="shared" si="0"/>
        <v>-0.25480000000000003</v>
      </c>
      <c r="E14" s="15">
        <f t="shared" si="1"/>
        <v>-0.28389999999999999</v>
      </c>
      <c r="F14" s="15">
        <f t="shared" si="2"/>
        <v>-7.4250786762885268E-2</v>
      </c>
      <c r="G14" s="16" t="str">
        <f t="shared" si="3"/>
        <v>discharge/export</v>
      </c>
    </row>
    <row r="15" spans="1:7" ht="17.100000000000001" customHeight="1" x14ac:dyDescent="0.25">
      <c r="A15" s="13">
        <f>'4_All_periods'!C22</f>
        <v>240</v>
      </c>
      <c r="B15" s="14">
        <f>'4_All_periods'!D22</f>
        <v>0.22969999999999999</v>
      </c>
      <c r="C15" s="14">
        <f>'4_All_periods'!E22</f>
        <v>-0.21540000000000001</v>
      </c>
      <c r="D15" s="15">
        <f t="shared" si="0"/>
        <v>-0.22140000000000001</v>
      </c>
      <c r="E15" s="15">
        <f t="shared" si="1"/>
        <v>-0.30780000000000002</v>
      </c>
      <c r="F15" s="15">
        <f t="shared" si="2"/>
        <v>7.1691871975167937E-2</v>
      </c>
      <c r="G15" s="16" t="str">
        <f t="shared" si="3"/>
        <v>discharge/export</v>
      </c>
    </row>
    <row r="16" spans="1:7" ht="17.100000000000001" customHeight="1" x14ac:dyDescent="0.25">
      <c r="A16" s="13">
        <f>'4_All_periods'!C23</f>
        <v>270</v>
      </c>
      <c r="B16" s="14">
        <f>'4_All_periods'!D23</f>
        <v>0.3579</v>
      </c>
      <c r="C16" s="14">
        <f>'4_All_periods'!E23</f>
        <v>-0.2485</v>
      </c>
      <c r="D16" s="15">
        <f t="shared" si="0"/>
        <v>-9.3200000000000005E-2</v>
      </c>
      <c r="E16" s="15">
        <f t="shared" si="1"/>
        <v>-0.34089999999999998</v>
      </c>
      <c r="F16" s="15">
        <f t="shared" si="2"/>
        <v>0.24849999999999994</v>
      </c>
      <c r="G16" s="16" t="str">
        <f t="shared" si="3"/>
        <v>discharge/export</v>
      </c>
    </row>
    <row r="17" spans="1:7" ht="17.100000000000001" customHeight="1" x14ac:dyDescent="0.25">
      <c r="A17" s="13">
        <f>'4_All_periods'!C24</f>
        <v>300</v>
      </c>
      <c r="B17" s="14">
        <f>'4_All_periods'!D24</f>
        <v>0.5222</v>
      </c>
      <c r="C17" s="14">
        <f>'4_All_periods'!E24</f>
        <v>-0.2044</v>
      </c>
      <c r="D17" s="15">
        <f t="shared" si="0"/>
        <v>7.1099999999999997E-2</v>
      </c>
      <c r="E17" s="15">
        <f t="shared" si="1"/>
        <v>-0.29680000000000001</v>
      </c>
      <c r="F17" s="15">
        <f t="shared" si="2"/>
        <v>0.43811559253353927</v>
      </c>
      <c r="G17" s="16" t="str">
        <f t="shared" si="3"/>
        <v>charge/import</v>
      </c>
    </row>
    <row r="18" spans="1:7" ht="17.100000000000001" customHeight="1" x14ac:dyDescent="0.25">
      <c r="A18" s="13">
        <f>'4_All_periods'!C25</f>
        <v>330</v>
      </c>
      <c r="B18" s="14">
        <f>'4_All_periods'!D25</f>
        <v>0.64239999999999997</v>
      </c>
      <c r="C18" s="14">
        <f>'4_All_periods'!E25</f>
        <v>-8.4199999999999997E-2</v>
      </c>
      <c r="D18" s="15">
        <f t="shared" si="0"/>
        <v>0.19129999999999997</v>
      </c>
      <c r="E18" s="15">
        <f t="shared" si="1"/>
        <v>-0.17659999999999998</v>
      </c>
      <c r="F18" s="15">
        <f t="shared" si="2"/>
        <v>0.59843471939112325</v>
      </c>
      <c r="G18" s="16" t="str">
        <f t="shared" si="3"/>
        <v>charge/import</v>
      </c>
    </row>
    <row r="19" spans="1:7" ht="17.100000000000001" customHeight="1" x14ac:dyDescent="0.25">
      <c r="A19" s="17" t="s">
        <v>76</v>
      </c>
      <c r="B19" s="18">
        <f>B7</f>
        <v>0.68510000000000004</v>
      </c>
      <c r="C19" s="18">
        <f>C7</f>
        <v>6.7599999999999993E-2</v>
      </c>
      <c r="D19" s="18">
        <f>D7</f>
        <v>0.23400000000000004</v>
      </c>
      <c r="E19" s="18">
        <f>E7</f>
        <v>-2.4800000000000003E-2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0.50060000000000004</v>
      </c>
    </row>
    <row r="23" spans="1:7" ht="18" customHeight="1" x14ac:dyDescent="0.25">
      <c r="A23" s="45" t="s">
        <v>79</v>
      </c>
      <c r="B23" s="46"/>
      <c r="C23" s="20">
        <f>MAX(0,MAX(D7:D18))</f>
        <v>0.23400000000000004</v>
      </c>
    </row>
    <row r="24" spans="1:7" ht="18" customHeight="1" x14ac:dyDescent="0.25">
      <c r="A24" s="45" t="s">
        <v>80</v>
      </c>
      <c r="B24" s="46"/>
      <c r="C24" s="20">
        <f>MAX(0,-MIN(D7:D18))</f>
        <v>0.2666</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"&amp;TEXT('4_All_periods'!H14,"0.00000")&amp;" pu"&amp;IF('4_All_periods'!H14&gt;=1.0999," → over-voltage limit is active"," → clear of the limit, so the battery bounds it"),"blocked at 180°: Vmax there = "&amp;TEXT('4_All_periods'!H20,"0.00000")&amp;" pu"&amp;IF('4_All_periods'!H20&gt;=1.0999,"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93" priority="1">
      <formula>ISNUMBER(SEARCH("charge",$G7))</formula>
    </cfRule>
    <cfRule type="expression" dxfId="92"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142</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'4_All_periods'!I26</f>
        <v>0.36120000000000002</v>
      </c>
      <c r="C4" s="10" t="s">
        <v>69</v>
      </c>
      <c r="D4" s="11">
        <f>'4_All_periods'!J26</f>
        <v>7.3899999999999993E-2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'4_All_periods'!C26</f>
        <v>0</v>
      </c>
      <c r="B7" s="14">
        <f>'4_All_periods'!D26</f>
        <v>0.66900000000000004</v>
      </c>
      <c r="C7" s="14">
        <f>'4_All_periods'!E26</f>
        <v>6.3100000000000003E-2</v>
      </c>
      <c r="D7" s="15">
        <f t="shared" ref="D7:D18" si="0">B7-$B$4</f>
        <v>0.30780000000000002</v>
      </c>
      <c r="E7" s="15">
        <f t="shared" ref="E7:E18" si="1">C7-$D$4</f>
        <v>-1.079999999999999E-2</v>
      </c>
      <c r="F7" s="15">
        <f t="shared" ref="F7:F18" si="2">B7*COS(RADIANS(A7))+C7*SIN(RADIANS(A7))</f>
        <v>0.66900000000000004</v>
      </c>
      <c r="G7" s="16" t="str">
        <f t="shared" ref="G7:G18" si="3">IF(D7&gt;0,"charge/import","discharge/export")</f>
        <v>charge/import</v>
      </c>
    </row>
    <row r="8" spans="1:7" ht="17.100000000000001" customHeight="1" x14ac:dyDescent="0.25">
      <c r="A8" s="13">
        <f>'4_All_periods'!C27</f>
        <v>30</v>
      </c>
      <c r="B8" s="14">
        <f>'4_All_periods'!D27</f>
        <v>0.62060000000000004</v>
      </c>
      <c r="C8" s="14">
        <f>'4_All_periods'!E27</f>
        <v>0.2354</v>
      </c>
      <c r="D8" s="15">
        <f t="shared" si="0"/>
        <v>0.25940000000000002</v>
      </c>
      <c r="E8" s="15">
        <f t="shared" si="1"/>
        <v>0.1615</v>
      </c>
      <c r="F8" s="15">
        <f t="shared" si="2"/>
        <v>0.65515536558862275</v>
      </c>
      <c r="G8" s="16" t="str">
        <f t="shared" si="3"/>
        <v>charge/import</v>
      </c>
    </row>
    <row r="9" spans="1:7" ht="17.100000000000001" customHeight="1" x14ac:dyDescent="0.25">
      <c r="A9" s="13">
        <f>'4_All_periods'!C28</f>
        <v>60</v>
      </c>
      <c r="B9" s="14">
        <f>'4_All_periods'!D28</f>
        <v>0.50370000000000004</v>
      </c>
      <c r="C9" s="14">
        <f>'4_All_periods'!E28</f>
        <v>0.3528</v>
      </c>
      <c r="D9" s="15">
        <f t="shared" si="0"/>
        <v>0.14250000000000002</v>
      </c>
      <c r="E9" s="15">
        <f t="shared" si="1"/>
        <v>0.27890000000000004</v>
      </c>
      <c r="F9" s="15">
        <f t="shared" si="2"/>
        <v>0.55738376245515009</v>
      </c>
      <c r="G9" s="16" t="str">
        <f t="shared" si="3"/>
        <v>charge/import</v>
      </c>
    </row>
    <row r="10" spans="1:7" ht="17.100000000000001" customHeight="1" x14ac:dyDescent="0.25">
      <c r="A10" s="13">
        <f>'4_All_periods'!C29</f>
        <v>90</v>
      </c>
      <c r="B10" s="14">
        <f>'4_All_periods'!D29</f>
        <v>0.34849999999999998</v>
      </c>
      <c r="C10" s="14">
        <f>'4_All_periods'!E29</f>
        <v>0.3931</v>
      </c>
      <c r="D10" s="15">
        <f t="shared" si="0"/>
        <v>-1.2700000000000045E-2</v>
      </c>
      <c r="E10" s="15">
        <f t="shared" si="1"/>
        <v>0.31920000000000004</v>
      </c>
      <c r="F10" s="15">
        <f t="shared" si="2"/>
        <v>0.3931</v>
      </c>
      <c r="G10" s="16" t="str">
        <f t="shared" si="3"/>
        <v>discharge/export</v>
      </c>
    </row>
    <row r="11" spans="1:7" ht="17.100000000000001" customHeight="1" x14ac:dyDescent="0.25">
      <c r="A11" s="13">
        <f>'4_All_periods'!C30</f>
        <v>120</v>
      </c>
      <c r="B11" s="14">
        <f>'4_All_periods'!D30</f>
        <v>0.20039999999999999</v>
      </c>
      <c r="C11" s="14">
        <f>'4_All_periods'!E30</f>
        <v>0.3553</v>
      </c>
      <c r="D11" s="15">
        <f t="shared" si="0"/>
        <v>-0.16080000000000003</v>
      </c>
      <c r="E11" s="15">
        <f t="shared" si="1"/>
        <v>0.28139999999999998</v>
      </c>
      <c r="F11" s="15">
        <f t="shared" si="2"/>
        <v>0.20749882596461111</v>
      </c>
      <c r="G11" s="16" t="str">
        <f t="shared" si="3"/>
        <v>discharge/export</v>
      </c>
    </row>
    <row r="12" spans="1:7" ht="17.100000000000001" customHeight="1" x14ac:dyDescent="0.25">
      <c r="A12" s="13">
        <f>'4_All_periods'!C31</f>
        <v>150</v>
      </c>
      <c r="B12" s="14">
        <f>'4_All_periods'!D31</f>
        <v>0.1855</v>
      </c>
      <c r="C12" s="14">
        <f>'4_All_periods'!E31</f>
        <v>0.34570000000000001</v>
      </c>
      <c r="D12" s="15">
        <f t="shared" si="0"/>
        <v>-0.17570000000000002</v>
      </c>
      <c r="E12" s="15">
        <f t="shared" si="1"/>
        <v>0.27180000000000004</v>
      </c>
      <c r="F12" s="15">
        <f t="shared" si="2"/>
        <v>1.2202287597986611E-2</v>
      </c>
      <c r="G12" s="16" t="str">
        <f t="shared" si="3"/>
        <v>discharge/export</v>
      </c>
    </row>
    <row r="13" spans="1:7" ht="17.100000000000001" customHeight="1" x14ac:dyDescent="0.25">
      <c r="A13" s="13">
        <f>'4_All_periods'!C32</f>
        <v>180</v>
      </c>
      <c r="B13" s="14">
        <f>'4_All_periods'!D32</f>
        <v>0.18329999999999999</v>
      </c>
      <c r="C13" s="14">
        <f>'4_All_periods'!E32</f>
        <v>-0.1595</v>
      </c>
      <c r="D13" s="15">
        <f t="shared" si="0"/>
        <v>-0.17790000000000003</v>
      </c>
      <c r="E13" s="15">
        <f t="shared" si="1"/>
        <v>-0.2334</v>
      </c>
      <c r="F13" s="15">
        <f t="shared" si="2"/>
        <v>-0.18330000000000002</v>
      </c>
      <c r="G13" s="16" t="str">
        <f t="shared" si="3"/>
        <v>discharge/export</v>
      </c>
    </row>
    <row r="14" spans="1:7" ht="17.100000000000001" customHeight="1" x14ac:dyDescent="0.25">
      <c r="A14" s="13">
        <f>'4_All_periods'!C33</f>
        <v>210</v>
      </c>
      <c r="B14" s="14">
        <f>'4_All_periods'!D33</f>
        <v>0.19409999999999999</v>
      </c>
      <c r="C14" s="14">
        <f>'4_All_periods'!E33</f>
        <v>-0.2041</v>
      </c>
      <c r="D14" s="15">
        <f t="shared" si="0"/>
        <v>-0.16710000000000003</v>
      </c>
      <c r="E14" s="15">
        <f t="shared" si="1"/>
        <v>-0.27800000000000002</v>
      </c>
      <c r="F14" s="15">
        <f t="shared" si="2"/>
        <v>-6.6045530874559499E-2</v>
      </c>
      <c r="G14" s="16" t="str">
        <f t="shared" si="3"/>
        <v>discharge/export</v>
      </c>
    </row>
    <row r="15" spans="1:7" ht="17.100000000000001" customHeight="1" x14ac:dyDescent="0.25">
      <c r="A15" s="13">
        <f>'4_All_periods'!C34</f>
        <v>240</v>
      </c>
      <c r="B15" s="14">
        <f>'4_All_periods'!D34</f>
        <v>0.21679999999999999</v>
      </c>
      <c r="C15" s="14">
        <f>'4_All_periods'!E34</f>
        <v>-0.22009999999999999</v>
      </c>
      <c r="D15" s="15">
        <f t="shared" si="0"/>
        <v>-0.14440000000000003</v>
      </c>
      <c r="E15" s="15">
        <f t="shared" si="1"/>
        <v>-0.29399999999999998</v>
      </c>
      <c r="F15" s="15">
        <f t="shared" si="2"/>
        <v>8.2212191372954782E-2</v>
      </c>
      <c r="G15" s="16" t="str">
        <f t="shared" si="3"/>
        <v>discharge/export</v>
      </c>
    </row>
    <row r="16" spans="1:7" ht="17.100000000000001" customHeight="1" x14ac:dyDescent="0.25">
      <c r="A16" s="13">
        <f>'4_All_periods'!C35</f>
        <v>270</v>
      </c>
      <c r="B16" s="14">
        <f>'4_All_periods'!D35</f>
        <v>0.34229999999999999</v>
      </c>
      <c r="C16" s="14">
        <f>'4_All_periods'!E35</f>
        <v>-0.25180000000000002</v>
      </c>
      <c r="D16" s="15">
        <f t="shared" si="0"/>
        <v>-1.8900000000000028E-2</v>
      </c>
      <c r="E16" s="15">
        <f t="shared" si="1"/>
        <v>-0.32569999999999999</v>
      </c>
      <c r="F16" s="15">
        <f t="shared" si="2"/>
        <v>0.25179999999999997</v>
      </c>
      <c r="G16" s="16" t="str">
        <f t="shared" si="3"/>
        <v>discharge/export</v>
      </c>
    </row>
    <row r="17" spans="1:7" ht="17.100000000000001" customHeight="1" x14ac:dyDescent="0.25">
      <c r="A17" s="13">
        <f>'4_All_periods'!C36</f>
        <v>300</v>
      </c>
      <c r="B17" s="14">
        <f>'4_All_periods'!D36</f>
        <v>0.50639999999999996</v>
      </c>
      <c r="C17" s="14">
        <f>'4_All_periods'!E36</f>
        <v>-0.2077</v>
      </c>
      <c r="D17" s="15">
        <f t="shared" si="0"/>
        <v>0.14519999999999994</v>
      </c>
      <c r="E17" s="15">
        <f t="shared" si="1"/>
        <v>-0.28159999999999996</v>
      </c>
      <c r="F17" s="15">
        <f t="shared" si="2"/>
        <v>0.43307347636602789</v>
      </c>
      <c r="G17" s="16" t="str">
        <f t="shared" si="3"/>
        <v>charge/import</v>
      </c>
    </row>
    <row r="18" spans="1:7" ht="17.100000000000001" customHeight="1" x14ac:dyDescent="0.25">
      <c r="A18" s="13">
        <f>'4_All_periods'!C37</f>
        <v>330</v>
      </c>
      <c r="B18" s="14">
        <f>'4_All_periods'!D37</f>
        <v>0.62660000000000005</v>
      </c>
      <c r="C18" s="14">
        <f>'4_All_periods'!E37</f>
        <v>-8.77E-2</v>
      </c>
      <c r="D18" s="15">
        <f t="shared" si="0"/>
        <v>0.26540000000000002</v>
      </c>
      <c r="E18" s="15">
        <f t="shared" si="1"/>
        <v>-0.16159999999999999</v>
      </c>
      <c r="F18" s="15">
        <f t="shared" si="2"/>
        <v>0.58650151801132921</v>
      </c>
      <c r="G18" s="16" t="str">
        <f t="shared" si="3"/>
        <v>charge/import</v>
      </c>
    </row>
    <row r="19" spans="1:7" ht="17.100000000000001" customHeight="1" x14ac:dyDescent="0.25">
      <c r="A19" s="17" t="s">
        <v>76</v>
      </c>
      <c r="B19" s="18">
        <f>B7</f>
        <v>0.66900000000000004</v>
      </c>
      <c r="C19" s="18">
        <f>C7</f>
        <v>6.3100000000000003E-2</v>
      </c>
      <c r="D19" s="18">
        <f>D7</f>
        <v>0.30780000000000002</v>
      </c>
      <c r="E19" s="18">
        <f>E7</f>
        <v>-1.079999999999999E-2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0.48570000000000002</v>
      </c>
    </row>
    <row r="23" spans="1:7" ht="18" customHeight="1" x14ac:dyDescent="0.25">
      <c r="A23" s="45" t="s">
        <v>79</v>
      </c>
      <c r="B23" s="46"/>
      <c r="C23" s="20">
        <f>MAX(0,MAX(D7:D18))</f>
        <v>0.30780000000000002</v>
      </c>
    </row>
    <row r="24" spans="1:7" ht="18" customHeight="1" x14ac:dyDescent="0.25">
      <c r="A24" s="45" t="s">
        <v>80</v>
      </c>
      <c r="B24" s="46"/>
      <c r="C24" s="20">
        <f>MAX(0,-MIN(D7:D18))</f>
        <v>0.17790000000000003</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"&amp;TEXT('4_All_periods'!H26,"0.00000")&amp;" pu"&amp;IF('4_All_periods'!H26&gt;=1.0999," → over-voltage limit is active"," → clear of the limit, so the battery bounds it"),"blocked at 180°: Vmax there = "&amp;TEXT('4_All_periods'!H32,"0.00000")&amp;" pu"&amp;IF('4_All_periods'!H32&gt;=1.0999,"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91" priority="1">
      <formula>ISNUMBER(SEARCH("charge",$G7))</formula>
    </cfRule>
    <cfRule type="expression" dxfId="90"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143</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'4_All_periods'!I38</f>
        <v>0.3453</v>
      </c>
      <c r="C4" s="10" t="s">
        <v>69</v>
      </c>
      <c r="D4" s="11">
        <f>'4_All_periods'!J38</f>
        <v>7.0699999999999999E-2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'4_All_periods'!C38</f>
        <v>0</v>
      </c>
      <c r="B7" s="14">
        <f>'4_All_periods'!D38</f>
        <v>0.63800000000000001</v>
      </c>
      <c r="C7" s="14">
        <f>'4_All_periods'!E38</f>
        <v>5.6099999999999997E-2</v>
      </c>
      <c r="D7" s="15">
        <f t="shared" ref="D7:D18" si="0">B7-$B$4</f>
        <v>0.29270000000000002</v>
      </c>
      <c r="E7" s="15">
        <f t="shared" ref="E7:E18" si="1">C7-$D$4</f>
        <v>-1.4600000000000002E-2</v>
      </c>
      <c r="F7" s="15">
        <f t="shared" ref="F7:F18" si="2">B7*COS(RADIANS(A7))+C7*SIN(RADIANS(A7))</f>
        <v>0.63800000000000001</v>
      </c>
      <c r="G7" s="16" t="str">
        <f t="shared" ref="G7:G18" si="3">IF(D7&gt;0,"charge/import","discharge/export")</f>
        <v>charge/import</v>
      </c>
    </row>
    <row r="8" spans="1:7" ht="17.100000000000001" customHeight="1" x14ac:dyDescent="0.25">
      <c r="A8" s="13">
        <f>'4_All_periods'!C39</f>
        <v>30</v>
      </c>
      <c r="B8" s="14">
        <f>'4_All_periods'!D39</f>
        <v>0.58940000000000003</v>
      </c>
      <c r="C8" s="14">
        <f>'4_All_periods'!E39</f>
        <v>0.2293</v>
      </c>
      <c r="D8" s="15">
        <f t="shared" si="0"/>
        <v>0.24410000000000004</v>
      </c>
      <c r="E8" s="15">
        <f t="shared" si="1"/>
        <v>0.15860000000000002</v>
      </c>
      <c r="F8" s="15">
        <f t="shared" si="2"/>
        <v>0.62508537299054823</v>
      </c>
      <c r="G8" s="16" t="str">
        <f t="shared" si="3"/>
        <v>charge/import</v>
      </c>
    </row>
    <row r="9" spans="1:7" ht="17.100000000000001" customHeight="1" x14ac:dyDescent="0.25">
      <c r="A9" s="13">
        <f>'4_All_periods'!C40</f>
        <v>60</v>
      </c>
      <c r="B9" s="14">
        <f>'4_All_periods'!D40</f>
        <v>0.47389999999999999</v>
      </c>
      <c r="C9" s="14">
        <f>'4_All_periods'!E40</f>
        <v>0.34589999999999999</v>
      </c>
      <c r="D9" s="15">
        <f t="shared" si="0"/>
        <v>0.12859999999999999</v>
      </c>
      <c r="E9" s="15">
        <f t="shared" si="1"/>
        <v>0.2752</v>
      </c>
      <c r="F9" s="15">
        <f t="shared" si="2"/>
        <v>0.53650818716903736</v>
      </c>
      <c r="G9" s="16" t="str">
        <f t="shared" si="3"/>
        <v>charge/import</v>
      </c>
    </row>
    <row r="10" spans="1:7" ht="17.100000000000001" customHeight="1" x14ac:dyDescent="0.25">
      <c r="A10" s="13">
        <f>'4_All_periods'!C41</f>
        <v>90</v>
      </c>
      <c r="B10" s="14">
        <f>'4_All_periods'!D41</f>
        <v>0.31759999999999999</v>
      </c>
      <c r="C10" s="14">
        <f>'4_All_periods'!E41</f>
        <v>0.38679999999999998</v>
      </c>
      <c r="D10" s="15">
        <f t="shared" si="0"/>
        <v>-2.7700000000000002E-2</v>
      </c>
      <c r="E10" s="15">
        <f t="shared" si="1"/>
        <v>0.31609999999999999</v>
      </c>
      <c r="F10" s="15">
        <f t="shared" si="2"/>
        <v>0.38679999999999998</v>
      </c>
      <c r="G10" s="16" t="str">
        <f t="shared" si="3"/>
        <v>discharge/export</v>
      </c>
    </row>
    <row r="11" spans="1:7" ht="17.100000000000001" customHeight="1" x14ac:dyDescent="0.25">
      <c r="A11" s="13">
        <f>'4_All_periods'!C42</f>
        <v>120</v>
      </c>
      <c r="B11" s="14">
        <f>'4_All_periods'!D42</f>
        <v>0.17510000000000001</v>
      </c>
      <c r="C11" s="14">
        <f>'4_All_periods'!E42</f>
        <v>0.35099999999999998</v>
      </c>
      <c r="D11" s="15">
        <f t="shared" si="0"/>
        <v>-0.17019999999999999</v>
      </c>
      <c r="E11" s="15">
        <f t="shared" si="1"/>
        <v>0.28029999999999999</v>
      </c>
      <c r="F11" s="15">
        <f t="shared" si="2"/>
        <v>0.21642491672833802</v>
      </c>
      <c r="G11" s="16" t="str">
        <f t="shared" si="3"/>
        <v>discharge/export</v>
      </c>
    </row>
    <row r="12" spans="1:7" ht="17.100000000000001" customHeight="1" x14ac:dyDescent="0.25">
      <c r="A12" s="13">
        <f>'4_All_periods'!C43</f>
        <v>150</v>
      </c>
      <c r="B12" s="14">
        <f>'4_All_periods'!D43</f>
        <v>0.16700000000000001</v>
      </c>
      <c r="C12" s="14">
        <f>'4_All_periods'!E43</f>
        <v>0.34589999999999999</v>
      </c>
      <c r="D12" s="15">
        <f t="shared" si="0"/>
        <v>-0.17829999999999999</v>
      </c>
      <c r="E12" s="15">
        <f t="shared" si="1"/>
        <v>0.2752</v>
      </c>
      <c r="F12" s="15">
        <f t="shared" si="2"/>
        <v>2.8323757567998681E-2</v>
      </c>
      <c r="G12" s="16" t="str">
        <f t="shared" si="3"/>
        <v>discharge/export</v>
      </c>
    </row>
    <row r="13" spans="1:7" ht="17.100000000000001" customHeight="1" x14ac:dyDescent="0.25">
      <c r="A13" s="13">
        <f>'4_All_periods'!C44</f>
        <v>180</v>
      </c>
      <c r="B13" s="14">
        <f>'4_All_periods'!D44</f>
        <v>0.1648</v>
      </c>
      <c r="C13" s="14">
        <f>'4_All_periods'!E44</f>
        <v>-0.18049999999999999</v>
      </c>
      <c r="D13" s="15">
        <f t="shared" si="0"/>
        <v>-0.18049999999999999</v>
      </c>
      <c r="E13" s="15">
        <f t="shared" si="1"/>
        <v>-0.25119999999999998</v>
      </c>
      <c r="F13" s="15">
        <f t="shared" si="2"/>
        <v>-0.16480000000000003</v>
      </c>
      <c r="G13" s="16" t="str">
        <f t="shared" si="3"/>
        <v>discharge/export</v>
      </c>
    </row>
    <row r="14" spans="1:7" ht="17.100000000000001" customHeight="1" x14ac:dyDescent="0.25">
      <c r="A14" s="13">
        <f>'4_All_periods'!C45</f>
        <v>210</v>
      </c>
      <c r="B14" s="14">
        <f>'4_All_periods'!D45</f>
        <v>0.17399999999999999</v>
      </c>
      <c r="C14" s="14">
        <f>'4_All_periods'!E45</f>
        <v>-0.2157</v>
      </c>
      <c r="D14" s="15">
        <f t="shared" si="0"/>
        <v>-0.17130000000000001</v>
      </c>
      <c r="E14" s="15">
        <f t="shared" si="1"/>
        <v>-0.28639999999999999</v>
      </c>
      <c r="F14" s="15">
        <f t="shared" si="2"/>
        <v>-4.2838420258492271E-2</v>
      </c>
      <c r="G14" s="16" t="str">
        <f t="shared" si="3"/>
        <v>discharge/export</v>
      </c>
    </row>
    <row r="15" spans="1:7" ht="17.100000000000001" customHeight="1" x14ac:dyDescent="0.25">
      <c r="A15" s="13">
        <f>'4_All_periods'!C46</f>
        <v>240</v>
      </c>
      <c r="B15" s="14">
        <f>'4_All_periods'!D46</f>
        <v>0.1923</v>
      </c>
      <c r="C15" s="14">
        <f>'4_All_periods'!E46</f>
        <v>-0.22850000000000001</v>
      </c>
      <c r="D15" s="15">
        <f t="shared" si="0"/>
        <v>-0.153</v>
      </c>
      <c r="E15" s="15">
        <f t="shared" si="1"/>
        <v>-0.29920000000000002</v>
      </c>
      <c r="F15" s="15">
        <f t="shared" si="2"/>
        <v>0.1017368047647441</v>
      </c>
      <c r="G15" s="16" t="str">
        <f t="shared" si="3"/>
        <v>discharge/export</v>
      </c>
    </row>
    <row r="16" spans="1:7" ht="17.100000000000001" customHeight="1" x14ac:dyDescent="0.25">
      <c r="A16" s="13">
        <f>'4_All_periods'!C47</f>
        <v>270</v>
      </c>
      <c r="B16" s="14">
        <f>'4_All_periods'!D47</f>
        <v>0.31159999999999999</v>
      </c>
      <c r="C16" s="14">
        <f>'4_All_periods'!E47</f>
        <v>-0.25819999999999999</v>
      </c>
      <c r="D16" s="15">
        <f t="shared" si="0"/>
        <v>-3.3700000000000008E-2</v>
      </c>
      <c r="E16" s="15">
        <f t="shared" si="1"/>
        <v>-0.32889999999999997</v>
      </c>
      <c r="F16" s="15">
        <f t="shared" si="2"/>
        <v>0.25819999999999993</v>
      </c>
      <c r="G16" s="16" t="str">
        <f t="shared" si="3"/>
        <v>discharge/export</v>
      </c>
    </row>
    <row r="17" spans="1:7" ht="17.100000000000001" customHeight="1" x14ac:dyDescent="0.25">
      <c r="A17" s="13">
        <f>'4_All_periods'!C48</f>
        <v>300</v>
      </c>
      <c r="B17" s="14">
        <f>'4_All_periods'!D48</f>
        <v>0.47560000000000002</v>
      </c>
      <c r="C17" s="14">
        <f>'4_All_periods'!E48</f>
        <v>-0.2142</v>
      </c>
      <c r="D17" s="15">
        <f t="shared" si="0"/>
        <v>0.13030000000000003</v>
      </c>
      <c r="E17" s="15">
        <f t="shared" si="1"/>
        <v>-0.28489999999999999</v>
      </c>
      <c r="F17" s="15">
        <f t="shared" si="2"/>
        <v>0.4233026414906268</v>
      </c>
      <c r="G17" s="16" t="str">
        <f t="shared" si="3"/>
        <v>charge/import</v>
      </c>
    </row>
    <row r="18" spans="1:7" ht="17.100000000000001" customHeight="1" x14ac:dyDescent="0.25">
      <c r="A18" s="13">
        <f>'4_All_periods'!C49</f>
        <v>330</v>
      </c>
      <c r="B18" s="14">
        <f>'4_All_periods'!D49</f>
        <v>0.59570000000000001</v>
      </c>
      <c r="C18" s="14">
        <f>'4_All_periods'!E49</f>
        <v>-9.4200000000000006E-2</v>
      </c>
      <c r="D18" s="15">
        <f t="shared" si="0"/>
        <v>0.25040000000000001</v>
      </c>
      <c r="E18" s="15">
        <f t="shared" si="1"/>
        <v>-0.16489999999999999</v>
      </c>
      <c r="F18" s="15">
        <f t="shared" si="2"/>
        <v>0.56299133303438997</v>
      </c>
      <c r="G18" s="16" t="str">
        <f t="shared" si="3"/>
        <v>charge/import</v>
      </c>
    </row>
    <row r="19" spans="1:7" ht="17.100000000000001" customHeight="1" x14ac:dyDescent="0.25">
      <c r="A19" s="17" t="s">
        <v>76</v>
      </c>
      <c r="B19" s="18">
        <f>B7</f>
        <v>0.63800000000000001</v>
      </c>
      <c r="C19" s="18">
        <f>C7</f>
        <v>5.6099999999999997E-2</v>
      </c>
      <c r="D19" s="18">
        <f>D7</f>
        <v>0.29270000000000002</v>
      </c>
      <c r="E19" s="18">
        <f>E7</f>
        <v>-1.4600000000000002E-2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0.47320000000000001</v>
      </c>
    </row>
    <row r="23" spans="1:7" ht="18" customHeight="1" x14ac:dyDescent="0.25">
      <c r="A23" s="45" t="s">
        <v>79</v>
      </c>
      <c r="B23" s="46"/>
      <c r="C23" s="20">
        <f>MAX(0,MAX(D7:D18))</f>
        <v>0.29270000000000002</v>
      </c>
    </row>
    <row r="24" spans="1:7" ht="18" customHeight="1" x14ac:dyDescent="0.25">
      <c r="A24" s="45" t="s">
        <v>80</v>
      </c>
      <c r="B24" s="46"/>
      <c r="C24" s="20">
        <f>MAX(0,-MIN(D7:D18))</f>
        <v>0.18049999999999999</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"&amp;TEXT('4_All_periods'!H38,"0.00000")&amp;" pu"&amp;IF('4_All_periods'!H38&gt;=1.0999," → over-voltage limit is active"," → clear of the limit, so the battery bounds it"),"blocked at 180°: Vmax there = "&amp;TEXT('4_All_periods'!H44,"0.00000")&amp;" pu"&amp;IF('4_All_periods'!H44&gt;=1.0999,"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89" priority="1">
      <formula>ISNUMBER(SEARCH("charge",$G7))</formula>
    </cfRule>
    <cfRule type="expression" dxfId="88"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144</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'4_All_periods'!I50</f>
        <v>0.31459999999999999</v>
      </c>
      <c r="C4" s="10" t="s">
        <v>69</v>
      </c>
      <c r="D4" s="11">
        <f>'4_All_periods'!J50</f>
        <v>6.4299999999999996E-2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'4_All_periods'!C50</f>
        <v>0</v>
      </c>
      <c r="B7" s="14">
        <f>'4_All_periods'!D50</f>
        <v>0.62929999999999997</v>
      </c>
      <c r="C7" s="14">
        <f>'4_All_periods'!E50</f>
        <v>5.5500000000000001E-2</v>
      </c>
      <c r="D7" s="15">
        <f t="shared" ref="D7:D18" si="0">B7-$B$4</f>
        <v>0.31469999999999998</v>
      </c>
      <c r="E7" s="15">
        <f t="shared" ref="E7:E18" si="1">C7-$D$4</f>
        <v>-8.7999999999999953E-3</v>
      </c>
      <c r="F7" s="15">
        <f t="shared" ref="F7:F18" si="2">B7*COS(RADIANS(A7))+C7*SIN(RADIANS(A7))</f>
        <v>0.62929999999999997</v>
      </c>
      <c r="G7" s="16" t="str">
        <f t="shared" ref="G7:G18" si="3">IF(D7&gt;0,"charge/import","discharge/export")</f>
        <v>charge/import</v>
      </c>
    </row>
    <row r="8" spans="1:7" ht="17.100000000000001" customHeight="1" x14ac:dyDescent="0.25">
      <c r="A8" s="13">
        <f>'4_All_periods'!C51</f>
        <v>30</v>
      </c>
      <c r="B8" s="14">
        <f>'4_All_periods'!D51</f>
        <v>0.58089999999999997</v>
      </c>
      <c r="C8" s="14">
        <f>'4_All_periods'!E51</f>
        <v>0.2273</v>
      </c>
      <c r="D8" s="15">
        <f t="shared" si="0"/>
        <v>0.26629999999999998</v>
      </c>
      <c r="E8" s="15">
        <f t="shared" si="1"/>
        <v>0.16300000000000001</v>
      </c>
      <c r="F8" s="15">
        <f t="shared" si="2"/>
        <v>0.61672415705838046</v>
      </c>
      <c r="G8" s="16" t="str">
        <f t="shared" si="3"/>
        <v>charge/import</v>
      </c>
    </row>
    <row r="9" spans="1:7" ht="17.100000000000001" customHeight="1" x14ac:dyDescent="0.25">
      <c r="A9" s="13">
        <f>'4_All_periods'!C52</f>
        <v>60</v>
      </c>
      <c r="B9" s="14">
        <f>'4_All_periods'!D52</f>
        <v>0.46529999999999999</v>
      </c>
      <c r="C9" s="14">
        <f>'4_All_periods'!E52</f>
        <v>0.34399999999999997</v>
      </c>
      <c r="D9" s="15">
        <f t="shared" si="0"/>
        <v>0.1507</v>
      </c>
      <c r="E9" s="15">
        <f t="shared" si="1"/>
        <v>0.27969999999999995</v>
      </c>
      <c r="F9" s="15">
        <f t="shared" si="2"/>
        <v>0.53056273890184691</v>
      </c>
      <c r="G9" s="16" t="str">
        <f t="shared" si="3"/>
        <v>charge/import</v>
      </c>
    </row>
    <row r="10" spans="1:7" ht="17.100000000000001" customHeight="1" x14ac:dyDescent="0.25">
      <c r="A10" s="13">
        <f>'4_All_periods'!C53</f>
        <v>90</v>
      </c>
      <c r="B10" s="14">
        <f>'4_All_periods'!D53</f>
        <v>0.30840000000000001</v>
      </c>
      <c r="C10" s="14">
        <f>'4_All_periods'!E53</f>
        <v>0.3851</v>
      </c>
      <c r="D10" s="15">
        <f t="shared" si="0"/>
        <v>-6.1999999999999833E-3</v>
      </c>
      <c r="E10" s="15">
        <f t="shared" si="1"/>
        <v>0.32079999999999997</v>
      </c>
      <c r="F10" s="15">
        <f t="shared" si="2"/>
        <v>0.3851</v>
      </c>
      <c r="G10" s="16" t="str">
        <f t="shared" si="3"/>
        <v>discharge/export</v>
      </c>
    </row>
    <row r="11" spans="1:7" ht="17.100000000000001" customHeight="1" x14ac:dyDescent="0.25">
      <c r="A11" s="13">
        <f>'4_All_periods'!C54</f>
        <v>120</v>
      </c>
      <c r="B11" s="14">
        <f>'4_All_periods'!D54</f>
        <v>0.1734</v>
      </c>
      <c r="C11" s="14">
        <f>'4_All_periods'!E54</f>
        <v>0.35260000000000002</v>
      </c>
      <c r="D11" s="15">
        <f t="shared" si="0"/>
        <v>-0.14119999999999999</v>
      </c>
      <c r="E11" s="15">
        <f t="shared" si="1"/>
        <v>0.2883</v>
      </c>
      <c r="F11" s="15">
        <f t="shared" si="2"/>
        <v>0.21866055737439316</v>
      </c>
      <c r="G11" s="16" t="str">
        <f t="shared" si="3"/>
        <v>discharge/export</v>
      </c>
    </row>
    <row r="12" spans="1:7" ht="17.100000000000001" customHeight="1" x14ac:dyDescent="0.25">
      <c r="A12" s="13">
        <f>'4_All_periods'!C55</f>
        <v>150</v>
      </c>
      <c r="B12" s="14">
        <f>'4_All_periods'!D55</f>
        <v>0.16930000000000001</v>
      </c>
      <c r="C12" s="14">
        <f>'4_All_periods'!E55</f>
        <v>0.35</v>
      </c>
      <c r="D12" s="15">
        <f t="shared" si="0"/>
        <v>-0.14529999999999998</v>
      </c>
      <c r="E12" s="15">
        <f t="shared" si="1"/>
        <v>0.28569999999999995</v>
      </c>
      <c r="F12" s="15">
        <f t="shared" si="2"/>
        <v>2.8381899139294481E-2</v>
      </c>
      <c r="G12" s="16" t="str">
        <f t="shared" si="3"/>
        <v>discharge/export</v>
      </c>
    </row>
    <row r="13" spans="1:7" ht="17.100000000000001" customHeight="1" x14ac:dyDescent="0.25">
      <c r="A13" s="13">
        <f>'4_All_periods'!C56</f>
        <v>180</v>
      </c>
      <c r="B13" s="14">
        <f>'4_All_periods'!D56</f>
        <v>0.16719999999999999</v>
      </c>
      <c r="C13" s="14">
        <f>'4_All_periods'!E56</f>
        <v>-0.18859999999999999</v>
      </c>
      <c r="D13" s="15">
        <f t="shared" si="0"/>
        <v>-0.1474</v>
      </c>
      <c r="E13" s="15">
        <f t="shared" si="1"/>
        <v>-0.25290000000000001</v>
      </c>
      <c r="F13" s="15">
        <f t="shared" si="2"/>
        <v>-0.16720000000000002</v>
      </c>
      <c r="G13" s="16" t="str">
        <f t="shared" si="3"/>
        <v>discharge/export</v>
      </c>
    </row>
    <row r="14" spans="1:7" ht="17.100000000000001" customHeight="1" x14ac:dyDescent="0.25">
      <c r="A14" s="13">
        <f>'4_All_periods'!C57</f>
        <v>210</v>
      </c>
      <c r="B14" s="14">
        <f>'4_All_periods'!D57</f>
        <v>0.1762</v>
      </c>
      <c r="C14" s="14">
        <f>'4_All_periods'!E57</f>
        <v>-0.22309999999999999</v>
      </c>
      <c r="D14" s="15">
        <f t="shared" si="0"/>
        <v>-0.1384</v>
      </c>
      <c r="E14" s="15">
        <f t="shared" si="1"/>
        <v>-0.28739999999999999</v>
      </c>
      <c r="F14" s="15">
        <f t="shared" si="2"/>
        <v>-4.1043676146818045E-2</v>
      </c>
      <c r="G14" s="16" t="str">
        <f t="shared" si="3"/>
        <v>discharge/export</v>
      </c>
    </row>
    <row r="15" spans="1:7" ht="17.100000000000001" customHeight="1" x14ac:dyDescent="0.25">
      <c r="A15" s="13">
        <f>'4_All_periods'!C58</f>
        <v>240</v>
      </c>
      <c r="B15" s="14">
        <f>'4_All_periods'!D58</f>
        <v>0.1915</v>
      </c>
      <c r="C15" s="14">
        <f>'4_All_periods'!E58</f>
        <v>-0.23369999999999999</v>
      </c>
      <c r="D15" s="15">
        <f t="shared" si="0"/>
        <v>-0.12309999999999999</v>
      </c>
      <c r="E15" s="15">
        <f t="shared" si="1"/>
        <v>-0.29799999999999999</v>
      </c>
      <c r="F15" s="15">
        <f t="shared" si="2"/>
        <v>0.10664013686442317</v>
      </c>
      <c r="G15" s="16" t="str">
        <f t="shared" si="3"/>
        <v>discharge/export</v>
      </c>
    </row>
    <row r="16" spans="1:7" ht="17.100000000000001" customHeight="1" x14ac:dyDescent="0.25">
      <c r="A16" s="13">
        <f>'4_All_periods'!C59</f>
        <v>270</v>
      </c>
      <c r="B16" s="14">
        <f>'4_All_periods'!D59</f>
        <v>0.30280000000000001</v>
      </c>
      <c r="C16" s="14">
        <f>'4_All_periods'!E59</f>
        <v>-0.2601</v>
      </c>
      <c r="D16" s="15">
        <f t="shared" si="0"/>
        <v>-1.1799999999999977E-2</v>
      </c>
      <c r="E16" s="15">
        <f t="shared" si="1"/>
        <v>-0.32440000000000002</v>
      </c>
      <c r="F16" s="15">
        <f t="shared" si="2"/>
        <v>0.26009999999999994</v>
      </c>
      <c r="G16" s="16" t="str">
        <f t="shared" si="3"/>
        <v>discharge/export</v>
      </c>
    </row>
    <row r="17" spans="1:7" ht="17.100000000000001" customHeight="1" x14ac:dyDescent="0.25">
      <c r="A17" s="13">
        <f>'4_All_periods'!C60</f>
        <v>300</v>
      </c>
      <c r="B17" s="14">
        <f>'4_All_periods'!D60</f>
        <v>0.4667</v>
      </c>
      <c r="C17" s="14">
        <f>'4_All_periods'!E60</f>
        <v>-0.21609999999999999</v>
      </c>
      <c r="D17" s="15">
        <f t="shared" si="0"/>
        <v>0.15210000000000001</v>
      </c>
      <c r="E17" s="15">
        <f t="shared" si="1"/>
        <v>-0.28039999999999998</v>
      </c>
      <c r="F17" s="15">
        <f t="shared" si="2"/>
        <v>0.42049808975781722</v>
      </c>
      <c r="G17" s="16" t="str">
        <f t="shared" si="3"/>
        <v>charge/import</v>
      </c>
    </row>
    <row r="18" spans="1:7" ht="17.100000000000001" customHeight="1" x14ac:dyDescent="0.25">
      <c r="A18" s="13">
        <f>'4_All_periods'!C61</f>
        <v>330</v>
      </c>
      <c r="B18" s="14">
        <f>'4_All_periods'!D61</f>
        <v>0.5867</v>
      </c>
      <c r="C18" s="14">
        <f>'4_All_periods'!E61</f>
        <v>-9.6299999999999997E-2</v>
      </c>
      <c r="D18" s="15">
        <f t="shared" si="0"/>
        <v>0.27210000000000001</v>
      </c>
      <c r="E18" s="15">
        <f t="shared" si="1"/>
        <v>-0.16059999999999999</v>
      </c>
      <c r="F18" s="15">
        <f t="shared" si="2"/>
        <v>0.55624710440032998</v>
      </c>
      <c r="G18" s="16" t="str">
        <f t="shared" si="3"/>
        <v>charge/import</v>
      </c>
    </row>
    <row r="19" spans="1:7" ht="17.100000000000001" customHeight="1" x14ac:dyDescent="0.25">
      <c r="A19" s="17" t="s">
        <v>76</v>
      </c>
      <c r="B19" s="18">
        <f>B7</f>
        <v>0.62929999999999997</v>
      </c>
      <c r="C19" s="18">
        <f>C7</f>
        <v>5.5500000000000001E-2</v>
      </c>
      <c r="D19" s="18">
        <f>D7</f>
        <v>0.31469999999999998</v>
      </c>
      <c r="E19" s="18">
        <f>E7</f>
        <v>-8.7999999999999953E-3</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0.46209999999999996</v>
      </c>
    </row>
    <row r="23" spans="1:7" ht="18" customHeight="1" x14ac:dyDescent="0.25">
      <c r="A23" s="45" t="s">
        <v>79</v>
      </c>
      <c r="B23" s="46"/>
      <c r="C23" s="20">
        <f>MAX(0,MAX(D7:D18))</f>
        <v>0.31469999999999998</v>
      </c>
    </row>
    <row r="24" spans="1:7" ht="18" customHeight="1" x14ac:dyDescent="0.25">
      <c r="A24" s="45" t="s">
        <v>80</v>
      </c>
      <c r="B24" s="46"/>
      <c r="C24" s="20">
        <f>MAX(0,-MIN(D7:D18))</f>
        <v>0.1474</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"&amp;TEXT('4_All_periods'!H50,"0.00000")&amp;" pu"&amp;IF('4_All_periods'!H50&gt;=1.0999," → over-voltage limit is active"," → clear of the limit, so the battery bounds it"),"blocked at 180°: Vmax there = "&amp;TEXT('4_All_periods'!H56,"0.00000")&amp;" pu"&amp;IF('4_All_periods'!H56&gt;=1.0999,"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87" priority="1">
      <formula>ISNUMBER(SEARCH("charge",$G7))</formula>
    </cfRule>
    <cfRule type="expression" dxfId="86"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145</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'4_All_periods'!I62</f>
        <v>0.30549999999999999</v>
      </c>
      <c r="C4" s="10" t="s">
        <v>69</v>
      </c>
      <c r="D4" s="11">
        <f>'4_All_periods'!J62</f>
        <v>6.25E-2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'4_All_periods'!C62</f>
        <v>0</v>
      </c>
      <c r="B7" s="14">
        <f>'4_All_periods'!D62</f>
        <v>0.63280000000000003</v>
      </c>
      <c r="C7" s="14">
        <f>'4_All_periods'!E62</f>
        <v>5.5E-2</v>
      </c>
      <c r="D7" s="15">
        <f t="shared" ref="D7:D18" si="0">B7-$B$4</f>
        <v>0.32730000000000004</v>
      </c>
      <c r="E7" s="15">
        <f t="shared" ref="E7:E18" si="1">C7-$D$4</f>
        <v>-7.4999999999999997E-3</v>
      </c>
      <c r="F7" s="15">
        <f t="shared" ref="F7:F18" si="2">B7*COS(RADIANS(A7))+C7*SIN(RADIANS(A7))</f>
        <v>0.63280000000000003</v>
      </c>
      <c r="G7" s="16" t="str">
        <f t="shared" ref="G7:G18" si="3">IF(D7&gt;0,"charge/import","discharge/export")</f>
        <v>charge/import</v>
      </c>
    </row>
    <row r="8" spans="1:7" ht="17.100000000000001" customHeight="1" x14ac:dyDescent="0.25">
      <c r="A8" s="13">
        <f>'4_All_periods'!C63</f>
        <v>30</v>
      </c>
      <c r="B8" s="14">
        <f>'4_All_periods'!D63</f>
        <v>0.58450000000000002</v>
      </c>
      <c r="C8" s="14">
        <f>'4_All_periods'!E63</f>
        <v>0.22750000000000001</v>
      </c>
      <c r="D8" s="15">
        <f t="shared" si="0"/>
        <v>0.27900000000000003</v>
      </c>
      <c r="E8" s="15">
        <f t="shared" si="1"/>
        <v>0.16500000000000001</v>
      </c>
      <c r="F8" s="15">
        <f t="shared" si="2"/>
        <v>0.61994184851200451</v>
      </c>
      <c r="G8" s="16" t="str">
        <f t="shared" si="3"/>
        <v>charge/import</v>
      </c>
    </row>
    <row r="9" spans="1:7" ht="17.100000000000001" customHeight="1" x14ac:dyDescent="0.25">
      <c r="A9" s="13">
        <f>'4_All_periods'!C64</f>
        <v>60</v>
      </c>
      <c r="B9" s="14">
        <f>'4_All_periods'!D64</f>
        <v>0.46710000000000002</v>
      </c>
      <c r="C9" s="14">
        <f>'4_All_periods'!E64</f>
        <v>0.34560000000000002</v>
      </c>
      <c r="D9" s="15">
        <f t="shared" si="0"/>
        <v>0.16160000000000002</v>
      </c>
      <c r="E9" s="15">
        <f t="shared" si="1"/>
        <v>0.28310000000000002</v>
      </c>
      <c r="F9" s="15">
        <f t="shared" si="2"/>
        <v>0.5328483795479021</v>
      </c>
      <c r="G9" s="16" t="str">
        <f t="shared" si="3"/>
        <v>charge/import</v>
      </c>
    </row>
    <row r="10" spans="1:7" ht="17.100000000000001" customHeight="1" x14ac:dyDescent="0.25">
      <c r="A10" s="13">
        <f>'4_All_periods'!C65</f>
        <v>90</v>
      </c>
      <c r="B10" s="14">
        <f>'4_All_periods'!D65</f>
        <v>0.31219999999999998</v>
      </c>
      <c r="C10" s="14">
        <f>'4_All_periods'!E65</f>
        <v>0.38579999999999998</v>
      </c>
      <c r="D10" s="15">
        <f t="shared" si="0"/>
        <v>6.6999999999999837E-3</v>
      </c>
      <c r="E10" s="15">
        <f t="shared" si="1"/>
        <v>0.32329999999999998</v>
      </c>
      <c r="F10" s="15">
        <f t="shared" si="2"/>
        <v>0.38579999999999998</v>
      </c>
      <c r="G10" s="16" t="str">
        <f t="shared" si="3"/>
        <v>charge/import</v>
      </c>
    </row>
    <row r="11" spans="1:7" ht="17.100000000000001" customHeight="1" x14ac:dyDescent="0.25">
      <c r="A11" s="13">
        <f>'4_All_periods'!C66</f>
        <v>120</v>
      </c>
      <c r="B11" s="14">
        <f>'4_All_periods'!D66</f>
        <v>0.1862</v>
      </c>
      <c r="C11" s="14">
        <f>'4_All_periods'!E66</f>
        <v>0.35709999999999997</v>
      </c>
      <c r="D11" s="15">
        <f t="shared" si="0"/>
        <v>-0.11929999999999999</v>
      </c>
      <c r="E11" s="15">
        <f t="shared" si="1"/>
        <v>0.29459999999999997</v>
      </c>
      <c r="F11" s="15">
        <f t="shared" si="2"/>
        <v>0.21615767169142308</v>
      </c>
      <c r="G11" s="16" t="str">
        <f t="shared" si="3"/>
        <v>discharge/export</v>
      </c>
    </row>
    <row r="12" spans="1:7" ht="17.100000000000001" customHeight="1" x14ac:dyDescent="0.25">
      <c r="A12" s="13">
        <f>'4_All_periods'!C67</f>
        <v>150</v>
      </c>
      <c r="B12" s="14">
        <f>'4_All_periods'!D67</f>
        <v>0.18379999999999999</v>
      </c>
      <c r="C12" s="14">
        <f>'4_All_periods'!E67</f>
        <v>0.35560000000000003</v>
      </c>
      <c r="D12" s="15">
        <f t="shared" si="0"/>
        <v>-0.1217</v>
      </c>
      <c r="E12" s="15">
        <f t="shared" si="1"/>
        <v>0.29310000000000003</v>
      </c>
      <c r="F12" s="15">
        <f t="shared" si="2"/>
        <v>1.8624530784420168E-2</v>
      </c>
      <c r="G12" s="16" t="str">
        <f t="shared" si="3"/>
        <v>discharge/export</v>
      </c>
    </row>
    <row r="13" spans="1:7" ht="17.100000000000001" customHeight="1" x14ac:dyDescent="0.25">
      <c r="A13" s="13">
        <f>'4_All_periods'!C68</f>
        <v>180</v>
      </c>
      <c r="B13" s="14">
        <f>'4_All_periods'!D68</f>
        <v>0.18160000000000001</v>
      </c>
      <c r="C13" s="14">
        <f>'4_All_periods'!E68</f>
        <v>-0.19969999999999999</v>
      </c>
      <c r="D13" s="15">
        <f t="shared" si="0"/>
        <v>-0.12389999999999998</v>
      </c>
      <c r="E13" s="15">
        <f t="shared" si="1"/>
        <v>-0.26219999999999999</v>
      </c>
      <c r="F13" s="15">
        <f t="shared" si="2"/>
        <v>-0.18160000000000004</v>
      </c>
      <c r="G13" s="16" t="str">
        <f t="shared" si="3"/>
        <v>discharge/export</v>
      </c>
    </row>
    <row r="14" spans="1:7" ht="17.100000000000001" customHeight="1" x14ac:dyDescent="0.25">
      <c r="A14" s="13">
        <f>'4_All_periods'!C69</f>
        <v>210</v>
      </c>
      <c r="B14" s="14">
        <f>'4_All_periods'!D69</f>
        <v>0.18990000000000001</v>
      </c>
      <c r="C14" s="14">
        <f>'4_All_periods'!E69</f>
        <v>-0.2288</v>
      </c>
      <c r="D14" s="15">
        <f t="shared" si="0"/>
        <v>-0.11559999999999998</v>
      </c>
      <c r="E14" s="15">
        <f t="shared" si="1"/>
        <v>-0.2913</v>
      </c>
      <c r="F14" s="15">
        <f t="shared" si="2"/>
        <v>-5.0058224178664873E-2</v>
      </c>
      <c r="G14" s="16" t="str">
        <f t="shared" si="3"/>
        <v>discharge/export</v>
      </c>
    </row>
    <row r="15" spans="1:7" ht="17.100000000000001" customHeight="1" x14ac:dyDescent="0.25">
      <c r="A15" s="13">
        <f>'4_All_periods'!C70</f>
        <v>240</v>
      </c>
      <c r="B15" s="14">
        <f>'4_All_periods'!D70</f>
        <v>0.1993</v>
      </c>
      <c r="C15" s="14">
        <f>'4_All_periods'!E70</f>
        <v>-0.23530000000000001</v>
      </c>
      <c r="D15" s="15">
        <f t="shared" si="0"/>
        <v>-0.10619999999999999</v>
      </c>
      <c r="E15" s="15">
        <f t="shared" si="1"/>
        <v>-0.29780000000000001</v>
      </c>
      <c r="F15" s="15">
        <f t="shared" si="2"/>
        <v>0.10412577751047826</v>
      </c>
      <c r="G15" s="16" t="str">
        <f t="shared" si="3"/>
        <v>discharge/export</v>
      </c>
    </row>
    <row r="16" spans="1:7" ht="17.100000000000001" customHeight="1" x14ac:dyDescent="0.25">
      <c r="A16" s="13">
        <f>'4_All_periods'!C71</f>
        <v>270</v>
      </c>
      <c r="B16" s="14">
        <f>'4_All_periods'!D71</f>
        <v>0.30659999999999998</v>
      </c>
      <c r="C16" s="14">
        <f>'4_All_periods'!E71</f>
        <v>-0.25929999999999997</v>
      </c>
      <c r="D16" s="15">
        <f t="shared" si="0"/>
        <v>1.0999999999999899E-3</v>
      </c>
      <c r="E16" s="15">
        <f t="shared" si="1"/>
        <v>-0.32179999999999997</v>
      </c>
      <c r="F16" s="15">
        <f t="shared" si="2"/>
        <v>0.25929999999999992</v>
      </c>
      <c r="G16" s="16" t="str">
        <f t="shared" si="3"/>
        <v>charge/import</v>
      </c>
    </row>
    <row r="17" spans="1:7" ht="17.100000000000001" customHeight="1" x14ac:dyDescent="0.25">
      <c r="A17" s="13">
        <f>'4_All_periods'!C72</f>
        <v>300</v>
      </c>
      <c r="B17" s="14">
        <f>'4_All_periods'!D72</f>
        <v>0.47049999999999997</v>
      </c>
      <c r="C17" s="14">
        <f>'4_All_periods'!E72</f>
        <v>-0.21529999999999999</v>
      </c>
      <c r="D17" s="15">
        <f t="shared" si="0"/>
        <v>0.16499999999999998</v>
      </c>
      <c r="E17" s="15">
        <f t="shared" si="1"/>
        <v>-0.27779999999999999</v>
      </c>
      <c r="F17" s="15">
        <f t="shared" si="2"/>
        <v>0.4217052694347897</v>
      </c>
      <c r="G17" s="16" t="str">
        <f t="shared" si="3"/>
        <v>charge/import</v>
      </c>
    </row>
    <row r="18" spans="1:7" ht="17.100000000000001" customHeight="1" x14ac:dyDescent="0.25">
      <c r="A18" s="13">
        <f>'4_All_periods'!C73</f>
        <v>330</v>
      </c>
      <c r="B18" s="14">
        <f>'4_All_periods'!D73</f>
        <v>0.59050000000000002</v>
      </c>
      <c r="C18" s="14">
        <f>'4_All_periods'!E73</f>
        <v>-9.5399999999999999E-2</v>
      </c>
      <c r="D18" s="15">
        <f t="shared" si="0"/>
        <v>0.28500000000000003</v>
      </c>
      <c r="E18" s="15">
        <f t="shared" si="1"/>
        <v>-0.15789999999999998</v>
      </c>
      <c r="F18" s="15">
        <f t="shared" si="2"/>
        <v>0.559088000934711</v>
      </c>
      <c r="G18" s="16" t="str">
        <f t="shared" si="3"/>
        <v>charge/import</v>
      </c>
    </row>
    <row r="19" spans="1:7" ht="17.100000000000001" customHeight="1" x14ac:dyDescent="0.25">
      <c r="A19" s="17" t="s">
        <v>76</v>
      </c>
      <c r="B19" s="18">
        <f>B7</f>
        <v>0.63280000000000003</v>
      </c>
      <c r="C19" s="18">
        <f>C7</f>
        <v>5.5E-2</v>
      </c>
      <c r="D19" s="18">
        <f>D7</f>
        <v>0.32730000000000004</v>
      </c>
      <c r="E19" s="18">
        <f>E7</f>
        <v>-7.4999999999999997E-3</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0.45120000000000005</v>
      </c>
    </row>
    <row r="23" spans="1:7" ht="18" customHeight="1" x14ac:dyDescent="0.25">
      <c r="A23" s="45" t="s">
        <v>79</v>
      </c>
      <c r="B23" s="46"/>
      <c r="C23" s="20">
        <f>MAX(0,MAX(D7:D18))</f>
        <v>0.32730000000000004</v>
      </c>
    </row>
    <row r="24" spans="1:7" ht="18" customHeight="1" x14ac:dyDescent="0.25">
      <c r="A24" s="45" t="s">
        <v>80</v>
      </c>
      <c r="B24" s="46"/>
      <c r="C24" s="20">
        <f>MAX(0,-MIN(D7:D18))</f>
        <v>0.12389999999999998</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"&amp;TEXT('4_All_periods'!H62,"0.00000")&amp;" pu"&amp;IF('4_All_periods'!H62&gt;=1.0999," → over-voltage limit is active"," → clear of the limit, so the battery bounds it"),"blocked at 180°: Vmax there = "&amp;TEXT('4_All_periods'!H68,"0.00000")&amp;" pu"&amp;IF('4_All_periods'!H68&gt;=1.0999,"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85" priority="1">
      <formula>ISNUMBER(SEARCH("charge",$G7))</formula>
    </cfRule>
    <cfRule type="expression" dxfId="84"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DD7EE"/>
    <pageSetUpPr fitToPage="1"/>
  </sheetPr>
  <dimension ref="A1:G27"/>
  <sheetViews>
    <sheetView showGridLines="0" workbookViewId="0">
      <pane ySplit="6" topLeftCell="A13"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146</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'4_All_periods'!I74</f>
        <v>0.30930000000000002</v>
      </c>
      <c r="C4" s="10" t="s">
        <v>69</v>
      </c>
      <c r="D4" s="11">
        <f>'4_All_periods'!J74</f>
        <v>6.3200000000000006E-2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'4_All_periods'!C74</f>
        <v>0</v>
      </c>
      <c r="B7" s="14">
        <f>'4_All_periods'!D74</f>
        <v>0.63600000000000001</v>
      </c>
      <c r="C7" s="14">
        <f>'4_All_periods'!E74</f>
        <v>5.7700000000000001E-2</v>
      </c>
      <c r="D7" s="15">
        <f t="shared" ref="D7:D18" si="0">B7-$B$4</f>
        <v>0.32669999999999999</v>
      </c>
      <c r="E7" s="15">
        <f t="shared" ref="E7:E18" si="1">C7-$D$4</f>
        <v>-5.5000000000000049E-3</v>
      </c>
      <c r="F7" s="15">
        <f t="shared" ref="F7:F18" si="2">B7*COS(RADIANS(A7))+C7*SIN(RADIANS(A7))</f>
        <v>0.63600000000000001</v>
      </c>
      <c r="G7" s="16" t="str">
        <f t="shared" ref="G7:G18" si="3">IF(D7&gt;0,"charge/import","discharge/export")</f>
        <v>charge/import</v>
      </c>
    </row>
    <row r="8" spans="1:7" ht="17.100000000000001" customHeight="1" x14ac:dyDescent="0.25">
      <c r="A8" s="13">
        <f>'4_All_periods'!C75</f>
        <v>30</v>
      </c>
      <c r="B8" s="14">
        <f>'4_All_periods'!D75</f>
        <v>0.58750000000000002</v>
      </c>
      <c r="C8" s="14">
        <f>'4_All_periods'!E75</f>
        <v>0.22939999999999999</v>
      </c>
      <c r="D8" s="15">
        <f t="shared" si="0"/>
        <v>0.2782</v>
      </c>
      <c r="E8" s="15">
        <f t="shared" si="1"/>
        <v>0.16619999999999999</v>
      </c>
      <c r="F8" s="15">
        <f t="shared" si="2"/>
        <v>0.62348992472335774</v>
      </c>
      <c r="G8" s="16" t="str">
        <f t="shared" si="3"/>
        <v>charge/import</v>
      </c>
    </row>
    <row r="9" spans="1:7" ht="17.100000000000001" customHeight="1" x14ac:dyDescent="0.25">
      <c r="A9" s="13">
        <f>'4_All_periods'!C76</f>
        <v>60</v>
      </c>
      <c r="B9" s="14">
        <f>'4_All_periods'!D76</f>
        <v>0.47239999999999999</v>
      </c>
      <c r="C9" s="14">
        <f>'4_All_periods'!E76</f>
        <v>0.34589999999999999</v>
      </c>
      <c r="D9" s="15">
        <f t="shared" si="0"/>
        <v>0.16309999999999997</v>
      </c>
      <c r="E9" s="15">
        <f t="shared" si="1"/>
        <v>0.28269999999999995</v>
      </c>
      <c r="F9" s="15">
        <f t="shared" si="2"/>
        <v>0.53575818716903734</v>
      </c>
      <c r="G9" s="16" t="str">
        <f t="shared" si="3"/>
        <v>charge/import</v>
      </c>
    </row>
    <row r="10" spans="1:7" ht="17.100000000000001" customHeight="1" x14ac:dyDescent="0.25">
      <c r="A10" s="13">
        <f>'4_All_periods'!C77</f>
        <v>90</v>
      </c>
      <c r="B10" s="14">
        <f>'4_All_periods'!D77</f>
        <v>0.31519999999999998</v>
      </c>
      <c r="C10" s="14">
        <f>'4_All_periods'!E77</f>
        <v>0.3871</v>
      </c>
      <c r="D10" s="15">
        <f t="shared" si="0"/>
        <v>5.8999999999999608E-3</v>
      </c>
      <c r="E10" s="15">
        <f t="shared" si="1"/>
        <v>0.32389999999999997</v>
      </c>
      <c r="F10" s="15">
        <f t="shared" si="2"/>
        <v>0.3871</v>
      </c>
      <c r="G10" s="16" t="str">
        <f t="shared" si="3"/>
        <v>charge/import</v>
      </c>
    </row>
    <row r="11" spans="1:7" ht="17.100000000000001" customHeight="1" x14ac:dyDescent="0.25">
      <c r="A11" s="13">
        <f>'4_All_periods'!C78</f>
        <v>120</v>
      </c>
      <c r="B11" s="14">
        <f>'4_All_periods'!D78</f>
        <v>0.1996</v>
      </c>
      <c r="C11" s="14">
        <f>'4_All_periods'!E78</f>
        <v>0.3624</v>
      </c>
      <c r="D11" s="15">
        <f t="shared" si="0"/>
        <v>-0.10970000000000002</v>
      </c>
      <c r="E11" s="15">
        <f t="shared" si="1"/>
        <v>0.29920000000000002</v>
      </c>
      <c r="F11" s="15">
        <f t="shared" si="2"/>
        <v>0.21404760633148062</v>
      </c>
      <c r="G11" s="16" t="str">
        <f t="shared" si="3"/>
        <v>discharge/export</v>
      </c>
    </row>
    <row r="12" spans="1:7" ht="17.100000000000001" customHeight="1" x14ac:dyDescent="0.25">
      <c r="A12" s="13">
        <f>'4_All_periods'!C79</f>
        <v>150</v>
      </c>
      <c r="B12" s="14">
        <f>'4_All_periods'!D79</f>
        <v>0.19819999999999999</v>
      </c>
      <c r="C12" s="14">
        <f>'4_All_periods'!E79</f>
        <v>0.36149999999999999</v>
      </c>
      <c r="D12" s="15">
        <f t="shared" si="0"/>
        <v>-0.11110000000000003</v>
      </c>
      <c r="E12" s="15">
        <f t="shared" si="1"/>
        <v>0.29830000000000001</v>
      </c>
      <c r="F12" s="15">
        <f t="shared" si="2"/>
        <v>9.1037649699242384E-3</v>
      </c>
      <c r="G12" s="16" t="str">
        <f t="shared" si="3"/>
        <v>discharge/export</v>
      </c>
    </row>
    <row r="13" spans="1:7" ht="17.100000000000001" customHeight="1" x14ac:dyDescent="0.25">
      <c r="A13" s="13">
        <f>'4_All_periods'!C80</f>
        <v>180</v>
      </c>
      <c r="B13" s="14">
        <f>'4_All_periods'!D80</f>
        <v>0.1958</v>
      </c>
      <c r="C13" s="14">
        <f>'4_All_periods'!E80</f>
        <v>-0.2016</v>
      </c>
      <c r="D13" s="15">
        <f t="shared" si="0"/>
        <v>-0.11350000000000002</v>
      </c>
      <c r="E13" s="15">
        <f t="shared" si="1"/>
        <v>-0.26480000000000004</v>
      </c>
      <c r="F13" s="15">
        <f t="shared" si="2"/>
        <v>-0.19580000000000003</v>
      </c>
      <c r="G13" s="16" t="str">
        <f t="shared" si="3"/>
        <v>discharge/export</v>
      </c>
    </row>
    <row r="14" spans="1:7" ht="17.100000000000001" customHeight="1" x14ac:dyDescent="0.25">
      <c r="A14" s="13">
        <f>'4_All_periods'!C81</f>
        <v>210</v>
      </c>
      <c r="B14" s="14">
        <f>'4_All_periods'!D81</f>
        <v>0.2031</v>
      </c>
      <c r="C14" s="14">
        <f>'4_All_periods'!E81</f>
        <v>-0.23100000000000001</v>
      </c>
      <c r="D14" s="15">
        <f t="shared" si="0"/>
        <v>-0.10620000000000002</v>
      </c>
      <c r="E14" s="15">
        <f t="shared" si="1"/>
        <v>-0.29420000000000002</v>
      </c>
      <c r="F14" s="15">
        <f t="shared" si="2"/>
        <v>-6.0389759508619453E-2</v>
      </c>
      <c r="G14" s="16" t="str">
        <f t="shared" si="3"/>
        <v>discharge/export</v>
      </c>
    </row>
    <row r="15" spans="1:7" ht="17.100000000000001" customHeight="1" x14ac:dyDescent="0.25">
      <c r="A15" s="13">
        <f>'4_All_periods'!C82</f>
        <v>240</v>
      </c>
      <c r="B15" s="14">
        <f>'4_All_periods'!D82</f>
        <v>0.21099999999999999</v>
      </c>
      <c r="C15" s="14">
        <f>'4_All_periods'!E82</f>
        <v>-0.23630000000000001</v>
      </c>
      <c r="D15" s="15">
        <f t="shared" si="0"/>
        <v>-9.8300000000000026E-2</v>
      </c>
      <c r="E15" s="15">
        <f t="shared" si="1"/>
        <v>-0.29949999999999999</v>
      </c>
      <c r="F15" s="15">
        <f t="shared" si="2"/>
        <v>9.9141802914262694E-2</v>
      </c>
      <c r="G15" s="16" t="str">
        <f t="shared" si="3"/>
        <v>discharge/export</v>
      </c>
    </row>
    <row r="16" spans="1:7" ht="17.100000000000001" customHeight="1" x14ac:dyDescent="0.25">
      <c r="A16" s="13">
        <f>'4_All_periods'!C83</f>
        <v>270</v>
      </c>
      <c r="B16" s="14">
        <f>'4_All_periods'!D83</f>
        <v>0.30940000000000001</v>
      </c>
      <c r="C16" s="14">
        <f>'4_All_periods'!E83</f>
        <v>-0.25800000000000001</v>
      </c>
      <c r="D16" s="15">
        <f t="shared" si="0"/>
        <v>9.9999999999988987E-5</v>
      </c>
      <c r="E16" s="15">
        <f t="shared" si="1"/>
        <v>-0.32120000000000004</v>
      </c>
      <c r="F16" s="15">
        <f t="shared" si="2"/>
        <v>0.25799999999999995</v>
      </c>
      <c r="G16" s="16" t="str">
        <f t="shared" si="3"/>
        <v>charge/import</v>
      </c>
    </row>
    <row r="17" spans="1:7" ht="17.100000000000001" customHeight="1" x14ac:dyDescent="0.25">
      <c r="A17" s="13">
        <f>'4_All_periods'!C84</f>
        <v>300</v>
      </c>
      <c r="B17" s="14">
        <f>'4_All_periods'!D84</f>
        <v>0.4733</v>
      </c>
      <c r="C17" s="14">
        <f>'4_All_periods'!E84</f>
        <v>-0.214</v>
      </c>
      <c r="D17" s="15">
        <f t="shared" si="0"/>
        <v>0.16399999999999998</v>
      </c>
      <c r="E17" s="15">
        <f t="shared" si="1"/>
        <v>-0.2772</v>
      </c>
      <c r="F17" s="15">
        <f t="shared" si="2"/>
        <v>0.4219794364098699</v>
      </c>
      <c r="G17" s="16" t="str">
        <f t="shared" si="3"/>
        <v>charge/import</v>
      </c>
    </row>
    <row r="18" spans="1:7" ht="17.100000000000001" customHeight="1" x14ac:dyDescent="0.25">
      <c r="A18" s="13">
        <f>'4_All_periods'!C85</f>
        <v>330</v>
      </c>
      <c r="B18" s="14">
        <f>'4_All_periods'!D85</f>
        <v>0.59340000000000004</v>
      </c>
      <c r="C18" s="14">
        <f>'4_All_periods'!E85</f>
        <v>-9.4100000000000003E-2</v>
      </c>
      <c r="D18" s="15">
        <f t="shared" si="0"/>
        <v>0.28410000000000002</v>
      </c>
      <c r="E18" s="15">
        <f t="shared" si="1"/>
        <v>-0.1573</v>
      </c>
      <c r="F18" s="15">
        <f t="shared" si="2"/>
        <v>0.56094947460568578</v>
      </c>
      <c r="G18" s="16" t="str">
        <f t="shared" si="3"/>
        <v>charge/import</v>
      </c>
    </row>
    <row r="19" spans="1:7" ht="17.100000000000001" customHeight="1" x14ac:dyDescent="0.25">
      <c r="A19" s="17" t="s">
        <v>76</v>
      </c>
      <c r="B19" s="18">
        <f>B7</f>
        <v>0.63600000000000001</v>
      </c>
      <c r="C19" s="18">
        <f>C7</f>
        <v>5.7700000000000001E-2</v>
      </c>
      <c r="D19" s="18">
        <f>D7</f>
        <v>0.32669999999999999</v>
      </c>
      <c r="E19" s="18">
        <f>E7</f>
        <v>-5.5000000000000049E-3</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0.44020000000000004</v>
      </c>
    </row>
    <row r="23" spans="1:7" ht="18" customHeight="1" x14ac:dyDescent="0.25">
      <c r="A23" s="45" t="s">
        <v>79</v>
      </c>
      <c r="B23" s="46"/>
      <c r="C23" s="20">
        <f>MAX(0,MAX(D7:D18))</f>
        <v>0.32669999999999999</v>
      </c>
    </row>
    <row r="24" spans="1:7" ht="18" customHeight="1" x14ac:dyDescent="0.25">
      <c r="A24" s="45" t="s">
        <v>80</v>
      </c>
      <c r="B24" s="46"/>
      <c r="C24" s="20">
        <f>MAX(0,-MIN(D7:D18))</f>
        <v>0.11350000000000002</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"&amp;TEXT('4_All_periods'!H74,"0.00000")&amp;" pu"&amp;IF('4_All_periods'!H74&gt;=1.0999," → over-voltage limit is active"," → clear of the limit, so the battery bounds it"),"blocked at 180°: Vmax there = "&amp;TEXT('4_All_periods'!H80,"0.00000")&amp;" pu"&amp;IF('4_All_periods'!H80&gt;=1.0999,"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83" priority="1">
      <formula>ISNUMBER(SEARCH("charge",$G7))</formula>
    </cfRule>
    <cfRule type="expression" dxfId="82"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147</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'4_All_periods'!I86</f>
        <v>0.31230000000000002</v>
      </c>
      <c r="C4" s="10" t="s">
        <v>69</v>
      </c>
      <c r="D4" s="11">
        <f>'4_All_periods'!J86</f>
        <v>6.4500000000000002E-2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'4_All_periods'!C86</f>
        <v>0</v>
      </c>
      <c r="B7" s="14">
        <f>'4_All_periods'!D86</f>
        <v>0.56769999999999998</v>
      </c>
      <c r="C7" s="14">
        <f>'4_All_periods'!E86</f>
        <v>5.1200000000000002E-2</v>
      </c>
      <c r="D7" s="15">
        <f t="shared" ref="D7:D18" si="0">B7-$B$4</f>
        <v>0.25539999999999996</v>
      </c>
      <c r="E7" s="15">
        <f t="shared" ref="E7:E18" si="1">C7-$D$4</f>
        <v>-1.3299999999999999E-2</v>
      </c>
      <c r="F7" s="15">
        <f t="shared" ref="F7:F18" si="2">B7*COS(RADIANS(A7))+C7*SIN(RADIANS(A7))</f>
        <v>0.56769999999999998</v>
      </c>
      <c r="G7" s="16" t="str">
        <f t="shared" ref="G7:G18" si="3">IF(D7&gt;0,"charge/import","discharge/export")</f>
        <v>charge/import</v>
      </c>
    </row>
    <row r="8" spans="1:7" ht="17.100000000000001" customHeight="1" x14ac:dyDescent="0.25">
      <c r="A8" s="13">
        <f>'4_All_periods'!C87</f>
        <v>30</v>
      </c>
      <c r="B8" s="14">
        <f>'4_All_periods'!D87</f>
        <v>0.51910000000000001</v>
      </c>
      <c r="C8" s="14">
        <f>'4_All_periods'!E87</f>
        <v>0.22409999999999999</v>
      </c>
      <c r="D8" s="15">
        <f t="shared" si="0"/>
        <v>0.20679999999999998</v>
      </c>
      <c r="E8" s="15">
        <f t="shared" si="1"/>
        <v>0.15959999999999999</v>
      </c>
      <c r="F8" s="15">
        <f t="shared" si="2"/>
        <v>0.56160378710450209</v>
      </c>
      <c r="G8" s="16" t="str">
        <f t="shared" si="3"/>
        <v>charge/import</v>
      </c>
    </row>
    <row r="9" spans="1:7" ht="17.100000000000001" customHeight="1" x14ac:dyDescent="0.25">
      <c r="A9" s="13">
        <f>'4_All_periods'!C88</f>
        <v>60</v>
      </c>
      <c r="B9" s="14">
        <f>'4_All_periods'!D88</f>
        <v>0.40389999999999998</v>
      </c>
      <c r="C9" s="14">
        <f>'4_All_periods'!E88</f>
        <v>0.3407</v>
      </c>
      <c r="D9" s="15">
        <f t="shared" si="0"/>
        <v>9.1599999999999959E-2</v>
      </c>
      <c r="E9" s="15">
        <f t="shared" si="1"/>
        <v>0.2762</v>
      </c>
      <c r="F9" s="15">
        <f t="shared" si="2"/>
        <v>0.49700485506935832</v>
      </c>
      <c r="G9" s="16" t="str">
        <f t="shared" si="3"/>
        <v>charge/import</v>
      </c>
    </row>
    <row r="10" spans="1:7" ht="17.100000000000001" customHeight="1" x14ac:dyDescent="0.25">
      <c r="A10" s="13">
        <f>'4_All_periods'!C89</f>
        <v>90</v>
      </c>
      <c r="B10" s="14">
        <f>'4_All_periods'!D89</f>
        <v>0.24679999999999999</v>
      </c>
      <c r="C10" s="14">
        <f>'4_All_periods'!E89</f>
        <v>0.38200000000000001</v>
      </c>
      <c r="D10" s="15">
        <f t="shared" si="0"/>
        <v>-6.550000000000003E-2</v>
      </c>
      <c r="E10" s="15">
        <f t="shared" si="1"/>
        <v>0.3175</v>
      </c>
      <c r="F10" s="15">
        <f t="shared" si="2"/>
        <v>0.38200000000000001</v>
      </c>
      <c r="G10" s="16" t="str">
        <f t="shared" si="3"/>
        <v>discharge/export</v>
      </c>
    </row>
    <row r="11" spans="1:7" ht="17.100000000000001" customHeight="1" x14ac:dyDescent="0.25">
      <c r="A11" s="13">
        <f>'4_All_periods'!C90</f>
        <v>120</v>
      </c>
      <c r="B11" s="14">
        <f>'4_All_periods'!D90</f>
        <v>0.1424</v>
      </c>
      <c r="C11" s="14">
        <f>'4_All_periods'!E90</f>
        <v>0.36099999999999999</v>
      </c>
      <c r="D11" s="15">
        <f t="shared" si="0"/>
        <v>-0.16990000000000002</v>
      </c>
      <c r="E11" s="15">
        <f t="shared" si="1"/>
        <v>0.29649999999999999</v>
      </c>
      <c r="F11" s="15">
        <f t="shared" si="2"/>
        <v>0.24143517076618237</v>
      </c>
      <c r="G11" s="16" t="str">
        <f t="shared" si="3"/>
        <v>discharge/export</v>
      </c>
    </row>
    <row r="12" spans="1:7" ht="17.100000000000001" customHeight="1" x14ac:dyDescent="0.25">
      <c r="A12" s="13">
        <f>'4_All_periods'!C91</f>
        <v>150</v>
      </c>
      <c r="B12" s="14">
        <f>'4_All_periods'!D91</f>
        <v>0.1414</v>
      </c>
      <c r="C12" s="14">
        <f>'4_All_periods'!E91</f>
        <v>0.3604</v>
      </c>
      <c r="D12" s="15">
        <f t="shared" si="0"/>
        <v>-0.17090000000000002</v>
      </c>
      <c r="E12" s="15">
        <f t="shared" si="1"/>
        <v>0.2959</v>
      </c>
      <c r="F12" s="15">
        <f t="shared" si="2"/>
        <v>5.7744007904880337E-2</v>
      </c>
      <c r="G12" s="16" t="str">
        <f t="shared" si="3"/>
        <v>discharge/export</v>
      </c>
    </row>
    <row r="13" spans="1:7" ht="17.100000000000001" customHeight="1" x14ac:dyDescent="0.25">
      <c r="A13" s="13">
        <f>'4_All_periods'!C92</f>
        <v>180</v>
      </c>
      <c r="B13" s="14">
        <f>'4_All_periods'!D92</f>
        <v>0.1394</v>
      </c>
      <c r="C13" s="14">
        <f>'4_All_periods'!E92</f>
        <v>-0.2162</v>
      </c>
      <c r="D13" s="15">
        <f t="shared" si="0"/>
        <v>-0.17290000000000003</v>
      </c>
      <c r="E13" s="15">
        <f t="shared" si="1"/>
        <v>-0.28070000000000001</v>
      </c>
      <c r="F13" s="15">
        <f t="shared" si="2"/>
        <v>-0.13940000000000002</v>
      </c>
      <c r="G13" s="16" t="str">
        <f t="shared" si="3"/>
        <v>discharge/export</v>
      </c>
    </row>
    <row r="14" spans="1:7" ht="17.100000000000001" customHeight="1" x14ac:dyDescent="0.25">
      <c r="A14" s="13">
        <f>'4_All_periods'!C93</f>
        <v>210</v>
      </c>
      <c r="B14" s="14">
        <f>'4_All_periods'!D93</f>
        <v>0.14580000000000001</v>
      </c>
      <c r="C14" s="14">
        <f>'4_All_periods'!E93</f>
        <v>-0.23949999999999999</v>
      </c>
      <c r="D14" s="15">
        <f t="shared" si="0"/>
        <v>-0.16650000000000001</v>
      </c>
      <c r="E14" s="15">
        <f t="shared" si="1"/>
        <v>-0.30399999999999999</v>
      </c>
      <c r="F14" s="15">
        <f t="shared" si="2"/>
        <v>-6.5165038717711343E-3</v>
      </c>
      <c r="G14" s="16" t="str">
        <f t="shared" si="3"/>
        <v>discharge/export</v>
      </c>
    </row>
    <row r="15" spans="1:7" ht="17.100000000000001" customHeight="1" x14ac:dyDescent="0.25">
      <c r="A15" s="13">
        <f>'4_All_periods'!C94</f>
        <v>240</v>
      </c>
      <c r="B15" s="14">
        <f>'4_All_periods'!D94</f>
        <v>0.15329999999999999</v>
      </c>
      <c r="C15" s="14">
        <f>'4_All_periods'!E94</f>
        <v>-0.24460000000000001</v>
      </c>
      <c r="D15" s="15">
        <f t="shared" si="0"/>
        <v>-0.15900000000000003</v>
      </c>
      <c r="E15" s="15">
        <f t="shared" si="1"/>
        <v>-0.30910000000000004</v>
      </c>
      <c r="F15" s="15">
        <f t="shared" si="2"/>
        <v>0.13517981376567356</v>
      </c>
      <c r="G15" s="16" t="str">
        <f t="shared" si="3"/>
        <v>discharge/export</v>
      </c>
    </row>
    <row r="16" spans="1:7" ht="17.100000000000001" customHeight="1" x14ac:dyDescent="0.25">
      <c r="A16" s="13">
        <f>'4_All_periods'!C95</f>
        <v>270</v>
      </c>
      <c r="B16" s="14">
        <f>'4_All_periods'!D95</f>
        <v>0.24199999999999999</v>
      </c>
      <c r="C16" s="14">
        <f>'4_All_periods'!E95</f>
        <v>-0.26340000000000002</v>
      </c>
      <c r="D16" s="15">
        <f t="shared" si="0"/>
        <v>-7.0300000000000029E-2</v>
      </c>
      <c r="E16" s="15">
        <f t="shared" si="1"/>
        <v>-0.32790000000000002</v>
      </c>
      <c r="F16" s="15">
        <f t="shared" si="2"/>
        <v>0.26339999999999997</v>
      </c>
      <c r="G16" s="16" t="str">
        <f t="shared" si="3"/>
        <v>discharge/export</v>
      </c>
    </row>
    <row r="17" spans="1:7" ht="17.100000000000001" customHeight="1" x14ac:dyDescent="0.25">
      <c r="A17" s="13">
        <f>'4_All_periods'!C96</f>
        <v>300</v>
      </c>
      <c r="B17" s="14">
        <f>'4_All_periods'!D96</f>
        <v>0.40550000000000003</v>
      </c>
      <c r="C17" s="14">
        <f>'4_All_periods'!E96</f>
        <v>-0.2195</v>
      </c>
      <c r="D17" s="15">
        <f t="shared" si="0"/>
        <v>9.3200000000000005E-2</v>
      </c>
      <c r="E17" s="15">
        <f t="shared" si="1"/>
        <v>-0.28400000000000003</v>
      </c>
      <c r="F17" s="15">
        <f t="shared" si="2"/>
        <v>0.39284257613068435</v>
      </c>
      <c r="G17" s="16" t="str">
        <f t="shared" si="3"/>
        <v>charge/import</v>
      </c>
    </row>
    <row r="18" spans="1:7" ht="17.100000000000001" customHeight="1" x14ac:dyDescent="0.25">
      <c r="A18" s="13">
        <f>'4_All_periods'!C97</f>
        <v>330</v>
      </c>
      <c r="B18" s="14">
        <f>'4_All_periods'!D97</f>
        <v>0.5252</v>
      </c>
      <c r="C18" s="14">
        <f>'4_All_periods'!E97</f>
        <v>-9.98E-2</v>
      </c>
      <c r="D18" s="15">
        <f t="shared" si="0"/>
        <v>0.21289999999999998</v>
      </c>
      <c r="E18" s="15">
        <f t="shared" si="1"/>
        <v>-0.1643</v>
      </c>
      <c r="F18" s="15">
        <f t="shared" si="2"/>
        <v>0.50473654206758711</v>
      </c>
      <c r="G18" s="16" t="str">
        <f t="shared" si="3"/>
        <v>charge/import</v>
      </c>
    </row>
    <row r="19" spans="1:7" ht="17.100000000000001" customHeight="1" x14ac:dyDescent="0.25">
      <c r="A19" s="17" t="s">
        <v>76</v>
      </c>
      <c r="B19" s="18">
        <f>B7</f>
        <v>0.56769999999999998</v>
      </c>
      <c r="C19" s="18">
        <f>C7</f>
        <v>5.1200000000000002E-2</v>
      </c>
      <c r="D19" s="18">
        <f>D7</f>
        <v>0.25539999999999996</v>
      </c>
      <c r="E19" s="18">
        <f>E7</f>
        <v>-1.3299999999999999E-2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0.42830000000000001</v>
      </c>
    </row>
    <row r="23" spans="1:7" ht="18" customHeight="1" x14ac:dyDescent="0.25">
      <c r="A23" s="45" t="s">
        <v>79</v>
      </c>
      <c r="B23" s="46"/>
      <c r="C23" s="20">
        <f>MAX(0,MAX(D7:D18))</f>
        <v>0.25539999999999996</v>
      </c>
    </row>
    <row r="24" spans="1:7" ht="18" customHeight="1" x14ac:dyDescent="0.25">
      <c r="A24" s="45" t="s">
        <v>80</v>
      </c>
      <c r="B24" s="46"/>
      <c r="C24" s="20">
        <f>MAX(0,-MIN(D7:D18))</f>
        <v>0.17290000000000003</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"&amp;TEXT('4_All_periods'!H86,"0.00000")&amp;" pu"&amp;IF('4_All_periods'!H86&gt;=1.0999," → over-voltage limit is active"," → clear of the limit, so the battery bounds it"),"blocked at 180°: Vmax there = "&amp;TEXT('4_All_periods'!H92,"0.00000")&amp;" pu"&amp;IF('4_All_periods'!H92&gt;=1.0999,"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81" priority="1">
      <formula>ISNUMBER(SEARCH("charge",$G7))</formula>
    </cfRule>
    <cfRule type="expression" dxfId="80"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148</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'4_All_periods'!I98</f>
        <v>0.24429999999999999</v>
      </c>
      <c r="C4" s="10" t="s">
        <v>69</v>
      </c>
      <c r="D4" s="11">
        <f>'4_All_periods'!J98</f>
        <v>5.9299999999999999E-2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'4_All_periods'!C98</f>
        <v>0</v>
      </c>
      <c r="B7" s="14">
        <f>'4_All_periods'!D98</f>
        <v>0.40810000000000002</v>
      </c>
      <c r="C7" s="14">
        <f>'4_All_periods'!E98</f>
        <v>5.8799999999999998E-2</v>
      </c>
      <c r="D7" s="15">
        <f t="shared" ref="D7:D18" si="0">B7-$B$4</f>
        <v>0.16380000000000003</v>
      </c>
      <c r="E7" s="15">
        <f t="shared" ref="E7:E18" si="1">C7-$D$4</f>
        <v>-5.0000000000000044E-4</v>
      </c>
      <c r="F7" s="15">
        <f t="shared" ref="F7:F18" si="2">B7*COS(RADIANS(A7))+C7*SIN(RADIANS(A7))</f>
        <v>0.40810000000000002</v>
      </c>
      <c r="G7" s="16" t="str">
        <f t="shared" ref="G7:G18" si="3">IF(D7&gt;0,"charge/import","discharge/export")</f>
        <v>charge/import</v>
      </c>
    </row>
    <row r="8" spans="1:7" ht="17.100000000000001" customHeight="1" x14ac:dyDescent="0.25">
      <c r="A8" s="13">
        <f>'4_All_periods'!C99</f>
        <v>30</v>
      </c>
      <c r="B8" s="14">
        <f>'4_All_periods'!D99</f>
        <v>0.36070000000000002</v>
      </c>
      <c r="C8" s="14">
        <f>'4_All_periods'!E99</f>
        <v>0.22550000000000001</v>
      </c>
      <c r="D8" s="15">
        <f t="shared" si="0"/>
        <v>0.11640000000000003</v>
      </c>
      <c r="E8" s="15">
        <f t="shared" si="1"/>
        <v>0.16620000000000001</v>
      </c>
      <c r="F8" s="15">
        <f t="shared" si="2"/>
        <v>0.42512536314504701</v>
      </c>
      <c r="G8" s="16" t="str">
        <f t="shared" si="3"/>
        <v>charge/import</v>
      </c>
    </row>
    <row r="9" spans="1:7" ht="17.100000000000001" customHeight="1" x14ac:dyDescent="0.25">
      <c r="A9" s="13">
        <f>'4_All_periods'!C100</f>
        <v>60</v>
      </c>
      <c r="B9" s="14">
        <f>'4_All_periods'!D100</f>
        <v>0.24560000000000001</v>
      </c>
      <c r="C9" s="14">
        <f>'4_All_periods'!E100</f>
        <v>0.34210000000000002</v>
      </c>
      <c r="D9" s="15">
        <f t="shared" si="0"/>
        <v>1.3000000000000234E-3</v>
      </c>
      <c r="E9" s="15">
        <f t="shared" si="1"/>
        <v>0.2828</v>
      </c>
      <c r="F9" s="15">
        <f t="shared" si="2"/>
        <v>0.41906729063465648</v>
      </c>
      <c r="G9" s="16" t="str">
        <f t="shared" si="3"/>
        <v>charge/import</v>
      </c>
    </row>
    <row r="10" spans="1:7" ht="17.100000000000001" customHeight="1" x14ac:dyDescent="0.25">
      <c r="A10" s="13">
        <f>'4_All_periods'!C101</f>
        <v>90</v>
      </c>
      <c r="B10" s="14">
        <f>'4_All_periods'!D101</f>
        <v>8.6199999999999999E-2</v>
      </c>
      <c r="C10" s="14">
        <f>'4_All_periods'!E101</f>
        <v>0.38429999999999997</v>
      </c>
      <c r="D10" s="15">
        <f t="shared" si="0"/>
        <v>-0.15809999999999999</v>
      </c>
      <c r="E10" s="15">
        <f t="shared" si="1"/>
        <v>0.32499999999999996</v>
      </c>
      <c r="F10" s="15">
        <f t="shared" si="2"/>
        <v>0.38429999999999997</v>
      </c>
      <c r="G10" s="16" t="str">
        <f t="shared" si="3"/>
        <v>discharge/export</v>
      </c>
    </row>
    <row r="11" spans="1:7" ht="17.100000000000001" customHeight="1" x14ac:dyDescent="0.25">
      <c r="A11" s="13">
        <f>'4_All_periods'!C102</f>
        <v>120</v>
      </c>
      <c r="B11" s="14">
        <f>'4_All_periods'!D102</f>
        <v>-1.0699999999999999E-2</v>
      </c>
      <c r="C11" s="14">
        <f>'4_All_periods'!E102</f>
        <v>0.36559999999999998</v>
      </c>
      <c r="D11" s="15">
        <f t="shared" si="0"/>
        <v>-0.255</v>
      </c>
      <c r="E11" s="15">
        <f t="shared" si="1"/>
        <v>0.30629999999999996</v>
      </c>
      <c r="F11" s="15">
        <f t="shared" si="2"/>
        <v>0.32196888762359077</v>
      </c>
      <c r="G11" s="16" t="str">
        <f t="shared" si="3"/>
        <v>discharge/export</v>
      </c>
    </row>
    <row r="12" spans="1:7" ht="17.100000000000001" customHeight="1" x14ac:dyDescent="0.25">
      <c r="A12" s="13">
        <f>'4_All_periods'!C103</f>
        <v>150</v>
      </c>
      <c r="B12" s="14">
        <f>'4_All_periods'!D103</f>
        <v>-1.1599999999999999E-2</v>
      </c>
      <c r="C12" s="14">
        <f>'4_All_periods'!E103</f>
        <v>0.36509999999999998</v>
      </c>
      <c r="D12" s="15">
        <f t="shared" si="0"/>
        <v>-0.25590000000000002</v>
      </c>
      <c r="E12" s="15">
        <f t="shared" si="1"/>
        <v>0.30579999999999996</v>
      </c>
      <c r="F12" s="15">
        <f t="shared" si="2"/>
        <v>0.19259589468389945</v>
      </c>
      <c r="G12" s="16" t="str">
        <f t="shared" si="3"/>
        <v>discharge/export</v>
      </c>
    </row>
    <row r="13" spans="1:7" ht="17.100000000000001" customHeight="1" x14ac:dyDescent="0.25">
      <c r="A13" s="13">
        <f>'4_All_periods'!C104</f>
        <v>180</v>
      </c>
      <c r="B13" s="14">
        <f>'4_All_periods'!D104</f>
        <v>-1.3100000000000001E-2</v>
      </c>
      <c r="C13" s="14">
        <f>'4_All_periods'!E104</f>
        <v>-0.2082</v>
      </c>
      <c r="D13" s="15">
        <f t="shared" si="0"/>
        <v>-0.25739999999999996</v>
      </c>
      <c r="E13" s="15">
        <f t="shared" si="1"/>
        <v>-0.26750000000000002</v>
      </c>
      <c r="F13" s="15">
        <f t="shared" si="2"/>
        <v>1.3099999999999975E-2</v>
      </c>
      <c r="G13" s="16" t="str">
        <f t="shared" si="3"/>
        <v>discharge/export</v>
      </c>
    </row>
    <row r="14" spans="1:7" ht="17.100000000000001" customHeight="1" x14ac:dyDescent="0.25">
      <c r="A14" s="13">
        <f>'4_All_periods'!C105</f>
        <v>210</v>
      </c>
      <c r="B14" s="14">
        <f>'4_All_periods'!D105</f>
        <v>-5.8999999999999999E-3</v>
      </c>
      <c r="C14" s="14">
        <f>'4_All_periods'!E105</f>
        <v>-0.23849999999999999</v>
      </c>
      <c r="D14" s="15">
        <f t="shared" si="0"/>
        <v>-0.25019999999999998</v>
      </c>
      <c r="E14" s="15">
        <f t="shared" si="1"/>
        <v>-0.29780000000000001</v>
      </c>
      <c r="F14" s="15">
        <f t="shared" si="2"/>
        <v>0.12435954988232821</v>
      </c>
      <c r="G14" s="16" t="str">
        <f t="shared" si="3"/>
        <v>discharge/export</v>
      </c>
    </row>
    <row r="15" spans="1:7" ht="17.100000000000001" customHeight="1" x14ac:dyDescent="0.25">
      <c r="A15" s="13">
        <f>'4_All_periods'!C106</f>
        <v>240</v>
      </c>
      <c r="B15" s="14">
        <f>'4_All_periods'!D106</f>
        <v>2.5999999999999999E-3</v>
      </c>
      <c r="C15" s="14">
        <f>'4_All_periods'!E106</f>
        <v>-0.24410000000000001</v>
      </c>
      <c r="D15" s="15">
        <f t="shared" si="0"/>
        <v>-0.2417</v>
      </c>
      <c r="E15" s="15">
        <f t="shared" si="1"/>
        <v>-0.3034</v>
      </c>
      <c r="F15" s="15">
        <f t="shared" si="2"/>
        <v>0.21009680106378142</v>
      </c>
      <c r="G15" s="16" t="str">
        <f t="shared" si="3"/>
        <v>discharge/export</v>
      </c>
    </row>
    <row r="16" spans="1:7" ht="17.100000000000001" customHeight="1" x14ac:dyDescent="0.25">
      <c r="A16" s="13">
        <f>'4_All_periods'!C107</f>
        <v>270</v>
      </c>
      <c r="B16" s="14">
        <f>'4_All_periods'!D107</f>
        <v>8.3900000000000002E-2</v>
      </c>
      <c r="C16" s="14">
        <f>'4_All_periods'!E107</f>
        <v>-0.26200000000000001</v>
      </c>
      <c r="D16" s="15">
        <f t="shared" si="0"/>
        <v>-0.16039999999999999</v>
      </c>
      <c r="E16" s="15">
        <f t="shared" si="1"/>
        <v>-0.32130000000000003</v>
      </c>
      <c r="F16" s="15">
        <f t="shared" si="2"/>
        <v>0.26200000000000001</v>
      </c>
      <c r="G16" s="16" t="str">
        <f t="shared" si="3"/>
        <v>discharge/export</v>
      </c>
    </row>
    <row r="17" spans="1:7" ht="17.100000000000001" customHeight="1" x14ac:dyDescent="0.25">
      <c r="A17" s="13">
        <f>'4_All_periods'!C108</f>
        <v>300</v>
      </c>
      <c r="B17" s="14">
        <f>'4_All_periods'!D108</f>
        <v>0.2455</v>
      </c>
      <c r="C17" s="14">
        <f>'4_All_periods'!E108</f>
        <v>-0.21840000000000001</v>
      </c>
      <c r="D17" s="15">
        <f t="shared" si="0"/>
        <v>1.2000000000000066E-3</v>
      </c>
      <c r="E17" s="15">
        <f t="shared" si="1"/>
        <v>-0.2777</v>
      </c>
      <c r="F17" s="15">
        <f t="shared" si="2"/>
        <v>0.31188994818652144</v>
      </c>
      <c r="G17" s="16" t="str">
        <f t="shared" si="3"/>
        <v>charge/import</v>
      </c>
    </row>
    <row r="18" spans="1:7" ht="17.100000000000001" customHeight="1" x14ac:dyDescent="0.25">
      <c r="A18" s="13">
        <f>'4_All_periods'!C109</f>
        <v>330</v>
      </c>
      <c r="B18" s="14">
        <f>'4_All_periods'!D109</f>
        <v>0.3649</v>
      </c>
      <c r="C18" s="14">
        <f>'4_All_periods'!E109</f>
        <v>-9.9000000000000005E-2</v>
      </c>
      <c r="D18" s="15">
        <f t="shared" si="0"/>
        <v>0.12060000000000001</v>
      </c>
      <c r="E18" s="15">
        <f t="shared" si="1"/>
        <v>-0.1583</v>
      </c>
      <c r="F18" s="15">
        <f t="shared" si="2"/>
        <v>0.36551266984094161</v>
      </c>
      <c r="G18" s="16" t="str">
        <f t="shared" si="3"/>
        <v>charge/import</v>
      </c>
    </row>
    <row r="19" spans="1:7" ht="17.100000000000001" customHeight="1" x14ac:dyDescent="0.25">
      <c r="A19" s="17" t="s">
        <v>76</v>
      </c>
      <c r="B19" s="18">
        <f>B7</f>
        <v>0.40810000000000002</v>
      </c>
      <c r="C19" s="18">
        <f>C7</f>
        <v>5.8799999999999998E-2</v>
      </c>
      <c r="D19" s="18">
        <f>D7</f>
        <v>0.16380000000000003</v>
      </c>
      <c r="E19" s="18">
        <f>E7</f>
        <v>-5.0000000000000044E-4</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0.42120000000000002</v>
      </c>
    </row>
    <row r="23" spans="1:7" ht="18" customHeight="1" x14ac:dyDescent="0.25">
      <c r="A23" s="45" t="s">
        <v>79</v>
      </c>
      <c r="B23" s="46"/>
      <c r="C23" s="20">
        <f>MAX(0,MAX(D7:D18))</f>
        <v>0.16380000000000003</v>
      </c>
    </row>
    <row r="24" spans="1:7" ht="18" customHeight="1" x14ac:dyDescent="0.25">
      <c r="A24" s="45" t="s">
        <v>80</v>
      </c>
      <c r="B24" s="46"/>
      <c r="C24" s="20">
        <f>MAX(0,-MIN(D7:D18))</f>
        <v>0.25739999999999996</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"&amp;TEXT('4_All_periods'!H98,"0.00000")&amp;" pu"&amp;IF('4_All_periods'!H98&gt;=1.0999," → over-voltage limit is active"," → clear of the limit, so the battery bounds it"),"blocked at 180°: Vmax there = "&amp;TEXT('4_All_periods'!H104,"0.00000")&amp;" pu"&amp;IF('4_All_periods'!H104&gt;=1.0999,"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79" priority="1">
      <formula>ISNUMBER(SEARCH("charge",$G7))</formula>
    </cfRule>
    <cfRule type="expression" dxfId="78"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149</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'4_All_periods'!I110</f>
        <v>8.4599999999999995E-2</v>
      </c>
      <c r="C4" s="10" t="s">
        <v>69</v>
      </c>
      <c r="D4" s="11">
        <f>'4_All_periods'!J110</f>
        <v>6.1199999999999997E-2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'4_All_periods'!C110</f>
        <v>0</v>
      </c>
      <c r="B7" s="14">
        <f>'4_All_periods'!D110</f>
        <v>0.18149999999999999</v>
      </c>
      <c r="C7" s="14">
        <f>'4_All_periods'!E110</f>
        <v>5.8999999999999997E-2</v>
      </c>
      <c r="D7" s="15">
        <f t="shared" ref="D7:D18" si="0">B7-$B$4</f>
        <v>9.69E-2</v>
      </c>
      <c r="E7" s="15">
        <f t="shared" ref="E7:E18" si="1">C7-$D$4</f>
        <v>-2.2000000000000006E-3</v>
      </c>
      <c r="F7" s="15">
        <f t="shared" ref="F7:F18" si="2">B7*COS(RADIANS(A7))+C7*SIN(RADIANS(A7))</f>
        <v>0.18149999999999999</v>
      </c>
      <c r="G7" s="16" t="str">
        <f t="shared" ref="G7:G18" si="3">IF(D7&gt;0,"charge/import","discharge/export")</f>
        <v>charge/import</v>
      </c>
    </row>
    <row r="8" spans="1:7" ht="17.100000000000001" customHeight="1" x14ac:dyDescent="0.25">
      <c r="A8" s="13">
        <f>'4_All_periods'!C111</f>
        <v>30</v>
      </c>
      <c r="B8" s="14">
        <f>'4_All_periods'!D111</f>
        <v>0.13589999999999999</v>
      </c>
      <c r="C8" s="14">
        <f>'4_All_periods'!E111</f>
        <v>0.22189999999999999</v>
      </c>
      <c r="D8" s="15">
        <f t="shared" si="0"/>
        <v>5.1299999999999998E-2</v>
      </c>
      <c r="E8" s="15">
        <f t="shared" si="1"/>
        <v>0.16069999999999998</v>
      </c>
      <c r="F8" s="15">
        <f t="shared" si="2"/>
        <v>0.22864285237430521</v>
      </c>
      <c r="G8" s="16" t="str">
        <f t="shared" si="3"/>
        <v>charge/import</v>
      </c>
    </row>
    <row r="9" spans="1:7" ht="17.100000000000001" customHeight="1" x14ac:dyDescent="0.25">
      <c r="A9" s="13">
        <f>'4_All_periods'!C112</f>
        <v>60</v>
      </c>
      <c r="B9" s="14">
        <f>'4_All_periods'!D112</f>
        <v>1.9099999999999999E-2</v>
      </c>
      <c r="C9" s="14">
        <f>'4_All_periods'!E112</f>
        <v>0.33950000000000002</v>
      </c>
      <c r="D9" s="15">
        <f t="shared" si="0"/>
        <v>-6.5500000000000003E-2</v>
      </c>
      <c r="E9" s="15">
        <f t="shared" si="1"/>
        <v>0.27830000000000005</v>
      </c>
      <c r="F9" s="15">
        <f t="shared" si="2"/>
        <v>0.30356562458481695</v>
      </c>
      <c r="G9" s="16" t="str">
        <f t="shared" si="3"/>
        <v>discharge/export</v>
      </c>
    </row>
    <row r="10" spans="1:7" ht="17.100000000000001" customHeight="1" x14ac:dyDescent="0.25">
      <c r="A10" s="13">
        <f>'4_All_periods'!C113</f>
        <v>90</v>
      </c>
      <c r="B10" s="14">
        <f>'4_All_periods'!D113</f>
        <v>-0.14080000000000001</v>
      </c>
      <c r="C10" s="14">
        <f>'4_All_periods'!E113</f>
        <v>0.38219999999999998</v>
      </c>
      <c r="D10" s="15">
        <f t="shared" si="0"/>
        <v>-0.22539999999999999</v>
      </c>
      <c r="E10" s="15">
        <f t="shared" si="1"/>
        <v>0.32100000000000001</v>
      </c>
      <c r="F10" s="15">
        <f t="shared" si="2"/>
        <v>0.38219999999999998</v>
      </c>
      <c r="G10" s="16" t="str">
        <f t="shared" si="3"/>
        <v>discharge/export</v>
      </c>
    </row>
    <row r="11" spans="1:7" ht="17.100000000000001" customHeight="1" x14ac:dyDescent="0.25">
      <c r="A11" s="13">
        <f>'4_All_periods'!C114</f>
        <v>120</v>
      </c>
      <c r="B11" s="14">
        <f>'4_All_periods'!D114</f>
        <v>-0.24060000000000001</v>
      </c>
      <c r="C11" s="14">
        <f>'4_All_periods'!E114</f>
        <v>0.36230000000000001</v>
      </c>
      <c r="D11" s="15">
        <f t="shared" si="0"/>
        <v>-0.32519999999999999</v>
      </c>
      <c r="E11" s="15">
        <f t="shared" si="1"/>
        <v>0.30110000000000003</v>
      </c>
      <c r="F11" s="15">
        <f t="shared" si="2"/>
        <v>0.43406100379110213</v>
      </c>
      <c r="G11" s="16" t="str">
        <f t="shared" si="3"/>
        <v>discharge/export</v>
      </c>
    </row>
    <row r="12" spans="1:7" ht="17.100000000000001" customHeight="1" x14ac:dyDescent="0.25">
      <c r="A12" s="13">
        <f>'4_All_periods'!C115</f>
        <v>150</v>
      </c>
      <c r="B12" s="14">
        <f>'4_All_periods'!D115</f>
        <v>-0.24229999999999999</v>
      </c>
      <c r="C12" s="14">
        <f>'4_All_periods'!E115</f>
        <v>0.36130000000000001</v>
      </c>
      <c r="D12" s="15">
        <f t="shared" si="0"/>
        <v>-0.32689999999999997</v>
      </c>
      <c r="E12" s="15">
        <f t="shared" si="1"/>
        <v>0.30010000000000003</v>
      </c>
      <c r="F12" s="15">
        <f t="shared" si="2"/>
        <v>0.39048795533696945</v>
      </c>
      <c r="G12" s="16" t="str">
        <f t="shared" si="3"/>
        <v>discharge/export</v>
      </c>
    </row>
    <row r="13" spans="1:7" ht="17.100000000000001" customHeight="1" x14ac:dyDescent="0.25">
      <c r="A13" s="13">
        <f>'4_All_periods'!C116</f>
        <v>180</v>
      </c>
      <c r="B13" s="14">
        <f>'4_All_periods'!D116</f>
        <v>-0.24379999999999999</v>
      </c>
      <c r="C13" s="14">
        <f>'4_All_periods'!E116</f>
        <v>0.15049999999999999</v>
      </c>
      <c r="D13" s="15">
        <f t="shared" si="0"/>
        <v>-0.32839999999999997</v>
      </c>
      <c r="E13" s="15">
        <f t="shared" si="1"/>
        <v>8.929999999999999E-2</v>
      </c>
      <c r="F13" s="15">
        <f t="shared" si="2"/>
        <v>0.24380000000000002</v>
      </c>
      <c r="G13" s="16" t="str">
        <f t="shared" si="3"/>
        <v>discharge/export</v>
      </c>
    </row>
    <row r="14" spans="1:7" ht="17.100000000000001" customHeight="1" x14ac:dyDescent="0.25">
      <c r="A14" s="13">
        <f>'4_All_periods'!C117</f>
        <v>210</v>
      </c>
      <c r="B14" s="14">
        <f>'4_All_periods'!D117</f>
        <v>-0.23250000000000001</v>
      </c>
      <c r="C14" s="14">
        <f>'4_All_periods'!E117</f>
        <v>-0.2319</v>
      </c>
      <c r="D14" s="15">
        <f t="shared" si="0"/>
        <v>-0.31709999999999999</v>
      </c>
      <c r="E14" s="15">
        <f t="shared" si="1"/>
        <v>-0.29309999999999997</v>
      </c>
      <c r="F14" s="15">
        <f t="shared" si="2"/>
        <v>0.31730090637988201</v>
      </c>
      <c r="G14" s="16" t="str">
        <f t="shared" si="3"/>
        <v>discharge/export</v>
      </c>
    </row>
    <row r="15" spans="1:7" ht="17.100000000000001" customHeight="1" x14ac:dyDescent="0.25">
      <c r="A15" s="13">
        <f>'4_All_periods'!C118</f>
        <v>240</v>
      </c>
      <c r="B15" s="14">
        <f>'4_All_periods'!D118</f>
        <v>-0.2198</v>
      </c>
      <c r="C15" s="14">
        <f>'4_All_periods'!E118</f>
        <v>-0.24279999999999999</v>
      </c>
      <c r="D15" s="15">
        <f t="shared" si="0"/>
        <v>-0.3044</v>
      </c>
      <c r="E15" s="15">
        <f t="shared" si="1"/>
        <v>-0.30399999999999999</v>
      </c>
      <c r="F15" s="15">
        <f t="shared" si="2"/>
        <v>0.32017096803886175</v>
      </c>
      <c r="G15" s="16" t="str">
        <f t="shared" si="3"/>
        <v>discharge/export</v>
      </c>
    </row>
    <row r="16" spans="1:7" ht="17.100000000000001" customHeight="1" x14ac:dyDescent="0.25">
      <c r="A16" s="13">
        <f>'4_All_periods'!C119</f>
        <v>270</v>
      </c>
      <c r="B16" s="14">
        <f>'4_All_periods'!D119</f>
        <v>-0.13469999999999999</v>
      </c>
      <c r="C16" s="14">
        <f>'4_All_periods'!E119</f>
        <v>-0.26479999999999998</v>
      </c>
      <c r="D16" s="15">
        <f t="shared" si="0"/>
        <v>-0.21929999999999999</v>
      </c>
      <c r="E16" s="15">
        <f t="shared" si="1"/>
        <v>-0.32599999999999996</v>
      </c>
      <c r="F16" s="15">
        <f t="shared" si="2"/>
        <v>0.26479999999999998</v>
      </c>
      <c r="G16" s="16" t="str">
        <f t="shared" si="3"/>
        <v>discharge/export</v>
      </c>
    </row>
    <row r="17" spans="1:7" ht="17.100000000000001" customHeight="1" x14ac:dyDescent="0.25">
      <c r="A17" s="13">
        <f>'4_All_periods'!C120</f>
        <v>300</v>
      </c>
      <c r="B17" s="14">
        <f>'4_All_periods'!D120</f>
        <v>1.95E-2</v>
      </c>
      <c r="C17" s="14">
        <f>'4_All_periods'!E120</f>
        <v>-0.222</v>
      </c>
      <c r="D17" s="15">
        <f t="shared" si="0"/>
        <v>-6.5099999999999991E-2</v>
      </c>
      <c r="E17" s="15">
        <f t="shared" si="1"/>
        <v>-0.28320000000000001</v>
      </c>
      <c r="F17" s="15">
        <f t="shared" si="2"/>
        <v>0.20200763964014537</v>
      </c>
      <c r="G17" s="16" t="str">
        <f t="shared" si="3"/>
        <v>discharge/export</v>
      </c>
    </row>
    <row r="18" spans="1:7" ht="17.100000000000001" customHeight="1" x14ac:dyDescent="0.25">
      <c r="A18" s="13">
        <f>'4_All_periods'!C121</f>
        <v>330</v>
      </c>
      <c r="B18" s="14">
        <f>'4_All_periods'!D121</f>
        <v>0.13800000000000001</v>
      </c>
      <c r="C18" s="14">
        <f>'4_All_periods'!E121</f>
        <v>-0.10340000000000001</v>
      </c>
      <c r="D18" s="15">
        <f t="shared" si="0"/>
        <v>5.3400000000000017E-2</v>
      </c>
      <c r="E18" s="15">
        <f t="shared" si="1"/>
        <v>-0.1646</v>
      </c>
      <c r="F18" s="15">
        <f t="shared" si="2"/>
        <v>0.17121150572225258</v>
      </c>
      <c r="G18" s="16" t="str">
        <f t="shared" si="3"/>
        <v>charge/import</v>
      </c>
    </row>
    <row r="19" spans="1:7" ht="17.100000000000001" customHeight="1" x14ac:dyDescent="0.25">
      <c r="A19" s="17" t="s">
        <v>76</v>
      </c>
      <c r="B19" s="18">
        <f>B7</f>
        <v>0.18149999999999999</v>
      </c>
      <c r="C19" s="18">
        <f>C7</f>
        <v>5.8999999999999997E-2</v>
      </c>
      <c r="D19" s="18">
        <f>D7</f>
        <v>9.69E-2</v>
      </c>
      <c r="E19" s="18">
        <f>E7</f>
        <v>-2.2000000000000006E-3</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0.42530000000000001</v>
      </c>
    </row>
    <row r="23" spans="1:7" ht="18" customHeight="1" x14ac:dyDescent="0.25">
      <c r="A23" s="45" t="s">
        <v>79</v>
      </c>
      <c r="B23" s="46"/>
      <c r="C23" s="20">
        <f>MAX(0,MAX(D7:D18))</f>
        <v>9.69E-2</v>
      </c>
    </row>
    <row r="24" spans="1:7" ht="18" customHeight="1" x14ac:dyDescent="0.25">
      <c r="A24" s="45" t="s">
        <v>80</v>
      </c>
      <c r="B24" s="46"/>
      <c r="C24" s="20">
        <f>MAX(0,-MIN(D7:D18))</f>
        <v>0.32839999999999997</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"&amp;TEXT('4_All_periods'!H110,"0.00000")&amp;" pu"&amp;IF('4_All_periods'!H110&gt;=1.0999," → over-voltage limit is active"," → clear of the limit, so the battery bounds it"),"blocked at 180°: Vmax there = "&amp;TEXT('4_All_periods'!H116,"0.00000")&amp;" pu"&amp;IF('4_All_periods'!H116&gt;=1.0999,"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77" priority="1">
      <formula>ISNUMBER(SEARCH("charge",$G7))</formula>
    </cfRule>
    <cfRule type="expression" dxfId="76"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150</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'4_All_periods'!I122</f>
        <v>-0.14130000000000001</v>
      </c>
      <c r="C4" s="10" t="s">
        <v>69</v>
      </c>
      <c r="D4" s="11">
        <f>'4_All_periods'!J122</f>
        <v>5.8500000000000003E-2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'4_All_periods'!C122</f>
        <v>0</v>
      </c>
      <c r="B7" s="14">
        <f>'4_All_periods'!D122</f>
        <v>-5.9400000000000001E-2</v>
      </c>
      <c r="C7" s="14">
        <f>'4_All_periods'!E122</f>
        <v>6.2100000000000002E-2</v>
      </c>
      <c r="D7" s="15">
        <f t="shared" ref="D7:D18" si="0">B7-$B$4</f>
        <v>8.1900000000000001E-2</v>
      </c>
      <c r="E7" s="15">
        <f t="shared" ref="E7:E18" si="1">C7-$D$4</f>
        <v>3.599999999999999E-3</v>
      </c>
      <c r="F7" s="15">
        <f t="shared" ref="F7:F18" si="2">B7*COS(RADIANS(A7))+C7*SIN(RADIANS(A7))</f>
        <v>-5.9400000000000001E-2</v>
      </c>
      <c r="G7" s="16" t="str">
        <f t="shared" ref="G7:G18" si="3">IF(D7&gt;0,"charge/import","discharge/export")</f>
        <v>charge/import</v>
      </c>
    </row>
    <row r="8" spans="1:7" ht="17.100000000000001" customHeight="1" x14ac:dyDescent="0.25">
      <c r="A8" s="13">
        <f>'4_All_periods'!C123</f>
        <v>30</v>
      </c>
      <c r="B8" s="14">
        <f>'4_All_periods'!D123</f>
        <v>-0.10390000000000001</v>
      </c>
      <c r="C8" s="14">
        <f>'4_All_periods'!E123</f>
        <v>0.22600000000000001</v>
      </c>
      <c r="D8" s="15">
        <f t="shared" si="0"/>
        <v>3.7400000000000003E-2</v>
      </c>
      <c r="E8" s="15">
        <f t="shared" si="1"/>
        <v>0.16750000000000001</v>
      </c>
      <c r="F8" s="15">
        <f t="shared" si="2"/>
        <v>2.3019960546796808E-2</v>
      </c>
      <c r="G8" s="16" t="str">
        <f t="shared" si="3"/>
        <v>charge/import</v>
      </c>
    </row>
    <row r="9" spans="1:7" ht="17.100000000000001" customHeight="1" x14ac:dyDescent="0.25">
      <c r="A9" s="13">
        <f>'4_All_periods'!C124</f>
        <v>60</v>
      </c>
      <c r="B9" s="14">
        <f>'4_All_periods'!D124</f>
        <v>-0.2218</v>
      </c>
      <c r="C9" s="14">
        <f>'4_All_periods'!E124</f>
        <v>0.34439999999999998</v>
      </c>
      <c r="D9" s="15">
        <f t="shared" si="0"/>
        <v>-8.0499999999999988E-2</v>
      </c>
      <c r="E9" s="15">
        <f t="shared" si="1"/>
        <v>0.28589999999999999</v>
      </c>
      <c r="F9" s="15">
        <f t="shared" si="2"/>
        <v>0.18735914906336062</v>
      </c>
      <c r="G9" s="16" t="str">
        <f t="shared" si="3"/>
        <v>discharge/export</v>
      </c>
    </row>
    <row r="10" spans="1:7" ht="17.100000000000001" customHeight="1" x14ac:dyDescent="0.25">
      <c r="A10" s="13">
        <f>'4_All_periods'!C125</f>
        <v>90</v>
      </c>
      <c r="B10" s="14">
        <f>'4_All_periods'!D125</f>
        <v>-0.3821</v>
      </c>
      <c r="C10" s="14">
        <f>'4_All_periods'!E125</f>
        <v>0.38740000000000002</v>
      </c>
      <c r="D10" s="15">
        <f t="shared" si="0"/>
        <v>-0.24079999999999999</v>
      </c>
      <c r="E10" s="15">
        <f t="shared" si="1"/>
        <v>0.32890000000000003</v>
      </c>
      <c r="F10" s="15">
        <f t="shared" si="2"/>
        <v>0.38740000000000002</v>
      </c>
      <c r="G10" s="16" t="str">
        <f t="shared" si="3"/>
        <v>discharge/export</v>
      </c>
    </row>
    <row r="11" spans="1:7" ht="17.100000000000001" customHeight="1" x14ac:dyDescent="0.25">
      <c r="A11" s="13">
        <f>'4_All_periods'!C126</f>
        <v>120</v>
      </c>
      <c r="B11" s="14">
        <f>'4_All_periods'!D126</f>
        <v>-0.49519999999999997</v>
      </c>
      <c r="C11" s="14">
        <f>'4_All_periods'!E126</f>
        <v>0.3629</v>
      </c>
      <c r="D11" s="15">
        <f t="shared" si="0"/>
        <v>-0.35389999999999999</v>
      </c>
      <c r="E11" s="15">
        <f t="shared" si="1"/>
        <v>0.3044</v>
      </c>
      <c r="F11" s="15">
        <f t="shared" si="2"/>
        <v>0.56188061903337272</v>
      </c>
      <c r="G11" s="16" t="str">
        <f t="shared" si="3"/>
        <v>discharge/export</v>
      </c>
    </row>
    <row r="12" spans="1:7" ht="17.100000000000001" customHeight="1" x14ac:dyDescent="0.25">
      <c r="A12" s="13">
        <f>'4_All_periods'!C127</f>
        <v>150</v>
      </c>
      <c r="B12" s="14">
        <f>'4_All_periods'!D127</f>
        <v>-0.501</v>
      </c>
      <c r="C12" s="14">
        <f>'4_All_periods'!E127</f>
        <v>0.35899999999999999</v>
      </c>
      <c r="D12" s="15">
        <f t="shared" si="0"/>
        <v>-0.35970000000000002</v>
      </c>
      <c r="E12" s="15">
        <f t="shared" si="1"/>
        <v>0.30049999999999999</v>
      </c>
      <c r="F12" s="15">
        <f t="shared" si="2"/>
        <v>0.61337872729600373</v>
      </c>
      <c r="G12" s="16" t="str">
        <f t="shared" si="3"/>
        <v>discharge/export</v>
      </c>
    </row>
    <row r="13" spans="1:7" ht="17.100000000000001" customHeight="1" x14ac:dyDescent="0.25">
      <c r="A13" s="13">
        <f>'4_All_periods'!C128</f>
        <v>180</v>
      </c>
      <c r="B13" s="14">
        <f>'4_All_periods'!D128</f>
        <v>-0.50329999999999997</v>
      </c>
      <c r="C13" s="14">
        <f>'4_All_periods'!E128</f>
        <v>0.17549999999999999</v>
      </c>
      <c r="D13" s="15">
        <f t="shared" si="0"/>
        <v>-0.36199999999999999</v>
      </c>
      <c r="E13" s="15">
        <f t="shared" si="1"/>
        <v>0.11699999999999999</v>
      </c>
      <c r="F13" s="15">
        <f t="shared" si="2"/>
        <v>0.50329999999999997</v>
      </c>
      <c r="G13" s="16" t="str">
        <f t="shared" si="3"/>
        <v>discharge/export</v>
      </c>
    </row>
    <row r="14" spans="1:7" ht="17.100000000000001" customHeight="1" x14ac:dyDescent="0.25">
      <c r="A14" s="13">
        <f>'4_All_periods'!C129</f>
        <v>210</v>
      </c>
      <c r="B14" s="14">
        <f>'4_All_periods'!D129</f>
        <v>-0.48249999999999998</v>
      </c>
      <c r="C14" s="14">
        <f>'4_All_periods'!E129</f>
        <v>-0.20580000000000001</v>
      </c>
      <c r="D14" s="15">
        <f t="shared" si="0"/>
        <v>-0.34119999999999995</v>
      </c>
      <c r="E14" s="15">
        <f t="shared" si="1"/>
        <v>-0.26430000000000003</v>
      </c>
      <c r="F14" s="15">
        <f t="shared" si="2"/>
        <v>0.52075725732599165</v>
      </c>
      <c r="G14" s="16" t="str">
        <f t="shared" si="3"/>
        <v>discharge/export</v>
      </c>
    </row>
    <row r="15" spans="1:7" ht="17.100000000000001" customHeight="1" x14ac:dyDescent="0.25">
      <c r="A15" s="13">
        <f>'4_All_periods'!C130</f>
        <v>240</v>
      </c>
      <c r="B15" s="14">
        <f>'4_All_periods'!D130</f>
        <v>-0.4456</v>
      </c>
      <c r="C15" s="14">
        <f>'4_All_periods'!E130</f>
        <v>-0.24010000000000001</v>
      </c>
      <c r="D15" s="15">
        <f t="shared" si="0"/>
        <v>-0.30430000000000001</v>
      </c>
      <c r="E15" s="15">
        <f t="shared" si="1"/>
        <v>-0.29860000000000003</v>
      </c>
      <c r="F15" s="15">
        <f t="shared" si="2"/>
        <v>0.43073269944864384</v>
      </c>
      <c r="G15" s="16" t="str">
        <f t="shared" si="3"/>
        <v>discharge/export</v>
      </c>
    </row>
    <row r="16" spans="1:7" ht="17.100000000000001" customHeight="1" x14ac:dyDescent="0.25">
      <c r="A16" s="13">
        <f>'4_All_periods'!C131</f>
        <v>270</v>
      </c>
      <c r="B16" s="14">
        <f>'4_All_periods'!D131</f>
        <v>-0.36919999999999997</v>
      </c>
      <c r="C16" s="14">
        <f>'4_All_periods'!E131</f>
        <v>-0.26040000000000002</v>
      </c>
      <c r="D16" s="15">
        <f t="shared" si="0"/>
        <v>-0.22789999999999996</v>
      </c>
      <c r="E16" s="15">
        <f t="shared" si="1"/>
        <v>-0.31890000000000002</v>
      </c>
      <c r="F16" s="15">
        <f t="shared" si="2"/>
        <v>0.26040000000000008</v>
      </c>
      <c r="G16" s="16" t="str">
        <f t="shared" si="3"/>
        <v>discharge/export</v>
      </c>
    </row>
    <row r="17" spans="1:7" ht="17.100000000000001" customHeight="1" x14ac:dyDescent="0.25">
      <c r="A17" s="13">
        <f>'4_All_periods'!C132</f>
        <v>300</v>
      </c>
      <c r="B17" s="14">
        <f>'4_All_periods'!D132</f>
        <v>-0.2208</v>
      </c>
      <c r="C17" s="14">
        <f>'4_All_periods'!E132</f>
        <v>-0.2185</v>
      </c>
      <c r="D17" s="15">
        <f t="shared" si="0"/>
        <v>-7.9499999999999987E-2</v>
      </c>
      <c r="E17" s="15">
        <f t="shared" si="1"/>
        <v>-0.27700000000000002</v>
      </c>
      <c r="F17" s="15">
        <f t="shared" si="2"/>
        <v>7.8826550726899813E-2</v>
      </c>
      <c r="G17" s="16" t="str">
        <f t="shared" si="3"/>
        <v>discharge/export</v>
      </c>
    </row>
    <row r="18" spans="1:7" ht="17.100000000000001" customHeight="1" x14ac:dyDescent="0.25">
      <c r="A18" s="13">
        <f>'4_All_periods'!C133</f>
        <v>330</v>
      </c>
      <c r="B18" s="14">
        <f>'4_All_periods'!D133</f>
        <v>-0.10290000000000001</v>
      </c>
      <c r="C18" s="14">
        <f>'4_All_periods'!E133</f>
        <v>-0.10050000000000001</v>
      </c>
      <c r="D18" s="15">
        <f t="shared" si="0"/>
        <v>3.8400000000000004E-2</v>
      </c>
      <c r="E18" s="15">
        <f t="shared" si="1"/>
        <v>-0.159</v>
      </c>
      <c r="F18" s="15">
        <f t="shared" si="2"/>
        <v>-3.8864014049418666E-2</v>
      </c>
      <c r="G18" s="16" t="str">
        <f t="shared" si="3"/>
        <v>charge/import</v>
      </c>
    </row>
    <row r="19" spans="1:7" ht="17.100000000000001" customHeight="1" x14ac:dyDescent="0.25">
      <c r="A19" s="17" t="s">
        <v>76</v>
      </c>
      <c r="B19" s="18">
        <f>B7</f>
        <v>-5.9400000000000001E-2</v>
      </c>
      <c r="C19" s="18">
        <f>C7</f>
        <v>6.2100000000000002E-2</v>
      </c>
      <c r="D19" s="18">
        <f>D7</f>
        <v>8.1900000000000001E-2</v>
      </c>
      <c r="E19" s="18">
        <f>E7</f>
        <v>3.599999999999999E-3</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0.44389999999999996</v>
      </c>
    </row>
    <row r="23" spans="1:7" ht="18" customHeight="1" x14ac:dyDescent="0.25">
      <c r="A23" s="45" t="s">
        <v>79</v>
      </c>
      <c r="B23" s="46"/>
      <c r="C23" s="20">
        <f>MAX(0,MAX(D7:D18))</f>
        <v>8.1900000000000001E-2</v>
      </c>
    </row>
    <row r="24" spans="1:7" ht="18" customHeight="1" x14ac:dyDescent="0.25">
      <c r="A24" s="45" t="s">
        <v>80</v>
      </c>
      <c r="B24" s="46"/>
      <c r="C24" s="20">
        <f>MAX(0,-MIN(D7:D18))</f>
        <v>0.36199999999999999</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"&amp;TEXT('4_All_periods'!H122,"0.00000")&amp;" pu"&amp;IF('4_All_periods'!H122&gt;=1.0999," → over-voltage limit is active"," → clear of the limit, so the battery bounds it"),"blocked at 180°: Vmax there = "&amp;TEXT('4_All_periods'!H128,"0.00000")&amp;" pu"&amp;IF('4_All_periods'!H128&gt;=1.0999,"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75" priority="1">
      <formula>ISNUMBER(SEARCH("charge",$G7))</formula>
    </cfRule>
    <cfRule type="expression" dxfId="74"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151</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'4_All_periods'!I134</f>
        <v>-0.38129999999999997</v>
      </c>
      <c r="C4" s="10" t="s">
        <v>69</v>
      </c>
      <c r="D4" s="11">
        <f>'4_All_periods'!J134</f>
        <v>6.3100000000000003E-2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'4_All_periods'!C134</f>
        <v>0</v>
      </c>
      <c r="B7" s="14">
        <f>'4_All_periods'!D134</f>
        <v>-0.3256</v>
      </c>
      <c r="C7" s="14">
        <f>'4_All_periods'!E134</f>
        <v>6.5699999999999995E-2</v>
      </c>
      <c r="D7" s="15">
        <f t="shared" ref="D7:D18" si="0">B7-$B$4</f>
        <v>5.5699999999999972E-2</v>
      </c>
      <c r="E7" s="15">
        <f t="shared" ref="E7:E18" si="1">C7-$D$4</f>
        <v>2.5999999999999912E-3</v>
      </c>
      <c r="F7" s="15">
        <f t="shared" ref="F7:F18" si="2">B7*COS(RADIANS(A7))+C7*SIN(RADIANS(A7))</f>
        <v>-0.3256</v>
      </c>
      <c r="G7" s="16" t="str">
        <f t="shared" ref="G7:G18" si="3">IF(D7&gt;0,"charge/import","discharge/export")</f>
        <v>charge/import</v>
      </c>
    </row>
    <row r="8" spans="1:7" ht="17.100000000000001" customHeight="1" x14ac:dyDescent="0.25">
      <c r="A8" s="13">
        <f>'4_All_periods'!C135</f>
        <v>30</v>
      </c>
      <c r="B8" s="14">
        <f>'4_All_periods'!D135</f>
        <v>-0.36969999999999997</v>
      </c>
      <c r="C8" s="14">
        <f>'4_All_periods'!E135</f>
        <v>0.23080000000000001</v>
      </c>
      <c r="D8" s="15">
        <f t="shared" si="0"/>
        <v>1.1599999999999999E-2</v>
      </c>
      <c r="E8" s="15">
        <f t="shared" si="1"/>
        <v>0.16770000000000002</v>
      </c>
      <c r="F8" s="15">
        <f t="shared" si="2"/>
        <v>-0.20476959177910697</v>
      </c>
      <c r="G8" s="16" t="str">
        <f t="shared" si="3"/>
        <v>charge/import</v>
      </c>
    </row>
    <row r="9" spans="1:7" ht="17.100000000000001" customHeight="1" x14ac:dyDescent="0.25">
      <c r="A9" s="13">
        <f>'4_All_periods'!C136</f>
        <v>60</v>
      </c>
      <c r="B9" s="14">
        <f>'4_All_periods'!D136</f>
        <v>-0.48899999999999999</v>
      </c>
      <c r="C9" s="14">
        <f>'4_All_periods'!E136</f>
        <v>0.35020000000000001</v>
      </c>
      <c r="D9" s="15">
        <f t="shared" si="0"/>
        <v>-0.10770000000000002</v>
      </c>
      <c r="E9" s="15">
        <f t="shared" si="1"/>
        <v>0.28710000000000002</v>
      </c>
      <c r="F9" s="15">
        <f t="shared" si="2"/>
        <v>5.8782096405310347E-2</v>
      </c>
      <c r="G9" s="16" t="str">
        <f t="shared" si="3"/>
        <v>discharge/export</v>
      </c>
    </row>
    <row r="10" spans="1:7" ht="17.100000000000001" customHeight="1" x14ac:dyDescent="0.25">
      <c r="A10" s="13">
        <f>'4_All_periods'!C137</f>
        <v>90</v>
      </c>
      <c r="B10" s="14">
        <f>'4_All_periods'!D137</f>
        <v>-0.64870000000000005</v>
      </c>
      <c r="C10" s="14">
        <f>'4_All_periods'!E137</f>
        <v>0.39319999999999999</v>
      </c>
      <c r="D10" s="15">
        <f t="shared" si="0"/>
        <v>-0.26740000000000008</v>
      </c>
      <c r="E10" s="15">
        <f t="shared" si="1"/>
        <v>0.3301</v>
      </c>
      <c r="F10" s="15">
        <f t="shared" si="2"/>
        <v>0.39319999999999994</v>
      </c>
      <c r="G10" s="16" t="str">
        <f t="shared" si="3"/>
        <v>discharge/export</v>
      </c>
    </row>
    <row r="11" spans="1:7" ht="17.100000000000001" customHeight="1" x14ac:dyDescent="0.25">
      <c r="A11" s="13">
        <f>'4_All_periods'!C138</f>
        <v>120</v>
      </c>
      <c r="B11" s="14">
        <f>'4_All_periods'!D138</f>
        <v>-0.77900000000000003</v>
      </c>
      <c r="C11" s="14">
        <f>'4_All_periods'!E138</f>
        <v>0.36199999999999999</v>
      </c>
      <c r="D11" s="15">
        <f t="shared" si="0"/>
        <v>-0.39770000000000005</v>
      </c>
      <c r="E11" s="15">
        <f t="shared" si="1"/>
        <v>0.2989</v>
      </c>
      <c r="F11" s="15">
        <f t="shared" si="2"/>
        <v>0.7030011961699667</v>
      </c>
      <c r="G11" s="16" t="str">
        <f t="shared" si="3"/>
        <v>discharge/export</v>
      </c>
    </row>
    <row r="12" spans="1:7" ht="17.100000000000001" customHeight="1" x14ac:dyDescent="0.25">
      <c r="A12" s="13">
        <f>'4_All_periods'!C139</f>
        <v>150</v>
      </c>
      <c r="B12" s="14">
        <f>'4_All_periods'!D139</f>
        <v>-0.79990000000000006</v>
      </c>
      <c r="C12" s="14">
        <f>'4_All_periods'!E139</f>
        <v>0.34610000000000002</v>
      </c>
      <c r="D12" s="15">
        <f t="shared" si="0"/>
        <v>-0.41860000000000008</v>
      </c>
      <c r="E12" s="15">
        <f t="shared" si="1"/>
        <v>0.28300000000000003</v>
      </c>
      <c r="F12" s="15">
        <f t="shared" si="2"/>
        <v>0.86578372048717256</v>
      </c>
      <c r="G12" s="16" t="str">
        <f t="shared" si="3"/>
        <v>discharge/export</v>
      </c>
    </row>
    <row r="13" spans="1:7" ht="17.100000000000001" customHeight="1" x14ac:dyDescent="0.25">
      <c r="A13" s="13">
        <f>'4_All_periods'!C140</f>
        <v>180</v>
      </c>
      <c r="B13" s="14">
        <f>'4_All_periods'!D140</f>
        <v>-0.80269999999999997</v>
      </c>
      <c r="C13" s="14">
        <f>'4_All_periods'!E140</f>
        <v>0.184</v>
      </c>
      <c r="D13" s="15">
        <f t="shared" si="0"/>
        <v>-0.4214</v>
      </c>
      <c r="E13" s="15">
        <f t="shared" si="1"/>
        <v>0.12089999999999999</v>
      </c>
      <c r="F13" s="15">
        <f t="shared" si="2"/>
        <v>0.80269999999999997</v>
      </c>
      <c r="G13" s="16" t="str">
        <f t="shared" si="3"/>
        <v>discharge/export</v>
      </c>
    </row>
    <row r="14" spans="1:7" ht="17.100000000000001" customHeight="1" x14ac:dyDescent="0.25">
      <c r="A14" s="13">
        <f>'4_All_periods'!C141</f>
        <v>210</v>
      </c>
      <c r="B14" s="14">
        <f>'4_All_periods'!D141</f>
        <v>-0.77649999999999997</v>
      </c>
      <c r="C14" s="14">
        <f>'4_All_periods'!E141</f>
        <v>-0.153</v>
      </c>
      <c r="D14" s="15">
        <f t="shared" si="0"/>
        <v>-0.3952</v>
      </c>
      <c r="E14" s="15">
        <f t="shared" si="1"/>
        <v>-0.21610000000000001</v>
      </c>
      <c r="F14" s="15">
        <f t="shared" si="2"/>
        <v>0.74896872603861653</v>
      </c>
      <c r="G14" s="16" t="str">
        <f t="shared" si="3"/>
        <v>discharge/export</v>
      </c>
    </row>
    <row r="15" spans="1:7" ht="17.100000000000001" customHeight="1" x14ac:dyDescent="0.25">
      <c r="A15" s="13">
        <f>'4_All_periods'!C142</f>
        <v>240</v>
      </c>
      <c r="B15" s="14">
        <f>'4_All_periods'!D142</f>
        <v>-0.70120000000000005</v>
      </c>
      <c r="C15" s="14">
        <f>'4_All_periods'!E142</f>
        <v>-0.23069999999999999</v>
      </c>
      <c r="D15" s="15">
        <f t="shared" si="0"/>
        <v>-0.31990000000000007</v>
      </c>
      <c r="E15" s="15">
        <f t="shared" si="1"/>
        <v>-0.29380000000000001</v>
      </c>
      <c r="F15" s="15">
        <f t="shared" si="2"/>
        <v>0.55039206065307034</v>
      </c>
      <c r="G15" s="16" t="str">
        <f t="shared" si="3"/>
        <v>discharge/export</v>
      </c>
    </row>
    <row r="16" spans="1:7" ht="17.100000000000001" customHeight="1" x14ac:dyDescent="0.25">
      <c r="A16" s="13">
        <f>'4_All_periods'!C143</f>
        <v>270</v>
      </c>
      <c r="B16" s="14">
        <f>'4_All_periods'!D143</f>
        <v>-0.61829999999999996</v>
      </c>
      <c r="C16" s="14">
        <f>'4_All_periods'!E143</f>
        <v>-0.25459999999999999</v>
      </c>
      <c r="D16" s="15">
        <f t="shared" si="0"/>
        <v>-0.23699999999999999</v>
      </c>
      <c r="E16" s="15">
        <f t="shared" si="1"/>
        <v>-0.31769999999999998</v>
      </c>
      <c r="F16" s="15">
        <f t="shared" si="2"/>
        <v>0.2546000000000001</v>
      </c>
      <c r="G16" s="16" t="str">
        <f t="shared" si="3"/>
        <v>discharge/export</v>
      </c>
    </row>
    <row r="17" spans="1:7" ht="17.100000000000001" customHeight="1" x14ac:dyDescent="0.25">
      <c r="A17" s="13">
        <f>'4_All_periods'!C144</f>
        <v>300</v>
      </c>
      <c r="B17" s="14">
        <f>'4_All_periods'!D144</f>
        <v>-0.48620000000000002</v>
      </c>
      <c r="C17" s="14">
        <f>'4_All_periods'!E144</f>
        <v>-0.21460000000000001</v>
      </c>
      <c r="D17" s="15">
        <f t="shared" si="0"/>
        <v>-0.10490000000000005</v>
      </c>
      <c r="E17" s="15">
        <f t="shared" si="1"/>
        <v>-0.2777</v>
      </c>
      <c r="F17" s="15">
        <f t="shared" si="2"/>
        <v>-5.7250948347859543E-2</v>
      </c>
      <c r="G17" s="16" t="str">
        <f t="shared" si="3"/>
        <v>discharge/export</v>
      </c>
    </row>
    <row r="18" spans="1:7" ht="17.100000000000001" customHeight="1" x14ac:dyDescent="0.25">
      <c r="A18" s="13">
        <f>'4_All_periods'!C145</f>
        <v>330</v>
      </c>
      <c r="B18" s="14">
        <f>'4_All_periods'!D145</f>
        <v>-0.36919999999999997</v>
      </c>
      <c r="C18" s="14">
        <f>'4_All_periods'!E145</f>
        <v>-9.74E-2</v>
      </c>
      <c r="D18" s="15">
        <f t="shared" si="0"/>
        <v>1.21E-2</v>
      </c>
      <c r="E18" s="15">
        <f t="shared" si="1"/>
        <v>-0.1605</v>
      </c>
      <c r="F18" s="15">
        <f t="shared" si="2"/>
        <v>-0.27103657907721462</v>
      </c>
      <c r="G18" s="16" t="str">
        <f t="shared" si="3"/>
        <v>charge/import</v>
      </c>
    </row>
    <row r="19" spans="1:7" ht="17.100000000000001" customHeight="1" x14ac:dyDescent="0.25">
      <c r="A19" s="17" t="s">
        <v>76</v>
      </c>
      <c r="B19" s="18">
        <f>B7</f>
        <v>-0.3256</v>
      </c>
      <c r="C19" s="18">
        <f>C7</f>
        <v>6.5699999999999995E-2</v>
      </c>
      <c r="D19" s="18">
        <f>D7</f>
        <v>5.5699999999999972E-2</v>
      </c>
      <c r="E19" s="18">
        <f>E7</f>
        <v>2.5999999999999912E-3</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0.47709999999999997</v>
      </c>
    </row>
    <row r="23" spans="1:7" ht="18" customHeight="1" x14ac:dyDescent="0.25">
      <c r="A23" s="45" t="s">
        <v>79</v>
      </c>
      <c r="B23" s="46"/>
      <c r="C23" s="20">
        <f>MAX(0,MAX(D7:D18))</f>
        <v>5.5699999999999972E-2</v>
      </c>
    </row>
    <row r="24" spans="1:7" ht="18" customHeight="1" x14ac:dyDescent="0.25">
      <c r="A24" s="45" t="s">
        <v>80</v>
      </c>
      <c r="B24" s="46"/>
      <c r="C24" s="20">
        <f>MAX(0,-MIN(D7:D18))</f>
        <v>0.4214</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"&amp;TEXT('4_All_periods'!H134,"0.00000")&amp;" pu"&amp;IF('4_All_periods'!H134&gt;=1.0999," → over-voltage limit is active"," → clear of the limit, so the battery bounds it"),"blocked at 180°: Vmax there = "&amp;TEXT('4_All_periods'!H140,"0.00000")&amp;" pu"&amp;IF('4_All_periods'!H140&gt;=1.0999,"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73" priority="1">
      <formula>ISNUMBER(SEARCH("charge",$G7))</formula>
    </cfRule>
    <cfRule type="expression" dxfId="72"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152</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'4_All_periods'!I146</f>
        <v>-0.64649999999999996</v>
      </c>
      <c r="C4" s="10" t="s">
        <v>69</v>
      </c>
      <c r="D4" s="11">
        <f>'4_All_periods'!J146</f>
        <v>6.8099999999999994E-2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'4_All_periods'!C146</f>
        <v>0</v>
      </c>
      <c r="B7" s="14">
        <f>'4_All_periods'!D146</f>
        <v>-0.57010000000000005</v>
      </c>
      <c r="C7" s="14">
        <f>'4_All_periods'!E146</f>
        <v>7.4099999999999999E-2</v>
      </c>
      <c r="D7" s="15">
        <f t="shared" ref="D7:D18" si="0">B7-$B$4</f>
        <v>7.6399999999999912E-2</v>
      </c>
      <c r="E7" s="15">
        <f t="shared" ref="E7:E18" si="1">C7-$D$4</f>
        <v>6.0000000000000053E-3</v>
      </c>
      <c r="F7" s="15">
        <f t="shared" ref="F7:F18" si="2">B7*COS(RADIANS(A7))+C7*SIN(RADIANS(A7))</f>
        <v>-0.57010000000000005</v>
      </c>
      <c r="G7" s="16" t="str">
        <f t="shared" ref="G7:G18" si="3">IF(D7&gt;0,"charge/import","discharge/export")</f>
        <v>charge/import</v>
      </c>
    </row>
    <row r="8" spans="1:7" ht="17.100000000000001" customHeight="1" x14ac:dyDescent="0.25">
      <c r="A8" s="13">
        <f>'4_All_periods'!C147</f>
        <v>30</v>
      </c>
      <c r="B8" s="14">
        <f>'4_All_periods'!D147</f>
        <v>-0.61450000000000005</v>
      </c>
      <c r="C8" s="14">
        <f>'4_All_periods'!E147</f>
        <v>0.24149999999999999</v>
      </c>
      <c r="D8" s="15">
        <f t="shared" si="0"/>
        <v>3.1999999999999917E-2</v>
      </c>
      <c r="E8" s="15">
        <f t="shared" si="1"/>
        <v>0.1734</v>
      </c>
      <c r="F8" s="15">
        <f t="shared" si="2"/>
        <v>-0.4114226106255377</v>
      </c>
      <c r="G8" s="16" t="str">
        <f t="shared" si="3"/>
        <v>charge/import</v>
      </c>
    </row>
    <row r="9" spans="1:7" ht="17.100000000000001" customHeight="1" x14ac:dyDescent="0.25">
      <c r="A9" s="13">
        <f>'4_All_periods'!C148</f>
        <v>60</v>
      </c>
      <c r="B9" s="14">
        <f>'4_All_periods'!D148</f>
        <v>-0.73429999999999995</v>
      </c>
      <c r="C9" s="14">
        <f>'4_All_periods'!E148</f>
        <v>0.36159999999999998</v>
      </c>
      <c r="D9" s="15">
        <f t="shared" si="0"/>
        <v>-8.7799999999999989E-2</v>
      </c>
      <c r="E9" s="15">
        <f t="shared" si="1"/>
        <v>0.29349999999999998</v>
      </c>
      <c r="F9" s="15">
        <f t="shared" si="2"/>
        <v>-5.3995213991547053E-2</v>
      </c>
      <c r="G9" s="16" t="str">
        <f t="shared" si="3"/>
        <v>discharge/export</v>
      </c>
    </row>
    <row r="10" spans="1:7" ht="17.100000000000001" customHeight="1" x14ac:dyDescent="0.25">
      <c r="A10" s="13">
        <f>'4_All_periods'!C149</f>
        <v>90</v>
      </c>
      <c r="B10" s="14">
        <f>'4_All_periods'!D149</f>
        <v>-0.89319999999999999</v>
      </c>
      <c r="C10" s="14">
        <f>'4_All_periods'!E149</f>
        <v>0.40439999999999998</v>
      </c>
      <c r="D10" s="15">
        <f t="shared" si="0"/>
        <v>-0.24670000000000003</v>
      </c>
      <c r="E10" s="15">
        <f t="shared" si="1"/>
        <v>0.33629999999999999</v>
      </c>
      <c r="F10" s="15">
        <f t="shared" si="2"/>
        <v>0.40439999999999993</v>
      </c>
      <c r="G10" s="16" t="str">
        <f t="shared" si="3"/>
        <v>discharge/export</v>
      </c>
    </row>
    <row r="11" spans="1:7" ht="17.100000000000001" customHeight="1" x14ac:dyDescent="0.25">
      <c r="A11" s="13">
        <f>'4_All_periods'!C150</f>
        <v>120</v>
      </c>
      <c r="B11" s="14">
        <f>'4_All_periods'!D150</f>
        <v>-1.0382</v>
      </c>
      <c r="C11" s="14">
        <f>'4_All_periods'!E150</f>
        <v>0.36720000000000003</v>
      </c>
      <c r="D11" s="15">
        <f t="shared" si="0"/>
        <v>-0.39170000000000005</v>
      </c>
      <c r="E11" s="15">
        <f t="shared" si="1"/>
        <v>0.29910000000000003</v>
      </c>
      <c r="F11" s="15">
        <f t="shared" si="2"/>
        <v>0.83710452826964565</v>
      </c>
      <c r="G11" s="16" t="str">
        <f t="shared" si="3"/>
        <v>discharge/export</v>
      </c>
    </row>
    <row r="12" spans="1:7" ht="17.100000000000001" customHeight="1" x14ac:dyDescent="0.25">
      <c r="A12" s="13">
        <f>'4_All_periods'!C151</f>
        <v>150</v>
      </c>
      <c r="B12" s="14">
        <f>'4_All_periods'!D151</f>
        <v>-1.0913999999999999</v>
      </c>
      <c r="C12" s="14">
        <f>'4_All_periods'!E151</f>
        <v>0.31950000000000001</v>
      </c>
      <c r="D12" s="15">
        <f t="shared" si="0"/>
        <v>-0.44489999999999996</v>
      </c>
      <c r="E12" s="15">
        <f t="shared" si="1"/>
        <v>0.25140000000000001</v>
      </c>
      <c r="F12" s="15">
        <f t="shared" si="2"/>
        <v>1.1049301256903363</v>
      </c>
      <c r="G12" s="16" t="str">
        <f t="shared" si="3"/>
        <v>discharge/export</v>
      </c>
    </row>
    <row r="13" spans="1:7" ht="17.100000000000001" customHeight="1" x14ac:dyDescent="0.25">
      <c r="A13" s="13">
        <f>'4_All_periods'!C152</f>
        <v>180</v>
      </c>
      <c r="B13" s="14">
        <f>'4_All_periods'!D152</f>
        <v>-1.0983000000000001</v>
      </c>
      <c r="C13" s="14">
        <f>'4_All_periods'!E152</f>
        <v>0.19209999999999999</v>
      </c>
      <c r="D13" s="15">
        <f t="shared" si="0"/>
        <v>-0.45180000000000009</v>
      </c>
      <c r="E13" s="15">
        <f t="shared" si="1"/>
        <v>0.124</v>
      </c>
      <c r="F13" s="15">
        <f t="shared" si="2"/>
        <v>1.0983000000000001</v>
      </c>
      <c r="G13" s="16" t="str">
        <f t="shared" si="3"/>
        <v>discharge/export</v>
      </c>
    </row>
    <row r="14" spans="1:7" ht="17.100000000000001" customHeight="1" x14ac:dyDescent="0.25">
      <c r="A14" s="13">
        <f>'4_All_periods'!C153</f>
        <v>210</v>
      </c>
      <c r="B14" s="14">
        <f>'4_All_periods'!D153</f>
        <v>-1.0577000000000001</v>
      </c>
      <c r="C14" s="14">
        <f>'4_All_periods'!E153</f>
        <v>-8.5400000000000004E-2</v>
      </c>
      <c r="D14" s="15">
        <f t="shared" si="0"/>
        <v>-0.41120000000000012</v>
      </c>
      <c r="E14" s="15">
        <f t="shared" si="1"/>
        <v>-0.1535</v>
      </c>
      <c r="F14" s="15">
        <f t="shared" si="2"/>
        <v>0.95869506958280071</v>
      </c>
      <c r="G14" s="16" t="str">
        <f t="shared" si="3"/>
        <v>discharge/export</v>
      </c>
    </row>
    <row r="15" spans="1:7" ht="17.100000000000001" customHeight="1" x14ac:dyDescent="0.25">
      <c r="A15" s="13">
        <f>'4_All_periods'!C154</f>
        <v>240</v>
      </c>
      <c r="B15" s="14">
        <f>'4_All_periods'!D154</f>
        <v>-0.9335</v>
      </c>
      <c r="C15" s="14">
        <f>'4_All_periods'!E154</f>
        <v>-0.21410000000000001</v>
      </c>
      <c r="D15" s="15">
        <f t="shared" si="0"/>
        <v>-0.28700000000000003</v>
      </c>
      <c r="E15" s="15">
        <f t="shared" si="1"/>
        <v>-0.28220000000000001</v>
      </c>
      <c r="F15" s="15">
        <f t="shared" si="2"/>
        <v>0.65216603895024861</v>
      </c>
      <c r="G15" s="16" t="str">
        <f t="shared" si="3"/>
        <v>discharge/export</v>
      </c>
    </row>
    <row r="16" spans="1:7" ht="17.100000000000001" customHeight="1" x14ac:dyDescent="0.25">
      <c r="A16" s="13">
        <f>'4_All_periods'!C155</f>
        <v>270</v>
      </c>
      <c r="B16" s="14">
        <f>'4_All_periods'!D155</f>
        <v>-0.84289999999999998</v>
      </c>
      <c r="C16" s="14">
        <f>'4_All_periods'!E155</f>
        <v>-0.24110000000000001</v>
      </c>
      <c r="D16" s="15">
        <f t="shared" si="0"/>
        <v>-0.19640000000000002</v>
      </c>
      <c r="E16" s="15">
        <f t="shared" si="1"/>
        <v>-0.30920000000000003</v>
      </c>
      <c r="F16" s="15">
        <f t="shared" si="2"/>
        <v>0.24110000000000018</v>
      </c>
      <c r="G16" s="16" t="str">
        <f t="shared" si="3"/>
        <v>discharge/export</v>
      </c>
    </row>
    <row r="17" spans="1:7" ht="17.100000000000001" customHeight="1" x14ac:dyDescent="0.25">
      <c r="A17" s="13">
        <f>'4_All_periods'!C156</f>
        <v>300</v>
      </c>
      <c r="B17" s="14">
        <f>'4_All_periods'!D156</f>
        <v>-0.7298</v>
      </c>
      <c r="C17" s="14">
        <f>'4_All_periods'!E156</f>
        <v>-0.2051</v>
      </c>
      <c r="D17" s="15">
        <f t="shared" si="0"/>
        <v>-8.3300000000000041E-2</v>
      </c>
      <c r="E17" s="15">
        <f t="shared" si="1"/>
        <v>-0.2732</v>
      </c>
      <c r="F17" s="15">
        <f t="shared" si="2"/>
        <v>-0.18727818968381169</v>
      </c>
      <c r="G17" s="16" t="str">
        <f t="shared" si="3"/>
        <v>discharge/export</v>
      </c>
    </row>
    <row r="18" spans="1:7" ht="17.100000000000001" customHeight="1" x14ac:dyDescent="0.25">
      <c r="A18" s="13">
        <f>'4_All_periods'!C157</f>
        <v>330</v>
      </c>
      <c r="B18" s="14">
        <f>'4_All_periods'!D157</f>
        <v>-0.61360000000000003</v>
      </c>
      <c r="C18" s="14">
        <f>'4_All_periods'!E157</f>
        <v>-8.8599999999999998E-2</v>
      </c>
      <c r="D18" s="15">
        <f t="shared" si="0"/>
        <v>3.2899999999999929E-2</v>
      </c>
      <c r="E18" s="15">
        <f t="shared" si="1"/>
        <v>-0.15670000000000001</v>
      </c>
      <c r="F18" s="15">
        <f t="shared" si="2"/>
        <v>-0.48709318776213134</v>
      </c>
      <c r="G18" s="16" t="str">
        <f t="shared" si="3"/>
        <v>charge/import</v>
      </c>
    </row>
    <row r="19" spans="1:7" ht="17.100000000000001" customHeight="1" x14ac:dyDescent="0.25">
      <c r="A19" s="17" t="s">
        <v>76</v>
      </c>
      <c r="B19" s="18">
        <f>B7</f>
        <v>-0.57010000000000005</v>
      </c>
      <c r="C19" s="18">
        <f>C7</f>
        <v>7.4099999999999999E-2</v>
      </c>
      <c r="D19" s="18">
        <f>D7</f>
        <v>7.6399999999999912E-2</v>
      </c>
      <c r="E19" s="18">
        <f>E7</f>
        <v>6.0000000000000053E-3</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0.5282</v>
      </c>
    </row>
    <row r="23" spans="1:7" ht="18" customHeight="1" x14ac:dyDescent="0.25">
      <c r="A23" s="45" t="s">
        <v>79</v>
      </c>
      <c r="B23" s="46"/>
      <c r="C23" s="20">
        <f>MAX(0,MAX(D7:D18))</f>
        <v>7.6399999999999912E-2</v>
      </c>
    </row>
    <row r="24" spans="1:7" ht="18" customHeight="1" x14ac:dyDescent="0.25">
      <c r="A24" s="45" t="s">
        <v>80</v>
      </c>
      <c r="B24" s="46"/>
      <c r="C24" s="20">
        <f>MAX(0,-MIN(D7:D18))</f>
        <v>0.45180000000000009</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"&amp;TEXT('4_All_periods'!H146,"0.00000")&amp;" pu"&amp;IF('4_All_periods'!H146&gt;=1.0999," → over-voltage limit is active"," → clear of the limit, so the battery bounds it"),"blocked at 180°: Vmax there = "&amp;TEXT('4_All_periods'!H152,"0.00000")&amp;" pu"&amp;IF('4_All_periods'!H152&gt;=1.0999,"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71" priority="1">
      <formula>ISNUMBER(SEARCH("charge",$G7))</formula>
    </cfRule>
    <cfRule type="expression" dxfId="70"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153</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'4_All_periods'!I158</f>
        <v>-0.88990000000000002</v>
      </c>
      <c r="C4" s="10" t="s">
        <v>69</v>
      </c>
      <c r="D4" s="11">
        <f>'4_All_periods'!J158</f>
        <v>7.8700000000000006E-2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'4_All_periods'!C158</f>
        <v>0</v>
      </c>
      <c r="B7" s="14">
        <f>'4_All_periods'!D158</f>
        <v>-0.7611</v>
      </c>
      <c r="C7" s="14">
        <f>'4_All_periods'!E158</f>
        <v>7.8899999999999998E-2</v>
      </c>
      <c r="D7" s="15">
        <f t="shared" ref="D7:D18" si="0">B7-$B$4</f>
        <v>0.12880000000000003</v>
      </c>
      <c r="E7" s="15">
        <f t="shared" ref="E7:E18" si="1">C7-$D$4</f>
        <v>1.9999999999999185E-4</v>
      </c>
      <c r="F7" s="15">
        <f t="shared" ref="F7:F18" si="2">B7*COS(RADIANS(A7))+C7*SIN(RADIANS(A7))</f>
        <v>-0.7611</v>
      </c>
      <c r="G7" s="16" t="str">
        <f t="shared" ref="G7:G18" si="3">IF(D7&gt;0,"charge/import","discharge/export")</f>
        <v>charge/import</v>
      </c>
    </row>
    <row r="8" spans="1:7" ht="17.100000000000001" customHeight="1" x14ac:dyDescent="0.25">
      <c r="A8" s="13">
        <f>'4_All_periods'!C159</f>
        <v>30</v>
      </c>
      <c r="B8" s="14">
        <f>'4_All_periods'!D159</f>
        <v>-0.79959999999999998</v>
      </c>
      <c r="C8" s="14">
        <f>'4_All_periods'!E159</f>
        <v>0.26790000000000003</v>
      </c>
      <c r="D8" s="15">
        <f t="shared" si="0"/>
        <v>9.0300000000000047E-2</v>
      </c>
      <c r="E8" s="15">
        <f t="shared" si="1"/>
        <v>0.18920000000000003</v>
      </c>
      <c r="F8" s="15">
        <f t="shared" si="2"/>
        <v>-0.5585239128660372</v>
      </c>
      <c r="G8" s="16" t="str">
        <f t="shared" si="3"/>
        <v>charge/import</v>
      </c>
    </row>
    <row r="9" spans="1:7" ht="17.100000000000001" customHeight="1" x14ac:dyDescent="0.25">
      <c r="A9" s="13">
        <f>'4_All_periods'!C160</f>
        <v>60</v>
      </c>
      <c r="B9" s="14">
        <f>'4_All_periods'!D160</f>
        <v>-0.91700000000000004</v>
      </c>
      <c r="C9" s="14">
        <f>'4_All_periods'!E160</f>
        <v>0.38479999999999998</v>
      </c>
      <c r="D9" s="15">
        <f t="shared" si="0"/>
        <v>-2.7100000000000013E-2</v>
      </c>
      <c r="E9" s="15">
        <f t="shared" si="1"/>
        <v>0.30609999999999998</v>
      </c>
      <c r="F9" s="15">
        <f t="shared" si="2"/>
        <v>-0.12525342462374817</v>
      </c>
      <c r="G9" s="16" t="str">
        <f t="shared" si="3"/>
        <v>discharge/export</v>
      </c>
    </row>
    <row r="10" spans="1:7" ht="17.100000000000001" customHeight="1" x14ac:dyDescent="0.25">
      <c r="A10" s="13">
        <f>'4_All_periods'!C161</f>
        <v>90</v>
      </c>
      <c r="B10" s="14">
        <f>'4_All_periods'!D161</f>
        <v>-1.0753999999999999</v>
      </c>
      <c r="C10" s="14">
        <f>'4_All_periods'!E161</f>
        <v>0.42749999999999999</v>
      </c>
      <c r="D10" s="15">
        <f t="shared" si="0"/>
        <v>-0.18549999999999989</v>
      </c>
      <c r="E10" s="15">
        <f t="shared" si="1"/>
        <v>0.3488</v>
      </c>
      <c r="F10" s="15">
        <f t="shared" si="2"/>
        <v>0.42749999999999994</v>
      </c>
      <c r="G10" s="16" t="str">
        <f t="shared" si="3"/>
        <v>discharge/export</v>
      </c>
    </row>
    <row r="11" spans="1:7" ht="17.100000000000001" customHeight="1" x14ac:dyDescent="0.25">
      <c r="A11" s="13">
        <f>'4_All_periods'!C162</f>
        <v>120</v>
      </c>
      <c r="B11" s="14">
        <f>'4_All_periods'!D162</f>
        <v>-1.2249000000000001</v>
      </c>
      <c r="C11" s="14">
        <f>'4_All_periods'!E162</f>
        <v>0.38829999999999998</v>
      </c>
      <c r="D11" s="15">
        <f t="shared" si="0"/>
        <v>-0.33500000000000008</v>
      </c>
      <c r="E11" s="15">
        <f t="shared" si="1"/>
        <v>0.30959999999999999</v>
      </c>
      <c r="F11" s="15">
        <f t="shared" si="2"/>
        <v>0.94872766428949729</v>
      </c>
      <c r="G11" s="16" t="str">
        <f t="shared" si="3"/>
        <v>discharge/export</v>
      </c>
    </row>
    <row r="12" spans="1:7" ht="17.100000000000001" customHeight="1" x14ac:dyDescent="0.25">
      <c r="A12" s="13">
        <f>'4_All_periods'!C163</f>
        <v>150</v>
      </c>
      <c r="B12" s="14">
        <f>'4_All_periods'!D163</f>
        <v>-1.3063</v>
      </c>
      <c r="C12" s="14">
        <f>'4_All_periods'!E163</f>
        <v>0.31169999999999998</v>
      </c>
      <c r="D12" s="15">
        <f t="shared" si="0"/>
        <v>-0.41639999999999999</v>
      </c>
      <c r="E12" s="15">
        <f t="shared" si="1"/>
        <v>0.23299999999999998</v>
      </c>
      <c r="F12" s="15">
        <f t="shared" si="2"/>
        <v>1.2871389849636123</v>
      </c>
      <c r="G12" s="16" t="str">
        <f t="shared" si="3"/>
        <v>discharge/export</v>
      </c>
    </row>
    <row r="13" spans="1:7" ht="17.100000000000001" customHeight="1" x14ac:dyDescent="0.25">
      <c r="A13" s="13">
        <f>'4_All_periods'!C164</f>
        <v>180</v>
      </c>
      <c r="B13" s="14">
        <f>'4_All_periods'!D164</f>
        <v>-1.3249</v>
      </c>
      <c r="C13" s="14">
        <f>'4_All_periods'!E164</f>
        <v>0.20449999999999999</v>
      </c>
      <c r="D13" s="15">
        <f t="shared" si="0"/>
        <v>-0.43499999999999994</v>
      </c>
      <c r="E13" s="15">
        <f t="shared" si="1"/>
        <v>0.12579999999999997</v>
      </c>
      <c r="F13" s="15">
        <f t="shared" si="2"/>
        <v>1.3249</v>
      </c>
      <c r="G13" s="16" t="str">
        <f t="shared" si="3"/>
        <v>discharge/export</v>
      </c>
    </row>
    <row r="14" spans="1:7" ht="17.100000000000001" customHeight="1" x14ac:dyDescent="0.25">
      <c r="A14" s="13">
        <f>'4_All_periods'!C165</f>
        <v>210</v>
      </c>
      <c r="B14" s="14">
        <f>'4_All_periods'!D165</f>
        <v>-1.2779</v>
      </c>
      <c r="C14" s="14">
        <f>'4_All_periods'!E165</f>
        <v>-3.5000000000000001E-3</v>
      </c>
      <c r="D14" s="15">
        <f t="shared" si="0"/>
        <v>-0.38800000000000001</v>
      </c>
      <c r="E14" s="15">
        <f t="shared" si="1"/>
        <v>-8.2200000000000009E-2</v>
      </c>
      <c r="F14" s="15">
        <f t="shared" si="2"/>
        <v>1.108443863496134</v>
      </c>
      <c r="G14" s="16" t="str">
        <f t="shared" si="3"/>
        <v>discharge/export</v>
      </c>
    </row>
    <row r="15" spans="1:7" ht="17.100000000000001" customHeight="1" x14ac:dyDescent="0.25">
      <c r="A15" s="13">
        <f>'4_All_periods'!C166</f>
        <v>240</v>
      </c>
      <c r="B15" s="14">
        <f>'4_All_periods'!D166</f>
        <v>-1.1045</v>
      </c>
      <c r="C15" s="14">
        <f>'4_All_periods'!E166</f>
        <v>-0.18859999999999999</v>
      </c>
      <c r="D15" s="15">
        <f t="shared" si="0"/>
        <v>-0.21460000000000001</v>
      </c>
      <c r="E15" s="15">
        <f t="shared" si="1"/>
        <v>-0.26729999999999998</v>
      </c>
      <c r="F15" s="15">
        <f t="shared" si="2"/>
        <v>0.71558239115374556</v>
      </c>
      <c r="G15" s="16" t="str">
        <f t="shared" si="3"/>
        <v>discharge/export</v>
      </c>
    </row>
    <row r="16" spans="1:7" ht="17.100000000000001" customHeight="1" x14ac:dyDescent="0.25">
      <c r="A16" s="13">
        <f>'4_All_periods'!C167</f>
        <v>270</v>
      </c>
      <c r="B16" s="14">
        <f>'4_All_periods'!D167</f>
        <v>-1.0124</v>
      </c>
      <c r="C16" s="14">
        <f>'4_All_periods'!E167</f>
        <v>-0.21640000000000001</v>
      </c>
      <c r="D16" s="15">
        <f t="shared" si="0"/>
        <v>-0.12249999999999994</v>
      </c>
      <c r="E16" s="15">
        <f t="shared" si="1"/>
        <v>-0.29510000000000003</v>
      </c>
      <c r="F16" s="15">
        <f t="shared" si="2"/>
        <v>0.2164000000000002</v>
      </c>
      <c r="G16" s="16" t="str">
        <f t="shared" si="3"/>
        <v>discharge/export</v>
      </c>
    </row>
    <row r="17" spans="1:7" ht="17.100000000000001" customHeight="1" x14ac:dyDescent="0.25">
      <c r="A17" s="13">
        <f>'4_All_periods'!C168</f>
        <v>300</v>
      </c>
      <c r="B17" s="14">
        <f>'4_All_periods'!D168</f>
        <v>-0.91169999999999995</v>
      </c>
      <c r="C17" s="14">
        <f>'4_All_periods'!E168</f>
        <v>-0.18340000000000001</v>
      </c>
      <c r="D17" s="15">
        <f t="shared" si="0"/>
        <v>-2.1799999999999931E-2</v>
      </c>
      <c r="E17" s="15">
        <f t="shared" si="1"/>
        <v>-0.2621</v>
      </c>
      <c r="F17" s="15">
        <f t="shared" si="2"/>
        <v>-0.29702094094593401</v>
      </c>
      <c r="G17" s="16" t="str">
        <f t="shared" si="3"/>
        <v>discharge/export</v>
      </c>
    </row>
    <row r="18" spans="1:7" ht="17.100000000000001" customHeight="1" x14ac:dyDescent="0.25">
      <c r="A18" s="13">
        <f>'4_All_periods'!C169</f>
        <v>330</v>
      </c>
      <c r="B18" s="14">
        <f>'4_All_periods'!D169</f>
        <v>-0.79810000000000003</v>
      </c>
      <c r="C18" s="14">
        <f>'4_All_periods'!E169</f>
        <v>-7.0199999999999999E-2</v>
      </c>
      <c r="D18" s="15">
        <f t="shared" si="0"/>
        <v>9.1799999999999993E-2</v>
      </c>
      <c r="E18" s="15">
        <f t="shared" si="1"/>
        <v>-0.1489</v>
      </c>
      <c r="F18" s="15">
        <f t="shared" si="2"/>
        <v>-0.6560748747603603</v>
      </c>
      <c r="G18" s="16" t="str">
        <f t="shared" si="3"/>
        <v>charge/import</v>
      </c>
    </row>
    <row r="19" spans="1:7" ht="17.100000000000001" customHeight="1" x14ac:dyDescent="0.25">
      <c r="A19" s="17" t="s">
        <v>76</v>
      </c>
      <c r="B19" s="18">
        <f>B7</f>
        <v>-0.7611</v>
      </c>
      <c r="C19" s="18">
        <f>C7</f>
        <v>7.8899999999999998E-2</v>
      </c>
      <c r="D19" s="18">
        <f>D7</f>
        <v>0.12880000000000003</v>
      </c>
      <c r="E19" s="18">
        <f>E7</f>
        <v>1.9999999999999185E-4</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0.56379999999999997</v>
      </c>
    </row>
    <row r="23" spans="1:7" ht="18" customHeight="1" x14ac:dyDescent="0.25">
      <c r="A23" s="45" t="s">
        <v>79</v>
      </c>
      <c r="B23" s="46"/>
      <c r="C23" s="20">
        <f>MAX(0,MAX(D7:D18))</f>
        <v>0.12880000000000003</v>
      </c>
    </row>
    <row r="24" spans="1:7" ht="18" customHeight="1" x14ac:dyDescent="0.25">
      <c r="A24" s="45" t="s">
        <v>80</v>
      </c>
      <c r="B24" s="46"/>
      <c r="C24" s="20">
        <f>MAX(0,-MIN(D7:D18))</f>
        <v>0.43499999999999994</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"&amp;TEXT('4_All_periods'!H158,"0.00000")&amp;" pu"&amp;IF('4_All_periods'!H158&gt;=1.0999," → over-voltage limit is active"," → clear of the limit, so the battery bounds it"),"blocked at 180°: Vmax there = "&amp;TEXT('4_All_periods'!H164,"0.00000")&amp;" pu"&amp;IF('4_All_periods'!H164&gt;=1.0999,"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69" priority="1">
      <formula>ISNUMBER(SEARCH("charge",$G7))</formula>
    </cfRule>
    <cfRule type="expression" dxfId="68"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154</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'4_All_periods'!I170</f>
        <v>-1.0712999999999999</v>
      </c>
      <c r="C4" s="10" t="s">
        <v>69</v>
      </c>
      <c r="D4" s="11">
        <f>'4_All_periods'!J170</f>
        <v>0.1012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'4_All_periods'!C170</f>
        <v>0</v>
      </c>
      <c r="B7" s="14">
        <f>'4_All_periods'!D170</f>
        <v>-1.0116000000000001</v>
      </c>
      <c r="C7" s="14">
        <f>'4_All_periods'!E170</f>
        <v>7.7399999999999997E-2</v>
      </c>
      <c r="D7" s="15">
        <f t="shared" ref="D7:D18" si="0">B7-$B$4</f>
        <v>5.9699999999999864E-2</v>
      </c>
      <c r="E7" s="15">
        <f t="shared" ref="E7:E18" si="1">C7-$D$4</f>
        <v>-2.3800000000000002E-2</v>
      </c>
      <c r="F7" s="15">
        <f t="shared" ref="F7:F18" si="2">B7*COS(RADIANS(A7))+C7*SIN(RADIANS(A7))</f>
        <v>-1.0116000000000001</v>
      </c>
      <c r="G7" s="16" t="str">
        <f t="shared" ref="G7:G18" si="3">IF(D7&gt;0,"charge/import","discharge/export")</f>
        <v>charge/import</v>
      </c>
    </row>
    <row r="8" spans="1:7" ht="17.100000000000001" customHeight="1" x14ac:dyDescent="0.25">
      <c r="A8" s="13">
        <f>'4_All_periods'!C171</f>
        <v>30</v>
      </c>
      <c r="B8" s="14">
        <f>'4_All_periods'!D171</f>
        <v>-1.0374000000000001</v>
      </c>
      <c r="C8" s="14">
        <f>'4_All_periods'!E171</f>
        <v>0.31559999999999999</v>
      </c>
      <c r="D8" s="15">
        <f t="shared" si="0"/>
        <v>3.3899999999999819E-2</v>
      </c>
      <c r="E8" s="15">
        <f t="shared" si="1"/>
        <v>0.21439999999999998</v>
      </c>
      <c r="F8" s="15">
        <f t="shared" si="2"/>
        <v>-0.74061475388597686</v>
      </c>
      <c r="G8" s="16" t="str">
        <f t="shared" si="3"/>
        <v>charge/import</v>
      </c>
    </row>
    <row r="9" spans="1:7" ht="17.100000000000001" customHeight="1" x14ac:dyDescent="0.25">
      <c r="A9" s="13">
        <f>'4_All_periods'!C172</f>
        <v>60</v>
      </c>
      <c r="B9" s="14">
        <f>'4_All_periods'!D172</f>
        <v>-1.1291</v>
      </c>
      <c r="C9" s="14">
        <f>'4_All_periods'!E172</f>
        <v>0.4042</v>
      </c>
      <c r="D9" s="15">
        <f t="shared" si="0"/>
        <v>-5.7800000000000074E-2</v>
      </c>
      <c r="E9" s="15">
        <f t="shared" si="1"/>
        <v>0.30299999999999999</v>
      </c>
      <c r="F9" s="15">
        <f t="shared" si="2"/>
        <v>-0.21450253179033002</v>
      </c>
      <c r="G9" s="16" t="str">
        <f t="shared" si="3"/>
        <v>discharge/export</v>
      </c>
    </row>
    <row r="10" spans="1:7" ht="17.100000000000001" customHeight="1" x14ac:dyDescent="0.25">
      <c r="A10" s="13">
        <f>'4_All_periods'!C173</f>
        <v>90</v>
      </c>
      <c r="B10" s="14">
        <f>'4_All_periods'!D173</f>
        <v>-1.2838000000000001</v>
      </c>
      <c r="C10" s="14">
        <f>'4_All_periods'!E173</f>
        <v>0.44529999999999997</v>
      </c>
      <c r="D10" s="15">
        <f t="shared" si="0"/>
        <v>-0.21250000000000013</v>
      </c>
      <c r="E10" s="15">
        <f t="shared" si="1"/>
        <v>0.34409999999999996</v>
      </c>
      <c r="F10" s="15">
        <f t="shared" si="2"/>
        <v>0.44529999999999992</v>
      </c>
      <c r="G10" s="16" t="str">
        <f t="shared" si="3"/>
        <v>discharge/export</v>
      </c>
    </row>
    <row r="11" spans="1:7" ht="17.100000000000001" customHeight="1" x14ac:dyDescent="0.25">
      <c r="A11" s="13">
        <f>'4_All_periods'!C174</f>
        <v>120</v>
      </c>
      <c r="B11" s="14">
        <f>'4_All_periods'!D174</f>
        <v>-1.4361999999999999</v>
      </c>
      <c r="C11" s="14">
        <f>'4_All_periods'!E174</f>
        <v>0.40500000000000003</v>
      </c>
      <c r="D11" s="15">
        <f t="shared" si="0"/>
        <v>-0.3649</v>
      </c>
      <c r="E11" s="15">
        <f t="shared" si="1"/>
        <v>0.30380000000000001</v>
      </c>
      <c r="F11" s="15">
        <f t="shared" si="2"/>
        <v>1.0688402885326973</v>
      </c>
      <c r="G11" s="16" t="str">
        <f t="shared" si="3"/>
        <v>discharge/export</v>
      </c>
    </row>
    <row r="12" spans="1:7" ht="17.100000000000001" customHeight="1" x14ac:dyDescent="0.25">
      <c r="A12" s="13">
        <f>'4_All_periods'!C175</f>
        <v>150</v>
      </c>
      <c r="B12" s="14">
        <f>'4_All_periods'!D175</f>
        <v>-1.5228999999999999</v>
      </c>
      <c r="C12" s="14">
        <f>'4_All_periods'!E175</f>
        <v>0.32300000000000001</v>
      </c>
      <c r="D12" s="15">
        <f t="shared" si="0"/>
        <v>-0.4516</v>
      </c>
      <c r="E12" s="15">
        <f t="shared" si="1"/>
        <v>0.2218</v>
      </c>
      <c r="F12" s="15">
        <f t="shared" si="2"/>
        <v>1.4803700874233217</v>
      </c>
      <c r="G12" s="16" t="str">
        <f t="shared" si="3"/>
        <v>discharge/export</v>
      </c>
    </row>
    <row r="13" spans="1:7" ht="17.100000000000001" customHeight="1" x14ac:dyDescent="0.25">
      <c r="A13" s="13">
        <f>'4_All_periods'!C176</f>
        <v>180</v>
      </c>
      <c r="B13" s="14">
        <f>'4_All_periods'!D176</f>
        <v>-1.5503</v>
      </c>
      <c r="C13" s="14">
        <f>'4_All_periods'!E176</f>
        <v>0.21240000000000001</v>
      </c>
      <c r="D13" s="15">
        <f t="shared" si="0"/>
        <v>-0.47900000000000009</v>
      </c>
      <c r="E13" s="15">
        <f t="shared" si="1"/>
        <v>0.11120000000000001</v>
      </c>
      <c r="F13" s="15">
        <f t="shared" si="2"/>
        <v>1.5503</v>
      </c>
      <c r="G13" s="16" t="str">
        <f t="shared" si="3"/>
        <v>discharge/export</v>
      </c>
    </row>
    <row r="14" spans="1:7" ht="17.100000000000001" customHeight="1" x14ac:dyDescent="0.25">
      <c r="A14" s="13">
        <f>'4_All_periods'!C177</f>
        <v>210</v>
      </c>
      <c r="B14" s="14">
        <f>'4_All_periods'!D177</f>
        <v>-1.5024999999999999</v>
      </c>
      <c r="C14" s="14">
        <f>'4_All_periods'!E177</f>
        <v>4.8599999999999997E-2</v>
      </c>
      <c r="D14" s="15">
        <f t="shared" si="0"/>
        <v>-0.43120000000000003</v>
      </c>
      <c r="E14" s="15">
        <f t="shared" si="1"/>
        <v>-5.2600000000000001E-2</v>
      </c>
      <c r="F14" s="15">
        <f t="shared" si="2"/>
        <v>1.276903169186119</v>
      </c>
      <c r="G14" s="16" t="str">
        <f t="shared" si="3"/>
        <v>discharge/export</v>
      </c>
    </row>
    <row r="15" spans="1:7" ht="17.100000000000001" customHeight="1" x14ac:dyDescent="0.25">
      <c r="A15" s="13">
        <f>'4_All_periods'!C178</f>
        <v>240</v>
      </c>
      <c r="B15" s="14">
        <f>'4_All_periods'!D178</f>
        <v>-1.3016000000000001</v>
      </c>
      <c r="C15" s="14">
        <f>'4_All_periods'!E178</f>
        <v>-0.16930000000000001</v>
      </c>
      <c r="D15" s="15">
        <f t="shared" si="0"/>
        <v>-0.23030000000000017</v>
      </c>
      <c r="E15" s="15">
        <f t="shared" si="1"/>
        <v>-0.27050000000000002</v>
      </c>
      <c r="F15" s="15">
        <f t="shared" si="2"/>
        <v>0.79741810086070597</v>
      </c>
      <c r="G15" s="16" t="str">
        <f t="shared" si="3"/>
        <v>discharge/export</v>
      </c>
    </row>
    <row r="16" spans="1:7" ht="17.100000000000001" customHeight="1" x14ac:dyDescent="0.25">
      <c r="A16" s="13">
        <f>'4_All_periods'!C179</f>
        <v>270</v>
      </c>
      <c r="B16" s="14">
        <f>'4_All_periods'!D179</f>
        <v>-1.2103999999999999</v>
      </c>
      <c r="C16" s="14">
        <f>'4_All_periods'!E179</f>
        <v>-0.19670000000000001</v>
      </c>
      <c r="D16" s="15">
        <f t="shared" si="0"/>
        <v>-0.1391</v>
      </c>
      <c r="E16" s="15">
        <f t="shared" si="1"/>
        <v>-0.2979</v>
      </c>
      <c r="F16" s="15">
        <f t="shared" si="2"/>
        <v>0.19670000000000024</v>
      </c>
      <c r="G16" s="16" t="str">
        <f t="shared" si="3"/>
        <v>discharge/export</v>
      </c>
    </row>
    <row r="17" spans="1:7" ht="17.100000000000001" customHeight="1" x14ac:dyDescent="0.25">
      <c r="A17" s="13">
        <f>'4_All_periods'!C180</f>
        <v>300</v>
      </c>
      <c r="B17" s="14">
        <f>'4_All_periods'!D180</f>
        <v>-1.123</v>
      </c>
      <c r="C17" s="14">
        <f>'4_All_periods'!E180</f>
        <v>-0.16830000000000001</v>
      </c>
      <c r="D17" s="15">
        <f t="shared" si="0"/>
        <v>-5.1700000000000079E-2</v>
      </c>
      <c r="E17" s="15">
        <f t="shared" si="1"/>
        <v>-0.26950000000000002</v>
      </c>
      <c r="F17" s="15">
        <f t="shared" si="2"/>
        <v>-0.41574792454307907</v>
      </c>
      <c r="G17" s="16" t="str">
        <f t="shared" si="3"/>
        <v>discharge/export</v>
      </c>
    </row>
    <row r="18" spans="1:7" ht="17.100000000000001" customHeight="1" x14ac:dyDescent="0.25">
      <c r="A18" s="13">
        <f>'4_All_periods'!C181</f>
        <v>330</v>
      </c>
      <c r="B18" s="14">
        <f>'4_All_periods'!D181</f>
        <v>-1.0357000000000001</v>
      </c>
      <c r="C18" s="14">
        <f>'4_All_periods'!E181</f>
        <v>-8.4000000000000005E-2</v>
      </c>
      <c r="D18" s="15">
        <f t="shared" si="0"/>
        <v>3.5599999999999854E-2</v>
      </c>
      <c r="E18" s="15">
        <f t="shared" si="1"/>
        <v>-0.1852</v>
      </c>
      <c r="F18" s="15">
        <f t="shared" si="2"/>
        <v>-0.85494251069954286</v>
      </c>
      <c r="G18" s="16" t="str">
        <f t="shared" si="3"/>
        <v>charge/import</v>
      </c>
    </row>
    <row r="19" spans="1:7" ht="17.100000000000001" customHeight="1" x14ac:dyDescent="0.25">
      <c r="A19" s="17" t="s">
        <v>76</v>
      </c>
      <c r="B19" s="18">
        <f>B7</f>
        <v>-1.0116000000000001</v>
      </c>
      <c r="C19" s="18">
        <f>C7</f>
        <v>7.7399999999999997E-2</v>
      </c>
      <c r="D19" s="18">
        <f>D7</f>
        <v>5.9699999999999864E-2</v>
      </c>
      <c r="E19" s="18">
        <f>E7</f>
        <v>-2.3800000000000002E-2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0.53869999999999996</v>
      </c>
    </row>
    <row r="23" spans="1:7" ht="18" customHeight="1" x14ac:dyDescent="0.25">
      <c r="A23" s="45" t="s">
        <v>79</v>
      </c>
      <c r="B23" s="46"/>
      <c r="C23" s="20">
        <f>MAX(0,MAX(D7:D18))</f>
        <v>5.9699999999999864E-2</v>
      </c>
    </row>
    <row r="24" spans="1:7" ht="18" customHeight="1" x14ac:dyDescent="0.25">
      <c r="A24" s="45" t="s">
        <v>80</v>
      </c>
      <c r="B24" s="46"/>
      <c r="C24" s="20">
        <f>MAX(0,-MIN(D7:D18))</f>
        <v>0.47900000000000009</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"&amp;TEXT('4_All_periods'!H170,"0.00000")&amp;" pu"&amp;IF('4_All_periods'!H170&gt;=1.0999," → over-voltage limit is active"," → clear of the limit, so the battery bounds it"),"blocked at 180°: Vmax there = "&amp;TEXT('4_All_periods'!H176,"0.00000")&amp;" pu"&amp;IF('4_All_periods'!H176&gt;=1.0999,"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67" priority="1">
      <formula>ISNUMBER(SEARCH("charge",$G7))</formula>
    </cfRule>
    <cfRule type="expression" dxfId="66"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155</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'4_All_periods'!I182</f>
        <v>-1.2791999999999999</v>
      </c>
      <c r="C4" s="10" t="s">
        <v>69</v>
      </c>
      <c r="D4" s="11">
        <f>'4_All_periods'!J182</f>
        <v>0.11849999999999999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'4_All_periods'!C182</f>
        <v>0</v>
      </c>
      <c r="B7" s="14">
        <f>'4_All_periods'!D182</f>
        <v>-1.2052</v>
      </c>
      <c r="C7" s="14">
        <f>'4_All_periods'!E182</f>
        <v>0.08</v>
      </c>
      <c r="D7" s="15">
        <f t="shared" ref="D7:D18" si="0">B7-$B$4</f>
        <v>7.3999999999999844E-2</v>
      </c>
      <c r="E7" s="15">
        <f t="shared" ref="E7:E18" si="1">C7-$D$4</f>
        <v>-3.8499999999999993E-2</v>
      </c>
      <c r="F7" s="15">
        <f t="shared" ref="F7:F18" si="2">B7*COS(RADIANS(A7))+C7*SIN(RADIANS(A7))</f>
        <v>-1.2052</v>
      </c>
      <c r="G7" s="16" t="str">
        <f t="shared" ref="G7:G18" si="3">IF(D7&gt;0,"charge/import","discharge/export")</f>
        <v>charge/import</v>
      </c>
    </row>
    <row r="8" spans="1:7" ht="17.100000000000001" customHeight="1" x14ac:dyDescent="0.25">
      <c r="A8" s="13">
        <f>'4_All_periods'!C183</f>
        <v>30</v>
      </c>
      <c r="B8" s="14">
        <f>'4_All_periods'!D183</f>
        <v>-1.2235</v>
      </c>
      <c r="C8" s="14">
        <f>'4_All_periods'!E183</f>
        <v>0.39539999999999997</v>
      </c>
      <c r="D8" s="15">
        <f t="shared" si="0"/>
        <v>5.5699999999999861E-2</v>
      </c>
      <c r="E8" s="15">
        <f t="shared" si="1"/>
        <v>0.27689999999999998</v>
      </c>
      <c r="F8" s="15">
        <f t="shared" si="2"/>
        <v>-0.8618820815302608</v>
      </c>
      <c r="G8" s="16" t="str">
        <f t="shared" si="3"/>
        <v>charge/import</v>
      </c>
    </row>
    <row r="9" spans="1:7" ht="17.100000000000001" customHeight="1" x14ac:dyDescent="0.25">
      <c r="A9" s="13">
        <f>'4_All_periods'!C184</f>
        <v>60</v>
      </c>
      <c r="B9" s="14">
        <f>'4_All_periods'!D184</f>
        <v>-1.2769999999999999</v>
      </c>
      <c r="C9" s="14">
        <f>'4_All_periods'!E184</f>
        <v>0.44569999999999999</v>
      </c>
      <c r="D9" s="15">
        <f t="shared" si="0"/>
        <v>2.1999999999999797E-3</v>
      </c>
      <c r="E9" s="15">
        <f t="shared" si="1"/>
        <v>0.32719999999999999</v>
      </c>
      <c r="F9" s="15">
        <f t="shared" si="2"/>
        <v>-0.25251247753327583</v>
      </c>
      <c r="G9" s="16" t="str">
        <f t="shared" si="3"/>
        <v>charge/import</v>
      </c>
    </row>
    <row r="10" spans="1:7" ht="17.100000000000001" customHeight="1" x14ac:dyDescent="0.25">
      <c r="A10" s="13">
        <f>'4_All_periods'!C185</f>
        <v>90</v>
      </c>
      <c r="B10" s="14">
        <f>'4_All_periods'!D185</f>
        <v>-1.4036</v>
      </c>
      <c r="C10" s="14">
        <f>'4_All_periods'!E185</f>
        <v>0.47660000000000002</v>
      </c>
      <c r="D10" s="15">
        <f t="shared" si="0"/>
        <v>-0.12440000000000007</v>
      </c>
      <c r="E10" s="15">
        <f t="shared" si="1"/>
        <v>0.35810000000000003</v>
      </c>
      <c r="F10" s="15">
        <f t="shared" si="2"/>
        <v>0.47659999999999991</v>
      </c>
      <c r="G10" s="16" t="str">
        <f t="shared" si="3"/>
        <v>discharge/export</v>
      </c>
    </row>
    <row r="11" spans="1:7" ht="17.100000000000001" customHeight="1" x14ac:dyDescent="0.25">
      <c r="A11" s="13">
        <f>'4_All_periods'!C186</f>
        <v>120</v>
      </c>
      <c r="B11" s="14">
        <f>'4_All_periods'!D186</f>
        <v>-1.5561</v>
      </c>
      <c r="C11" s="14">
        <f>'4_All_periods'!E186</f>
        <v>0.43619999999999998</v>
      </c>
      <c r="D11" s="15">
        <f t="shared" si="0"/>
        <v>-0.27690000000000015</v>
      </c>
      <c r="E11" s="15">
        <f t="shared" si="1"/>
        <v>0.31769999999999998</v>
      </c>
      <c r="F11" s="15">
        <f t="shared" si="2"/>
        <v>1.1558102811307718</v>
      </c>
      <c r="G11" s="16" t="str">
        <f t="shared" si="3"/>
        <v>discharge/export</v>
      </c>
    </row>
    <row r="12" spans="1:7" ht="17.100000000000001" customHeight="1" x14ac:dyDescent="0.25">
      <c r="A12" s="13">
        <f>'4_All_periods'!C187</f>
        <v>150</v>
      </c>
      <c r="B12" s="14">
        <f>'4_All_periods'!D187</f>
        <v>-1.6375999999999999</v>
      </c>
      <c r="C12" s="14">
        <f>'4_All_periods'!E187</f>
        <v>0.35110000000000002</v>
      </c>
      <c r="D12" s="15">
        <f t="shared" si="0"/>
        <v>-0.35840000000000005</v>
      </c>
      <c r="E12" s="15">
        <f t="shared" si="1"/>
        <v>0.23260000000000003</v>
      </c>
      <c r="F12" s="15">
        <f t="shared" si="2"/>
        <v>1.5937532012373969</v>
      </c>
      <c r="G12" s="16" t="str">
        <f t="shared" si="3"/>
        <v>discharge/export</v>
      </c>
    </row>
    <row r="13" spans="1:7" ht="17.100000000000001" customHeight="1" x14ac:dyDescent="0.25">
      <c r="A13" s="13">
        <f>'4_All_periods'!C188</f>
        <v>180</v>
      </c>
      <c r="B13" s="14">
        <f>'4_All_periods'!D188</f>
        <v>-1.6686000000000001</v>
      </c>
      <c r="C13" s="14">
        <f>'4_All_periods'!E188</f>
        <v>0.24460000000000001</v>
      </c>
      <c r="D13" s="15">
        <f t="shared" si="0"/>
        <v>-0.38940000000000019</v>
      </c>
      <c r="E13" s="15">
        <f t="shared" si="1"/>
        <v>0.12610000000000002</v>
      </c>
      <c r="F13" s="15">
        <f t="shared" si="2"/>
        <v>1.6686000000000001</v>
      </c>
      <c r="G13" s="16" t="str">
        <f t="shared" si="3"/>
        <v>discharge/export</v>
      </c>
    </row>
    <row r="14" spans="1:7" ht="17.100000000000001" customHeight="1" x14ac:dyDescent="0.25">
      <c r="A14" s="13">
        <f>'4_All_periods'!C189</f>
        <v>210</v>
      </c>
      <c r="B14" s="14">
        <f>'4_All_periods'!D189</f>
        <v>-1.6226</v>
      </c>
      <c r="C14" s="14">
        <f>'4_All_periods'!E189</f>
        <v>9.3200000000000005E-2</v>
      </c>
      <c r="D14" s="15">
        <f t="shared" si="0"/>
        <v>-0.34340000000000015</v>
      </c>
      <c r="E14" s="15">
        <f t="shared" si="1"/>
        <v>-2.5299999999999989E-2</v>
      </c>
      <c r="F14" s="15">
        <f t="shared" si="2"/>
        <v>1.3586128201806302</v>
      </c>
      <c r="G14" s="16" t="str">
        <f t="shared" si="3"/>
        <v>discharge/export</v>
      </c>
    </row>
    <row r="15" spans="1:7" ht="17.100000000000001" customHeight="1" x14ac:dyDescent="0.25">
      <c r="A15" s="13">
        <f>'4_All_periods'!C190</f>
        <v>240</v>
      </c>
      <c r="B15" s="14">
        <f>'4_All_periods'!D190</f>
        <v>-1.4061999999999999</v>
      </c>
      <c r="C15" s="14">
        <f>'4_All_periods'!E190</f>
        <v>-0.13780000000000001</v>
      </c>
      <c r="D15" s="15">
        <f t="shared" si="0"/>
        <v>-0.127</v>
      </c>
      <c r="E15" s="15">
        <f t="shared" si="1"/>
        <v>-0.25629999999999997</v>
      </c>
      <c r="F15" s="15">
        <f t="shared" si="2"/>
        <v>0.82243830064149626</v>
      </c>
      <c r="G15" s="16" t="str">
        <f t="shared" si="3"/>
        <v>discharge/export</v>
      </c>
    </row>
    <row r="16" spans="1:7" ht="17.100000000000001" customHeight="1" x14ac:dyDescent="0.25">
      <c r="A16" s="13">
        <f>'4_All_periods'!C191</f>
        <v>270</v>
      </c>
      <c r="B16" s="14">
        <f>'4_All_periods'!D191</f>
        <v>-1.3223</v>
      </c>
      <c r="C16" s="14">
        <f>'4_All_periods'!E191</f>
        <v>-0.16250000000000001</v>
      </c>
      <c r="D16" s="15">
        <f t="shared" si="0"/>
        <v>-4.3100000000000138E-2</v>
      </c>
      <c r="E16" s="15">
        <f t="shared" si="1"/>
        <v>-0.28100000000000003</v>
      </c>
      <c r="F16" s="15">
        <f t="shared" si="2"/>
        <v>0.16250000000000026</v>
      </c>
      <c r="G16" s="16" t="str">
        <f t="shared" si="3"/>
        <v>discharge/export</v>
      </c>
    </row>
    <row r="17" spans="1:7" ht="17.100000000000001" customHeight="1" x14ac:dyDescent="0.25">
      <c r="A17" s="13">
        <f>'4_All_periods'!C192</f>
        <v>300</v>
      </c>
      <c r="B17" s="14">
        <f>'4_All_periods'!D192</f>
        <v>-1.2708999999999999</v>
      </c>
      <c r="C17" s="14">
        <f>'4_All_periods'!E192</f>
        <v>-0.14749999999999999</v>
      </c>
      <c r="D17" s="15">
        <f t="shared" si="0"/>
        <v>8.2999999999999741E-3</v>
      </c>
      <c r="E17" s="15">
        <f t="shared" si="1"/>
        <v>-0.26600000000000001</v>
      </c>
      <c r="F17" s="15">
        <f t="shared" si="2"/>
        <v>-0.50771125294179542</v>
      </c>
      <c r="G17" s="16" t="str">
        <f t="shared" si="3"/>
        <v>charge/import</v>
      </c>
    </row>
    <row r="18" spans="1:7" ht="17.100000000000001" customHeight="1" x14ac:dyDescent="0.25">
      <c r="A18" s="13">
        <f>'4_All_periods'!C193</f>
        <v>330</v>
      </c>
      <c r="B18" s="14">
        <f>'4_All_periods'!D193</f>
        <v>-1.2211000000000001</v>
      </c>
      <c r="C18" s="14">
        <f>'4_All_periods'!E193</f>
        <v>-0.1</v>
      </c>
      <c r="D18" s="15">
        <f t="shared" si="0"/>
        <v>5.8099999999999818E-2</v>
      </c>
      <c r="E18" s="15">
        <f t="shared" si="1"/>
        <v>-0.2185</v>
      </c>
      <c r="F18" s="15">
        <f t="shared" si="2"/>
        <v>-1.0075036205611778</v>
      </c>
      <c r="G18" s="16" t="str">
        <f t="shared" si="3"/>
        <v>charge/import</v>
      </c>
    </row>
    <row r="19" spans="1:7" ht="17.100000000000001" customHeight="1" x14ac:dyDescent="0.25">
      <c r="A19" s="17" t="s">
        <v>76</v>
      </c>
      <c r="B19" s="18">
        <f>B7</f>
        <v>-1.2052</v>
      </c>
      <c r="C19" s="18">
        <f>C7</f>
        <v>0.08</v>
      </c>
      <c r="D19" s="18">
        <f>D7</f>
        <v>7.3999999999999844E-2</v>
      </c>
      <c r="E19" s="18">
        <f>E7</f>
        <v>-3.8499999999999993E-2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0.46340000000000003</v>
      </c>
    </row>
    <row r="23" spans="1:7" ht="18" customHeight="1" x14ac:dyDescent="0.25">
      <c r="A23" s="45" t="s">
        <v>79</v>
      </c>
      <c r="B23" s="46"/>
      <c r="C23" s="20">
        <f>MAX(0,MAX(D7:D18))</f>
        <v>7.3999999999999844E-2</v>
      </c>
    </row>
    <row r="24" spans="1:7" ht="18" customHeight="1" x14ac:dyDescent="0.25">
      <c r="A24" s="45" t="s">
        <v>80</v>
      </c>
      <c r="B24" s="46"/>
      <c r="C24" s="20">
        <f>MAX(0,-MIN(D7:D18))</f>
        <v>0.38940000000000019</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"&amp;TEXT('4_All_periods'!H182,"0.00000")&amp;" pu"&amp;IF('4_All_periods'!H182&gt;=1.0999," → over-voltage limit is active"," → clear of the limit, so the battery bounds it"),"blocked at 180°: Vmax there = "&amp;TEXT('4_All_periods'!H188,"0.00000")&amp;" pu"&amp;IF('4_All_periods'!H188&gt;=1.0999,"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65" priority="1">
      <formula>ISNUMBER(SEARCH("charge",$G7))</formula>
    </cfRule>
    <cfRule type="expression" dxfId="64"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156</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'4_All_periods'!I194</f>
        <v>-1.399</v>
      </c>
      <c r="C4" s="10" t="s">
        <v>69</v>
      </c>
      <c r="D4" s="11">
        <f>'4_All_periods'!J194</f>
        <v>0.14940000000000001</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'4_All_periods'!C194</f>
        <v>0</v>
      </c>
      <c r="B7" s="14">
        <f>'4_All_periods'!D194</f>
        <v>-1.3987000000000001</v>
      </c>
      <c r="C7" s="14">
        <f>'4_All_periods'!E194</f>
        <v>0.12089999999999999</v>
      </c>
      <c r="D7" s="15">
        <f t="shared" ref="D7:D18" si="0">B7-$B$4</f>
        <v>2.9999999999996696E-4</v>
      </c>
      <c r="E7" s="15">
        <f t="shared" ref="E7:E18" si="1">C7-$D$4</f>
        <v>-2.8500000000000011E-2</v>
      </c>
      <c r="F7" s="15">
        <f t="shared" ref="F7:F18" si="2">B7*COS(RADIANS(A7))+C7*SIN(RADIANS(A7))</f>
        <v>-1.3987000000000001</v>
      </c>
      <c r="G7" s="16" t="str">
        <f t="shared" ref="G7:G18" si="3">IF(D7&gt;0,"charge/import","discharge/export")</f>
        <v>charge/import</v>
      </c>
    </row>
    <row r="8" spans="1:7" ht="17.100000000000001" customHeight="1" x14ac:dyDescent="0.25">
      <c r="A8" s="13">
        <f>'4_All_periods'!C195</f>
        <v>30</v>
      </c>
      <c r="B8" s="14">
        <f>'4_All_periods'!D195</f>
        <v>-1.4173</v>
      </c>
      <c r="C8" s="14">
        <f>'4_All_periods'!E195</f>
        <v>0.44879999999999998</v>
      </c>
      <c r="D8" s="15">
        <f t="shared" si="0"/>
        <v>-1.8299999999999983E-2</v>
      </c>
      <c r="E8" s="15">
        <f t="shared" si="1"/>
        <v>0.2994</v>
      </c>
      <c r="F8" s="15">
        <f t="shared" si="2"/>
        <v>-1.0030178047836851</v>
      </c>
      <c r="G8" s="16" t="str">
        <f t="shared" si="3"/>
        <v>discharge/export</v>
      </c>
    </row>
    <row r="9" spans="1:7" ht="17.100000000000001" customHeight="1" x14ac:dyDescent="0.25">
      <c r="A9" s="13">
        <f>'4_All_periods'!C196</f>
        <v>60</v>
      </c>
      <c r="B9" s="14">
        <f>'4_All_periods'!D196</f>
        <v>-1.4505999999999999</v>
      </c>
      <c r="C9" s="14">
        <f>'4_All_periods'!E196</f>
        <v>0.48049999999999998</v>
      </c>
      <c r="D9" s="15">
        <f t="shared" si="0"/>
        <v>-5.1599999999999868E-2</v>
      </c>
      <c r="E9" s="15">
        <f t="shared" si="1"/>
        <v>0.33109999999999995</v>
      </c>
      <c r="F9" s="15">
        <f t="shared" si="2"/>
        <v>-0.30917479348157734</v>
      </c>
      <c r="G9" s="16" t="str">
        <f t="shared" si="3"/>
        <v>discharge/export</v>
      </c>
    </row>
    <row r="10" spans="1:7" ht="17.100000000000001" customHeight="1" x14ac:dyDescent="0.25">
      <c r="A10" s="13">
        <f>'4_All_periods'!C197</f>
        <v>90</v>
      </c>
      <c r="B10" s="14">
        <f>'4_All_periods'!D197</f>
        <v>-1.5449999999999999</v>
      </c>
      <c r="C10" s="14">
        <f>'4_All_periods'!E197</f>
        <v>0.50109999999999999</v>
      </c>
      <c r="D10" s="15">
        <f t="shared" si="0"/>
        <v>-0.14599999999999991</v>
      </c>
      <c r="E10" s="15">
        <f t="shared" si="1"/>
        <v>0.35170000000000001</v>
      </c>
      <c r="F10" s="15">
        <f t="shared" si="2"/>
        <v>0.50109999999999988</v>
      </c>
      <c r="G10" s="16" t="str">
        <f t="shared" si="3"/>
        <v>discharge/export</v>
      </c>
    </row>
    <row r="11" spans="1:7" ht="17.100000000000001" customHeight="1" x14ac:dyDescent="0.25">
      <c r="A11" s="13">
        <f>'4_All_periods'!C198</f>
        <v>120</v>
      </c>
      <c r="B11" s="14">
        <f>'4_All_periods'!D198</f>
        <v>-1.6891</v>
      </c>
      <c r="C11" s="14">
        <f>'4_All_periods'!E198</f>
        <v>0.4647</v>
      </c>
      <c r="D11" s="15">
        <f t="shared" si="0"/>
        <v>-0.29010000000000002</v>
      </c>
      <c r="E11" s="15">
        <f t="shared" si="1"/>
        <v>0.31530000000000002</v>
      </c>
      <c r="F11" s="15">
        <f t="shared" si="2"/>
        <v>1.2469920051386283</v>
      </c>
      <c r="G11" s="16" t="str">
        <f t="shared" si="3"/>
        <v>discharge/export</v>
      </c>
    </row>
    <row r="12" spans="1:7" ht="17.100000000000001" customHeight="1" x14ac:dyDescent="0.25">
      <c r="A12" s="13">
        <f>'4_All_periods'!C199</f>
        <v>150</v>
      </c>
      <c r="B12" s="14">
        <f>'4_All_periods'!D199</f>
        <v>-1.7717000000000001</v>
      </c>
      <c r="C12" s="14">
        <f>'4_All_periods'!E199</f>
        <v>0.37419999999999998</v>
      </c>
      <c r="D12" s="15">
        <f t="shared" si="0"/>
        <v>-0.37270000000000003</v>
      </c>
      <c r="E12" s="15">
        <f t="shared" si="1"/>
        <v>0.22479999999999997</v>
      </c>
      <c r="F12" s="15">
        <f t="shared" si="2"/>
        <v>1.7214372078848901</v>
      </c>
      <c r="G12" s="16" t="str">
        <f t="shared" si="3"/>
        <v>discharge/export</v>
      </c>
    </row>
    <row r="13" spans="1:7" ht="17.100000000000001" customHeight="1" x14ac:dyDescent="0.25">
      <c r="A13" s="13">
        <f>'4_All_periods'!C200</f>
        <v>180</v>
      </c>
      <c r="B13" s="14">
        <f>'4_All_periods'!D200</f>
        <v>-1.8061</v>
      </c>
      <c r="C13" s="14">
        <f>'4_All_periods'!E200</f>
        <v>0.25990000000000002</v>
      </c>
      <c r="D13" s="15">
        <f t="shared" si="0"/>
        <v>-0.40710000000000002</v>
      </c>
      <c r="E13" s="15">
        <f t="shared" si="1"/>
        <v>0.11050000000000001</v>
      </c>
      <c r="F13" s="15">
        <f t="shared" si="2"/>
        <v>1.8061</v>
      </c>
      <c r="G13" s="16" t="str">
        <f t="shared" si="3"/>
        <v>discharge/export</v>
      </c>
    </row>
    <row r="14" spans="1:7" ht="17.100000000000001" customHeight="1" x14ac:dyDescent="0.25">
      <c r="A14" s="13">
        <f>'4_All_periods'!C201</f>
        <v>210</v>
      </c>
      <c r="B14" s="14">
        <f>'4_All_periods'!D201</f>
        <v>-1.7656000000000001</v>
      </c>
      <c r="C14" s="14">
        <f>'4_All_periods'!E201</f>
        <v>0.1399</v>
      </c>
      <c r="D14" s="15">
        <f t="shared" si="0"/>
        <v>-0.36660000000000004</v>
      </c>
      <c r="E14" s="15">
        <f t="shared" si="1"/>
        <v>-9.5000000000000084E-3</v>
      </c>
      <c r="F14" s="15">
        <f t="shared" si="2"/>
        <v>1.4591044529218049</v>
      </c>
      <c r="G14" s="16" t="str">
        <f t="shared" si="3"/>
        <v>discharge/export</v>
      </c>
    </row>
    <row r="15" spans="1:7" ht="17.100000000000001" customHeight="1" x14ac:dyDescent="0.25">
      <c r="A15" s="13">
        <f>'4_All_periods'!C202</f>
        <v>240</v>
      </c>
      <c r="B15" s="14">
        <f>'4_All_periods'!D202</f>
        <v>-1.5288999999999999</v>
      </c>
      <c r="C15" s="14">
        <f>'4_All_periods'!E202</f>
        <v>-0.1046</v>
      </c>
      <c r="D15" s="15">
        <f t="shared" si="0"/>
        <v>-0.1298999999999999</v>
      </c>
      <c r="E15" s="15">
        <f t="shared" si="1"/>
        <v>-0.254</v>
      </c>
      <c r="F15" s="15">
        <f t="shared" si="2"/>
        <v>0.85503625723585286</v>
      </c>
      <c r="G15" s="16" t="str">
        <f t="shared" si="3"/>
        <v>discharge/export</v>
      </c>
    </row>
    <row r="16" spans="1:7" ht="17.100000000000001" customHeight="1" x14ac:dyDescent="0.25">
      <c r="A16" s="13">
        <f>'4_All_periods'!C203</f>
        <v>270</v>
      </c>
      <c r="B16" s="14">
        <f>'4_All_periods'!D203</f>
        <v>-1.4643999999999999</v>
      </c>
      <c r="C16" s="14">
        <f>'4_All_periods'!E203</f>
        <v>-0.12609999999999999</v>
      </c>
      <c r="D16" s="15">
        <f t="shared" si="0"/>
        <v>-6.5399999999999903E-2</v>
      </c>
      <c r="E16" s="15">
        <f t="shared" si="1"/>
        <v>-0.27549999999999997</v>
      </c>
      <c r="F16" s="15">
        <f t="shared" si="2"/>
        <v>0.12610000000000027</v>
      </c>
      <c r="G16" s="16" t="str">
        <f t="shared" si="3"/>
        <v>discharge/export</v>
      </c>
    </row>
    <row r="17" spans="1:7" ht="17.100000000000001" customHeight="1" x14ac:dyDescent="0.25">
      <c r="A17" s="13">
        <f>'4_All_periods'!C204</f>
        <v>300</v>
      </c>
      <c r="B17" s="14">
        <f>'4_All_periods'!D204</f>
        <v>-1.4322999999999999</v>
      </c>
      <c r="C17" s="14">
        <f>'4_All_periods'!E204</f>
        <v>-0.1192</v>
      </c>
      <c r="D17" s="15">
        <f t="shared" si="0"/>
        <v>-3.3299999999999885E-2</v>
      </c>
      <c r="E17" s="15">
        <f t="shared" si="1"/>
        <v>-0.26860000000000001</v>
      </c>
      <c r="F17" s="15">
        <f t="shared" si="2"/>
        <v>-0.61291977186889501</v>
      </c>
      <c r="G17" s="16" t="str">
        <f t="shared" si="3"/>
        <v>discharge/export</v>
      </c>
    </row>
    <row r="18" spans="1:7" ht="17.100000000000001" customHeight="1" x14ac:dyDescent="0.25">
      <c r="A18" s="13">
        <f>'4_All_periods'!C205</f>
        <v>330</v>
      </c>
      <c r="B18" s="14">
        <f>'4_All_periods'!D205</f>
        <v>-1.413</v>
      </c>
      <c r="C18" s="14">
        <f>'4_All_periods'!E205</f>
        <v>-9.9500000000000005E-2</v>
      </c>
      <c r="D18" s="15">
        <f t="shared" si="0"/>
        <v>-1.4000000000000012E-2</v>
      </c>
      <c r="E18" s="15">
        <f t="shared" si="1"/>
        <v>-0.24890000000000001</v>
      </c>
      <c r="F18" s="15">
        <f t="shared" si="2"/>
        <v>-1.1739438955474115</v>
      </c>
      <c r="G18" s="16" t="str">
        <f t="shared" si="3"/>
        <v>discharge/export</v>
      </c>
    </row>
    <row r="19" spans="1:7" ht="17.100000000000001" customHeight="1" x14ac:dyDescent="0.25">
      <c r="A19" s="17" t="s">
        <v>76</v>
      </c>
      <c r="B19" s="18">
        <f>B7</f>
        <v>-1.3987000000000001</v>
      </c>
      <c r="C19" s="18">
        <f>C7</f>
        <v>0.12089999999999999</v>
      </c>
      <c r="D19" s="18">
        <f>D7</f>
        <v>2.9999999999996696E-4</v>
      </c>
      <c r="E19" s="18">
        <f>E7</f>
        <v>-2.8500000000000011E-2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0.40739999999999998</v>
      </c>
    </row>
    <row r="23" spans="1:7" ht="18" customHeight="1" x14ac:dyDescent="0.25">
      <c r="A23" s="45" t="s">
        <v>79</v>
      </c>
      <c r="B23" s="46"/>
      <c r="C23" s="20">
        <f>MAX(0,MAX(D7:D18))</f>
        <v>2.9999999999996696E-4</v>
      </c>
    </row>
    <row r="24" spans="1:7" ht="18" customHeight="1" x14ac:dyDescent="0.25">
      <c r="A24" s="45" t="s">
        <v>80</v>
      </c>
      <c r="B24" s="46"/>
      <c r="C24" s="20">
        <f>MAX(0,-MIN(D7:D18))</f>
        <v>0.40710000000000002</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one-sided → discharge/export only (no import headroom)</v>
      </c>
      <c r="D25" s="55"/>
      <c r="E25" s="55"/>
      <c r="F25" s="55"/>
      <c r="G25" s="56"/>
    </row>
    <row r="26" spans="1:7" ht="18" customHeight="1" x14ac:dyDescent="0.25">
      <c r="A26" s="51" t="s">
        <v>191</v>
      </c>
      <c r="B26" s="52"/>
      <c r="C26" s="53" t="str">
        <f>IF(AND(C23&gt;0.02,C24&gt;0.02),"both directions have headroom",IF(C23&lt;=0.02,"blocked at 0°: Vmax there = "&amp;TEXT('4_All_periods'!H194,"0.00000")&amp;" pu"&amp;IF('4_All_periods'!H194&gt;=1.0999," → over-voltage limit is active"," → clear of the limit, so the battery bounds it"),"blocked at 180°: Vmax there = "&amp;TEXT('4_All_periods'!H200,"0.00000")&amp;" pu"&amp;IF('4_All_periods'!H200&gt;=1.0999," → over-voltage limit is active"," → clear of the limit, so the battery bounds it")))</f>
        <v>blocked at 0°: Vmax there = 1.09998 pu → over-voltage limit is active</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63" priority="1">
      <formula>ISNUMBER(SEARCH("charge",$G7))</formula>
    </cfRule>
    <cfRule type="expression" dxfId="62"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157</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'4_All_periods'!I206</f>
        <v>-1.5391999999999999</v>
      </c>
      <c r="C4" s="10" t="s">
        <v>69</v>
      </c>
      <c r="D4" s="11">
        <f>'4_All_periods'!J206</f>
        <v>0.17330000000000001</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'4_All_periods'!C206</f>
        <v>0</v>
      </c>
      <c r="B7" s="14">
        <f>'4_All_periods'!D206</f>
        <v>-1.6019000000000001</v>
      </c>
      <c r="C7" s="14">
        <f>'4_All_periods'!E206</f>
        <v>0.16669999999999999</v>
      </c>
      <c r="D7" s="15">
        <f t="shared" ref="D7:D18" si="0">B7-$B$4</f>
        <v>-6.27000000000002E-2</v>
      </c>
      <c r="E7" s="15">
        <f t="shared" ref="E7:E18" si="1">C7-$D$4</f>
        <v>-6.6000000000000225E-3</v>
      </c>
      <c r="F7" s="15">
        <f t="shared" ref="F7:F18" si="2">B7*COS(RADIANS(A7))+C7*SIN(RADIANS(A7))</f>
        <v>-1.6019000000000001</v>
      </c>
      <c r="G7" s="16" t="str">
        <f t="shared" ref="G7:G18" si="3">IF(D7&gt;0,"charge/import","discharge/export")</f>
        <v>discharge/export</v>
      </c>
    </row>
    <row r="8" spans="1:7" ht="17.100000000000001" customHeight="1" x14ac:dyDescent="0.25">
      <c r="A8" s="13">
        <f>'4_All_periods'!C207</f>
        <v>30</v>
      </c>
      <c r="B8" s="14">
        <f>'4_All_periods'!D207</f>
        <v>-1.617</v>
      </c>
      <c r="C8" s="14">
        <f>'4_All_periods'!E207</f>
        <v>0.4768</v>
      </c>
      <c r="D8" s="15">
        <f t="shared" si="0"/>
        <v>-7.7800000000000091E-2</v>
      </c>
      <c r="E8" s="15">
        <f t="shared" si="1"/>
        <v>0.30349999999999999</v>
      </c>
      <c r="F8" s="15">
        <f t="shared" si="2"/>
        <v>-1.1619630779194374</v>
      </c>
      <c r="G8" s="16" t="str">
        <f t="shared" si="3"/>
        <v>discharge/export</v>
      </c>
    </row>
    <row r="9" spans="1:7" ht="17.100000000000001" customHeight="1" x14ac:dyDescent="0.25">
      <c r="A9" s="13">
        <f>'4_All_periods'!C208</f>
        <v>60</v>
      </c>
      <c r="B9" s="14">
        <f>'4_All_periods'!D208</f>
        <v>-1.639</v>
      </c>
      <c r="C9" s="14">
        <f>'4_All_periods'!E208</f>
        <v>0.49790000000000001</v>
      </c>
      <c r="D9" s="15">
        <f t="shared" si="0"/>
        <v>-9.9800000000000111E-2</v>
      </c>
      <c r="E9" s="15">
        <f t="shared" si="1"/>
        <v>0.3246</v>
      </c>
      <c r="F9" s="15">
        <f t="shared" si="2"/>
        <v>-0.38830595145572822</v>
      </c>
      <c r="G9" s="16" t="str">
        <f t="shared" si="3"/>
        <v>discharge/export</v>
      </c>
    </row>
    <row r="10" spans="1:7" ht="17.100000000000001" customHeight="1" x14ac:dyDescent="0.25">
      <c r="A10" s="13">
        <f>'4_All_periods'!C209</f>
        <v>90</v>
      </c>
      <c r="B10" s="14">
        <f>'4_All_periods'!D209</f>
        <v>-1.7135</v>
      </c>
      <c r="C10" s="14">
        <f>'4_All_periods'!E209</f>
        <v>0.51219999999999999</v>
      </c>
      <c r="D10" s="15">
        <f t="shared" si="0"/>
        <v>-0.17430000000000012</v>
      </c>
      <c r="E10" s="15">
        <f t="shared" si="1"/>
        <v>0.33889999999999998</v>
      </c>
      <c r="F10" s="15">
        <f t="shared" si="2"/>
        <v>0.51219999999999988</v>
      </c>
      <c r="G10" s="16" t="str">
        <f t="shared" si="3"/>
        <v>discharge/export</v>
      </c>
    </row>
    <row r="11" spans="1:7" ht="17.100000000000001" customHeight="1" x14ac:dyDescent="0.25">
      <c r="A11" s="13">
        <f>'4_All_periods'!C210</f>
        <v>120</v>
      </c>
      <c r="B11" s="14">
        <f>'4_All_periods'!D210</f>
        <v>-1.8528</v>
      </c>
      <c r="C11" s="14">
        <f>'4_All_periods'!E210</f>
        <v>0.47760000000000002</v>
      </c>
      <c r="D11" s="15">
        <f t="shared" si="0"/>
        <v>-0.3136000000000001</v>
      </c>
      <c r="E11" s="15">
        <f t="shared" si="1"/>
        <v>0.30430000000000001</v>
      </c>
      <c r="F11" s="15">
        <f t="shared" si="2"/>
        <v>1.3400137328474475</v>
      </c>
      <c r="G11" s="16" t="str">
        <f t="shared" si="3"/>
        <v>discharge/export</v>
      </c>
    </row>
    <row r="12" spans="1:7" ht="17.100000000000001" customHeight="1" x14ac:dyDescent="0.25">
      <c r="A12" s="13">
        <f>'4_All_periods'!C211</f>
        <v>150</v>
      </c>
      <c r="B12" s="14">
        <f>'4_All_periods'!D211</f>
        <v>-1.9365000000000001</v>
      </c>
      <c r="C12" s="14">
        <f>'4_All_periods'!E211</f>
        <v>0.38590000000000002</v>
      </c>
      <c r="D12" s="15">
        <f t="shared" si="0"/>
        <v>-0.39730000000000021</v>
      </c>
      <c r="E12" s="15">
        <f t="shared" si="1"/>
        <v>0.21260000000000001</v>
      </c>
      <c r="F12" s="15">
        <f t="shared" si="2"/>
        <v>1.8700081944285656</v>
      </c>
      <c r="G12" s="16" t="str">
        <f t="shared" si="3"/>
        <v>discharge/export</v>
      </c>
    </row>
    <row r="13" spans="1:7" ht="17.100000000000001" customHeight="1" x14ac:dyDescent="0.25">
      <c r="A13" s="13">
        <f>'4_All_periods'!C212</f>
        <v>180</v>
      </c>
      <c r="B13" s="14">
        <f>'4_All_periods'!D212</f>
        <v>-1.9716</v>
      </c>
      <c r="C13" s="14">
        <f>'4_All_periods'!E212</f>
        <v>0.2697</v>
      </c>
      <c r="D13" s="15">
        <f t="shared" si="0"/>
        <v>-0.43240000000000012</v>
      </c>
      <c r="E13" s="15">
        <f t="shared" si="1"/>
        <v>9.6399999999999986E-2</v>
      </c>
      <c r="F13" s="15">
        <f t="shared" si="2"/>
        <v>1.9716</v>
      </c>
      <c r="G13" s="16" t="str">
        <f t="shared" si="3"/>
        <v>discharge/export</v>
      </c>
    </row>
    <row r="14" spans="1:7" ht="17.100000000000001" customHeight="1" x14ac:dyDescent="0.25">
      <c r="A14" s="13">
        <f>'4_All_periods'!C213</f>
        <v>210</v>
      </c>
      <c r="B14" s="14">
        <f>'4_All_periods'!D213</f>
        <v>-1.9374</v>
      </c>
      <c r="C14" s="14">
        <f>'4_All_periods'!E213</f>
        <v>0.16980000000000001</v>
      </c>
      <c r="D14" s="15">
        <f t="shared" si="0"/>
        <v>-0.39820000000000011</v>
      </c>
      <c r="E14" s="15">
        <f t="shared" si="1"/>
        <v>-3.5000000000000031E-3</v>
      </c>
      <c r="F14" s="15">
        <f t="shared" si="2"/>
        <v>1.5929376172919714</v>
      </c>
      <c r="G14" s="16" t="str">
        <f t="shared" si="3"/>
        <v>discharge/export</v>
      </c>
    </row>
    <row r="15" spans="1:7" ht="17.100000000000001" customHeight="1" x14ac:dyDescent="0.25">
      <c r="A15" s="13">
        <f>'4_All_periods'!C214</f>
        <v>240</v>
      </c>
      <c r="B15" s="14">
        <f>'4_All_periods'!D214</f>
        <v>-1.7003999999999999</v>
      </c>
      <c r="C15" s="14">
        <f>'4_All_periods'!E214</f>
        <v>-7.7899999999999997E-2</v>
      </c>
      <c r="D15" s="15">
        <f t="shared" si="0"/>
        <v>-0.16120000000000001</v>
      </c>
      <c r="E15" s="15">
        <f t="shared" si="1"/>
        <v>-0.25119999999999998</v>
      </c>
      <c r="F15" s="15">
        <f t="shared" si="2"/>
        <v>0.91766337895480854</v>
      </c>
      <c r="G15" s="16" t="str">
        <f t="shared" si="3"/>
        <v>discharge/export</v>
      </c>
    </row>
    <row r="16" spans="1:7" ht="17.100000000000001" customHeight="1" x14ac:dyDescent="0.25">
      <c r="A16" s="13">
        <f>'4_All_periods'!C215</f>
        <v>270</v>
      </c>
      <c r="B16" s="14">
        <f>'4_All_periods'!D215</f>
        <v>-1.6485000000000001</v>
      </c>
      <c r="C16" s="14">
        <f>'4_All_periods'!E215</f>
        <v>-9.4700000000000006E-2</v>
      </c>
      <c r="D16" s="15">
        <f t="shared" si="0"/>
        <v>-0.10930000000000017</v>
      </c>
      <c r="E16" s="15">
        <f t="shared" si="1"/>
        <v>-0.26800000000000002</v>
      </c>
      <c r="F16" s="15">
        <f t="shared" si="2"/>
        <v>9.4700000000000312E-2</v>
      </c>
      <c r="G16" s="16" t="str">
        <f t="shared" si="3"/>
        <v>discharge/export</v>
      </c>
    </row>
    <row r="17" spans="1:7" ht="17.100000000000001" customHeight="1" x14ac:dyDescent="0.25">
      <c r="A17" s="13">
        <f>'4_All_periods'!C216</f>
        <v>300</v>
      </c>
      <c r="B17" s="14">
        <f>'4_All_periods'!D216</f>
        <v>-1.6177999999999999</v>
      </c>
      <c r="C17" s="14">
        <f>'4_All_periods'!E216</f>
        <v>-8.9200000000000002E-2</v>
      </c>
      <c r="D17" s="15">
        <f t="shared" si="0"/>
        <v>-7.8600000000000003E-2</v>
      </c>
      <c r="E17" s="15">
        <f t="shared" si="1"/>
        <v>-0.26250000000000001</v>
      </c>
      <c r="F17" s="15">
        <f t="shared" si="2"/>
        <v>-0.7316505339824283</v>
      </c>
      <c r="G17" s="16" t="str">
        <f t="shared" si="3"/>
        <v>discharge/export</v>
      </c>
    </row>
    <row r="18" spans="1:7" ht="17.100000000000001" customHeight="1" x14ac:dyDescent="0.25">
      <c r="A18" s="13">
        <f>'4_All_periods'!C217</f>
        <v>330</v>
      </c>
      <c r="B18" s="14">
        <f>'4_All_periods'!D217</f>
        <v>-1.6107</v>
      </c>
      <c r="C18" s="14">
        <f>'4_All_periods'!E217</f>
        <v>-8.2600000000000007E-2</v>
      </c>
      <c r="D18" s="15">
        <f t="shared" si="0"/>
        <v>-7.1500000000000119E-2</v>
      </c>
      <c r="E18" s="15">
        <f t="shared" si="1"/>
        <v>-0.25590000000000002</v>
      </c>
      <c r="F18" s="15">
        <f t="shared" si="2"/>
        <v>-1.3536071178755948</v>
      </c>
      <c r="G18" s="16" t="str">
        <f t="shared" si="3"/>
        <v>discharge/export</v>
      </c>
    </row>
    <row r="19" spans="1:7" ht="17.100000000000001" customHeight="1" x14ac:dyDescent="0.25">
      <c r="A19" s="17" t="s">
        <v>76</v>
      </c>
      <c r="B19" s="18">
        <f>B7</f>
        <v>-1.6019000000000001</v>
      </c>
      <c r="C19" s="18">
        <f>C7</f>
        <v>0.16669999999999999</v>
      </c>
      <c r="D19" s="18">
        <f>D7</f>
        <v>-6.27000000000002E-2</v>
      </c>
      <c r="E19" s="18">
        <f>E7</f>
        <v>-6.6000000000000225E-3</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0.36969999999999992</v>
      </c>
    </row>
    <row r="23" spans="1:7" ht="18" customHeight="1" x14ac:dyDescent="0.25">
      <c r="A23" s="45" t="s">
        <v>79</v>
      </c>
      <c r="B23" s="46"/>
      <c r="C23" s="20">
        <f>MAX(0,MAX(D7:D18))</f>
        <v>0</v>
      </c>
    </row>
    <row r="24" spans="1:7" ht="18" customHeight="1" x14ac:dyDescent="0.25">
      <c r="A24" s="45" t="s">
        <v>80</v>
      </c>
      <c r="B24" s="46"/>
      <c r="C24" s="20">
        <f>MAX(0,-MIN(D7:D18))</f>
        <v>0.43240000000000012</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one-sided → discharge/export only (no import headroom)</v>
      </c>
      <c r="D25" s="55"/>
      <c r="E25" s="55"/>
      <c r="F25" s="55"/>
      <c r="G25" s="56"/>
    </row>
    <row r="26" spans="1:7" ht="18" customHeight="1" x14ac:dyDescent="0.25">
      <c r="A26" s="51" t="s">
        <v>191</v>
      </c>
      <c r="B26" s="52"/>
      <c r="C26" s="53" t="str">
        <f>IF(AND(C23&gt;0.02,C24&gt;0.02),"both directions have headroom",IF(C23&lt;=0.02,"blocked at 0°: Vmax there = "&amp;TEXT('4_All_periods'!H206,"0.00000")&amp;" pu"&amp;IF('4_All_periods'!H206&gt;=1.0999," → over-voltage limit is active"," → clear of the limit, so the battery bounds it"),"blocked at 180°: Vmax there = "&amp;TEXT('4_All_periods'!H212,"0.00000")&amp;" pu"&amp;IF('4_All_periods'!H212&gt;=1.0999," → over-voltage limit is active"," → clear of the limit, so the battery bounds it")))</f>
        <v>blocked at 0°: Vmax there = 1.09997 pu → over-voltage limit is active</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61" priority="1">
      <formula>ISNUMBER(SEARCH("charge",$G7))</formula>
    </cfRule>
    <cfRule type="expression" dxfId="60"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158</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'4_All_periods'!I218</f>
        <v>-1.7076</v>
      </c>
      <c r="C4" s="10" t="s">
        <v>69</v>
      </c>
      <c r="D4" s="11">
        <f>'4_All_periods'!J218</f>
        <v>0.1842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'4_All_periods'!C218</f>
        <v>0</v>
      </c>
      <c r="B7" s="14">
        <f>'4_All_periods'!D218</f>
        <v>-1.7446999999999999</v>
      </c>
      <c r="C7" s="14">
        <f>'4_All_periods'!E218</f>
        <v>0.19420000000000001</v>
      </c>
      <c r="D7" s="15">
        <f t="shared" ref="D7:D18" si="0">B7-$B$4</f>
        <v>-3.7099999999999911E-2</v>
      </c>
      <c r="E7" s="15">
        <f t="shared" ref="E7:E18" si="1">C7-$D$4</f>
        <v>1.0000000000000009E-2</v>
      </c>
      <c r="F7" s="15">
        <f t="shared" ref="F7:F18" si="2">B7*COS(RADIANS(A7))+C7*SIN(RADIANS(A7))</f>
        <v>-1.7446999999999999</v>
      </c>
      <c r="G7" s="16" t="str">
        <f t="shared" ref="G7:G18" si="3">IF(D7&gt;0,"charge/import","discharge/export")</f>
        <v>discharge/export</v>
      </c>
    </row>
    <row r="8" spans="1:7" ht="17.100000000000001" customHeight="1" x14ac:dyDescent="0.25">
      <c r="A8" s="13">
        <f>'4_All_periods'!C219</f>
        <v>30</v>
      </c>
      <c r="B8" s="14">
        <f>'4_All_periods'!D219</f>
        <v>-1.7591000000000001</v>
      </c>
      <c r="C8" s="14">
        <f>'4_All_periods'!E219</f>
        <v>0.50380000000000003</v>
      </c>
      <c r="D8" s="15">
        <f t="shared" si="0"/>
        <v>-5.1500000000000101E-2</v>
      </c>
      <c r="E8" s="15">
        <f t="shared" si="1"/>
        <v>0.3196</v>
      </c>
      <c r="F8" s="15">
        <f t="shared" si="2"/>
        <v>-1.2715252877972063</v>
      </c>
      <c r="G8" s="16" t="str">
        <f t="shared" si="3"/>
        <v>discharge/export</v>
      </c>
    </row>
    <row r="9" spans="1:7" ht="17.100000000000001" customHeight="1" x14ac:dyDescent="0.25">
      <c r="A9" s="13">
        <f>'4_All_periods'!C220</f>
        <v>60</v>
      </c>
      <c r="B9" s="14">
        <f>'4_All_periods'!D220</f>
        <v>-1.7726999999999999</v>
      </c>
      <c r="C9" s="14">
        <f>'4_All_periods'!E220</f>
        <v>0.51590000000000003</v>
      </c>
      <c r="D9" s="15">
        <f t="shared" si="0"/>
        <v>-6.5099999999999936E-2</v>
      </c>
      <c r="E9" s="15">
        <f t="shared" si="1"/>
        <v>0.33169999999999999</v>
      </c>
      <c r="F9" s="15">
        <f t="shared" si="2"/>
        <v>-0.43956749418760832</v>
      </c>
      <c r="G9" s="16" t="str">
        <f t="shared" si="3"/>
        <v>discharge/export</v>
      </c>
    </row>
    <row r="10" spans="1:7" ht="17.100000000000001" customHeight="1" x14ac:dyDescent="0.25">
      <c r="A10" s="13">
        <f>'4_All_periods'!C221</f>
        <v>90</v>
      </c>
      <c r="B10" s="14">
        <f>'4_All_periods'!D221</f>
        <v>-1.8355999999999999</v>
      </c>
      <c r="C10" s="14">
        <f>'4_All_periods'!E221</f>
        <v>0.52669999999999995</v>
      </c>
      <c r="D10" s="15">
        <f t="shared" si="0"/>
        <v>-0.12799999999999989</v>
      </c>
      <c r="E10" s="15">
        <f t="shared" si="1"/>
        <v>0.34249999999999992</v>
      </c>
      <c r="F10" s="15">
        <f t="shared" si="2"/>
        <v>0.52669999999999983</v>
      </c>
      <c r="G10" s="16" t="str">
        <f t="shared" si="3"/>
        <v>discharge/export</v>
      </c>
    </row>
    <row r="11" spans="1:7" ht="17.100000000000001" customHeight="1" x14ac:dyDescent="0.25">
      <c r="A11" s="13">
        <f>'4_All_periods'!C222</f>
        <v>120</v>
      </c>
      <c r="B11" s="14">
        <f>'4_All_periods'!D222</f>
        <v>-1.9666999999999999</v>
      </c>
      <c r="C11" s="14">
        <f>'4_All_periods'!E222</f>
        <v>0.49509999999999998</v>
      </c>
      <c r="D11" s="15">
        <f t="shared" si="0"/>
        <v>-0.25909999999999989</v>
      </c>
      <c r="E11" s="15">
        <f t="shared" si="1"/>
        <v>0.31089999999999995</v>
      </c>
      <c r="F11" s="15">
        <f t="shared" si="2"/>
        <v>1.412119177413675</v>
      </c>
      <c r="G11" s="16" t="str">
        <f t="shared" si="3"/>
        <v>discharge/export</v>
      </c>
    </row>
    <row r="12" spans="1:7" ht="17.100000000000001" customHeight="1" x14ac:dyDescent="0.25">
      <c r="A12" s="13">
        <f>'4_All_periods'!C223</f>
        <v>150</v>
      </c>
      <c r="B12" s="14">
        <f>'4_All_periods'!D223</f>
        <v>-2.052</v>
      </c>
      <c r="C12" s="14">
        <f>'4_All_periods'!E223</f>
        <v>0.40439999999999998</v>
      </c>
      <c r="D12" s="15">
        <f t="shared" si="0"/>
        <v>-0.34440000000000004</v>
      </c>
      <c r="E12" s="15">
        <f t="shared" si="1"/>
        <v>0.22019999999999998</v>
      </c>
      <c r="F12" s="15">
        <f t="shared" si="2"/>
        <v>1.9792841285656682</v>
      </c>
      <c r="G12" s="16" t="str">
        <f t="shared" si="3"/>
        <v>discharge/export</v>
      </c>
    </row>
    <row r="13" spans="1:7" ht="17.100000000000001" customHeight="1" x14ac:dyDescent="0.25">
      <c r="A13" s="13">
        <f>'4_All_periods'!C224</f>
        <v>180</v>
      </c>
      <c r="B13" s="14">
        <f>'4_All_periods'!D224</f>
        <v>-2.0897000000000001</v>
      </c>
      <c r="C13" s="14">
        <f>'4_All_periods'!E224</f>
        <v>0.28239999999999998</v>
      </c>
      <c r="D13" s="15">
        <f t="shared" si="0"/>
        <v>-0.38210000000000011</v>
      </c>
      <c r="E13" s="15">
        <f t="shared" si="1"/>
        <v>9.8199999999999982E-2</v>
      </c>
      <c r="F13" s="15">
        <f t="shared" si="2"/>
        <v>2.0897000000000001</v>
      </c>
      <c r="G13" s="16" t="str">
        <f t="shared" si="3"/>
        <v>discharge/export</v>
      </c>
    </row>
    <row r="14" spans="1:7" ht="17.100000000000001" customHeight="1" x14ac:dyDescent="0.25">
      <c r="A14" s="13">
        <f>'4_All_periods'!C225</f>
        <v>210</v>
      </c>
      <c r="B14" s="14">
        <f>'4_All_periods'!D225</f>
        <v>-2.0581</v>
      </c>
      <c r="C14" s="14">
        <f>'4_All_periods'!E225</f>
        <v>0.18709999999999999</v>
      </c>
      <c r="D14" s="15">
        <f t="shared" si="0"/>
        <v>-0.35050000000000003</v>
      </c>
      <c r="E14" s="15">
        <f t="shared" si="1"/>
        <v>2.8999999999999859E-3</v>
      </c>
      <c r="F14" s="15">
        <f t="shared" si="2"/>
        <v>1.6888168835287531</v>
      </c>
      <c r="G14" s="16" t="str">
        <f t="shared" si="3"/>
        <v>discharge/export</v>
      </c>
    </row>
    <row r="15" spans="1:7" ht="17.100000000000001" customHeight="1" x14ac:dyDescent="0.25">
      <c r="A15" s="13">
        <f>'4_All_periods'!C226</f>
        <v>240</v>
      </c>
      <c r="B15" s="14">
        <f>'4_All_periods'!D226</f>
        <v>-1.8299000000000001</v>
      </c>
      <c r="C15" s="14">
        <f>'4_All_periods'!E226</f>
        <v>-4.9200000000000001E-2</v>
      </c>
      <c r="D15" s="15">
        <f t="shared" si="0"/>
        <v>-0.12230000000000008</v>
      </c>
      <c r="E15" s="15">
        <f t="shared" si="1"/>
        <v>-0.2334</v>
      </c>
      <c r="F15" s="15">
        <f t="shared" si="2"/>
        <v>0.9575584498661952</v>
      </c>
      <c r="G15" s="16" t="str">
        <f t="shared" si="3"/>
        <v>discharge/export</v>
      </c>
    </row>
    <row r="16" spans="1:7" ht="17.100000000000001" customHeight="1" x14ac:dyDescent="0.25">
      <c r="A16" s="13">
        <f>'4_All_periods'!C227</f>
        <v>270</v>
      </c>
      <c r="B16" s="14">
        <f>'4_All_periods'!D227</f>
        <v>-1.7843</v>
      </c>
      <c r="C16" s="14">
        <f>'4_All_periods'!E227</f>
        <v>-6.4100000000000004E-2</v>
      </c>
      <c r="D16" s="15">
        <f t="shared" si="0"/>
        <v>-7.669999999999999E-2</v>
      </c>
      <c r="E16" s="15">
        <f t="shared" si="1"/>
        <v>-0.24830000000000002</v>
      </c>
      <c r="F16" s="15">
        <f t="shared" si="2"/>
        <v>6.4100000000000337E-2</v>
      </c>
      <c r="G16" s="16" t="str">
        <f t="shared" si="3"/>
        <v>discharge/export</v>
      </c>
    </row>
    <row r="17" spans="1:7" ht="17.100000000000001" customHeight="1" x14ac:dyDescent="0.25">
      <c r="A17" s="13">
        <f>'4_All_periods'!C228</f>
        <v>300</v>
      </c>
      <c r="B17" s="14">
        <f>'4_All_periods'!D228</f>
        <v>-1.7551000000000001</v>
      </c>
      <c r="C17" s="14">
        <f>'4_All_periods'!E228</f>
        <v>-0.06</v>
      </c>
      <c r="D17" s="15">
        <f t="shared" si="0"/>
        <v>-4.7500000000000098E-2</v>
      </c>
      <c r="E17" s="15">
        <f t="shared" si="1"/>
        <v>-0.2442</v>
      </c>
      <c r="F17" s="15">
        <f t="shared" si="2"/>
        <v>-0.82558847577293393</v>
      </c>
      <c r="G17" s="16" t="str">
        <f t="shared" si="3"/>
        <v>discharge/export</v>
      </c>
    </row>
    <row r="18" spans="1:7" ht="17.100000000000001" customHeight="1" x14ac:dyDescent="0.25">
      <c r="A18" s="13">
        <f>'4_All_periods'!C229</f>
        <v>330</v>
      </c>
      <c r="B18" s="14">
        <f>'4_All_periods'!D229</f>
        <v>-1.7528999999999999</v>
      </c>
      <c r="C18" s="14">
        <f>'4_All_periods'!E229</f>
        <v>-5.79E-2</v>
      </c>
      <c r="D18" s="15">
        <f t="shared" si="0"/>
        <v>-4.5299999999999896E-2</v>
      </c>
      <c r="E18" s="15">
        <f t="shared" si="1"/>
        <v>-0.24210000000000001</v>
      </c>
      <c r="F18" s="15">
        <f t="shared" si="2"/>
        <v>-1.4891059302937419</v>
      </c>
      <c r="G18" s="16" t="str">
        <f t="shared" si="3"/>
        <v>discharge/export</v>
      </c>
    </row>
    <row r="19" spans="1:7" ht="17.100000000000001" customHeight="1" x14ac:dyDescent="0.25">
      <c r="A19" s="17" t="s">
        <v>76</v>
      </c>
      <c r="B19" s="18">
        <f>B7</f>
        <v>-1.7446999999999999</v>
      </c>
      <c r="C19" s="18">
        <f>C7</f>
        <v>0.19420000000000001</v>
      </c>
      <c r="D19" s="18">
        <f>D7</f>
        <v>-3.7099999999999911E-2</v>
      </c>
      <c r="E19" s="18">
        <f>E7</f>
        <v>1.0000000000000009E-2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0.3450000000000002</v>
      </c>
    </row>
    <row r="23" spans="1:7" ht="18" customHeight="1" x14ac:dyDescent="0.25">
      <c r="A23" s="45" t="s">
        <v>79</v>
      </c>
      <c r="B23" s="46"/>
      <c r="C23" s="20">
        <f>MAX(0,MAX(D7:D18))</f>
        <v>0</v>
      </c>
    </row>
    <row r="24" spans="1:7" ht="18" customHeight="1" x14ac:dyDescent="0.25">
      <c r="A24" s="45" t="s">
        <v>80</v>
      </c>
      <c r="B24" s="46"/>
      <c r="C24" s="20">
        <f>MAX(0,-MIN(D7:D18))</f>
        <v>0.38210000000000011</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one-sided → discharge/export only (no import headroom)</v>
      </c>
      <c r="D25" s="55"/>
      <c r="E25" s="55"/>
      <c r="F25" s="55"/>
      <c r="G25" s="56"/>
    </row>
    <row r="26" spans="1:7" ht="18" customHeight="1" x14ac:dyDescent="0.25">
      <c r="A26" s="51" t="s">
        <v>191</v>
      </c>
      <c r="B26" s="52"/>
      <c r="C26" s="53" t="str">
        <f>IF(AND(C23&gt;0.02,C24&gt;0.02),"both directions have headroom",IF(C23&lt;=0.02,"blocked at 0°: Vmax there = "&amp;TEXT('4_All_periods'!H218,"0.00000")&amp;" pu"&amp;IF('4_All_periods'!H218&gt;=1.0999," → over-voltage limit is active"," → clear of the limit, so the battery bounds it"),"blocked at 180°: Vmax there = "&amp;TEXT('4_All_periods'!H224,"0.00000")&amp;" pu"&amp;IF('4_All_periods'!H224&gt;=1.0999," → over-voltage limit is active"," → clear of the limit, so the battery bounds it")))</f>
        <v>blocked at 0°: Vmax there = 1.09999 pu → over-voltage limit is active</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59" priority="1">
      <formula>ISNUMBER(SEARCH("charge",$G7))</formula>
    </cfRule>
    <cfRule type="expression" dxfId="58"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159</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'4_All_periods'!I230</f>
        <v>-1.8297000000000001</v>
      </c>
      <c r="C4" s="10" t="s">
        <v>69</v>
      </c>
      <c r="D4" s="11">
        <f>'4_All_periods'!J230</f>
        <v>0.19850000000000001</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'4_All_periods'!C230</f>
        <v>0</v>
      </c>
      <c r="B7" s="14">
        <f>'4_All_periods'!D230</f>
        <v>-1.9368000000000001</v>
      </c>
      <c r="C7" s="14">
        <f>'4_All_periods'!E230</f>
        <v>0.21709999999999999</v>
      </c>
      <c r="D7" s="15">
        <f t="shared" ref="D7:D18" si="0">B7-$B$4</f>
        <v>-0.10709999999999997</v>
      </c>
      <c r="E7" s="15">
        <f t="shared" ref="E7:E18" si="1">C7-$D$4</f>
        <v>1.8599999999999978E-2</v>
      </c>
      <c r="F7" s="15">
        <f t="shared" ref="F7:F18" si="2">B7*COS(RADIANS(A7))+C7*SIN(RADIANS(A7))</f>
        <v>-1.9368000000000001</v>
      </c>
      <c r="G7" s="16" t="str">
        <f t="shared" ref="G7:G18" si="3">IF(D7&gt;0,"charge/import","discharge/export")</f>
        <v>discharge/export</v>
      </c>
    </row>
    <row r="8" spans="1:7" ht="17.100000000000001" customHeight="1" x14ac:dyDescent="0.25">
      <c r="A8" s="13">
        <f>'4_All_periods'!C231</f>
        <v>30</v>
      </c>
      <c r="B8" s="14">
        <f>'4_All_periods'!D231</f>
        <v>-1.9515</v>
      </c>
      <c r="C8" s="14">
        <f>'4_All_periods'!E231</f>
        <v>0.5111</v>
      </c>
      <c r="D8" s="15">
        <f t="shared" si="0"/>
        <v>-0.12179999999999991</v>
      </c>
      <c r="E8" s="15">
        <f t="shared" si="1"/>
        <v>0.31259999999999999</v>
      </c>
      <c r="F8" s="15">
        <f t="shared" si="2"/>
        <v>-1.4344985754853321</v>
      </c>
      <c r="G8" s="16" t="str">
        <f t="shared" si="3"/>
        <v>discharge/export</v>
      </c>
    </row>
    <row r="9" spans="1:7" ht="17.100000000000001" customHeight="1" x14ac:dyDescent="0.25">
      <c r="A9" s="13">
        <f>'4_All_periods'!C232</f>
        <v>60</v>
      </c>
      <c r="B9" s="14">
        <f>'4_All_periods'!D232</f>
        <v>-1.9592000000000001</v>
      </c>
      <c r="C9" s="14">
        <f>'4_All_periods'!E232</f>
        <v>0.51829999999999998</v>
      </c>
      <c r="D9" s="15">
        <f t="shared" si="0"/>
        <v>-0.12949999999999995</v>
      </c>
      <c r="E9" s="15">
        <f t="shared" si="1"/>
        <v>0.31979999999999997</v>
      </c>
      <c r="F9" s="15">
        <f t="shared" si="2"/>
        <v>-0.53073903321852578</v>
      </c>
      <c r="G9" s="16" t="str">
        <f t="shared" si="3"/>
        <v>discharge/export</v>
      </c>
    </row>
    <row r="10" spans="1:7" ht="17.100000000000001" customHeight="1" x14ac:dyDescent="0.25">
      <c r="A10" s="13">
        <f>'4_All_periods'!C233</f>
        <v>90</v>
      </c>
      <c r="B10" s="14">
        <f>'4_All_periods'!D233</f>
        <v>-2.0154999999999998</v>
      </c>
      <c r="C10" s="14">
        <f>'4_All_periods'!E233</f>
        <v>0.52659999999999996</v>
      </c>
      <c r="D10" s="15">
        <f t="shared" si="0"/>
        <v>-0.18579999999999974</v>
      </c>
      <c r="E10" s="15">
        <f t="shared" si="1"/>
        <v>0.32809999999999995</v>
      </c>
      <c r="F10" s="15">
        <f t="shared" si="2"/>
        <v>0.52659999999999985</v>
      </c>
      <c r="G10" s="16" t="str">
        <f t="shared" si="3"/>
        <v>discharge/export</v>
      </c>
    </row>
    <row r="11" spans="1:7" ht="17.100000000000001" customHeight="1" x14ac:dyDescent="0.25">
      <c r="A11" s="13">
        <f>'4_All_periods'!C234</f>
        <v>120</v>
      </c>
      <c r="B11" s="14">
        <f>'4_All_periods'!D234</f>
        <v>-2.1263000000000001</v>
      </c>
      <c r="C11" s="14">
        <f>'4_All_periods'!E234</f>
        <v>0.50249999999999995</v>
      </c>
      <c r="D11" s="15">
        <f t="shared" si="0"/>
        <v>-0.29659999999999997</v>
      </c>
      <c r="E11" s="15">
        <f t="shared" si="1"/>
        <v>0.30399999999999994</v>
      </c>
      <c r="F11" s="15">
        <f t="shared" si="2"/>
        <v>1.49832776540168</v>
      </c>
      <c r="G11" s="16" t="str">
        <f t="shared" si="3"/>
        <v>discharge/export</v>
      </c>
    </row>
    <row r="12" spans="1:7" ht="17.100000000000001" customHeight="1" x14ac:dyDescent="0.25">
      <c r="A12" s="13">
        <f>'4_All_periods'!C235</f>
        <v>150</v>
      </c>
      <c r="B12" s="14">
        <f>'4_All_periods'!D235</f>
        <v>-2.2239</v>
      </c>
      <c r="C12" s="14">
        <f>'4_All_periods'!E235</f>
        <v>0.39839999999999998</v>
      </c>
      <c r="D12" s="15">
        <f t="shared" si="0"/>
        <v>-0.39419999999999988</v>
      </c>
      <c r="E12" s="15">
        <f t="shared" si="1"/>
        <v>0.19989999999999997</v>
      </c>
      <c r="F12" s="15">
        <f t="shared" si="2"/>
        <v>2.1251538954762133</v>
      </c>
      <c r="G12" s="16" t="str">
        <f t="shared" si="3"/>
        <v>discharge/export</v>
      </c>
    </row>
    <row r="13" spans="1:7" ht="17.100000000000001" customHeight="1" x14ac:dyDescent="0.25">
      <c r="A13" s="13">
        <f>'4_All_periods'!C236</f>
        <v>180</v>
      </c>
      <c r="B13" s="14">
        <f>'4_All_periods'!D236</f>
        <v>-2.2601</v>
      </c>
      <c r="C13" s="14">
        <f>'4_All_periods'!E236</f>
        <v>0.27889999999999998</v>
      </c>
      <c r="D13" s="15">
        <f t="shared" si="0"/>
        <v>-0.43039999999999989</v>
      </c>
      <c r="E13" s="15">
        <f t="shared" si="1"/>
        <v>8.0399999999999971E-2</v>
      </c>
      <c r="F13" s="15">
        <f t="shared" si="2"/>
        <v>2.2601</v>
      </c>
      <c r="G13" s="16" t="str">
        <f t="shared" si="3"/>
        <v>discharge/export</v>
      </c>
    </row>
    <row r="14" spans="1:7" ht="17.100000000000001" customHeight="1" x14ac:dyDescent="0.25">
      <c r="A14" s="13">
        <f>'4_All_periods'!C237</f>
        <v>210</v>
      </c>
      <c r="B14" s="14">
        <f>'4_All_periods'!D237</f>
        <v>-2.2296999999999998</v>
      </c>
      <c r="C14" s="14">
        <f>'4_All_periods'!E237</f>
        <v>0.1958</v>
      </c>
      <c r="D14" s="15">
        <f t="shared" si="0"/>
        <v>-0.39999999999999969</v>
      </c>
      <c r="E14" s="15">
        <f t="shared" si="1"/>
        <v>-2.7000000000000079E-3</v>
      </c>
      <c r="F14" s="15">
        <f t="shared" si="2"/>
        <v>1.8330768428181625</v>
      </c>
      <c r="G14" s="16" t="str">
        <f t="shared" si="3"/>
        <v>discharge/export</v>
      </c>
    </row>
    <row r="15" spans="1:7" ht="17.100000000000001" customHeight="1" x14ac:dyDescent="0.25">
      <c r="A15" s="13">
        <f>'4_All_periods'!C238</f>
        <v>240</v>
      </c>
      <c r="B15" s="14">
        <f>'4_All_periods'!D238</f>
        <v>-2.0114999999999998</v>
      </c>
      <c r="C15" s="14">
        <f>'4_All_periods'!E238</f>
        <v>-2.87E-2</v>
      </c>
      <c r="D15" s="15">
        <f t="shared" si="0"/>
        <v>-0.18179999999999974</v>
      </c>
      <c r="E15" s="15">
        <f t="shared" si="1"/>
        <v>-0.22720000000000001</v>
      </c>
      <c r="F15" s="15">
        <f t="shared" si="2"/>
        <v>1.0306049290886141</v>
      </c>
      <c r="G15" s="16" t="str">
        <f t="shared" si="3"/>
        <v>discharge/export</v>
      </c>
    </row>
    <row r="16" spans="1:7" ht="17.100000000000001" customHeight="1" x14ac:dyDescent="0.25">
      <c r="A16" s="13">
        <f>'4_All_periods'!C239</f>
        <v>270</v>
      </c>
      <c r="B16" s="14">
        <f>'4_All_periods'!D239</f>
        <v>-1.9615</v>
      </c>
      <c r="C16" s="14">
        <f>'4_All_periods'!E239</f>
        <v>-4.2799999999999998E-2</v>
      </c>
      <c r="D16" s="15">
        <f t="shared" si="0"/>
        <v>-0.13179999999999992</v>
      </c>
      <c r="E16" s="15">
        <f t="shared" si="1"/>
        <v>-0.24130000000000001</v>
      </c>
      <c r="F16" s="15">
        <f t="shared" si="2"/>
        <v>4.2800000000000359E-2</v>
      </c>
      <c r="G16" s="16" t="str">
        <f t="shared" si="3"/>
        <v>discharge/export</v>
      </c>
    </row>
    <row r="17" spans="1:7" ht="17.100000000000001" customHeight="1" x14ac:dyDescent="0.25">
      <c r="A17" s="13">
        <f>'4_All_periods'!C240</f>
        <v>300</v>
      </c>
      <c r="B17" s="14">
        <f>'4_All_periods'!D240</f>
        <v>-1.9459</v>
      </c>
      <c r="C17" s="14">
        <f>'4_All_periods'!E240</f>
        <v>-4.0399999999999998E-2</v>
      </c>
      <c r="D17" s="15">
        <f t="shared" si="0"/>
        <v>-0.11619999999999986</v>
      </c>
      <c r="E17" s="15">
        <f t="shared" si="1"/>
        <v>-0.2389</v>
      </c>
      <c r="F17" s="15">
        <f t="shared" si="2"/>
        <v>-0.93796257368710889</v>
      </c>
      <c r="G17" s="16" t="str">
        <f t="shared" si="3"/>
        <v>discharge/export</v>
      </c>
    </row>
    <row r="18" spans="1:7" ht="17.100000000000001" customHeight="1" x14ac:dyDescent="0.25">
      <c r="A18" s="13">
        <f>'4_All_periods'!C241</f>
        <v>330</v>
      </c>
      <c r="B18" s="14">
        <f>'4_All_periods'!D241</f>
        <v>-1.9454</v>
      </c>
      <c r="C18" s="14">
        <f>'4_All_periods'!E241</f>
        <v>-3.9899999999999998E-2</v>
      </c>
      <c r="D18" s="15">
        <f t="shared" si="0"/>
        <v>-0.11569999999999991</v>
      </c>
      <c r="E18" s="15">
        <f t="shared" si="1"/>
        <v>-0.2384</v>
      </c>
      <c r="F18" s="15">
        <f t="shared" si="2"/>
        <v>-1.6648158205222465</v>
      </c>
      <c r="G18" s="16" t="str">
        <f t="shared" si="3"/>
        <v>discharge/export</v>
      </c>
    </row>
    <row r="19" spans="1:7" ht="17.100000000000001" customHeight="1" x14ac:dyDescent="0.25">
      <c r="A19" s="17" t="s">
        <v>76</v>
      </c>
      <c r="B19" s="18">
        <f>B7</f>
        <v>-1.9368000000000001</v>
      </c>
      <c r="C19" s="18">
        <f>C7</f>
        <v>0.21709999999999999</v>
      </c>
      <c r="D19" s="18">
        <f>D7</f>
        <v>-0.10709999999999997</v>
      </c>
      <c r="E19" s="18">
        <f>E7</f>
        <v>1.8599999999999978E-2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0.32329999999999992</v>
      </c>
    </row>
    <row r="23" spans="1:7" ht="18" customHeight="1" x14ac:dyDescent="0.25">
      <c r="A23" s="45" t="s">
        <v>79</v>
      </c>
      <c r="B23" s="46"/>
      <c r="C23" s="20">
        <f>MAX(0,MAX(D7:D18))</f>
        <v>0</v>
      </c>
    </row>
    <row r="24" spans="1:7" ht="18" customHeight="1" x14ac:dyDescent="0.25">
      <c r="A24" s="45" t="s">
        <v>80</v>
      </c>
      <c r="B24" s="46"/>
      <c r="C24" s="20">
        <f>MAX(0,-MIN(D7:D18))</f>
        <v>0.43039999999999989</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one-sided → discharge/export only (no import headroom)</v>
      </c>
      <c r="D25" s="55"/>
      <c r="E25" s="55"/>
      <c r="F25" s="55"/>
      <c r="G25" s="56"/>
    </row>
    <row r="26" spans="1:7" ht="18" customHeight="1" x14ac:dyDescent="0.25">
      <c r="A26" s="51" t="s">
        <v>191</v>
      </c>
      <c r="B26" s="52"/>
      <c r="C26" s="53" t="str">
        <f>IF(AND(C23&gt;0.02,C24&gt;0.02),"both directions have headroom",IF(C23&lt;=0.02,"blocked at 0°: Vmax there = "&amp;TEXT('4_All_periods'!H230,"0.00000")&amp;" pu"&amp;IF('4_All_periods'!H230&gt;=1.0999," → over-voltage limit is active"," → clear of the limit, so the battery bounds it"),"blocked at 180°: Vmax there = "&amp;TEXT('4_All_periods'!H236,"0.00000")&amp;" pu"&amp;IF('4_All_periods'!H236&gt;=1.0999," → over-voltage limit is active"," → clear of the limit, so the battery bounds it")))</f>
        <v>blocked at 0°: Vmax there = 1.10000 pu → over-voltage limit is active</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57" priority="1">
      <formula>ISNUMBER(SEARCH("charge",$G7))</formula>
    </cfRule>
    <cfRule type="expression" dxfId="56"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160</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'4_All_periods'!I242</f>
        <v>-2.0084</v>
      </c>
      <c r="C4" s="10" t="s">
        <v>69</v>
      </c>
      <c r="D4" s="11">
        <f>'4_All_periods'!J242</f>
        <v>0.1978</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'4_All_periods'!C242</f>
        <v>0</v>
      </c>
      <c r="B7" s="14">
        <f>'4_All_periods'!D242</f>
        <v>-2.0918999999999999</v>
      </c>
      <c r="C7" s="14">
        <f>'4_All_periods'!E242</f>
        <v>0.24540000000000001</v>
      </c>
      <c r="D7" s="15">
        <f t="shared" ref="D7:D18" si="0">B7-$B$4</f>
        <v>-8.3499999999999908E-2</v>
      </c>
      <c r="E7" s="15">
        <f t="shared" ref="E7:E18" si="1">C7-$D$4</f>
        <v>4.7600000000000003E-2</v>
      </c>
      <c r="F7" s="15">
        <f t="shared" ref="F7:F18" si="2">B7*COS(RADIANS(A7))+C7*SIN(RADIANS(A7))</f>
        <v>-2.0918999999999999</v>
      </c>
      <c r="G7" s="16" t="str">
        <f t="shared" ref="G7:G18" si="3">IF(D7&gt;0,"charge/import","discharge/export")</f>
        <v>discharge/export</v>
      </c>
    </row>
    <row r="8" spans="1:7" ht="17.100000000000001" customHeight="1" x14ac:dyDescent="0.25">
      <c r="A8" s="13">
        <f>'4_All_periods'!C243</f>
        <v>30</v>
      </c>
      <c r="B8" s="14">
        <f>'4_All_periods'!D243</f>
        <v>-2.1074999999999999</v>
      </c>
      <c r="C8" s="14">
        <f>'4_All_periods'!E243</f>
        <v>0.51600000000000001</v>
      </c>
      <c r="D8" s="15">
        <f t="shared" si="0"/>
        <v>-9.9099999999999966E-2</v>
      </c>
      <c r="E8" s="15">
        <f t="shared" si="1"/>
        <v>0.31820000000000004</v>
      </c>
      <c r="F8" s="15">
        <f t="shared" si="2"/>
        <v>-1.5671485384757045</v>
      </c>
      <c r="G8" s="16" t="str">
        <f t="shared" si="3"/>
        <v>discharge/export</v>
      </c>
    </row>
    <row r="9" spans="1:7" ht="17.100000000000001" customHeight="1" x14ac:dyDescent="0.25">
      <c r="A9" s="13">
        <f>'4_All_periods'!C244</f>
        <v>60</v>
      </c>
      <c r="B9" s="14">
        <f>'4_All_periods'!D244</f>
        <v>-2.1131000000000002</v>
      </c>
      <c r="C9" s="14">
        <f>'4_All_periods'!E244</f>
        <v>0.52110000000000001</v>
      </c>
      <c r="D9" s="15">
        <f t="shared" si="0"/>
        <v>-0.10470000000000024</v>
      </c>
      <c r="E9" s="15">
        <f t="shared" si="1"/>
        <v>0.32330000000000003</v>
      </c>
      <c r="F9" s="15">
        <f t="shared" si="2"/>
        <v>-0.60526416208792932</v>
      </c>
      <c r="G9" s="16" t="str">
        <f t="shared" si="3"/>
        <v>discharge/export</v>
      </c>
    </row>
    <row r="10" spans="1:7" ht="17.100000000000001" customHeight="1" x14ac:dyDescent="0.25">
      <c r="A10" s="13">
        <f>'4_All_periods'!C245</f>
        <v>90</v>
      </c>
      <c r="B10" s="14">
        <f>'4_All_periods'!D245</f>
        <v>-2.1619000000000002</v>
      </c>
      <c r="C10" s="14">
        <f>'4_All_periods'!E245</f>
        <v>0.5272</v>
      </c>
      <c r="D10" s="15">
        <f t="shared" si="0"/>
        <v>-0.15350000000000019</v>
      </c>
      <c r="E10" s="15">
        <f t="shared" si="1"/>
        <v>0.32940000000000003</v>
      </c>
      <c r="F10" s="15">
        <f t="shared" si="2"/>
        <v>0.52719999999999989</v>
      </c>
      <c r="G10" s="16" t="str">
        <f t="shared" si="3"/>
        <v>discharge/export</v>
      </c>
    </row>
    <row r="11" spans="1:7" ht="17.100000000000001" customHeight="1" x14ac:dyDescent="0.25">
      <c r="A11" s="13">
        <f>'4_All_periods'!C246</f>
        <v>120</v>
      </c>
      <c r="B11" s="14">
        <f>'4_All_periods'!D246</f>
        <v>-2.2578</v>
      </c>
      <c r="C11" s="14">
        <f>'4_All_periods'!E246</f>
        <v>0.50690000000000002</v>
      </c>
      <c r="D11" s="15">
        <f t="shared" si="0"/>
        <v>-0.24940000000000007</v>
      </c>
      <c r="E11" s="15">
        <f t="shared" si="1"/>
        <v>0.30910000000000004</v>
      </c>
      <c r="F11" s="15">
        <f t="shared" si="2"/>
        <v>1.5678882771783316</v>
      </c>
      <c r="G11" s="16" t="str">
        <f t="shared" si="3"/>
        <v>discharge/export</v>
      </c>
    </row>
    <row r="12" spans="1:7" ht="17.100000000000001" customHeight="1" x14ac:dyDescent="0.25">
      <c r="A12" s="13">
        <f>'4_All_periods'!C247</f>
        <v>150</v>
      </c>
      <c r="B12" s="14">
        <f>'4_All_periods'!D247</f>
        <v>-2.3591000000000002</v>
      </c>
      <c r="C12" s="14">
        <f>'4_All_periods'!E247</f>
        <v>0.39950000000000002</v>
      </c>
      <c r="D12" s="15">
        <f t="shared" si="0"/>
        <v>-0.35070000000000023</v>
      </c>
      <c r="E12" s="15">
        <f t="shared" si="1"/>
        <v>0.20170000000000002</v>
      </c>
      <c r="F12" s="15">
        <f t="shared" si="2"/>
        <v>2.2427905300678694</v>
      </c>
      <c r="G12" s="16" t="str">
        <f t="shared" si="3"/>
        <v>discharge/export</v>
      </c>
    </row>
    <row r="13" spans="1:7" ht="17.100000000000001" customHeight="1" x14ac:dyDescent="0.25">
      <c r="A13" s="13">
        <f>'4_All_periods'!C248</f>
        <v>180</v>
      </c>
      <c r="B13" s="14">
        <f>'4_All_periods'!D248</f>
        <v>-2.3956</v>
      </c>
      <c r="C13" s="14">
        <f>'4_All_periods'!E248</f>
        <v>0.28060000000000002</v>
      </c>
      <c r="D13" s="15">
        <f t="shared" si="0"/>
        <v>-0.38719999999999999</v>
      </c>
      <c r="E13" s="15">
        <f t="shared" si="1"/>
        <v>8.2800000000000012E-2</v>
      </c>
      <c r="F13" s="15">
        <f t="shared" si="2"/>
        <v>2.3956</v>
      </c>
      <c r="G13" s="16" t="str">
        <f t="shared" si="3"/>
        <v>discharge/export</v>
      </c>
    </row>
    <row r="14" spans="1:7" ht="17.100000000000001" customHeight="1" x14ac:dyDescent="0.25">
      <c r="A14" s="13">
        <f>'4_All_periods'!C249</f>
        <v>210</v>
      </c>
      <c r="B14" s="14">
        <f>'4_All_periods'!D249</f>
        <v>-2.3738999999999999</v>
      </c>
      <c r="C14" s="14">
        <f>'4_All_periods'!E249</f>
        <v>0.21540000000000001</v>
      </c>
      <c r="D14" s="15">
        <f t="shared" si="0"/>
        <v>-0.36549999999999994</v>
      </c>
      <c r="E14" s="15">
        <f t="shared" si="1"/>
        <v>1.7600000000000005E-2</v>
      </c>
      <c r="F14" s="15">
        <f t="shared" si="2"/>
        <v>1.9481577060438784</v>
      </c>
      <c r="G14" s="16" t="str">
        <f t="shared" si="3"/>
        <v>discharge/export</v>
      </c>
    </row>
    <row r="15" spans="1:7" ht="17.100000000000001" customHeight="1" x14ac:dyDescent="0.25">
      <c r="A15" s="13">
        <f>'4_All_periods'!C250</f>
        <v>240</v>
      </c>
      <c r="B15" s="14">
        <f>'4_All_periods'!D250</f>
        <v>-2.1623000000000001</v>
      </c>
      <c r="C15" s="14">
        <f>'4_All_periods'!E250</f>
        <v>-3.3999999999999998E-3</v>
      </c>
      <c r="D15" s="15">
        <f t="shared" si="0"/>
        <v>-0.15390000000000015</v>
      </c>
      <c r="E15" s="15">
        <f t="shared" si="1"/>
        <v>-0.20119999999999999</v>
      </c>
      <c r="F15" s="15">
        <f t="shared" si="2"/>
        <v>1.0840944863728681</v>
      </c>
      <c r="G15" s="16" t="str">
        <f t="shared" si="3"/>
        <v>discharge/export</v>
      </c>
    </row>
    <row r="16" spans="1:7" ht="17.100000000000001" customHeight="1" x14ac:dyDescent="0.25">
      <c r="A16" s="13">
        <f>'4_All_periods'!C251</f>
        <v>270</v>
      </c>
      <c r="B16" s="14">
        <f>'4_All_periods'!D251</f>
        <v>-2.1143000000000001</v>
      </c>
      <c r="C16" s="14">
        <f>'4_All_periods'!E251</f>
        <v>-1.6299999999999999E-2</v>
      </c>
      <c r="D16" s="15">
        <f t="shared" si="0"/>
        <v>-0.10590000000000011</v>
      </c>
      <c r="E16" s="15">
        <f t="shared" si="1"/>
        <v>-0.21410000000000001</v>
      </c>
      <c r="F16" s="15">
        <f t="shared" si="2"/>
        <v>1.6300000000000387E-2</v>
      </c>
      <c r="G16" s="16" t="str">
        <f t="shared" si="3"/>
        <v>discharge/export</v>
      </c>
    </row>
    <row r="17" spans="1:7" ht="17.100000000000001" customHeight="1" x14ac:dyDescent="0.25">
      <c r="A17" s="13">
        <f>'4_All_periods'!C252</f>
        <v>300</v>
      </c>
      <c r="B17" s="14">
        <f>'4_All_periods'!D252</f>
        <v>-2.1012</v>
      </c>
      <c r="C17" s="14">
        <f>'4_All_periods'!E252</f>
        <v>-1.47E-2</v>
      </c>
      <c r="D17" s="15">
        <f t="shared" si="0"/>
        <v>-9.2799999999999994E-2</v>
      </c>
      <c r="E17" s="15">
        <f t="shared" si="1"/>
        <v>-0.21249999999999999</v>
      </c>
      <c r="F17" s="15">
        <f t="shared" si="2"/>
        <v>-1.0378694265643689</v>
      </c>
      <c r="G17" s="16" t="str">
        <f t="shared" si="3"/>
        <v>discharge/export</v>
      </c>
    </row>
    <row r="18" spans="1:7" ht="17.100000000000001" customHeight="1" x14ac:dyDescent="0.25">
      <c r="A18" s="13">
        <f>'4_All_periods'!C253</f>
        <v>330</v>
      </c>
      <c r="B18" s="14">
        <f>'4_All_periods'!D253</f>
        <v>-2.1008</v>
      </c>
      <c r="C18" s="14">
        <f>'4_All_periods'!E253</f>
        <v>-1.44E-2</v>
      </c>
      <c r="D18" s="15">
        <f t="shared" si="0"/>
        <v>-9.2400000000000038E-2</v>
      </c>
      <c r="E18" s="15">
        <f t="shared" si="1"/>
        <v>-0.2122</v>
      </c>
      <c r="F18" s="15">
        <f t="shared" si="2"/>
        <v>-1.8121461682703481</v>
      </c>
      <c r="G18" s="16" t="str">
        <f t="shared" si="3"/>
        <v>discharge/export</v>
      </c>
    </row>
    <row r="19" spans="1:7" ht="17.100000000000001" customHeight="1" x14ac:dyDescent="0.25">
      <c r="A19" s="17" t="s">
        <v>76</v>
      </c>
      <c r="B19" s="18">
        <f>B7</f>
        <v>-2.0918999999999999</v>
      </c>
      <c r="C19" s="18">
        <f>C7</f>
        <v>0.24540000000000001</v>
      </c>
      <c r="D19" s="18">
        <f>D7</f>
        <v>-8.3499999999999908E-2</v>
      </c>
      <c r="E19" s="18">
        <f>E7</f>
        <v>4.7600000000000003E-2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0.30370000000000008</v>
      </c>
    </row>
    <row r="23" spans="1:7" ht="18" customHeight="1" x14ac:dyDescent="0.25">
      <c r="A23" s="45" t="s">
        <v>79</v>
      </c>
      <c r="B23" s="46"/>
      <c r="C23" s="20">
        <f>MAX(0,MAX(D7:D18))</f>
        <v>0</v>
      </c>
    </row>
    <row r="24" spans="1:7" ht="18" customHeight="1" x14ac:dyDescent="0.25">
      <c r="A24" s="45" t="s">
        <v>80</v>
      </c>
      <c r="B24" s="46"/>
      <c r="C24" s="20">
        <f>MAX(0,-MIN(D7:D18))</f>
        <v>0.38719999999999999</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one-sided → discharge/export only (no import headroom)</v>
      </c>
      <c r="D25" s="55"/>
      <c r="E25" s="55"/>
      <c r="F25" s="55"/>
      <c r="G25" s="56"/>
    </row>
    <row r="26" spans="1:7" ht="18" customHeight="1" x14ac:dyDescent="0.25">
      <c r="A26" s="51" t="s">
        <v>191</v>
      </c>
      <c r="B26" s="52"/>
      <c r="C26" s="53" t="str">
        <f>IF(AND(C23&gt;0.02,C24&gt;0.02),"both directions have headroom",IF(C23&lt;=0.02,"blocked at 0°: Vmax there = "&amp;TEXT('4_All_periods'!H242,"0.00000")&amp;" pu"&amp;IF('4_All_periods'!H242&gt;=1.0999," → over-voltage limit is active"," → clear of the limit, so the battery bounds it"),"blocked at 180°: Vmax there = "&amp;TEXT('4_All_periods'!H248,"0.00000")&amp;" pu"&amp;IF('4_All_periods'!H248&gt;=1.0999," → over-voltage limit is active"," → clear of the limit, so the battery bounds it")))</f>
        <v>blocked at 0°: Vmax there = 1.10000 pu → over-voltage limit is active</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55" priority="1">
      <formula>ISNUMBER(SEARCH("charge",$G7))</formula>
    </cfRule>
    <cfRule type="expression" dxfId="54"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161</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'4_All_periods'!I254</f>
        <v>-2.1535000000000002</v>
      </c>
      <c r="C4" s="10" t="s">
        <v>69</v>
      </c>
      <c r="D4" s="11">
        <f>'4_All_periods'!J254</f>
        <v>0.19769999999999999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'4_All_periods'!C254</f>
        <v>0</v>
      </c>
      <c r="B7" s="14">
        <f>'4_All_periods'!D254</f>
        <v>-2.1819999999999999</v>
      </c>
      <c r="C7" s="14">
        <f>'4_All_periods'!E254</f>
        <v>0.25280000000000002</v>
      </c>
      <c r="D7" s="15">
        <f t="shared" ref="D7:D18" si="0">B7-$B$4</f>
        <v>-2.8499999999999748E-2</v>
      </c>
      <c r="E7" s="15">
        <f t="shared" ref="E7:E18" si="1">C7-$D$4</f>
        <v>5.5100000000000038E-2</v>
      </c>
      <c r="F7" s="15">
        <f t="shared" ref="F7:F18" si="2">B7*COS(RADIANS(A7))+C7*SIN(RADIANS(A7))</f>
        <v>-2.1819999999999999</v>
      </c>
      <c r="G7" s="16" t="str">
        <f t="shared" ref="G7:G18" si="3">IF(D7&gt;0,"charge/import","discharge/export")</f>
        <v>discharge/export</v>
      </c>
    </row>
    <row r="8" spans="1:7" ht="17.100000000000001" customHeight="1" x14ac:dyDescent="0.25">
      <c r="A8" s="13">
        <f>'4_All_periods'!C255</f>
        <v>30</v>
      </c>
      <c r="B8" s="14">
        <f>'4_All_periods'!D255</f>
        <v>-2.1974</v>
      </c>
      <c r="C8" s="14">
        <f>'4_All_periods'!E255</f>
        <v>0.51929999999999998</v>
      </c>
      <c r="D8" s="15">
        <f t="shared" si="0"/>
        <v>-4.3899999999999828E-2</v>
      </c>
      <c r="E8" s="15">
        <f t="shared" si="1"/>
        <v>0.3216</v>
      </c>
      <c r="F8" s="15">
        <f t="shared" si="2"/>
        <v>-1.6433542222759256</v>
      </c>
      <c r="G8" s="16" t="str">
        <f t="shared" si="3"/>
        <v>discharge/export</v>
      </c>
    </row>
    <row r="9" spans="1:7" ht="17.100000000000001" customHeight="1" x14ac:dyDescent="0.25">
      <c r="A9" s="13">
        <f>'4_All_periods'!C256</f>
        <v>60</v>
      </c>
      <c r="B9" s="14">
        <f>'4_All_periods'!D256</f>
        <v>-2.202</v>
      </c>
      <c r="C9" s="14">
        <f>'4_All_periods'!E256</f>
        <v>0.52359999999999995</v>
      </c>
      <c r="D9" s="15">
        <f t="shared" si="0"/>
        <v>-4.8499999999999766E-2</v>
      </c>
      <c r="E9" s="15">
        <f t="shared" si="1"/>
        <v>0.32589999999999997</v>
      </c>
      <c r="F9" s="15">
        <f t="shared" si="2"/>
        <v>-0.64754909857846821</v>
      </c>
      <c r="G9" s="16" t="str">
        <f t="shared" si="3"/>
        <v>discharge/export</v>
      </c>
    </row>
    <row r="10" spans="1:7" ht="17.100000000000001" customHeight="1" x14ac:dyDescent="0.25">
      <c r="A10" s="13">
        <f>'4_All_periods'!C257</f>
        <v>90</v>
      </c>
      <c r="B10" s="14">
        <f>'4_All_periods'!D257</f>
        <v>-2.2462</v>
      </c>
      <c r="C10" s="14">
        <f>'4_All_periods'!E257</f>
        <v>0.5282</v>
      </c>
      <c r="D10" s="15">
        <f t="shared" si="0"/>
        <v>-9.2699999999999783E-2</v>
      </c>
      <c r="E10" s="15">
        <f t="shared" si="1"/>
        <v>0.33050000000000002</v>
      </c>
      <c r="F10" s="15">
        <f t="shared" si="2"/>
        <v>0.52819999999999989</v>
      </c>
      <c r="G10" s="16" t="str">
        <f t="shared" si="3"/>
        <v>discharge/export</v>
      </c>
    </row>
    <row r="11" spans="1:7" ht="17.100000000000001" customHeight="1" x14ac:dyDescent="0.25">
      <c r="A11" s="13">
        <f>'4_All_periods'!C258</f>
        <v>120</v>
      </c>
      <c r="B11" s="14">
        <f>'4_All_periods'!D258</f>
        <v>-2.3433999999999999</v>
      </c>
      <c r="C11" s="14">
        <f>'4_All_periods'!E258</f>
        <v>0.50729999999999997</v>
      </c>
      <c r="D11" s="15">
        <f t="shared" si="0"/>
        <v>-0.18989999999999974</v>
      </c>
      <c r="E11" s="15">
        <f t="shared" si="1"/>
        <v>0.30959999999999999</v>
      </c>
      <c r="F11" s="15">
        <f t="shared" si="2"/>
        <v>1.6110346873398451</v>
      </c>
      <c r="G11" s="16" t="str">
        <f t="shared" si="3"/>
        <v>discharge/export</v>
      </c>
    </row>
    <row r="12" spans="1:7" ht="17.100000000000001" customHeight="1" x14ac:dyDescent="0.25">
      <c r="A12" s="13">
        <f>'4_All_periods'!C259</f>
        <v>150</v>
      </c>
      <c r="B12" s="14">
        <f>'4_All_periods'!D259</f>
        <v>-2.4451000000000001</v>
      </c>
      <c r="C12" s="14">
        <f>'4_All_periods'!E259</f>
        <v>0.39950000000000002</v>
      </c>
      <c r="D12" s="15">
        <f t="shared" si="0"/>
        <v>-0.29159999999999986</v>
      </c>
      <c r="E12" s="15">
        <f t="shared" si="1"/>
        <v>0.20180000000000003</v>
      </c>
      <c r="F12" s="15">
        <f t="shared" si="2"/>
        <v>2.3172687147933311</v>
      </c>
      <c r="G12" s="16" t="str">
        <f t="shared" si="3"/>
        <v>discharge/export</v>
      </c>
    </row>
    <row r="13" spans="1:7" ht="17.100000000000001" customHeight="1" x14ac:dyDescent="0.25">
      <c r="A13" s="13">
        <f>'4_All_periods'!C260</f>
        <v>180</v>
      </c>
      <c r="B13" s="14">
        <f>'4_All_periods'!D260</f>
        <v>-2.4799000000000002</v>
      </c>
      <c r="C13" s="14">
        <f>'4_All_periods'!E260</f>
        <v>0.28179999999999999</v>
      </c>
      <c r="D13" s="15">
        <f t="shared" si="0"/>
        <v>-0.32640000000000002</v>
      </c>
      <c r="E13" s="15">
        <f t="shared" si="1"/>
        <v>8.4100000000000008E-2</v>
      </c>
      <c r="F13" s="15">
        <f t="shared" si="2"/>
        <v>2.4799000000000002</v>
      </c>
      <c r="G13" s="16" t="str">
        <f t="shared" si="3"/>
        <v>discharge/export</v>
      </c>
    </row>
    <row r="14" spans="1:7" ht="17.100000000000001" customHeight="1" x14ac:dyDescent="0.25">
      <c r="A14" s="13">
        <f>'4_All_periods'!C261</f>
        <v>210</v>
      </c>
      <c r="B14" s="14">
        <f>'4_All_periods'!D261</f>
        <v>-2.4622999999999999</v>
      </c>
      <c r="C14" s="14">
        <f>'4_All_periods'!E261</f>
        <v>0.22700000000000001</v>
      </c>
      <c r="D14" s="15">
        <f t="shared" si="0"/>
        <v>-0.30879999999999974</v>
      </c>
      <c r="E14" s="15">
        <f t="shared" si="1"/>
        <v>2.930000000000002E-2</v>
      </c>
      <c r="F14" s="15">
        <f t="shared" si="2"/>
        <v>2.0189143517384229</v>
      </c>
      <c r="G14" s="16" t="str">
        <f t="shared" si="3"/>
        <v>discharge/export</v>
      </c>
    </row>
    <row r="15" spans="1:7" ht="17.100000000000001" customHeight="1" x14ac:dyDescent="0.25">
      <c r="A15" s="13">
        <f>'4_All_periods'!C262</f>
        <v>240</v>
      </c>
      <c r="B15" s="14">
        <f>'4_All_periods'!D262</f>
        <v>-2.2563</v>
      </c>
      <c r="C15" s="14">
        <f>'4_All_periods'!E262</f>
        <v>8.6E-3</v>
      </c>
      <c r="D15" s="15">
        <f t="shared" si="0"/>
        <v>-0.10279999999999978</v>
      </c>
      <c r="E15" s="15">
        <f t="shared" si="1"/>
        <v>-0.18909999999999999</v>
      </c>
      <c r="F15" s="15">
        <f t="shared" si="2"/>
        <v>1.1207021815274549</v>
      </c>
      <c r="G15" s="16" t="str">
        <f t="shared" si="3"/>
        <v>discharge/export</v>
      </c>
    </row>
    <row r="16" spans="1:7" ht="17.100000000000001" customHeight="1" x14ac:dyDescent="0.25">
      <c r="A16" s="13">
        <f>'4_All_periods'!C263</f>
        <v>270</v>
      </c>
      <c r="B16" s="14">
        <f>'4_All_periods'!D263</f>
        <v>-2.2000000000000002</v>
      </c>
      <c r="C16" s="14">
        <f>'4_All_periods'!E263</f>
        <v>-6.7000000000000002E-3</v>
      </c>
      <c r="D16" s="15">
        <f t="shared" si="0"/>
        <v>-4.6499999999999986E-2</v>
      </c>
      <c r="E16" s="15">
        <f t="shared" si="1"/>
        <v>-0.2044</v>
      </c>
      <c r="F16" s="15">
        <f t="shared" si="2"/>
        <v>6.7000000000004044E-3</v>
      </c>
      <c r="G16" s="16" t="str">
        <f t="shared" si="3"/>
        <v>discharge/export</v>
      </c>
    </row>
    <row r="17" spans="1:7" ht="17.100000000000001" customHeight="1" x14ac:dyDescent="0.25">
      <c r="A17" s="13">
        <f>'4_All_periods'!C264</f>
        <v>300</v>
      </c>
      <c r="B17" s="14">
        <f>'4_All_periods'!D264</f>
        <v>-2.1916000000000002</v>
      </c>
      <c r="C17" s="14">
        <f>'4_All_periods'!E264</f>
        <v>-5.7000000000000002E-3</v>
      </c>
      <c r="D17" s="15">
        <f t="shared" si="0"/>
        <v>-3.8100000000000023E-2</v>
      </c>
      <c r="E17" s="15">
        <f t="shared" si="1"/>
        <v>-0.2034</v>
      </c>
      <c r="F17" s="15">
        <f t="shared" si="2"/>
        <v>-1.090863655198429</v>
      </c>
      <c r="G17" s="16" t="str">
        <f t="shared" si="3"/>
        <v>discharge/export</v>
      </c>
    </row>
    <row r="18" spans="1:7" ht="17.100000000000001" customHeight="1" x14ac:dyDescent="0.25">
      <c r="A18" s="13">
        <f>'4_All_periods'!C265</f>
        <v>330</v>
      </c>
      <c r="B18" s="14">
        <f>'4_All_periods'!D265</f>
        <v>-2.1913</v>
      </c>
      <c r="C18" s="14">
        <f>'4_All_periods'!E265</f>
        <v>-5.4999999999999997E-3</v>
      </c>
      <c r="D18" s="15">
        <f t="shared" si="0"/>
        <v>-3.7799999999999834E-2</v>
      </c>
      <c r="E18" s="15">
        <f t="shared" si="1"/>
        <v>-0.20319999999999999</v>
      </c>
      <c r="F18" s="15">
        <f t="shared" si="2"/>
        <v>-1.8949714673128397</v>
      </c>
      <c r="G18" s="16" t="str">
        <f t="shared" si="3"/>
        <v>discharge/export</v>
      </c>
    </row>
    <row r="19" spans="1:7" ht="17.100000000000001" customHeight="1" x14ac:dyDescent="0.25">
      <c r="A19" s="17" t="s">
        <v>76</v>
      </c>
      <c r="B19" s="18">
        <f>B7</f>
        <v>-2.1819999999999999</v>
      </c>
      <c r="C19" s="18">
        <f>C7</f>
        <v>0.25280000000000002</v>
      </c>
      <c r="D19" s="18">
        <f>D7</f>
        <v>-2.8499999999999748E-2</v>
      </c>
      <c r="E19" s="18">
        <f>E7</f>
        <v>5.5100000000000038E-2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0.29790000000000028</v>
      </c>
    </row>
    <row r="23" spans="1:7" ht="18" customHeight="1" x14ac:dyDescent="0.25">
      <c r="A23" s="45" t="s">
        <v>79</v>
      </c>
      <c r="B23" s="46"/>
      <c r="C23" s="20">
        <f>MAX(0,MAX(D7:D18))</f>
        <v>0</v>
      </c>
    </row>
    <row r="24" spans="1:7" ht="18" customHeight="1" x14ac:dyDescent="0.25">
      <c r="A24" s="45" t="s">
        <v>80</v>
      </c>
      <c r="B24" s="46"/>
      <c r="C24" s="20">
        <f>MAX(0,-MIN(D7:D18))</f>
        <v>0.32640000000000002</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one-sided → discharge/export only (no import headroom)</v>
      </c>
      <c r="D25" s="55"/>
      <c r="E25" s="55"/>
      <c r="F25" s="55"/>
      <c r="G25" s="56"/>
    </row>
    <row r="26" spans="1:7" ht="18" customHeight="1" x14ac:dyDescent="0.25">
      <c r="A26" s="51" t="s">
        <v>191</v>
      </c>
      <c r="B26" s="52"/>
      <c r="C26" s="53" t="str">
        <f>IF(AND(C23&gt;0.02,C24&gt;0.02),"both directions have headroom",IF(C23&lt;=0.02,"blocked at 0°: Vmax there = "&amp;TEXT('4_All_periods'!H254,"0.00000")&amp;" pu"&amp;IF('4_All_periods'!H254&gt;=1.0999," → over-voltage limit is active"," → clear of the limit, so the battery bounds it"),"blocked at 180°: Vmax there = "&amp;TEXT('4_All_periods'!H260,"0.00000")&amp;" pu"&amp;IF('4_All_periods'!H260&gt;=1.0999," → over-voltage limit is active"," → clear of the limit, so the battery bounds it")))</f>
        <v>blocked at 0°: Vmax there = 1.10000 pu → over-voltage limit is active</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53" priority="1">
      <formula>ISNUMBER(SEARCH("charge",$G7))</formula>
    </cfRule>
    <cfRule type="expression" dxfId="52"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162</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'4_All_periods'!I266</f>
        <v>-2.2382</v>
      </c>
      <c r="C4" s="10" t="s">
        <v>69</v>
      </c>
      <c r="D4" s="11">
        <f>'4_All_periods'!J266</f>
        <v>0.1988</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'4_All_periods'!C266</f>
        <v>0</v>
      </c>
      <c r="B7" s="14">
        <f>'4_All_periods'!D266</f>
        <v>-2.1943000000000001</v>
      </c>
      <c r="C7" s="14">
        <f>'4_All_periods'!E266</f>
        <v>0.26329999999999998</v>
      </c>
      <c r="D7" s="15">
        <f t="shared" ref="D7:D18" si="0">B7-$B$4</f>
        <v>4.3899999999999828E-2</v>
      </c>
      <c r="E7" s="15">
        <f t="shared" ref="E7:E18" si="1">C7-$D$4</f>
        <v>6.4499999999999974E-2</v>
      </c>
      <c r="F7" s="15">
        <f t="shared" ref="F7:F18" si="2">B7*COS(RADIANS(A7))+C7*SIN(RADIANS(A7))</f>
        <v>-2.1943000000000001</v>
      </c>
      <c r="G7" s="16" t="str">
        <f t="shared" ref="G7:G18" si="3">IF(D7&gt;0,"charge/import","discharge/export")</f>
        <v>charge/import</v>
      </c>
    </row>
    <row r="8" spans="1:7" ht="17.100000000000001" customHeight="1" x14ac:dyDescent="0.25">
      <c r="A8" s="13">
        <f>'4_All_periods'!C267</f>
        <v>30</v>
      </c>
      <c r="B8" s="14">
        <f>'4_All_periods'!D267</f>
        <v>-2.2088999999999999</v>
      </c>
      <c r="C8" s="14">
        <f>'4_All_periods'!E267</f>
        <v>0.52769999999999995</v>
      </c>
      <c r="D8" s="15">
        <f t="shared" si="0"/>
        <v>2.9300000000000104E-2</v>
      </c>
      <c r="E8" s="15">
        <f t="shared" si="1"/>
        <v>0.32889999999999997</v>
      </c>
      <c r="F8" s="15">
        <f t="shared" si="2"/>
        <v>-1.6491135144194466</v>
      </c>
      <c r="G8" s="16" t="str">
        <f t="shared" si="3"/>
        <v>charge/import</v>
      </c>
    </row>
    <row r="9" spans="1:7" ht="17.100000000000001" customHeight="1" x14ac:dyDescent="0.25">
      <c r="A9" s="13">
        <f>'4_All_periods'!C268</f>
        <v>60</v>
      </c>
      <c r="B9" s="14">
        <f>'4_All_periods'!D268</f>
        <v>-2.2122000000000002</v>
      </c>
      <c r="C9" s="14">
        <f>'4_All_periods'!E268</f>
        <v>0.53059999999999996</v>
      </c>
      <c r="D9" s="15">
        <f t="shared" si="0"/>
        <v>2.5999999999999801E-2</v>
      </c>
      <c r="E9" s="15">
        <f t="shared" si="1"/>
        <v>0.33179999999999998</v>
      </c>
      <c r="F9" s="15">
        <f t="shared" si="2"/>
        <v>-0.64658692075197721</v>
      </c>
      <c r="G9" s="16" t="str">
        <f t="shared" si="3"/>
        <v>charge/import</v>
      </c>
    </row>
    <row r="10" spans="1:7" ht="17.100000000000001" customHeight="1" x14ac:dyDescent="0.25">
      <c r="A10" s="13">
        <f>'4_All_periods'!C269</f>
        <v>90</v>
      </c>
      <c r="B10" s="14">
        <f>'4_All_periods'!D269</f>
        <v>-2.2553999999999998</v>
      </c>
      <c r="C10" s="14">
        <f>'4_All_periods'!E269</f>
        <v>0.53500000000000003</v>
      </c>
      <c r="D10" s="15">
        <f t="shared" si="0"/>
        <v>-1.7199999999999882E-2</v>
      </c>
      <c r="E10" s="15">
        <f t="shared" si="1"/>
        <v>0.33620000000000005</v>
      </c>
      <c r="F10" s="15">
        <f t="shared" si="2"/>
        <v>0.53499999999999992</v>
      </c>
      <c r="G10" s="16" t="str">
        <f t="shared" si="3"/>
        <v>discharge/export</v>
      </c>
    </row>
    <row r="11" spans="1:7" ht="17.100000000000001" customHeight="1" x14ac:dyDescent="0.25">
      <c r="A11" s="13">
        <f>'4_All_periods'!C270</f>
        <v>120</v>
      </c>
      <c r="B11" s="14">
        <f>'4_All_periods'!D270</f>
        <v>-2.3519000000000001</v>
      </c>
      <c r="C11" s="14">
        <f>'4_All_periods'!E270</f>
        <v>0.51470000000000005</v>
      </c>
      <c r="D11" s="15">
        <f t="shared" si="0"/>
        <v>-0.11370000000000013</v>
      </c>
      <c r="E11" s="15">
        <f t="shared" si="1"/>
        <v>0.31590000000000007</v>
      </c>
      <c r="F11" s="15">
        <f t="shared" si="2"/>
        <v>1.6216932753278503</v>
      </c>
      <c r="G11" s="16" t="str">
        <f t="shared" si="3"/>
        <v>discharge/export</v>
      </c>
    </row>
    <row r="12" spans="1:7" ht="17.100000000000001" customHeight="1" x14ac:dyDescent="0.25">
      <c r="A12" s="13">
        <f>'4_All_periods'!C271</f>
        <v>150</v>
      </c>
      <c r="B12" s="14">
        <f>'4_All_periods'!D271</f>
        <v>-2.4550000000000001</v>
      </c>
      <c r="C12" s="14">
        <f>'4_All_periods'!E271</f>
        <v>0.40739999999999998</v>
      </c>
      <c r="D12" s="15">
        <f t="shared" si="0"/>
        <v>-0.2168000000000001</v>
      </c>
      <c r="E12" s="15">
        <f t="shared" si="1"/>
        <v>0.20859999999999998</v>
      </c>
      <c r="F12" s="15">
        <f t="shared" si="2"/>
        <v>2.3297923662907971</v>
      </c>
      <c r="G12" s="16" t="str">
        <f t="shared" si="3"/>
        <v>discharge/export</v>
      </c>
    </row>
    <row r="13" spans="1:7" ht="17.100000000000001" customHeight="1" x14ac:dyDescent="0.25">
      <c r="A13" s="13">
        <f>'4_All_periods'!C272</f>
        <v>180</v>
      </c>
      <c r="B13" s="14">
        <f>'4_All_periods'!D272</f>
        <v>-2.4908000000000001</v>
      </c>
      <c r="C13" s="14">
        <f>'4_All_periods'!E272</f>
        <v>0.2878</v>
      </c>
      <c r="D13" s="15">
        <f t="shared" si="0"/>
        <v>-0.25260000000000016</v>
      </c>
      <c r="E13" s="15">
        <f t="shared" si="1"/>
        <v>8.8999999999999996E-2</v>
      </c>
      <c r="F13" s="15">
        <f t="shared" si="2"/>
        <v>2.4908000000000001</v>
      </c>
      <c r="G13" s="16" t="str">
        <f t="shared" si="3"/>
        <v>discharge/export</v>
      </c>
    </row>
    <row r="14" spans="1:7" ht="17.100000000000001" customHeight="1" x14ac:dyDescent="0.25">
      <c r="A14" s="13">
        <f>'4_All_periods'!C273</f>
        <v>210</v>
      </c>
      <c r="B14" s="14">
        <f>'4_All_periods'!D273</f>
        <v>-2.4702999999999999</v>
      </c>
      <c r="C14" s="14">
        <f>'4_All_periods'!E273</f>
        <v>0.2276</v>
      </c>
      <c r="D14" s="15">
        <f t="shared" si="0"/>
        <v>-0.23209999999999997</v>
      </c>
      <c r="E14" s="15">
        <f t="shared" si="1"/>
        <v>2.8799999999999992E-2</v>
      </c>
      <c r="F14" s="15">
        <f t="shared" si="2"/>
        <v>2.0255425549686987</v>
      </c>
      <c r="G14" s="16" t="str">
        <f t="shared" si="3"/>
        <v>discharge/export</v>
      </c>
    </row>
    <row r="15" spans="1:7" ht="17.100000000000001" customHeight="1" x14ac:dyDescent="0.25">
      <c r="A15" s="13">
        <f>'4_All_periods'!C274</f>
        <v>240</v>
      </c>
      <c r="B15" s="14">
        <f>'4_All_periods'!D274</f>
        <v>-2.2595000000000001</v>
      </c>
      <c r="C15" s="14">
        <f>'4_All_periods'!E274</f>
        <v>8.6999999999999994E-3</v>
      </c>
      <c r="D15" s="15">
        <f t="shared" si="0"/>
        <v>-2.1300000000000097E-2</v>
      </c>
      <c r="E15" s="15">
        <f t="shared" si="1"/>
        <v>-0.19009999999999999</v>
      </c>
      <c r="F15" s="15">
        <f t="shared" si="2"/>
        <v>1.1222155789870765</v>
      </c>
      <c r="G15" s="16" t="str">
        <f t="shared" si="3"/>
        <v>discharge/export</v>
      </c>
    </row>
    <row r="16" spans="1:7" ht="17.100000000000001" customHeight="1" x14ac:dyDescent="0.25">
      <c r="A16" s="13">
        <f>'4_All_periods'!C275</f>
        <v>270</v>
      </c>
      <c r="B16" s="14">
        <f>'4_All_periods'!D275</f>
        <v>-2.2094999999999998</v>
      </c>
      <c r="C16" s="14">
        <f>'4_All_periods'!E275</f>
        <v>-6.3E-3</v>
      </c>
      <c r="D16" s="15">
        <f t="shared" si="0"/>
        <v>2.870000000000017E-2</v>
      </c>
      <c r="E16" s="15">
        <f t="shared" si="1"/>
        <v>-0.2051</v>
      </c>
      <c r="F16" s="15">
        <f t="shared" si="2"/>
        <v>6.300000000000406E-3</v>
      </c>
      <c r="G16" s="16" t="str">
        <f t="shared" si="3"/>
        <v>charge/import</v>
      </c>
    </row>
    <row r="17" spans="1:7" ht="17.100000000000001" customHeight="1" x14ac:dyDescent="0.25">
      <c r="A17" s="13">
        <f>'4_All_periods'!C276</f>
        <v>300</v>
      </c>
      <c r="B17" s="14">
        <f>'4_All_periods'!D276</f>
        <v>-2.2033999999999998</v>
      </c>
      <c r="C17" s="14">
        <f>'4_All_periods'!E276</f>
        <v>-5.4999999999999997E-3</v>
      </c>
      <c r="D17" s="15">
        <f t="shared" si="0"/>
        <v>3.4800000000000164E-2</v>
      </c>
      <c r="E17" s="15">
        <f t="shared" si="1"/>
        <v>-0.20430000000000001</v>
      </c>
      <c r="F17" s="15">
        <f t="shared" si="2"/>
        <v>-1.0969368602791858</v>
      </c>
      <c r="G17" s="16" t="str">
        <f t="shared" si="3"/>
        <v>charge/import</v>
      </c>
    </row>
    <row r="18" spans="1:7" ht="17.100000000000001" customHeight="1" x14ac:dyDescent="0.25">
      <c r="A18" s="13">
        <f>'4_All_periods'!C277</f>
        <v>330</v>
      </c>
      <c r="B18" s="14">
        <f>'4_All_periods'!D277</f>
        <v>-2.2033999999999998</v>
      </c>
      <c r="C18" s="14">
        <f>'4_All_periods'!E277</f>
        <v>-5.4999999999999997E-3</v>
      </c>
      <c r="D18" s="15">
        <f t="shared" si="0"/>
        <v>3.4800000000000164E-2</v>
      </c>
      <c r="E18" s="15">
        <f t="shared" si="1"/>
        <v>-0.20430000000000001</v>
      </c>
      <c r="F18" s="15">
        <f t="shared" si="2"/>
        <v>-1.9054503746986313</v>
      </c>
      <c r="G18" s="16" t="str">
        <f t="shared" si="3"/>
        <v>charge/import</v>
      </c>
    </row>
    <row r="19" spans="1:7" ht="17.100000000000001" customHeight="1" x14ac:dyDescent="0.25">
      <c r="A19" s="17" t="s">
        <v>76</v>
      </c>
      <c r="B19" s="18">
        <f>B7</f>
        <v>-2.1943000000000001</v>
      </c>
      <c r="C19" s="18">
        <f>C7</f>
        <v>0.26329999999999998</v>
      </c>
      <c r="D19" s="18">
        <f>D7</f>
        <v>4.3899999999999828E-2</v>
      </c>
      <c r="E19" s="18">
        <f>E7</f>
        <v>6.4499999999999974E-2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0.29649999999999999</v>
      </c>
    </row>
    <row r="23" spans="1:7" ht="18" customHeight="1" x14ac:dyDescent="0.25">
      <c r="A23" s="45" t="s">
        <v>79</v>
      </c>
      <c r="B23" s="46"/>
      <c r="C23" s="20">
        <f>MAX(0,MAX(D7:D18))</f>
        <v>4.3899999999999828E-2</v>
      </c>
    </row>
    <row r="24" spans="1:7" ht="18" customHeight="1" x14ac:dyDescent="0.25">
      <c r="A24" s="45" t="s">
        <v>80</v>
      </c>
      <c r="B24" s="46"/>
      <c r="C24" s="20">
        <f>MAX(0,-MIN(D7:D18))</f>
        <v>0.25260000000000016</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"&amp;TEXT('4_All_periods'!H266,"0.00000")&amp;" pu"&amp;IF('4_All_periods'!H266&gt;=1.0999," → over-voltage limit is active"," → clear of the limit, so the battery bounds it"),"blocked at 180°: Vmax there = "&amp;TEXT('4_All_periods'!H272,"0.00000")&amp;" pu"&amp;IF('4_All_periods'!H272&gt;=1.0999,"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51" priority="1">
      <formula>ISNUMBER(SEARCH("charge",$G7))</formula>
    </cfRule>
    <cfRule type="expression" dxfId="50"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163</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'4_All_periods'!I278</f>
        <v>-2.2475999999999998</v>
      </c>
      <c r="C4" s="10" t="s">
        <v>69</v>
      </c>
      <c r="D4" s="11">
        <f>'4_All_periods'!J278</f>
        <v>0.2056</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'4_All_periods'!C278</f>
        <v>0</v>
      </c>
      <c r="B7" s="14">
        <f>'4_All_periods'!D278</f>
        <v>-2.2023000000000001</v>
      </c>
      <c r="C7" s="14">
        <f>'4_All_periods'!E278</f>
        <v>0.26219999999999999</v>
      </c>
      <c r="D7" s="15">
        <f t="shared" ref="D7:D18" si="0">B7-$B$4</f>
        <v>4.5299999999999674E-2</v>
      </c>
      <c r="E7" s="15">
        <f t="shared" ref="E7:E18" si="1">C7-$D$4</f>
        <v>5.6599999999999984E-2</v>
      </c>
      <c r="F7" s="15">
        <f t="shared" ref="F7:F18" si="2">B7*COS(RADIANS(A7))+C7*SIN(RADIANS(A7))</f>
        <v>-2.2023000000000001</v>
      </c>
      <c r="G7" s="16" t="str">
        <f t="shared" ref="G7:G18" si="3">IF(D7&gt;0,"charge/import","discharge/export")</f>
        <v>charge/import</v>
      </c>
    </row>
    <row r="8" spans="1:7" ht="17.100000000000001" customHeight="1" x14ac:dyDescent="0.25">
      <c r="A8" s="13">
        <f>'4_All_periods'!C279</f>
        <v>30</v>
      </c>
      <c r="B8" s="14">
        <f>'4_All_periods'!D279</f>
        <v>-2.2181000000000002</v>
      </c>
      <c r="C8" s="14">
        <f>'4_All_periods'!E279</f>
        <v>0.52829999999999999</v>
      </c>
      <c r="D8" s="15">
        <f t="shared" si="0"/>
        <v>2.9499999999999638E-2</v>
      </c>
      <c r="E8" s="15">
        <f t="shared" si="1"/>
        <v>0.32269999999999999</v>
      </c>
      <c r="F8" s="15">
        <f t="shared" si="2"/>
        <v>-1.6567809481342637</v>
      </c>
      <c r="G8" s="16" t="str">
        <f t="shared" si="3"/>
        <v>charge/import</v>
      </c>
    </row>
    <row r="9" spans="1:7" ht="17.100000000000001" customHeight="1" x14ac:dyDescent="0.25">
      <c r="A9" s="13">
        <f>'4_All_periods'!C280</f>
        <v>60</v>
      </c>
      <c r="B9" s="14">
        <f>'4_All_periods'!D280</f>
        <v>-2.2227000000000001</v>
      </c>
      <c r="C9" s="14">
        <f>'4_All_periods'!E280</f>
        <v>0.53259999999999996</v>
      </c>
      <c r="D9" s="15">
        <f t="shared" si="0"/>
        <v>2.48999999999997E-2</v>
      </c>
      <c r="E9" s="15">
        <f t="shared" si="1"/>
        <v>0.32699999999999996</v>
      </c>
      <c r="F9" s="15">
        <f t="shared" si="2"/>
        <v>-0.6501048699444083</v>
      </c>
      <c r="G9" s="16" t="str">
        <f t="shared" si="3"/>
        <v>charge/import</v>
      </c>
    </row>
    <row r="10" spans="1:7" ht="17.100000000000001" customHeight="1" x14ac:dyDescent="0.25">
      <c r="A10" s="13">
        <f>'4_All_periods'!C281</f>
        <v>90</v>
      </c>
      <c r="B10" s="14">
        <f>'4_All_periods'!D281</f>
        <v>-2.2673000000000001</v>
      </c>
      <c r="C10" s="14">
        <f>'4_All_periods'!E281</f>
        <v>0.53739999999999999</v>
      </c>
      <c r="D10" s="15">
        <f t="shared" si="0"/>
        <v>-1.9700000000000273E-2</v>
      </c>
      <c r="E10" s="15">
        <f t="shared" si="1"/>
        <v>0.33179999999999998</v>
      </c>
      <c r="F10" s="15">
        <f t="shared" si="2"/>
        <v>0.53739999999999988</v>
      </c>
      <c r="G10" s="16" t="str">
        <f t="shared" si="3"/>
        <v>discharge/export</v>
      </c>
    </row>
    <row r="11" spans="1:7" ht="17.100000000000001" customHeight="1" x14ac:dyDescent="0.25">
      <c r="A11" s="13">
        <f>'4_All_periods'!C282</f>
        <v>120</v>
      </c>
      <c r="B11" s="14">
        <f>'4_All_periods'!D282</f>
        <v>-2.3534000000000002</v>
      </c>
      <c r="C11" s="14">
        <f>'4_All_periods'!E282</f>
        <v>0.51839999999999997</v>
      </c>
      <c r="D11" s="15">
        <f t="shared" si="0"/>
        <v>-0.10580000000000034</v>
      </c>
      <c r="E11" s="15">
        <f t="shared" si="1"/>
        <v>0.31279999999999997</v>
      </c>
      <c r="F11" s="15">
        <f t="shared" si="2"/>
        <v>1.6256475693218526</v>
      </c>
      <c r="G11" s="16" t="str">
        <f t="shared" si="3"/>
        <v>discharge/export</v>
      </c>
    </row>
    <row r="12" spans="1:7" ht="17.100000000000001" customHeight="1" x14ac:dyDescent="0.25">
      <c r="A12" s="13">
        <f>'4_All_periods'!C283</f>
        <v>150</v>
      </c>
      <c r="B12" s="14">
        <f>'4_All_periods'!D283</f>
        <v>-2.4544999999999999</v>
      </c>
      <c r="C12" s="14">
        <f>'4_All_periods'!E283</f>
        <v>0.41060000000000002</v>
      </c>
      <c r="D12" s="15">
        <f t="shared" si="0"/>
        <v>-0.20690000000000008</v>
      </c>
      <c r="E12" s="15">
        <f t="shared" si="1"/>
        <v>0.20500000000000002</v>
      </c>
      <c r="F12" s="15">
        <f t="shared" si="2"/>
        <v>2.3309593535889044</v>
      </c>
      <c r="G12" s="16" t="str">
        <f t="shared" si="3"/>
        <v>discharge/export</v>
      </c>
    </row>
    <row r="13" spans="1:7" ht="17.100000000000001" customHeight="1" x14ac:dyDescent="0.25">
      <c r="A13" s="13">
        <f>'4_All_periods'!C284</f>
        <v>180</v>
      </c>
      <c r="B13" s="14">
        <f>'4_All_periods'!D284</f>
        <v>-2.492</v>
      </c>
      <c r="C13" s="14">
        <f>'4_All_periods'!E284</f>
        <v>0.2903</v>
      </c>
      <c r="D13" s="15">
        <f t="shared" si="0"/>
        <v>-0.24440000000000017</v>
      </c>
      <c r="E13" s="15">
        <f t="shared" si="1"/>
        <v>8.4699999999999998E-2</v>
      </c>
      <c r="F13" s="15">
        <f t="shared" si="2"/>
        <v>2.492</v>
      </c>
      <c r="G13" s="16" t="str">
        <f t="shared" si="3"/>
        <v>discharge/export</v>
      </c>
    </row>
    <row r="14" spans="1:7" ht="17.100000000000001" customHeight="1" x14ac:dyDescent="0.25">
      <c r="A14" s="13">
        <f>'4_All_periods'!C285</f>
        <v>210</v>
      </c>
      <c r="B14" s="14">
        <f>'4_All_periods'!D285</f>
        <v>-2.4748000000000001</v>
      </c>
      <c r="C14" s="14">
        <f>'4_All_periods'!E285</f>
        <v>0.2379</v>
      </c>
      <c r="D14" s="15">
        <f t="shared" si="0"/>
        <v>-0.22720000000000029</v>
      </c>
      <c r="E14" s="15">
        <f t="shared" si="1"/>
        <v>3.2299999999999995E-2</v>
      </c>
      <c r="F14" s="15">
        <f t="shared" si="2"/>
        <v>2.0242896692857291</v>
      </c>
      <c r="G14" s="16" t="str">
        <f t="shared" si="3"/>
        <v>discharge/export</v>
      </c>
    </row>
    <row r="15" spans="1:7" ht="17.100000000000001" customHeight="1" x14ac:dyDescent="0.25">
      <c r="A15" s="13">
        <f>'4_All_periods'!C286</f>
        <v>240</v>
      </c>
      <c r="B15" s="14">
        <f>'4_All_periods'!D286</f>
        <v>-2.2690000000000001</v>
      </c>
      <c r="C15" s="14">
        <f>'4_All_periods'!E286</f>
        <v>2.01E-2</v>
      </c>
      <c r="D15" s="15">
        <f t="shared" si="0"/>
        <v>-2.1400000000000308E-2</v>
      </c>
      <c r="E15" s="15">
        <f t="shared" si="1"/>
        <v>-0.1855</v>
      </c>
      <c r="F15" s="15">
        <f t="shared" si="2"/>
        <v>1.117092889383934</v>
      </c>
      <c r="G15" s="16" t="str">
        <f t="shared" si="3"/>
        <v>discharge/export</v>
      </c>
    </row>
    <row r="16" spans="1:7" ht="17.100000000000001" customHeight="1" x14ac:dyDescent="0.25">
      <c r="A16" s="13">
        <f>'4_All_periods'!C287</f>
        <v>270</v>
      </c>
      <c r="B16" s="14">
        <f>'4_All_periods'!D287</f>
        <v>-2.2187000000000001</v>
      </c>
      <c r="C16" s="14">
        <f>'4_All_periods'!E287</f>
        <v>5.1000000000000004E-3</v>
      </c>
      <c r="D16" s="15">
        <f t="shared" si="0"/>
        <v>2.8899999999999704E-2</v>
      </c>
      <c r="E16" s="15">
        <f t="shared" si="1"/>
        <v>-0.20050000000000001</v>
      </c>
      <c r="F16" s="15">
        <f t="shared" si="2"/>
        <v>-5.0999999999995927E-3</v>
      </c>
      <c r="G16" s="16" t="str">
        <f t="shared" si="3"/>
        <v>charge/import</v>
      </c>
    </row>
    <row r="17" spans="1:7" ht="17.100000000000001" customHeight="1" x14ac:dyDescent="0.25">
      <c r="A17" s="13">
        <f>'4_All_periods'!C288</f>
        <v>300</v>
      </c>
      <c r="B17" s="14">
        <f>'4_All_periods'!D288</f>
        <v>-2.2113999999999998</v>
      </c>
      <c r="C17" s="14">
        <f>'4_All_periods'!E288</f>
        <v>5.4999999999999997E-3</v>
      </c>
      <c r="D17" s="15">
        <f t="shared" si="0"/>
        <v>3.620000000000001E-2</v>
      </c>
      <c r="E17" s="15">
        <f t="shared" si="1"/>
        <v>-0.2001</v>
      </c>
      <c r="F17" s="15">
        <f t="shared" si="2"/>
        <v>-1.1104631397208145</v>
      </c>
      <c r="G17" s="16" t="str">
        <f t="shared" si="3"/>
        <v>charge/import</v>
      </c>
    </row>
    <row r="18" spans="1:7" ht="17.100000000000001" customHeight="1" x14ac:dyDescent="0.25">
      <c r="A18" s="13">
        <f>'4_All_periods'!C289</f>
        <v>330</v>
      </c>
      <c r="B18" s="14">
        <f>'4_All_periods'!D289</f>
        <v>-2.2113</v>
      </c>
      <c r="C18" s="14">
        <f>'4_All_periods'!E289</f>
        <v>5.4999999999999997E-3</v>
      </c>
      <c r="D18" s="15">
        <f t="shared" si="0"/>
        <v>3.6299999999999777E-2</v>
      </c>
      <c r="E18" s="15">
        <f t="shared" si="1"/>
        <v>-0.2001</v>
      </c>
      <c r="F18" s="15">
        <f t="shared" si="2"/>
        <v>-1.9177919753885286</v>
      </c>
      <c r="G18" s="16" t="str">
        <f t="shared" si="3"/>
        <v>charge/import</v>
      </c>
    </row>
    <row r="19" spans="1:7" ht="17.100000000000001" customHeight="1" x14ac:dyDescent="0.25">
      <c r="A19" s="17" t="s">
        <v>76</v>
      </c>
      <c r="B19" s="18">
        <f>B7</f>
        <v>-2.2023000000000001</v>
      </c>
      <c r="C19" s="18">
        <f>C7</f>
        <v>0.26219999999999999</v>
      </c>
      <c r="D19" s="18">
        <f>D7</f>
        <v>4.5299999999999674E-2</v>
      </c>
      <c r="E19" s="18">
        <f>E7</f>
        <v>5.6599999999999984E-2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0.28969999999999985</v>
      </c>
    </row>
    <row r="23" spans="1:7" ht="18" customHeight="1" x14ac:dyDescent="0.25">
      <c r="A23" s="45" t="s">
        <v>79</v>
      </c>
      <c r="B23" s="46"/>
      <c r="C23" s="20">
        <f>MAX(0,MAX(D7:D18))</f>
        <v>4.5299999999999674E-2</v>
      </c>
    </row>
    <row r="24" spans="1:7" ht="18" customHeight="1" x14ac:dyDescent="0.25">
      <c r="A24" s="45" t="s">
        <v>80</v>
      </c>
      <c r="B24" s="46"/>
      <c r="C24" s="20">
        <f>MAX(0,-MIN(D7:D18))</f>
        <v>0.24440000000000017</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"&amp;TEXT('4_All_periods'!H278,"0.00000")&amp;" pu"&amp;IF('4_All_periods'!H278&gt;=1.0999," → over-voltage limit is active"," → clear of the limit, so the battery bounds it"),"blocked at 180°: Vmax there = "&amp;TEXT('4_All_periods'!H284,"0.00000")&amp;" pu"&amp;IF('4_All_periods'!H284&gt;=1.0999,"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49" priority="1">
      <formula>ISNUMBER(SEARCH("charge",$G7))</formula>
    </cfRule>
    <cfRule type="expression" dxfId="48"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164</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'4_All_periods'!I290</f>
        <v>-2.2582</v>
      </c>
      <c r="C4" s="10" t="s">
        <v>69</v>
      </c>
      <c r="D4" s="11">
        <f>'4_All_periods'!J290</f>
        <v>0.20730000000000001</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'4_All_periods'!C290</f>
        <v>0</v>
      </c>
      <c r="B7" s="14">
        <f>'4_All_periods'!D290</f>
        <v>-2.2589999999999999</v>
      </c>
      <c r="C7" s="14">
        <f>'4_All_periods'!E290</f>
        <v>0.24709999999999999</v>
      </c>
      <c r="D7" s="15">
        <f t="shared" ref="D7:D18" si="0">B7-$B$4</f>
        <v>-7.9999999999991189E-4</v>
      </c>
      <c r="E7" s="15">
        <f t="shared" ref="E7:E18" si="1">C7-$D$4</f>
        <v>3.9799999999999974E-2</v>
      </c>
      <c r="F7" s="15">
        <f t="shared" ref="F7:F18" si="2">B7*COS(RADIANS(A7))+C7*SIN(RADIANS(A7))</f>
        <v>-2.2589999999999999</v>
      </c>
      <c r="G7" s="16" t="str">
        <f t="shared" ref="G7:G18" si="3">IF(D7&gt;0,"charge/import","discharge/export")</f>
        <v>discharge/export</v>
      </c>
    </row>
    <row r="8" spans="1:7" ht="17.100000000000001" customHeight="1" x14ac:dyDescent="0.25">
      <c r="A8" s="13">
        <f>'4_All_periods'!C291</f>
        <v>30</v>
      </c>
      <c r="B8" s="14">
        <f>'4_All_periods'!D291</f>
        <v>-2.274</v>
      </c>
      <c r="C8" s="14">
        <f>'4_All_periods'!E291</f>
        <v>0.51500000000000001</v>
      </c>
      <c r="D8" s="15">
        <f t="shared" si="0"/>
        <v>-1.5800000000000036E-2</v>
      </c>
      <c r="E8" s="15">
        <f t="shared" si="1"/>
        <v>0.30769999999999997</v>
      </c>
      <c r="F8" s="15">
        <f t="shared" si="2"/>
        <v>-1.7118417682058138</v>
      </c>
      <c r="G8" s="16" t="str">
        <f t="shared" si="3"/>
        <v>discharge/export</v>
      </c>
    </row>
    <row r="9" spans="1:7" ht="17.100000000000001" customHeight="1" x14ac:dyDescent="0.25">
      <c r="A9" s="13">
        <f>'4_All_periods'!C292</f>
        <v>60</v>
      </c>
      <c r="B9" s="14">
        <f>'4_All_periods'!D292</f>
        <v>-2.2778</v>
      </c>
      <c r="C9" s="14">
        <f>'4_All_periods'!E292</f>
        <v>0.51829999999999998</v>
      </c>
      <c r="D9" s="15">
        <f t="shared" si="0"/>
        <v>-1.9600000000000062E-2</v>
      </c>
      <c r="E9" s="15">
        <f t="shared" si="1"/>
        <v>0.31099999999999994</v>
      </c>
      <c r="F9" s="15">
        <f t="shared" si="2"/>
        <v>-0.69003903321852578</v>
      </c>
      <c r="G9" s="16" t="str">
        <f t="shared" si="3"/>
        <v>discharge/export</v>
      </c>
    </row>
    <row r="10" spans="1:7" ht="17.100000000000001" customHeight="1" x14ac:dyDescent="0.25">
      <c r="A10" s="13">
        <f>'4_All_periods'!C293</f>
        <v>90</v>
      </c>
      <c r="B10" s="14">
        <f>'4_All_periods'!D293</f>
        <v>-2.3207</v>
      </c>
      <c r="C10" s="14">
        <f>'4_All_periods'!E293</f>
        <v>0.52270000000000005</v>
      </c>
      <c r="D10" s="15">
        <f t="shared" si="0"/>
        <v>-6.25E-2</v>
      </c>
      <c r="E10" s="15">
        <f t="shared" si="1"/>
        <v>0.31540000000000001</v>
      </c>
      <c r="F10" s="15">
        <f t="shared" si="2"/>
        <v>0.52269999999999994</v>
      </c>
      <c r="G10" s="16" t="str">
        <f t="shared" si="3"/>
        <v>discharge/export</v>
      </c>
    </row>
    <row r="11" spans="1:7" ht="17.100000000000001" customHeight="1" x14ac:dyDescent="0.25">
      <c r="A11" s="13">
        <f>'4_All_periods'!C294</f>
        <v>120</v>
      </c>
      <c r="B11" s="14">
        <f>'4_All_periods'!D294</f>
        <v>-2.4081000000000001</v>
      </c>
      <c r="C11" s="14">
        <f>'4_All_periods'!E294</f>
        <v>0.50329999999999997</v>
      </c>
      <c r="D11" s="15">
        <f t="shared" si="0"/>
        <v>-0.14990000000000014</v>
      </c>
      <c r="E11" s="15">
        <f t="shared" si="1"/>
        <v>0.29599999999999993</v>
      </c>
      <c r="F11" s="15">
        <f t="shared" si="2"/>
        <v>1.6399205857247077</v>
      </c>
      <c r="G11" s="16" t="str">
        <f t="shared" si="3"/>
        <v>discharge/export</v>
      </c>
    </row>
    <row r="12" spans="1:7" ht="17.100000000000001" customHeight="1" x14ac:dyDescent="0.25">
      <c r="A12" s="13">
        <f>'4_All_periods'!C295</f>
        <v>150</v>
      </c>
      <c r="B12" s="14">
        <f>'4_All_periods'!D295</f>
        <v>-2.5087999999999999</v>
      </c>
      <c r="C12" s="14">
        <f>'4_All_periods'!E295</f>
        <v>0.39600000000000002</v>
      </c>
      <c r="D12" s="15">
        <f t="shared" si="0"/>
        <v>-0.25059999999999993</v>
      </c>
      <c r="E12" s="15">
        <f t="shared" si="1"/>
        <v>0.18870000000000001</v>
      </c>
      <c r="F12" s="15">
        <f t="shared" si="2"/>
        <v>2.3706845330143995</v>
      </c>
      <c r="G12" s="16" t="str">
        <f t="shared" si="3"/>
        <v>discharge/export</v>
      </c>
    </row>
    <row r="13" spans="1:7" ht="17.100000000000001" customHeight="1" x14ac:dyDescent="0.25">
      <c r="A13" s="13">
        <f>'4_All_periods'!C296</f>
        <v>180</v>
      </c>
      <c r="B13" s="14">
        <f>'4_All_periods'!D296</f>
        <v>-2.5455999999999999</v>
      </c>
      <c r="C13" s="14">
        <f>'4_All_periods'!E296</f>
        <v>0.27739999999999998</v>
      </c>
      <c r="D13" s="15">
        <f t="shared" si="0"/>
        <v>-0.28739999999999988</v>
      </c>
      <c r="E13" s="15">
        <f t="shared" si="1"/>
        <v>7.0099999999999968E-2</v>
      </c>
      <c r="F13" s="15">
        <f t="shared" si="2"/>
        <v>2.5455999999999999</v>
      </c>
      <c r="G13" s="16" t="str">
        <f t="shared" si="3"/>
        <v>discharge/export</v>
      </c>
    </row>
    <row r="14" spans="1:7" ht="17.100000000000001" customHeight="1" x14ac:dyDescent="0.25">
      <c r="A14" s="13">
        <f>'4_All_periods'!C297</f>
        <v>210</v>
      </c>
      <c r="B14" s="14">
        <f>'4_All_periods'!D297</f>
        <v>-2.5268999999999999</v>
      </c>
      <c r="C14" s="14">
        <f>'4_All_periods'!E297</f>
        <v>0.2235</v>
      </c>
      <c r="D14" s="15">
        <f t="shared" si="0"/>
        <v>-0.26869999999999994</v>
      </c>
      <c r="E14" s="15">
        <f t="shared" si="1"/>
        <v>1.6199999999999992E-2</v>
      </c>
      <c r="F14" s="15">
        <f t="shared" si="2"/>
        <v>2.0766095928228974</v>
      </c>
      <c r="G14" s="16" t="str">
        <f t="shared" si="3"/>
        <v>discharge/export</v>
      </c>
    </row>
    <row r="15" spans="1:7" ht="17.100000000000001" customHeight="1" x14ac:dyDescent="0.25">
      <c r="A15" s="13">
        <f>'4_All_periods'!C298</f>
        <v>240</v>
      </c>
      <c r="B15" s="14">
        <f>'4_All_periods'!D298</f>
        <v>-2.3268</v>
      </c>
      <c r="C15" s="14">
        <f>'4_All_periods'!E298</f>
        <v>1.2200000000000001E-2</v>
      </c>
      <c r="D15" s="15">
        <f t="shared" si="0"/>
        <v>-6.8599999999999994E-2</v>
      </c>
      <c r="E15" s="15">
        <f t="shared" si="1"/>
        <v>-0.19510000000000002</v>
      </c>
      <c r="F15" s="15">
        <f t="shared" si="2"/>
        <v>1.152834490073831</v>
      </c>
      <c r="G15" s="16" t="str">
        <f t="shared" si="3"/>
        <v>discharge/export</v>
      </c>
    </row>
    <row r="16" spans="1:7" ht="17.100000000000001" customHeight="1" x14ac:dyDescent="0.25">
      <c r="A16" s="13">
        <f>'4_All_periods'!C299</f>
        <v>270</v>
      </c>
      <c r="B16" s="14">
        <f>'4_All_periods'!D299</f>
        <v>-2.2763</v>
      </c>
      <c r="C16" s="14">
        <f>'4_All_periods'!E299</f>
        <v>-8.9999999999999998E-4</v>
      </c>
      <c r="D16" s="15">
        <f t="shared" si="0"/>
        <v>-1.8100000000000005E-2</v>
      </c>
      <c r="E16" s="15">
        <f t="shared" si="1"/>
        <v>-0.20820000000000002</v>
      </c>
      <c r="F16" s="15">
        <f t="shared" si="2"/>
        <v>9.0000000000041826E-4</v>
      </c>
      <c r="G16" s="16" t="str">
        <f t="shared" si="3"/>
        <v>discharge/export</v>
      </c>
    </row>
    <row r="17" spans="1:7" ht="17.100000000000001" customHeight="1" x14ac:dyDescent="0.25">
      <c r="A17" s="13">
        <f>'4_All_periods'!C300</f>
        <v>300</v>
      </c>
      <c r="B17" s="14">
        <f>'4_All_periods'!D300</f>
        <v>-2.2673000000000001</v>
      </c>
      <c r="C17" s="14">
        <f>'4_All_periods'!E300</f>
        <v>-2.9999999999999997E-4</v>
      </c>
      <c r="D17" s="15">
        <f t="shared" si="0"/>
        <v>-9.100000000000108E-3</v>
      </c>
      <c r="E17" s="15">
        <f t="shared" si="1"/>
        <v>-0.20760000000000001</v>
      </c>
      <c r="F17" s="15">
        <f t="shared" si="2"/>
        <v>-1.133390192378865</v>
      </c>
      <c r="G17" s="16" t="str">
        <f t="shared" si="3"/>
        <v>discharge/export</v>
      </c>
    </row>
    <row r="18" spans="1:7" ht="17.100000000000001" customHeight="1" x14ac:dyDescent="0.25">
      <c r="A18" s="13">
        <f>'4_All_periods'!C301</f>
        <v>330</v>
      </c>
      <c r="B18" s="14">
        <f>'4_All_periods'!D301</f>
        <v>-2.2673000000000001</v>
      </c>
      <c r="C18" s="14">
        <f>'4_All_periods'!E301</f>
        <v>-2.9999999999999997E-4</v>
      </c>
      <c r="D18" s="15">
        <f t="shared" si="0"/>
        <v>-9.100000000000108E-3</v>
      </c>
      <c r="E18" s="15">
        <f t="shared" si="1"/>
        <v>-0.20760000000000001</v>
      </c>
      <c r="F18" s="15">
        <f t="shared" si="2"/>
        <v>-1.9633893980004571</v>
      </c>
      <c r="G18" s="16" t="str">
        <f t="shared" si="3"/>
        <v>discharge/export</v>
      </c>
    </row>
    <row r="19" spans="1:7" ht="17.100000000000001" customHeight="1" x14ac:dyDescent="0.25">
      <c r="A19" s="17" t="s">
        <v>76</v>
      </c>
      <c r="B19" s="18">
        <f>B7</f>
        <v>-2.2589999999999999</v>
      </c>
      <c r="C19" s="18">
        <f>C7</f>
        <v>0.24709999999999999</v>
      </c>
      <c r="D19" s="18">
        <f>D7</f>
        <v>-7.9999999999991189E-4</v>
      </c>
      <c r="E19" s="18">
        <f>E7</f>
        <v>3.9799999999999974E-2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0.28659999999999997</v>
      </c>
    </row>
    <row r="23" spans="1:7" ht="18" customHeight="1" x14ac:dyDescent="0.25">
      <c r="A23" s="45" t="s">
        <v>79</v>
      </c>
      <c r="B23" s="46"/>
      <c r="C23" s="20">
        <f>MAX(0,MAX(D7:D18))</f>
        <v>0</v>
      </c>
    </row>
    <row r="24" spans="1:7" ht="18" customHeight="1" x14ac:dyDescent="0.25">
      <c r="A24" s="45" t="s">
        <v>80</v>
      </c>
      <c r="B24" s="46"/>
      <c r="C24" s="20">
        <f>MAX(0,-MIN(D7:D18))</f>
        <v>0.28739999999999988</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one-sided → discharge/export only (no import headroom)</v>
      </c>
      <c r="D25" s="55"/>
      <c r="E25" s="55"/>
      <c r="F25" s="55"/>
      <c r="G25" s="56"/>
    </row>
    <row r="26" spans="1:7" ht="18" customHeight="1" x14ac:dyDescent="0.25">
      <c r="A26" s="51" t="s">
        <v>191</v>
      </c>
      <c r="B26" s="52"/>
      <c r="C26" s="53" t="str">
        <f>IF(AND(C23&gt;0.02,C24&gt;0.02),"both directions have headroom",IF(C23&lt;=0.02,"blocked at 0°: Vmax there = "&amp;TEXT('4_All_periods'!H290,"0.00000")&amp;" pu"&amp;IF('4_All_periods'!H290&gt;=1.0999," → over-voltage limit is active"," → clear of the limit, so the battery bounds it"),"blocked at 180°: Vmax there = "&amp;TEXT('4_All_periods'!H296,"0.00000")&amp;" pu"&amp;IF('4_All_periods'!H296&gt;=1.0999," → over-voltage limit is active"," → clear of the limit, so the battery bounds it")))</f>
        <v>blocked at 0°: Vmax there = 1.10000 pu → over-voltage limit is active</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47" priority="1">
      <formula>ISNUMBER(SEARCH("charge",$G7))</formula>
    </cfRule>
    <cfRule type="expression" dxfId="46" priority="2">
      <formula>ISNUMBER(SEARCH("discharge",$G7))</formula>
    </cfRule>
  </conditionalFormatting>
  <pageMargins left="0.4" right="0.4" top="0.6" bottom="0.6" header="0.5" footer="0.5"/>
  <pageSetup scale="64" fitToHeight="0" orientation="landscape" r:id="rId1"/>
  <headerFooter>
    <oddFooter>&amp;L&amp;8 &amp;K595959TR9 rolling FOR — flexibility operating region at the PCC&amp;R&amp;8 &amp;K595959Page &amp;P of &amp;N</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165</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'4_All_periods'!I302</f>
        <v>-2.3117000000000001</v>
      </c>
      <c r="C4" s="10" t="s">
        <v>69</v>
      </c>
      <c r="D4" s="11">
        <f>'4_All_periods'!J302</f>
        <v>0.19259999999999999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'4_All_periods'!C302</f>
        <v>0</v>
      </c>
      <c r="B7" s="14">
        <f>'4_All_periods'!D302</f>
        <v>-2.1732999999999998</v>
      </c>
      <c r="C7" s="14">
        <f>'4_All_periods'!E302</f>
        <v>0.24490000000000001</v>
      </c>
      <c r="D7" s="15">
        <f t="shared" ref="D7:D18" si="0">B7-$B$4</f>
        <v>0.1384000000000003</v>
      </c>
      <c r="E7" s="15">
        <f t="shared" ref="E7:E18" si="1">C7-$D$4</f>
        <v>5.2300000000000013E-2</v>
      </c>
      <c r="F7" s="15">
        <f t="shared" ref="F7:F18" si="2">B7*COS(RADIANS(A7))+C7*SIN(RADIANS(A7))</f>
        <v>-2.1732999999999998</v>
      </c>
      <c r="G7" s="16" t="str">
        <f t="shared" ref="G7:G18" si="3">IF(D7&gt;0,"charge/import","discharge/export")</f>
        <v>charge/import</v>
      </c>
    </row>
    <row r="8" spans="1:7" ht="17.100000000000001" customHeight="1" x14ac:dyDescent="0.25">
      <c r="A8" s="13">
        <f>'4_All_periods'!C303</f>
        <v>30</v>
      </c>
      <c r="B8" s="14">
        <f>'4_All_periods'!D303</f>
        <v>-2.1882999999999999</v>
      </c>
      <c r="C8" s="14">
        <f>'4_All_periods'!E303</f>
        <v>0.51500000000000001</v>
      </c>
      <c r="D8" s="15">
        <f t="shared" si="0"/>
        <v>0.12340000000000018</v>
      </c>
      <c r="E8" s="15">
        <f t="shared" si="1"/>
        <v>0.32240000000000002</v>
      </c>
      <c r="F8" s="15">
        <f t="shared" si="2"/>
        <v>-1.6376233911014872</v>
      </c>
      <c r="G8" s="16" t="str">
        <f t="shared" si="3"/>
        <v>charge/import</v>
      </c>
    </row>
    <row r="9" spans="1:7" ht="17.100000000000001" customHeight="1" x14ac:dyDescent="0.25">
      <c r="A9" s="13">
        <f>'4_All_periods'!C304</f>
        <v>60</v>
      </c>
      <c r="B9" s="14">
        <f>'4_All_periods'!D304</f>
        <v>-2.1907000000000001</v>
      </c>
      <c r="C9" s="14">
        <f>'4_All_periods'!E304</f>
        <v>0.51719999999999999</v>
      </c>
      <c r="D9" s="15">
        <f t="shared" si="0"/>
        <v>0.121</v>
      </c>
      <c r="E9" s="15">
        <f t="shared" si="1"/>
        <v>0.3246</v>
      </c>
      <c r="F9" s="15">
        <f t="shared" si="2"/>
        <v>-0.64744166116268864</v>
      </c>
      <c r="G9" s="16" t="str">
        <f t="shared" si="3"/>
        <v>charge/import</v>
      </c>
    </row>
    <row r="10" spans="1:7" ht="17.100000000000001" customHeight="1" x14ac:dyDescent="0.25">
      <c r="A10" s="13">
        <f>'4_All_periods'!C305</f>
        <v>90</v>
      </c>
      <c r="B10" s="14">
        <f>'4_All_periods'!D305</f>
        <v>-2.2332000000000001</v>
      </c>
      <c r="C10" s="14">
        <f>'4_All_periods'!E305</f>
        <v>0.52149999999999996</v>
      </c>
      <c r="D10" s="15">
        <f t="shared" si="0"/>
        <v>7.8500000000000014E-2</v>
      </c>
      <c r="E10" s="15">
        <f t="shared" si="1"/>
        <v>0.32889999999999997</v>
      </c>
      <c r="F10" s="15">
        <f t="shared" si="2"/>
        <v>0.52149999999999985</v>
      </c>
      <c r="G10" s="16" t="str">
        <f t="shared" si="3"/>
        <v>charge/import</v>
      </c>
    </row>
    <row r="11" spans="1:7" ht="17.100000000000001" customHeight="1" x14ac:dyDescent="0.25">
      <c r="A11" s="13">
        <f>'4_All_periods'!C306</f>
        <v>120</v>
      </c>
      <c r="B11" s="14">
        <f>'4_All_periods'!D306</f>
        <v>-2.3327</v>
      </c>
      <c r="C11" s="14">
        <f>'4_All_periods'!E306</f>
        <v>0.50029999999999997</v>
      </c>
      <c r="D11" s="15">
        <f t="shared" si="0"/>
        <v>-2.0999999999999908E-2</v>
      </c>
      <c r="E11" s="15">
        <f t="shared" si="1"/>
        <v>0.30769999999999997</v>
      </c>
      <c r="F11" s="15">
        <f t="shared" si="2"/>
        <v>1.5996225095133543</v>
      </c>
      <c r="G11" s="16" t="str">
        <f t="shared" si="3"/>
        <v>discharge/export</v>
      </c>
    </row>
    <row r="12" spans="1:7" ht="17.100000000000001" customHeight="1" x14ac:dyDescent="0.25">
      <c r="A12" s="13">
        <f>'4_All_periods'!C307</f>
        <v>150</v>
      </c>
      <c r="B12" s="14">
        <f>'4_All_periods'!D307</f>
        <v>-2.4318</v>
      </c>
      <c r="C12" s="14">
        <f>'4_All_periods'!E307</f>
        <v>0.39410000000000001</v>
      </c>
      <c r="D12" s="15">
        <f t="shared" si="0"/>
        <v>-0.12009999999999987</v>
      </c>
      <c r="E12" s="15">
        <f t="shared" si="1"/>
        <v>0.20150000000000001</v>
      </c>
      <c r="F12" s="15">
        <f t="shared" si="2"/>
        <v>2.3030505769229981</v>
      </c>
      <c r="G12" s="16" t="str">
        <f t="shared" si="3"/>
        <v>discharge/export</v>
      </c>
    </row>
    <row r="13" spans="1:7" ht="17.100000000000001" customHeight="1" x14ac:dyDescent="0.25">
      <c r="A13" s="13">
        <f>'4_All_periods'!C308</f>
        <v>180</v>
      </c>
      <c r="B13" s="14">
        <f>'4_All_periods'!D308</f>
        <v>-2.4666999999999999</v>
      </c>
      <c r="C13" s="14">
        <f>'4_All_periods'!E308</f>
        <v>0.27750000000000002</v>
      </c>
      <c r="D13" s="15">
        <f t="shared" si="0"/>
        <v>-0.1549999999999998</v>
      </c>
      <c r="E13" s="15">
        <f t="shared" si="1"/>
        <v>8.4900000000000031E-2</v>
      </c>
      <c r="F13" s="15">
        <f t="shared" si="2"/>
        <v>2.4666999999999999</v>
      </c>
      <c r="G13" s="16" t="str">
        <f t="shared" si="3"/>
        <v>discharge/export</v>
      </c>
    </row>
    <row r="14" spans="1:7" ht="17.100000000000001" customHeight="1" x14ac:dyDescent="0.25">
      <c r="A14" s="13">
        <f>'4_All_periods'!C309</f>
        <v>210</v>
      </c>
      <c r="B14" s="14">
        <f>'4_All_periods'!D309</f>
        <v>-2.444</v>
      </c>
      <c r="C14" s="14">
        <f>'4_All_periods'!E309</f>
        <v>0.2162</v>
      </c>
      <c r="D14" s="15">
        <f t="shared" si="0"/>
        <v>-0.13229999999999986</v>
      </c>
      <c r="E14" s="15">
        <f t="shared" si="1"/>
        <v>2.360000000000001E-2</v>
      </c>
      <c r="F14" s="15">
        <f t="shared" si="2"/>
        <v>2.0084660868491682</v>
      </c>
      <c r="G14" s="16" t="str">
        <f t="shared" si="3"/>
        <v>discharge/export</v>
      </c>
    </row>
    <row r="15" spans="1:7" ht="17.100000000000001" customHeight="1" x14ac:dyDescent="0.25">
      <c r="A15" s="13">
        <f>'4_All_periods'!C310</f>
        <v>240</v>
      </c>
      <c r="B15" s="14">
        <f>'4_All_periods'!D310</f>
        <v>-2.2511000000000001</v>
      </c>
      <c r="C15" s="14">
        <f>'4_All_periods'!E310</f>
        <v>9.4999999999999998E-3</v>
      </c>
      <c r="D15" s="15">
        <f t="shared" si="0"/>
        <v>6.0599999999999987E-2</v>
      </c>
      <c r="E15" s="15">
        <f t="shared" si="1"/>
        <v>-0.18309999999999998</v>
      </c>
      <c r="F15" s="15">
        <f t="shared" si="2"/>
        <v>1.1173227586640491</v>
      </c>
      <c r="G15" s="16" t="str">
        <f t="shared" si="3"/>
        <v>charge/import</v>
      </c>
    </row>
    <row r="16" spans="1:7" ht="17.100000000000001" customHeight="1" x14ac:dyDescent="0.25">
      <c r="A16" s="13">
        <f>'4_All_periods'!C311</f>
        <v>270</v>
      </c>
      <c r="B16" s="14">
        <f>'4_All_periods'!D311</f>
        <v>-2.1928000000000001</v>
      </c>
      <c r="C16" s="14">
        <f>'4_All_periods'!E311</f>
        <v>-5.1999999999999998E-3</v>
      </c>
      <c r="D16" s="15">
        <f t="shared" si="0"/>
        <v>0.11890000000000001</v>
      </c>
      <c r="E16" s="15">
        <f t="shared" si="1"/>
        <v>-0.1978</v>
      </c>
      <c r="F16" s="15">
        <f t="shared" si="2"/>
        <v>5.2000000000004031E-3</v>
      </c>
      <c r="G16" s="16" t="str">
        <f t="shared" si="3"/>
        <v>charge/import</v>
      </c>
    </row>
    <row r="17" spans="1:7" ht="17.100000000000001" customHeight="1" x14ac:dyDescent="0.25">
      <c r="A17" s="13">
        <f>'4_All_periods'!C312</f>
        <v>300</v>
      </c>
      <c r="B17" s="14">
        <f>'4_All_periods'!D312</f>
        <v>-2.1821000000000002</v>
      </c>
      <c r="C17" s="14">
        <f>'4_All_periods'!E312</f>
        <v>-4.1999999999999997E-3</v>
      </c>
      <c r="D17" s="15">
        <f t="shared" si="0"/>
        <v>0.12959999999999994</v>
      </c>
      <c r="E17" s="15">
        <f t="shared" si="1"/>
        <v>-0.1968</v>
      </c>
      <c r="F17" s="15">
        <f t="shared" si="2"/>
        <v>-1.0874126933041057</v>
      </c>
      <c r="G17" s="16" t="str">
        <f t="shared" si="3"/>
        <v>charge/import</v>
      </c>
    </row>
    <row r="18" spans="1:7" ht="17.100000000000001" customHeight="1" x14ac:dyDescent="0.25">
      <c r="A18" s="13">
        <f>'4_All_periods'!C313</f>
        <v>330</v>
      </c>
      <c r="B18" s="14">
        <f>'4_All_periods'!D313</f>
        <v>-2.1819999999999999</v>
      </c>
      <c r="C18" s="14">
        <f>'4_All_periods'!E313</f>
        <v>-4.1999999999999997E-3</v>
      </c>
      <c r="D18" s="15">
        <f t="shared" si="0"/>
        <v>0.12970000000000015</v>
      </c>
      <c r="E18" s="15">
        <f t="shared" si="1"/>
        <v>-0.1968</v>
      </c>
      <c r="F18" s="15">
        <f t="shared" si="2"/>
        <v>-1.8875674310576445</v>
      </c>
      <c r="G18" s="16" t="str">
        <f t="shared" si="3"/>
        <v>charge/import</v>
      </c>
    </row>
    <row r="19" spans="1:7" ht="17.100000000000001" customHeight="1" x14ac:dyDescent="0.25">
      <c r="A19" s="17" t="s">
        <v>76</v>
      </c>
      <c r="B19" s="18">
        <f>B7</f>
        <v>-2.1732999999999998</v>
      </c>
      <c r="C19" s="18">
        <f>C7</f>
        <v>0.24490000000000001</v>
      </c>
      <c r="D19" s="18">
        <f>D7</f>
        <v>0.1384000000000003</v>
      </c>
      <c r="E19" s="18">
        <f>E7</f>
        <v>5.2300000000000013E-2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0.29340000000000011</v>
      </c>
    </row>
    <row r="23" spans="1:7" ht="18" customHeight="1" x14ac:dyDescent="0.25">
      <c r="A23" s="45" t="s">
        <v>79</v>
      </c>
      <c r="B23" s="46"/>
      <c r="C23" s="20">
        <f>MAX(0,MAX(D7:D18))</f>
        <v>0.1384000000000003</v>
      </c>
    </row>
    <row r="24" spans="1:7" ht="18" customHeight="1" x14ac:dyDescent="0.25">
      <c r="A24" s="45" t="s">
        <v>80</v>
      </c>
      <c r="B24" s="46"/>
      <c r="C24" s="20">
        <f>MAX(0,-MIN(D7:D18))</f>
        <v>0.1549999999999998</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"&amp;TEXT('4_All_periods'!H302,"0.00000")&amp;" pu"&amp;IF('4_All_periods'!H302&gt;=1.0999," → over-voltage limit is active"," → clear of the limit, so the battery bounds it"),"blocked at 180°: Vmax there = "&amp;TEXT('4_All_periods'!H308,"0.00000")&amp;" pu"&amp;IF('4_All_periods'!H308&gt;=1.0999,"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45" priority="1">
      <formula>ISNUMBER(SEARCH("charge",$G7))</formula>
    </cfRule>
    <cfRule type="expression" dxfId="44"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166</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'4_All_periods'!I314</f>
        <v>-2.2250999999999999</v>
      </c>
      <c r="C4" s="10" t="s">
        <v>69</v>
      </c>
      <c r="D4" s="11">
        <f>'4_All_periods'!J314</f>
        <v>0.1918</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'4_All_periods'!C314</f>
        <v>0</v>
      </c>
      <c r="B7" s="14">
        <f>'4_All_periods'!D314</f>
        <v>-2.1206999999999998</v>
      </c>
      <c r="C7" s="14">
        <f>'4_All_periods'!E314</f>
        <v>0.22639999999999999</v>
      </c>
      <c r="D7" s="15">
        <f t="shared" ref="D7:D18" si="0">B7-$B$4</f>
        <v>0.10440000000000005</v>
      </c>
      <c r="E7" s="15">
        <f t="shared" ref="E7:E18" si="1">C7-$D$4</f>
        <v>3.4599999999999992E-2</v>
      </c>
      <c r="F7" s="15">
        <f t="shared" ref="F7:F18" si="2">B7*COS(RADIANS(A7))+C7*SIN(RADIANS(A7))</f>
        <v>-2.1206999999999998</v>
      </c>
      <c r="G7" s="16" t="str">
        <f t="shared" ref="G7:G18" si="3">IF(D7&gt;0,"charge/import","discharge/export")</f>
        <v>charge/import</v>
      </c>
    </row>
    <row r="8" spans="1:7" ht="17.100000000000001" customHeight="1" x14ac:dyDescent="0.25">
      <c r="A8" s="13">
        <f>'4_All_periods'!C315</f>
        <v>30</v>
      </c>
      <c r="B8" s="14">
        <f>'4_All_periods'!D315</f>
        <v>-2.1353</v>
      </c>
      <c r="C8" s="14">
        <f>'4_All_periods'!E315</f>
        <v>0.50119999999999998</v>
      </c>
      <c r="D8" s="15">
        <f t="shared" si="0"/>
        <v>8.979999999999988E-2</v>
      </c>
      <c r="E8" s="15">
        <f t="shared" si="1"/>
        <v>0.30940000000000001</v>
      </c>
      <c r="F8" s="15">
        <f t="shared" si="2"/>
        <v>-1.5986240447009121</v>
      </c>
      <c r="G8" s="16" t="str">
        <f t="shared" si="3"/>
        <v>charge/import</v>
      </c>
    </row>
    <row r="9" spans="1:7" ht="17.100000000000001" customHeight="1" x14ac:dyDescent="0.25">
      <c r="A9" s="13">
        <f>'4_All_periods'!C316</f>
        <v>60</v>
      </c>
      <c r="B9" s="14">
        <f>'4_All_periods'!D316</f>
        <v>-2.1383000000000001</v>
      </c>
      <c r="C9" s="14">
        <f>'4_All_periods'!E316</f>
        <v>0.50380000000000003</v>
      </c>
      <c r="D9" s="15">
        <f t="shared" si="0"/>
        <v>8.6799999999999766E-2</v>
      </c>
      <c r="E9" s="15">
        <f t="shared" si="1"/>
        <v>0.31200000000000006</v>
      </c>
      <c r="F9" s="15">
        <f t="shared" si="2"/>
        <v>-0.63284640157340011</v>
      </c>
      <c r="G9" s="16" t="str">
        <f t="shared" si="3"/>
        <v>charge/import</v>
      </c>
    </row>
    <row r="10" spans="1:7" ht="17.100000000000001" customHeight="1" x14ac:dyDescent="0.25">
      <c r="A10" s="13">
        <f>'4_All_periods'!C317</f>
        <v>90</v>
      </c>
      <c r="B10" s="14">
        <f>'4_All_periods'!D317</f>
        <v>-2.1802999999999999</v>
      </c>
      <c r="C10" s="14">
        <f>'4_All_periods'!E317</f>
        <v>0.50790000000000002</v>
      </c>
      <c r="D10" s="15">
        <f t="shared" si="0"/>
        <v>4.4799999999999951E-2</v>
      </c>
      <c r="E10" s="15">
        <f t="shared" si="1"/>
        <v>0.31610000000000005</v>
      </c>
      <c r="F10" s="15">
        <f t="shared" si="2"/>
        <v>0.50789999999999991</v>
      </c>
      <c r="G10" s="16" t="str">
        <f t="shared" si="3"/>
        <v>charge/import</v>
      </c>
    </row>
    <row r="11" spans="1:7" ht="17.100000000000001" customHeight="1" x14ac:dyDescent="0.25">
      <c r="A11" s="13">
        <f>'4_All_periods'!C318</f>
        <v>120</v>
      </c>
      <c r="B11" s="14">
        <f>'4_All_periods'!D318</f>
        <v>-2.2892000000000001</v>
      </c>
      <c r="C11" s="14">
        <f>'4_All_periods'!E318</f>
        <v>0.48480000000000001</v>
      </c>
      <c r="D11" s="15">
        <f t="shared" si="0"/>
        <v>-6.4100000000000268E-2</v>
      </c>
      <c r="E11" s="15">
        <f t="shared" si="1"/>
        <v>0.29300000000000004</v>
      </c>
      <c r="F11" s="15">
        <f t="shared" si="2"/>
        <v>1.5644491157546956</v>
      </c>
      <c r="G11" s="16" t="str">
        <f t="shared" si="3"/>
        <v>discharge/export</v>
      </c>
    </row>
    <row r="12" spans="1:7" ht="17.100000000000001" customHeight="1" x14ac:dyDescent="0.25">
      <c r="A12" s="13">
        <f>'4_All_periods'!C319</f>
        <v>150</v>
      </c>
      <c r="B12" s="14">
        <f>'4_All_periods'!D319</f>
        <v>-2.3816000000000002</v>
      </c>
      <c r="C12" s="14">
        <f>'4_All_periods'!E319</f>
        <v>0.38650000000000001</v>
      </c>
      <c r="D12" s="15">
        <f t="shared" si="0"/>
        <v>-0.15650000000000031</v>
      </c>
      <c r="E12" s="15">
        <f t="shared" si="1"/>
        <v>0.19470000000000001</v>
      </c>
      <c r="F12" s="15">
        <f t="shared" si="2"/>
        <v>2.2557761016530193</v>
      </c>
      <c r="G12" s="16" t="str">
        <f t="shared" si="3"/>
        <v>discharge/export</v>
      </c>
    </row>
    <row r="13" spans="1:7" ht="17.100000000000001" customHeight="1" x14ac:dyDescent="0.25">
      <c r="A13" s="13">
        <f>'4_All_periods'!C320</f>
        <v>180</v>
      </c>
      <c r="B13" s="14">
        <f>'4_All_periods'!D320</f>
        <v>-2.4184999999999999</v>
      </c>
      <c r="C13" s="14">
        <f>'4_All_periods'!E320</f>
        <v>0.2631</v>
      </c>
      <c r="D13" s="15">
        <f t="shared" si="0"/>
        <v>-0.19340000000000002</v>
      </c>
      <c r="E13" s="15">
        <f t="shared" si="1"/>
        <v>7.1300000000000002E-2</v>
      </c>
      <c r="F13" s="15">
        <f t="shared" si="2"/>
        <v>2.4184999999999999</v>
      </c>
      <c r="G13" s="16" t="str">
        <f t="shared" si="3"/>
        <v>discharge/export</v>
      </c>
    </row>
    <row r="14" spans="1:7" ht="17.100000000000001" customHeight="1" x14ac:dyDescent="0.25">
      <c r="A14" s="13">
        <f>'4_All_periods'!C321</f>
        <v>210</v>
      </c>
      <c r="B14" s="14">
        <f>'4_All_periods'!D321</f>
        <v>-2.3969</v>
      </c>
      <c r="C14" s="14">
        <f>'4_All_periods'!E321</f>
        <v>0.20480000000000001</v>
      </c>
      <c r="D14" s="15">
        <f t="shared" si="0"/>
        <v>-0.17180000000000017</v>
      </c>
      <c r="E14" s="15">
        <f t="shared" si="1"/>
        <v>1.3000000000000012E-2</v>
      </c>
      <c r="F14" s="15">
        <f t="shared" si="2"/>
        <v>1.9733762903309209</v>
      </c>
      <c r="G14" s="16" t="str">
        <f t="shared" si="3"/>
        <v>discharge/export</v>
      </c>
    </row>
    <row r="15" spans="1:7" ht="17.100000000000001" customHeight="1" x14ac:dyDescent="0.25">
      <c r="A15" s="13">
        <f>'4_All_periods'!C322</f>
        <v>240</v>
      </c>
      <c r="B15" s="14">
        <f>'4_All_periods'!D322</f>
        <v>-2.1877</v>
      </c>
      <c r="C15" s="14">
        <f>'4_All_periods'!E322</f>
        <v>-1.4200000000000001E-2</v>
      </c>
      <c r="D15" s="15">
        <f t="shared" si="0"/>
        <v>3.7399999999999878E-2</v>
      </c>
      <c r="E15" s="15">
        <f t="shared" si="1"/>
        <v>-0.20599999999999999</v>
      </c>
      <c r="F15" s="15">
        <f t="shared" si="2"/>
        <v>1.1061475607337399</v>
      </c>
      <c r="G15" s="16" t="str">
        <f t="shared" si="3"/>
        <v>charge/import</v>
      </c>
    </row>
    <row r="16" spans="1:7" ht="17.100000000000001" customHeight="1" x14ac:dyDescent="0.25">
      <c r="A16" s="13">
        <f>'4_All_periods'!C323</f>
        <v>270</v>
      </c>
      <c r="B16" s="14">
        <f>'4_All_periods'!D323</f>
        <v>-2.1373000000000002</v>
      </c>
      <c r="C16" s="14">
        <f>'4_All_periods'!E323</f>
        <v>-2.7900000000000001E-2</v>
      </c>
      <c r="D16" s="15">
        <f t="shared" si="0"/>
        <v>8.7799999999999656E-2</v>
      </c>
      <c r="E16" s="15">
        <f t="shared" si="1"/>
        <v>-0.21970000000000001</v>
      </c>
      <c r="F16" s="15">
        <f t="shared" si="2"/>
        <v>2.7900000000000393E-2</v>
      </c>
      <c r="G16" s="16" t="str">
        <f t="shared" si="3"/>
        <v>charge/import</v>
      </c>
    </row>
    <row r="17" spans="1:7" ht="17.100000000000001" customHeight="1" x14ac:dyDescent="0.25">
      <c r="A17" s="13">
        <f>'4_All_periods'!C324</f>
        <v>300</v>
      </c>
      <c r="B17" s="14">
        <f>'4_All_periods'!D324</f>
        <v>-2.1286999999999998</v>
      </c>
      <c r="C17" s="14">
        <f>'4_All_periods'!E324</f>
        <v>-2.7E-2</v>
      </c>
      <c r="D17" s="15">
        <f t="shared" si="0"/>
        <v>9.6400000000000041E-2</v>
      </c>
      <c r="E17" s="15">
        <f t="shared" si="1"/>
        <v>-0.21879999999999999</v>
      </c>
      <c r="F17" s="15">
        <f t="shared" si="2"/>
        <v>-1.0409673140978204</v>
      </c>
      <c r="G17" s="16" t="str">
        <f t="shared" si="3"/>
        <v>charge/import</v>
      </c>
    </row>
    <row r="18" spans="1:7" ht="17.100000000000001" customHeight="1" x14ac:dyDescent="0.25">
      <c r="A18" s="13">
        <f>'4_All_periods'!C325</f>
        <v>330</v>
      </c>
      <c r="B18" s="14">
        <f>'4_All_periods'!D325</f>
        <v>-2.1286999999999998</v>
      </c>
      <c r="C18" s="14">
        <f>'4_All_periods'!E325</f>
        <v>-2.7E-2</v>
      </c>
      <c r="D18" s="15">
        <f t="shared" si="0"/>
        <v>9.6400000000000041E-2</v>
      </c>
      <c r="E18" s="15">
        <f t="shared" si="1"/>
        <v>-0.21879999999999999</v>
      </c>
      <c r="F18" s="15">
        <f t="shared" si="2"/>
        <v>-1.8300082770359338</v>
      </c>
      <c r="G18" s="16" t="str">
        <f t="shared" si="3"/>
        <v>charge/import</v>
      </c>
    </row>
    <row r="19" spans="1:7" ht="17.100000000000001" customHeight="1" x14ac:dyDescent="0.25">
      <c r="A19" s="17" t="s">
        <v>76</v>
      </c>
      <c r="B19" s="18">
        <f>B7</f>
        <v>-2.1206999999999998</v>
      </c>
      <c r="C19" s="18">
        <f>C7</f>
        <v>0.22639999999999999</v>
      </c>
      <c r="D19" s="18">
        <f>D7</f>
        <v>0.10440000000000005</v>
      </c>
      <c r="E19" s="18">
        <f>E7</f>
        <v>3.4599999999999992E-2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0.29780000000000006</v>
      </c>
    </row>
    <row r="23" spans="1:7" ht="18" customHeight="1" x14ac:dyDescent="0.25">
      <c r="A23" s="45" t="s">
        <v>79</v>
      </c>
      <c r="B23" s="46"/>
      <c r="C23" s="20">
        <f>MAX(0,MAX(D7:D18))</f>
        <v>0.10440000000000005</v>
      </c>
    </row>
    <row r="24" spans="1:7" ht="18" customHeight="1" x14ac:dyDescent="0.25">
      <c r="A24" s="45" t="s">
        <v>80</v>
      </c>
      <c r="B24" s="46"/>
      <c r="C24" s="20">
        <f>MAX(0,-MIN(D7:D18))</f>
        <v>0.19340000000000002</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"&amp;TEXT('4_All_periods'!H314,"0.00000")&amp;" pu"&amp;IF('4_All_periods'!H314&gt;=1.0999," → over-voltage limit is active"," → clear of the limit, so the battery bounds it"),"blocked at 180°: Vmax there = "&amp;TEXT('4_All_periods'!H320,"0.00000")&amp;" pu"&amp;IF('4_All_periods'!H320&gt;=1.0999,"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43" priority="1">
      <formula>ISNUMBER(SEARCH("charge",$G7))</formula>
    </cfRule>
    <cfRule type="expression" dxfId="42"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167</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'4_All_periods'!I326</f>
        <v>-2.1720000000000002</v>
      </c>
      <c r="C4" s="10" t="s">
        <v>69</v>
      </c>
      <c r="D4" s="11">
        <f>'4_All_periods'!J326</f>
        <v>0.17829999999999999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'4_All_periods'!C326</f>
        <v>0</v>
      </c>
      <c r="B7" s="14">
        <f>'4_All_periods'!D326</f>
        <v>-1.996</v>
      </c>
      <c r="C7" s="14">
        <f>'4_All_periods'!E326</f>
        <v>0.2162</v>
      </c>
      <c r="D7" s="15">
        <f t="shared" ref="D7:D18" si="0">B7-$B$4</f>
        <v>0.17600000000000016</v>
      </c>
      <c r="E7" s="15">
        <f t="shared" ref="E7:E18" si="1">C7-$D$4</f>
        <v>3.7900000000000017E-2</v>
      </c>
      <c r="F7" s="15">
        <f t="shared" ref="F7:F18" si="2">B7*COS(RADIANS(A7))+C7*SIN(RADIANS(A7))</f>
        <v>-1.996</v>
      </c>
      <c r="G7" s="16" t="str">
        <f t="shared" ref="G7:G18" si="3">IF(D7&gt;0,"charge/import","discharge/export")</f>
        <v>charge/import</v>
      </c>
    </row>
    <row r="8" spans="1:7" ht="17.100000000000001" customHeight="1" x14ac:dyDescent="0.25">
      <c r="A8" s="13">
        <f>'4_All_periods'!C327</f>
        <v>30</v>
      </c>
      <c r="B8" s="14">
        <f>'4_All_periods'!D327</f>
        <v>-2.0099</v>
      </c>
      <c r="C8" s="14">
        <f>'4_All_periods'!E327</f>
        <v>0.49840000000000001</v>
      </c>
      <c r="D8" s="15">
        <f t="shared" si="0"/>
        <v>0.16210000000000013</v>
      </c>
      <c r="E8" s="15">
        <f t="shared" si="1"/>
        <v>0.32010000000000005</v>
      </c>
      <c r="F8" s="15">
        <f t="shared" si="2"/>
        <v>-1.4914244590663435</v>
      </c>
      <c r="G8" s="16" t="str">
        <f t="shared" si="3"/>
        <v>charge/import</v>
      </c>
    </row>
    <row r="9" spans="1:7" ht="17.100000000000001" customHeight="1" x14ac:dyDescent="0.25">
      <c r="A9" s="13">
        <f>'4_All_periods'!C328</f>
        <v>60</v>
      </c>
      <c r="B9" s="14">
        <f>'4_All_periods'!D328</f>
        <v>-2.0122</v>
      </c>
      <c r="C9" s="14">
        <f>'4_All_periods'!E328</f>
        <v>0.50049999999999994</v>
      </c>
      <c r="D9" s="15">
        <f t="shared" si="0"/>
        <v>0.15980000000000016</v>
      </c>
      <c r="E9" s="15">
        <f t="shared" si="1"/>
        <v>0.32219999999999993</v>
      </c>
      <c r="F9" s="15">
        <f t="shared" si="2"/>
        <v>-0.5726542854058887</v>
      </c>
      <c r="G9" s="16" t="str">
        <f t="shared" si="3"/>
        <v>charge/import</v>
      </c>
    </row>
    <row r="10" spans="1:7" ht="17.100000000000001" customHeight="1" x14ac:dyDescent="0.25">
      <c r="A10" s="13">
        <f>'4_All_periods'!C329</f>
        <v>90</v>
      </c>
      <c r="B10" s="14">
        <f>'4_All_periods'!D329</f>
        <v>-2.0529999999999999</v>
      </c>
      <c r="C10" s="14">
        <f>'4_All_periods'!E329</f>
        <v>0.50429999999999997</v>
      </c>
      <c r="D10" s="15">
        <f t="shared" si="0"/>
        <v>0.11900000000000022</v>
      </c>
      <c r="E10" s="15">
        <f t="shared" si="1"/>
        <v>0.32599999999999996</v>
      </c>
      <c r="F10" s="15">
        <f t="shared" si="2"/>
        <v>0.50429999999999986</v>
      </c>
      <c r="G10" s="16" t="str">
        <f t="shared" si="3"/>
        <v>charge/import</v>
      </c>
    </row>
    <row r="11" spans="1:7" ht="17.100000000000001" customHeight="1" x14ac:dyDescent="0.25">
      <c r="A11" s="13">
        <f>'4_All_periods'!C330</f>
        <v>120</v>
      </c>
      <c r="B11" s="14">
        <f>'4_All_periods'!D330</f>
        <v>-2.1648000000000001</v>
      </c>
      <c r="C11" s="14">
        <f>'4_All_periods'!E330</f>
        <v>0.48010000000000003</v>
      </c>
      <c r="D11" s="15">
        <f t="shared" si="0"/>
        <v>7.2000000000000952E-3</v>
      </c>
      <c r="E11" s="15">
        <f t="shared" si="1"/>
        <v>0.30180000000000007</v>
      </c>
      <c r="F11" s="15">
        <f t="shared" si="2"/>
        <v>1.4981787963569086</v>
      </c>
      <c r="G11" s="16" t="str">
        <f t="shared" si="3"/>
        <v>charge/import</v>
      </c>
    </row>
    <row r="12" spans="1:7" ht="17.100000000000001" customHeight="1" x14ac:dyDescent="0.25">
      <c r="A12" s="13">
        <f>'4_All_periods'!C331</f>
        <v>150</v>
      </c>
      <c r="B12" s="14">
        <f>'4_All_periods'!D331</f>
        <v>-2.2625999999999999</v>
      </c>
      <c r="C12" s="14">
        <f>'4_All_periods'!E331</f>
        <v>0.376</v>
      </c>
      <c r="D12" s="15">
        <f t="shared" si="0"/>
        <v>-9.0599999999999792E-2</v>
      </c>
      <c r="E12" s="15">
        <f t="shared" si="1"/>
        <v>0.19770000000000001</v>
      </c>
      <c r="F12" s="15">
        <f t="shared" si="2"/>
        <v>2.1474690786026711</v>
      </c>
      <c r="G12" s="16" t="str">
        <f t="shared" si="3"/>
        <v>discharge/export</v>
      </c>
    </row>
    <row r="13" spans="1:7" ht="17.100000000000001" customHeight="1" x14ac:dyDescent="0.25">
      <c r="A13" s="13">
        <f>'4_All_periods'!C332</f>
        <v>180</v>
      </c>
      <c r="B13" s="14">
        <f>'4_All_periods'!D332</f>
        <v>-2.2978999999999998</v>
      </c>
      <c r="C13" s="14">
        <f>'4_All_periods'!E332</f>
        <v>0.2581</v>
      </c>
      <c r="D13" s="15">
        <f t="shared" si="0"/>
        <v>-0.12589999999999968</v>
      </c>
      <c r="E13" s="15">
        <f t="shared" si="1"/>
        <v>7.980000000000001E-2</v>
      </c>
      <c r="F13" s="15">
        <f t="shared" si="2"/>
        <v>2.2978999999999998</v>
      </c>
      <c r="G13" s="16" t="str">
        <f t="shared" si="3"/>
        <v>discharge/export</v>
      </c>
    </row>
    <row r="14" spans="1:7" ht="17.100000000000001" customHeight="1" x14ac:dyDescent="0.25">
      <c r="A14" s="13">
        <f>'4_All_periods'!C333</f>
        <v>210</v>
      </c>
      <c r="B14" s="14">
        <f>'4_All_periods'!D333</f>
        <v>-2.2698</v>
      </c>
      <c r="C14" s="14">
        <f>'4_All_periods'!E333</f>
        <v>0.18390000000000001</v>
      </c>
      <c r="D14" s="15">
        <f t="shared" si="0"/>
        <v>-9.7799999999999887E-2</v>
      </c>
      <c r="E14" s="15">
        <f t="shared" si="1"/>
        <v>5.6000000000000216E-3</v>
      </c>
      <c r="F14" s="15">
        <f t="shared" si="2"/>
        <v>1.8737544615099189</v>
      </c>
      <c r="G14" s="16" t="str">
        <f t="shared" si="3"/>
        <v>discharge/export</v>
      </c>
    </row>
    <row r="15" spans="1:7" ht="17.100000000000001" customHeight="1" x14ac:dyDescent="0.25">
      <c r="A15" s="13">
        <f>'4_All_periods'!C334</f>
        <v>240</v>
      </c>
      <c r="B15" s="14">
        <f>'4_All_periods'!D334</f>
        <v>-2.0626000000000002</v>
      </c>
      <c r="C15" s="14">
        <f>'4_All_periods'!E334</f>
        <v>-0.03</v>
      </c>
      <c r="D15" s="15">
        <f t="shared" si="0"/>
        <v>0.10939999999999994</v>
      </c>
      <c r="E15" s="15">
        <f t="shared" si="1"/>
        <v>-0.20829999999999999</v>
      </c>
      <c r="F15" s="15">
        <f t="shared" si="2"/>
        <v>1.0572807621135341</v>
      </c>
      <c r="G15" s="16" t="str">
        <f t="shared" si="3"/>
        <v>charge/import</v>
      </c>
    </row>
    <row r="16" spans="1:7" ht="17.100000000000001" customHeight="1" x14ac:dyDescent="0.25">
      <c r="A16" s="13">
        <f>'4_All_periods'!C335</f>
        <v>270</v>
      </c>
      <c r="B16" s="14">
        <f>'4_All_periods'!D335</f>
        <v>-2.012</v>
      </c>
      <c r="C16" s="14">
        <f>'4_All_periods'!E335</f>
        <v>-4.3700000000000003E-2</v>
      </c>
      <c r="D16" s="15">
        <f t="shared" si="0"/>
        <v>0.16000000000000014</v>
      </c>
      <c r="E16" s="15">
        <f t="shared" si="1"/>
        <v>-0.22199999999999998</v>
      </c>
      <c r="F16" s="15">
        <f t="shared" si="2"/>
        <v>4.370000000000037E-2</v>
      </c>
      <c r="G16" s="16" t="str">
        <f t="shared" si="3"/>
        <v>charge/import</v>
      </c>
    </row>
    <row r="17" spans="1:7" ht="17.100000000000001" customHeight="1" x14ac:dyDescent="0.25">
      <c r="A17" s="13">
        <f>'4_All_periods'!C336</f>
        <v>300</v>
      </c>
      <c r="B17" s="14">
        <f>'4_All_periods'!D336</f>
        <v>-2.0038999999999998</v>
      </c>
      <c r="C17" s="14">
        <f>'4_All_periods'!E336</f>
        <v>-4.3099999999999999E-2</v>
      </c>
      <c r="D17" s="15">
        <f t="shared" si="0"/>
        <v>0.16810000000000036</v>
      </c>
      <c r="E17" s="15">
        <f t="shared" si="1"/>
        <v>-0.22139999999999999</v>
      </c>
      <c r="F17" s="15">
        <f t="shared" si="2"/>
        <v>-0.96462430509689079</v>
      </c>
      <c r="G17" s="16" t="str">
        <f t="shared" si="3"/>
        <v>charge/import</v>
      </c>
    </row>
    <row r="18" spans="1:7" ht="17.100000000000001" customHeight="1" x14ac:dyDescent="0.25">
      <c r="A18" s="13">
        <f>'4_All_periods'!C337</f>
        <v>330</v>
      </c>
      <c r="B18" s="14">
        <f>'4_All_periods'!D337</f>
        <v>-2.0038999999999998</v>
      </c>
      <c r="C18" s="14">
        <f>'4_All_periods'!E337</f>
        <v>-4.3099999999999999E-2</v>
      </c>
      <c r="D18" s="15">
        <f t="shared" si="0"/>
        <v>0.16810000000000036</v>
      </c>
      <c r="E18" s="15">
        <f t="shared" si="1"/>
        <v>-0.22139999999999999</v>
      </c>
      <c r="F18" s="15">
        <f t="shared" si="2"/>
        <v>-1.7138783066436358</v>
      </c>
      <c r="G18" s="16" t="str">
        <f t="shared" si="3"/>
        <v>charge/import</v>
      </c>
    </row>
    <row r="19" spans="1:7" ht="17.100000000000001" customHeight="1" x14ac:dyDescent="0.25">
      <c r="A19" s="17" t="s">
        <v>76</v>
      </c>
      <c r="B19" s="18">
        <f>B7</f>
        <v>-1.996</v>
      </c>
      <c r="C19" s="18">
        <f>C7</f>
        <v>0.2162</v>
      </c>
      <c r="D19" s="18">
        <f>D7</f>
        <v>0.17600000000000016</v>
      </c>
      <c r="E19" s="18">
        <f>E7</f>
        <v>3.7900000000000017E-2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0.30189999999999984</v>
      </c>
    </row>
    <row r="23" spans="1:7" ht="18" customHeight="1" x14ac:dyDescent="0.25">
      <c r="A23" s="45" t="s">
        <v>79</v>
      </c>
      <c r="B23" s="46"/>
      <c r="C23" s="20">
        <f>MAX(0,MAX(D7:D18))</f>
        <v>0.17600000000000016</v>
      </c>
    </row>
    <row r="24" spans="1:7" ht="18" customHeight="1" x14ac:dyDescent="0.25">
      <c r="A24" s="45" t="s">
        <v>80</v>
      </c>
      <c r="B24" s="46"/>
      <c r="C24" s="20">
        <f>MAX(0,-MIN(D7:D18))</f>
        <v>0.12589999999999968</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"&amp;TEXT('4_All_periods'!H326,"0.00000")&amp;" pu"&amp;IF('4_All_periods'!H326&gt;=1.0999," → over-voltage limit is active"," → clear of the limit, so the battery bounds it"),"blocked at 180°: Vmax there = "&amp;TEXT('4_All_periods'!H332,"0.00000")&amp;" pu"&amp;IF('4_All_periods'!H332&gt;=1.0999,"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41" priority="1">
      <formula>ISNUMBER(SEARCH("charge",$G7))</formula>
    </cfRule>
    <cfRule type="expression" dxfId="40"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168</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'4_All_periods'!I338</f>
        <v>-2.0453999999999999</v>
      </c>
      <c r="C4" s="10" t="s">
        <v>69</v>
      </c>
      <c r="D4" s="11">
        <f>'4_All_periods'!J338</f>
        <v>0.17519999999999999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'4_All_periods'!C338</f>
        <v>0</v>
      </c>
      <c r="B7" s="14">
        <f>'4_All_periods'!D338</f>
        <v>-1.8440000000000001</v>
      </c>
      <c r="C7" s="14">
        <f>'4_All_periods'!E338</f>
        <v>0.2122</v>
      </c>
      <c r="D7" s="15">
        <f t="shared" ref="D7:D18" si="0">B7-$B$4</f>
        <v>0.2013999999999998</v>
      </c>
      <c r="E7" s="15">
        <f t="shared" ref="E7:E18" si="1">C7-$D$4</f>
        <v>3.7000000000000005E-2</v>
      </c>
      <c r="F7" s="15">
        <f t="shared" ref="F7:F18" si="2">B7*COS(RADIANS(A7))+C7*SIN(RADIANS(A7))</f>
        <v>-1.8440000000000001</v>
      </c>
      <c r="G7" s="16" t="str">
        <f t="shared" ref="G7:G18" si="3">IF(D7&gt;0,"charge/import","discharge/export")</f>
        <v>charge/import</v>
      </c>
    </row>
    <row r="8" spans="1:7" ht="17.100000000000001" customHeight="1" x14ac:dyDescent="0.25">
      <c r="A8" s="13">
        <f>'4_All_periods'!C339</f>
        <v>30</v>
      </c>
      <c r="B8" s="14">
        <f>'4_All_periods'!D339</f>
        <v>-1.8574999999999999</v>
      </c>
      <c r="C8" s="14">
        <f>'4_All_periods'!E339</f>
        <v>0.49259999999999998</v>
      </c>
      <c r="D8" s="15">
        <f t="shared" si="0"/>
        <v>0.18789999999999996</v>
      </c>
      <c r="E8" s="15">
        <f t="shared" si="1"/>
        <v>0.31740000000000002</v>
      </c>
      <c r="F8" s="15">
        <f t="shared" si="2"/>
        <v>-1.3623421875295949</v>
      </c>
      <c r="G8" s="16" t="str">
        <f t="shared" si="3"/>
        <v>charge/import</v>
      </c>
    </row>
    <row r="9" spans="1:7" ht="17.100000000000001" customHeight="1" x14ac:dyDescent="0.25">
      <c r="A9" s="13">
        <f>'4_All_periods'!C340</f>
        <v>60</v>
      </c>
      <c r="B9" s="14">
        <f>'4_All_periods'!D340</f>
        <v>-1.8588</v>
      </c>
      <c r="C9" s="14">
        <f>'4_All_periods'!E340</f>
        <v>0.49349999999999999</v>
      </c>
      <c r="D9" s="15">
        <f t="shared" si="0"/>
        <v>0.18659999999999988</v>
      </c>
      <c r="E9" s="15">
        <f t="shared" si="1"/>
        <v>0.31830000000000003</v>
      </c>
      <c r="F9" s="15">
        <f t="shared" si="2"/>
        <v>-0.50201646323237981</v>
      </c>
      <c r="G9" s="16" t="str">
        <f t="shared" si="3"/>
        <v>charge/import</v>
      </c>
    </row>
    <row r="10" spans="1:7" ht="17.100000000000001" customHeight="1" x14ac:dyDescent="0.25">
      <c r="A10" s="13">
        <f>'4_All_periods'!C341</f>
        <v>90</v>
      </c>
      <c r="B10" s="14">
        <f>'4_All_periods'!D341</f>
        <v>-1.8987000000000001</v>
      </c>
      <c r="C10" s="14">
        <f>'4_All_periods'!E341</f>
        <v>0.49709999999999999</v>
      </c>
      <c r="D10" s="15">
        <f t="shared" si="0"/>
        <v>0.14669999999999983</v>
      </c>
      <c r="E10" s="15">
        <f t="shared" si="1"/>
        <v>0.32189999999999996</v>
      </c>
      <c r="F10" s="15">
        <f t="shared" si="2"/>
        <v>0.49709999999999988</v>
      </c>
      <c r="G10" s="16" t="str">
        <f t="shared" si="3"/>
        <v>charge/import</v>
      </c>
    </row>
    <row r="11" spans="1:7" ht="17.100000000000001" customHeight="1" x14ac:dyDescent="0.25">
      <c r="A11" s="13">
        <f>'4_All_periods'!C342</f>
        <v>120</v>
      </c>
      <c r="B11" s="14">
        <f>'4_All_periods'!D342</f>
        <v>-2.0198999999999998</v>
      </c>
      <c r="C11" s="14">
        <f>'4_All_periods'!E342</f>
        <v>0.47</v>
      </c>
      <c r="D11" s="15">
        <f t="shared" si="0"/>
        <v>2.5500000000000078E-2</v>
      </c>
      <c r="E11" s="15">
        <f t="shared" si="1"/>
        <v>0.29479999999999995</v>
      </c>
      <c r="F11" s="15">
        <f t="shared" si="2"/>
        <v>1.4169819397786856</v>
      </c>
      <c r="G11" s="16" t="str">
        <f t="shared" si="3"/>
        <v>charge/import</v>
      </c>
    </row>
    <row r="12" spans="1:7" ht="17.100000000000001" customHeight="1" x14ac:dyDescent="0.25">
      <c r="A12" s="13">
        <f>'4_All_periods'!C343</f>
        <v>150</v>
      </c>
      <c r="B12" s="14">
        <f>'4_All_periods'!D343</f>
        <v>-2.1153</v>
      </c>
      <c r="C12" s="14">
        <f>'4_All_periods'!E343</f>
        <v>0.36780000000000002</v>
      </c>
      <c r="D12" s="15">
        <f t="shared" si="0"/>
        <v>-6.9900000000000073E-2</v>
      </c>
      <c r="E12" s="15">
        <f t="shared" si="1"/>
        <v>0.19260000000000002</v>
      </c>
      <c r="F12" s="15">
        <f t="shared" si="2"/>
        <v>2.0158035366252234</v>
      </c>
      <c r="G12" s="16" t="str">
        <f t="shared" si="3"/>
        <v>discharge/export</v>
      </c>
    </row>
    <row r="13" spans="1:7" ht="17.100000000000001" customHeight="1" x14ac:dyDescent="0.25">
      <c r="A13" s="13">
        <f>'4_All_periods'!C344</f>
        <v>180</v>
      </c>
      <c r="B13" s="14">
        <f>'4_All_periods'!D344</f>
        <v>-2.15</v>
      </c>
      <c r="C13" s="14">
        <f>'4_All_periods'!E344</f>
        <v>0.25430000000000003</v>
      </c>
      <c r="D13" s="15">
        <f t="shared" si="0"/>
        <v>-0.10460000000000003</v>
      </c>
      <c r="E13" s="15">
        <f t="shared" si="1"/>
        <v>7.9100000000000031E-2</v>
      </c>
      <c r="F13" s="15">
        <f t="shared" si="2"/>
        <v>2.15</v>
      </c>
      <c r="G13" s="16" t="str">
        <f t="shared" si="3"/>
        <v>discharge/export</v>
      </c>
    </row>
    <row r="14" spans="1:7" ht="17.100000000000001" customHeight="1" x14ac:dyDescent="0.25">
      <c r="A14" s="13">
        <f>'4_All_periods'!C345</f>
        <v>210</v>
      </c>
      <c r="B14" s="14">
        <f>'4_All_periods'!D345</f>
        <v>-2.1227</v>
      </c>
      <c r="C14" s="14">
        <f>'4_All_periods'!E345</f>
        <v>0.1726</v>
      </c>
      <c r="D14" s="15">
        <f t="shared" si="0"/>
        <v>-7.7300000000000146E-2</v>
      </c>
      <c r="E14" s="15">
        <f t="shared" si="1"/>
        <v>-2.5999999999999912E-3</v>
      </c>
      <c r="F14" s="15">
        <f t="shared" si="2"/>
        <v>1.7520121246132279</v>
      </c>
      <c r="G14" s="16" t="str">
        <f t="shared" si="3"/>
        <v>discharge/export</v>
      </c>
    </row>
    <row r="15" spans="1:7" ht="17.100000000000001" customHeight="1" x14ac:dyDescent="0.25">
      <c r="A15" s="13">
        <f>'4_All_periods'!C346</f>
        <v>240</v>
      </c>
      <c r="B15" s="14">
        <f>'4_All_periods'!D346</f>
        <v>-1.9133</v>
      </c>
      <c r="C15" s="14">
        <f>'4_All_periods'!E346</f>
        <v>-4.7500000000000001E-2</v>
      </c>
      <c r="D15" s="15">
        <f t="shared" si="0"/>
        <v>0.13209999999999988</v>
      </c>
      <c r="E15" s="15">
        <f t="shared" si="1"/>
        <v>-0.22270000000000001</v>
      </c>
      <c r="F15" s="15">
        <f t="shared" si="2"/>
        <v>0.9977862066797617</v>
      </c>
      <c r="G15" s="16" t="str">
        <f t="shared" si="3"/>
        <v>charge/import</v>
      </c>
    </row>
    <row r="16" spans="1:7" ht="17.100000000000001" customHeight="1" x14ac:dyDescent="0.25">
      <c r="A16" s="13">
        <f>'4_All_periods'!C347</f>
        <v>270</v>
      </c>
      <c r="B16" s="14">
        <f>'4_All_periods'!D347</f>
        <v>-1.8613999999999999</v>
      </c>
      <c r="C16" s="14">
        <f>'4_All_periods'!E347</f>
        <v>-6.25E-2</v>
      </c>
      <c r="D16" s="15">
        <f t="shared" si="0"/>
        <v>0.18399999999999994</v>
      </c>
      <c r="E16" s="15">
        <f t="shared" si="1"/>
        <v>-0.23769999999999999</v>
      </c>
      <c r="F16" s="15">
        <f t="shared" si="2"/>
        <v>6.2500000000000347E-2</v>
      </c>
      <c r="G16" s="16" t="str">
        <f t="shared" si="3"/>
        <v>charge/import</v>
      </c>
    </row>
    <row r="17" spans="1:7" ht="17.100000000000001" customHeight="1" x14ac:dyDescent="0.25">
      <c r="A17" s="13">
        <f>'4_All_periods'!C348</f>
        <v>300</v>
      </c>
      <c r="B17" s="14">
        <f>'4_All_periods'!D348</f>
        <v>-1.8522000000000001</v>
      </c>
      <c r="C17" s="14">
        <f>'4_All_periods'!E348</f>
        <v>-6.1800000000000001E-2</v>
      </c>
      <c r="D17" s="15">
        <f t="shared" si="0"/>
        <v>0.19319999999999982</v>
      </c>
      <c r="E17" s="15">
        <f t="shared" si="1"/>
        <v>-0.23699999999999999</v>
      </c>
      <c r="F17" s="15">
        <f t="shared" si="2"/>
        <v>-0.87257963004612193</v>
      </c>
      <c r="G17" s="16" t="str">
        <f t="shared" si="3"/>
        <v>charge/import</v>
      </c>
    </row>
    <row r="18" spans="1:7" ht="17.100000000000001" customHeight="1" x14ac:dyDescent="0.25">
      <c r="A18" s="13">
        <f>'4_All_periods'!C349</f>
        <v>330</v>
      </c>
      <c r="B18" s="14">
        <f>'4_All_periods'!D349</f>
        <v>-1.8522000000000001</v>
      </c>
      <c r="C18" s="14">
        <f>'4_All_periods'!E349</f>
        <v>-6.1800000000000001E-2</v>
      </c>
      <c r="D18" s="15">
        <f t="shared" si="0"/>
        <v>0.19319999999999982</v>
      </c>
      <c r="E18" s="15">
        <f t="shared" si="1"/>
        <v>-0.23699999999999999</v>
      </c>
      <c r="F18" s="15">
        <f t="shared" si="2"/>
        <v>-1.573152252889537</v>
      </c>
      <c r="G18" s="16" t="str">
        <f t="shared" si="3"/>
        <v>charge/import</v>
      </c>
    </row>
    <row r="19" spans="1:7" ht="17.100000000000001" customHeight="1" x14ac:dyDescent="0.25">
      <c r="A19" s="17" t="s">
        <v>76</v>
      </c>
      <c r="B19" s="18">
        <f>B7</f>
        <v>-1.8440000000000001</v>
      </c>
      <c r="C19" s="18">
        <f>C7</f>
        <v>0.2122</v>
      </c>
      <c r="D19" s="18">
        <f>D7</f>
        <v>0.2013999999999998</v>
      </c>
      <c r="E19" s="18">
        <f>E7</f>
        <v>3.7000000000000005E-2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0.30599999999999983</v>
      </c>
    </row>
    <row r="23" spans="1:7" ht="18" customHeight="1" x14ac:dyDescent="0.25">
      <c r="A23" s="45" t="s">
        <v>79</v>
      </c>
      <c r="B23" s="46"/>
      <c r="C23" s="20">
        <f>MAX(0,MAX(D7:D18))</f>
        <v>0.2013999999999998</v>
      </c>
    </row>
    <row r="24" spans="1:7" ht="18" customHeight="1" x14ac:dyDescent="0.25">
      <c r="A24" s="45" t="s">
        <v>80</v>
      </c>
      <c r="B24" s="46"/>
      <c r="C24" s="20">
        <f>MAX(0,-MIN(D7:D18))</f>
        <v>0.10460000000000003</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"&amp;TEXT('4_All_periods'!H338,"0.00000")&amp;" pu"&amp;IF('4_All_periods'!H338&gt;=1.0999," → over-voltage limit is active"," → clear of the limit, so the battery bounds it"),"blocked at 180°: Vmax there = "&amp;TEXT('4_All_periods'!H344,"0.00000")&amp;" pu"&amp;IF('4_All_periods'!H344&gt;=1.0999,"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39" priority="1">
      <formula>ISNUMBER(SEARCH("charge",$G7))</formula>
    </cfRule>
    <cfRule type="expression" dxfId="38"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169</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'4_All_periods'!I350</f>
        <v>-1.8918999999999999</v>
      </c>
      <c r="C4" s="10" t="s">
        <v>69</v>
      </c>
      <c r="D4" s="11">
        <f>'4_All_periods'!J350</f>
        <v>0.16839999999999999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'4_All_periods'!C350</f>
        <v>0</v>
      </c>
      <c r="B7" s="14">
        <f>'4_All_periods'!D350</f>
        <v>-1.6777</v>
      </c>
      <c r="C7" s="14">
        <f>'4_All_periods'!E350</f>
        <v>0.18379999999999999</v>
      </c>
      <c r="D7" s="15">
        <f t="shared" ref="D7:D18" si="0">B7-$B$4</f>
        <v>0.21419999999999995</v>
      </c>
      <c r="E7" s="15">
        <f t="shared" ref="E7:E18" si="1">C7-$D$4</f>
        <v>1.5399999999999997E-2</v>
      </c>
      <c r="F7" s="15">
        <f t="shared" ref="F7:F18" si="2">B7*COS(RADIANS(A7))+C7*SIN(RADIANS(A7))</f>
        <v>-1.6777</v>
      </c>
      <c r="G7" s="16" t="str">
        <f t="shared" ref="G7:G18" si="3">IF(D7&gt;0,"charge/import","discharge/export")</f>
        <v>charge/import</v>
      </c>
    </row>
    <row r="8" spans="1:7" ht="17.100000000000001" customHeight="1" x14ac:dyDescent="0.25">
      <c r="A8" s="13">
        <f>'4_All_periods'!C351</f>
        <v>30</v>
      </c>
      <c r="B8" s="14">
        <f>'4_All_periods'!D351</f>
        <v>-1.6899</v>
      </c>
      <c r="C8" s="14">
        <f>'4_All_periods'!E351</f>
        <v>0.48959999999999998</v>
      </c>
      <c r="D8" s="15">
        <f t="shared" si="0"/>
        <v>0.20199999999999996</v>
      </c>
      <c r="E8" s="15">
        <f t="shared" si="1"/>
        <v>0.32119999999999999</v>
      </c>
      <c r="F8" s="15">
        <f t="shared" si="2"/>
        <v>-1.2186963298553231</v>
      </c>
      <c r="G8" s="16" t="str">
        <f t="shared" si="3"/>
        <v>charge/import</v>
      </c>
    </row>
    <row r="9" spans="1:7" ht="17.100000000000001" customHeight="1" x14ac:dyDescent="0.25">
      <c r="A9" s="13">
        <f>'4_All_periods'!C352</f>
        <v>60</v>
      </c>
      <c r="B9" s="14">
        <f>'4_All_periods'!D352</f>
        <v>-1.6899</v>
      </c>
      <c r="C9" s="14">
        <f>'4_All_periods'!E352</f>
        <v>0.48959999999999998</v>
      </c>
      <c r="D9" s="15">
        <f t="shared" si="0"/>
        <v>0.20199999999999996</v>
      </c>
      <c r="E9" s="15">
        <f t="shared" si="1"/>
        <v>0.32119999999999999</v>
      </c>
      <c r="F9" s="15">
        <f t="shared" si="2"/>
        <v>-0.4209439623071391</v>
      </c>
      <c r="G9" s="16" t="str">
        <f t="shared" si="3"/>
        <v>charge/import</v>
      </c>
    </row>
    <row r="10" spans="1:7" ht="17.100000000000001" customHeight="1" x14ac:dyDescent="0.25">
      <c r="A10" s="13">
        <f>'4_All_periods'!C353</f>
        <v>90</v>
      </c>
      <c r="B10" s="14">
        <f>'4_All_periods'!D353</f>
        <v>-1.7286999999999999</v>
      </c>
      <c r="C10" s="14">
        <f>'4_All_periods'!E353</f>
        <v>0.49280000000000002</v>
      </c>
      <c r="D10" s="15">
        <f t="shared" si="0"/>
        <v>0.16320000000000001</v>
      </c>
      <c r="E10" s="15">
        <f t="shared" si="1"/>
        <v>0.32440000000000002</v>
      </c>
      <c r="F10" s="15">
        <f t="shared" si="2"/>
        <v>0.4927999999999999</v>
      </c>
      <c r="G10" s="16" t="str">
        <f t="shared" si="3"/>
        <v>charge/import</v>
      </c>
    </row>
    <row r="11" spans="1:7" ht="17.100000000000001" customHeight="1" x14ac:dyDescent="0.25">
      <c r="A11" s="13">
        <f>'4_All_periods'!C354</f>
        <v>120</v>
      </c>
      <c r="B11" s="14">
        <f>'4_All_periods'!D354</f>
        <v>-1.8640000000000001</v>
      </c>
      <c r="C11" s="14">
        <f>'4_All_periods'!E354</f>
        <v>0.46</v>
      </c>
      <c r="D11" s="15">
        <f t="shared" si="0"/>
        <v>2.7899999999999814E-2</v>
      </c>
      <c r="E11" s="15">
        <f t="shared" si="1"/>
        <v>0.29160000000000003</v>
      </c>
      <c r="F11" s="15">
        <f t="shared" si="2"/>
        <v>1.3303716857408414</v>
      </c>
      <c r="G11" s="16" t="str">
        <f t="shared" si="3"/>
        <v>charge/import</v>
      </c>
    </row>
    <row r="12" spans="1:7" ht="17.100000000000001" customHeight="1" x14ac:dyDescent="0.25">
      <c r="A12" s="13">
        <f>'4_All_periods'!C355</f>
        <v>150</v>
      </c>
      <c r="B12" s="14">
        <f>'4_All_periods'!D355</f>
        <v>-1.9530000000000001</v>
      </c>
      <c r="C12" s="14">
        <f>'4_All_periods'!E355</f>
        <v>0.36940000000000001</v>
      </c>
      <c r="D12" s="15">
        <f t="shared" si="0"/>
        <v>-6.1100000000000154E-2</v>
      </c>
      <c r="E12" s="15">
        <f t="shared" si="1"/>
        <v>0.20100000000000001</v>
      </c>
      <c r="F12" s="15">
        <f t="shared" si="2"/>
        <v>1.8760476135910089</v>
      </c>
      <c r="G12" s="16" t="str">
        <f t="shared" si="3"/>
        <v>discharge/export</v>
      </c>
    </row>
    <row r="13" spans="1:7" ht="17.100000000000001" customHeight="1" x14ac:dyDescent="0.25">
      <c r="A13" s="13">
        <f>'4_All_periods'!C356</f>
        <v>180</v>
      </c>
      <c r="B13" s="14">
        <f>'4_All_periods'!D356</f>
        <v>-1.9896</v>
      </c>
      <c r="C13" s="14">
        <f>'4_All_periods'!E356</f>
        <v>0.25480000000000003</v>
      </c>
      <c r="D13" s="15">
        <f t="shared" si="0"/>
        <v>-9.770000000000012E-2</v>
      </c>
      <c r="E13" s="15">
        <f t="shared" si="1"/>
        <v>8.6400000000000032E-2</v>
      </c>
      <c r="F13" s="15">
        <f t="shared" si="2"/>
        <v>1.9896</v>
      </c>
      <c r="G13" s="16" t="str">
        <f t="shared" si="3"/>
        <v>discharge/export</v>
      </c>
    </row>
    <row r="14" spans="1:7" ht="17.100000000000001" customHeight="1" x14ac:dyDescent="0.25">
      <c r="A14" s="13">
        <f>'4_All_periods'!C357</f>
        <v>210</v>
      </c>
      <c r="B14" s="14">
        <f>'4_All_periods'!D357</f>
        <v>-1.9571000000000001</v>
      </c>
      <c r="C14" s="14">
        <f>'4_All_periods'!E357</f>
        <v>0.1479</v>
      </c>
      <c r="D14" s="15">
        <f t="shared" si="0"/>
        <v>-6.5200000000000147E-2</v>
      </c>
      <c r="E14" s="15">
        <f t="shared" si="1"/>
        <v>-2.049999999999999E-2</v>
      </c>
      <c r="F14" s="15">
        <f t="shared" si="2"/>
        <v>1.6209483177465249</v>
      </c>
      <c r="G14" s="16" t="str">
        <f t="shared" si="3"/>
        <v>discharge/export</v>
      </c>
    </row>
    <row r="15" spans="1:7" ht="17.100000000000001" customHeight="1" x14ac:dyDescent="0.25">
      <c r="A15" s="13">
        <f>'4_All_periods'!C358</f>
        <v>240</v>
      </c>
      <c r="B15" s="14">
        <f>'4_All_periods'!D358</f>
        <v>-1.7497</v>
      </c>
      <c r="C15" s="14">
        <f>'4_All_periods'!E358</f>
        <v>-6.8099999999999994E-2</v>
      </c>
      <c r="D15" s="15">
        <f t="shared" si="0"/>
        <v>0.14219999999999988</v>
      </c>
      <c r="E15" s="15">
        <f t="shared" si="1"/>
        <v>-0.23649999999999999</v>
      </c>
      <c r="F15" s="15">
        <f t="shared" si="2"/>
        <v>0.93382632999772108</v>
      </c>
      <c r="G15" s="16" t="str">
        <f t="shared" si="3"/>
        <v>charge/import</v>
      </c>
    </row>
    <row r="16" spans="1:7" ht="17.100000000000001" customHeight="1" x14ac:dyDescent="0.25">
      <c r="A16" s="13">
        <f>'4_All_periods'!C359</f>
        <v>270</v>
      </c>
      <c r="B16" s="14">
        <f>'4_All_periods'!D359</f>
        <v>-1.6934</v>
      </c>
      <c r="C16" s="14">
        <f>'4_All_periods'!E359</f>
        <v>-8.48E-2</v>
      </c>
      <c r="D16" s="15">
        <f t="shared" si="0"/>
        <v>0.1984999999999999</v>
      </c>
      <c r="E16" s="15">
        <f t="shared" si="1"/>
        <v>-0.25319999999999998</v>
      </c>
      <c r="F16" s="15">
        <f t="shared" si="2"/>
        <v>8.4800000000000306E-2</v>
      </c>
      <c r="G16" s="16" t="str">
        <f t="shared" si="3"/>
        <v>charge/import</v>
      </c>
    </row>
    <row r="17" spans="1:7" ht="17.100000000000001" customHeight="1" x14ac:dyDescent="0.25">
      <c r="A17" s="13">
        <f>'4_All_periods'!C360</f>
        <v>300</v>
      </c>
      <c r="B17" s="14">
        <f>'4_All_periods'!D360</f>
        <v>-1.6852</v>
      </c>
      <c r="C17" s="14">
        <f>'4_All_periods'!E360</f>
        <v>-8.4199999999999997E-2</v>
      </c>
      <c r="D17" s="15">
        <f t="shared" si="0"/>
        <v>0.20669999999999988</v>
      </c>
      <c r="E17" s="15">
        <f t="shared" si="1"/>
        <v>-0.25259999999999999</v>
      </c>
      <c r="F17" s="15">
        <f t="shared" si="2"/>
        <v>-0.76968066100135046</v>
      </c>
      <c r="G17" s="16" t="str">
        <f t="shared" si="3"/>
        <v>charge/import</v>
      </c>
    </row>
    <row r="18" spans="1:7" ht="17.100000000000001" customHeight="1" x14ac:dyDescent="0.25">
      <c r="A18" s="13">
        <f>'4_All_periods'!C361</f>
        <v>330</v>
      </c>
      <c r="B18" s="14">
        <f>'4_All_periods'!D361</f>
        <v>-1.6852</v>
      </c>
      <c r="C18" s="14">
        <f>'4_All_periods'!E361</f>
        <v>-8.4199999999999997E-2</v>
      </c>
      <c r="D18" s="15">
        <f t="shared" si="0"/>
        <v>0.20669999999999988</v>
      </c>
      <c r="E18" s="15">
        <f t="shared" si="1"/>
        <v>-0.25259999999999999</v>
      </c>
      <c r="F18" s="15">
        <f t="shared" si="2"/>
        <v>-1.4173260104575356</v>
      </c>
      <c r="G18" s="16" t="str">
        <f t="shared" si="3"/>
        <v>charge/import</v>
      </c>
    </row>
    <row r="19" spans="1:7" ht="17.100000000000001" customHeight="1" x14ac:dyDescent="0.25">
      <c r="A19" s="17" t="s">
        <v>76</v>
      </c>
      <c r="B19" s="18">
        <f>B7</f>
        <v>-1.6777</v>
      </c>
      <c r="C19" s="18">
        <f>C7</f>
        <v>0.18379999999999999</v>
      </c>
      <c r="D19" s="18">
        <f>D7</f>
        <v>0.21419999999999995</v>
      </c>
      <c r="E19" s="18">
        <f>E7</f>
        <v>1.5399999999999997E-2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0.31190000000000007</v>
      </c>
    </row>
    <row r="23" spans="1:7" ht="18" customHeight="1" x14ac:dyDescent="0.25">
      <c r="A23" s="45" t="s">
        <v>79</v>
      </c>
      <c r="B23" s="46"/>
      <c r="C23" s="20">
        <f>MAX(0,MAX(D7:D18))</f>
        <v>0.21419999999999995</v>
      </c>
    </row>
    <row r="24" spans="1:7" ht="18" customHeight="1" x14ac:dyDescent="0.25">
      <c r="A24" s="45" t="s">
        <v>80</v>
      </c>
      <c r="B24" s="46"/>
      <c r="C24" s="20">
        <f>MAX(0,-MIN(D7:D18))</f>
        <v>9.770000000000012E-2</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"&amp;TEXT('4_All_periods'!H350,"0.00000")&amp;" pu"&amp;IF('4_All_periods'!H350&gt;=1.0999," → over-voltage limit is active"," → clear of the limit, so the battery bounds it"),"blocked at 180°: Vmax there = "&amp;TEXT('4_All_periods'!H356,"0.00000")&amp;" pu"&amp;IF('4_All_periods'!H356&gt;=1.0999,"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37" priority="1">
      <formula>ISNUMBER(SEARCH("charge",$G7))</formula>
    </cfRule>
    <cfRule type="expression" dxfId="36"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170</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'4_All_periods'!I362</f>
        <v>-1.7230000000000001</v>
      </c>
      <c r="C4" s="10" t="s">
        <v>69</v>
      </c>
      <c r="D4" s="11">
        <f>'4_All_periods'!J362</f>
        <v>0.1648</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'4_All_periods'!C362</f>
        <v>0</v>
      </c>
      <c r="B7" s="14">
        <f>'4_All_periods'!D362</f>
        <v>-1.4843999999999999</v>
      </c>
      <c r="C7" s="14">
        <f>'4_All_periods'!E362</f>
        <v>0.18079999999999999</v>
      </c>
      <c r="D7" s="15">
        <f t="shared" ref="D7:D18" si="0">B7-$B$4</f>
        <v>0.23860000000000015</v>
      </c>
      <c r="E7" s="15">
        <f t="shared" ref="E7:E18" si="1">C7-$D$4</f>
        <v>1.5999999999999986E-2</v>
      </c>
      <c r="F7" s="15">
        <f t="shared" ref="F7:F18" si="2">B7*COS(RADIANS(A7))+C7*SIN(RADIANS(A7))</f>
        <v>-1.4843999999999999</v>
      </c>
      <c r="G7" s="16" t="str">
        <f t="shared" ref="G7:G18" si="3">IF(D7&gt;0,"charge/import","discharge/export")</f>
        <v>charge/import</v>
      </c>
    </row>
    <row r="8" spans="1:7" ht="17.100000000000001" customHeight="1" x14ac:dyDescent="0.25">
      <c r="A8" s="13">
        <f>'4_All_periods'!C363</f>
        <v>30</v>
      </c>
      <c r="B8" s="14">
        <f>'4_All_periods'!D363</f>
        <v>-1.4959</v>
      </c>
      <c r="C8" s="14">
        <f>'4_All_periods'!E363</f>
        <v>0.48139999999999999</v>
      </c>
      <c r="D8" s="15">
        <f t="shared" si="0"/>
        <v>0.22710000000000008</v>
      </c>
      <c r="E8" s="15">
        <f t="shared" si="1"/>
        <v>0.31659999999999999</v>
      </c>
      <c r="F8" s="15">
        <f t="shared" si="2"/>
        <v>-1.054787401521142</v>
      </c>
      <c r="G8" s="16" t="str">
        <f t="shared" si="3"/>
        <v>charge/import</v>
      </c>
    </row>
    <row r="9" spans="1:7" ht="17.100000000000001" customHeight="1" x14ac:dyDescent="0.25">
      <c r="A9" s="13">
        <f>'4_All_periods'!C364</f>
        <v>60</v>
      </c>
      <c r="B9" s="14">
        <f>'4_All_periods'!D364</f>
        <v>-1.4963</v>
      </c>
      <c r="C9" s="14">
        <f>'4_All_periods'!E364</f>
        <v>0.48170000000000002</v>
      </c>
      <c r="D9" s="15">
        <f t="shared" si="0"/>
        <v>0.22670000000000012</v>
      </c>
      <c r="E9" s="15">
        <f t="shared" si="1"/>
        <v>0.31690000000000002</v>
      </c>
      <c r="F9" s="15">
        <f t="shared" si="2"/>
        <v>-0.33098556299703602</v>
      </c>
      <c r="G9" s="16" t="str">
        <f t="shared" si="3"/>
        <v>charge/import</v>
      </c>
    </row>
    <row r="10" spans="1:7" ht="17.100000000000001" customHeight="1" x14ac:dyDescent="0.25">
      <c r="A10" s="13">
        <f>'4_All_periods'!C365</f>
        <v>90</v>
      </c>
      <c r="B10" s="14">
        <f>'4_All_periods'!D365</f>
        <v>-1.5354000000000001</v>
      </c>
      <c r="C10" s="14">
        <f>'4_All_periods'!E365</f>
        <v>0.48480000000000001</v>
      </c>
      <c r="D10" s="15">
        <f t="shared" si="0"/>
        <v>0.18759999999999999</v>
      </c>
      <c r="E10" s="15">
        <f t="shared" si="1"/>
        <v>0.32</v>
      </c>
      <c r="F10" s="15">
        <f t="shared" si="2"/>
        <v>0.4847999999999999</v>
      </c>
      <c r="G10" s="16" t="str">
        <f t="shared" si="3"/>
        <v>charge/import</v>
      </c>
    </row>
    <row r="11" spans="1:7" ht="17.100000000000001" customHeight="1" x14ac:dyDescent="0.25">
      <c r="A11" s="13">
        <f>'4_All_periods'!C366</f>
        <v>120</v>
      </c>
      <c r="B11" s="14">
        <f>'4_All_periods'!D366</f>
        <v>-1.6803999999999999</v>
      </c>
      <c r="C11" s="14">
        <f>'4_All_periods'!E366</f>
        <v>0.44800000000000001</v>
      </c>
      <c r="D11" s="15">
        <f t="shared" si="0"/>
        <v>4.2600000000000193E-2</v>
      </c>
      <c r="E11" s="15">
        <f t="shared" si="1"/>
        <v>0.28320000000000001</v>
      </c>
      <c r="F11" s="15">
        <f t="shared" si="2"/>
        <v>1.2281793808954282</v>
      </c>
      <c r="G11" s="16" t="str">
        <f t="shared" si="3"/>
        <v>charge/import</v>
      </c>
    </row>
    <row r="12" spans="1:7" ht="17.100000000000001" customHeight="1" x14ac:dyDescent="0.25">
      <c r="A12" s="13">
        <f>'4_All_periods'!C367</f>
        <v>150</v>
      </c>
      <c r="B12" s="14">
        <f>'4_All_periods'!D367</f>
        <v>-1.7649999999999999</v>
      </c>
      <c r="C12" s="14">
        <f>'4_All_periods'!E367</f>
        <v>0.36120000000000002</v>
      </c>
      <c r="D12" s="15">
        <f t="shared" si="0"/>
        <v>-4.1999999999999815E-2</v>
      </c>
      <c r="E12" s="15">
        <f t="shared" si="1"/>
        <v>0.19640000000000002</v>
      </c>
      <c r="F12" s="15">
        <f t="shared" si="2"/>
        <v>1.7091348376795343</v>
      </c>
      <c r="G12" s="16" t="str">
        <f t="shared" si="3"/>
        <v>discharge/export</v>
      </c>
    </row>
    <row r="13" spans="1:7" ht="17.100000000000001" customHeight="1" x14ac:dyDescent="0.25">
      <c r="A13" s="13">
        <f>'4_All_periods'!C368</f>
        <v>180</v>
      </c>
      <c r="B13" s="14">
        <f>'4_All_periods'!D368</f>
        <v>-1.8030999999999999</v>
      </c>
      <c r="C13" s="14">
        <f>'4_All_periods'!E368</f>
        <v>0.24160000000000001</v>
      </c>
      <c r="D13" s="15">
        <f t="shared" si="0"/>
        <v>-8.0099999999999838E-2</v>
      </c>
      <c r="E13" s="15">
        <f t="shared" si="1"/>
        <v>7.6800000000000007E-2</v>
      </c>
      <c r="F13" s="15">
        <f t="shared" si="2"/>
        <v>1.8030999999999999</v>
      </c>
      <c r="G13" s="16" t="str">
        <f t="shared" si="3"/>
        <v>discharge/export</v>
      </c>
    </row>
    <row r="14" spans="1:7" ht="17.100000000000001" customHeight="1" x14ac:dyDescent="0.25">
      <c r="A14" s="13">
        <f>'4_All_periods'!C369</f>
        <v>210</v>
      </c>
      <c r="B14" s="14">
        <f>'4_All_periods'!D369</f>
        <v>-1.7685</v>
      </c>
      <c r="C14" s="14">
        <f>'4_All_periods'!E369</f>
        <v>0.1351</v>
      </c>
      <c r="D14" s="15">
        <f t="shared" si="0"/>
        <v>-4.5499999999999874E-2</v>
      </c>
      <c r="E14" s="15">
        <f t="shared" si="1"/>
        <v>-2.9700000000000004E-2</v>
      </c>
      <c r="F14" s="15">
        <f t="shared" si="2"/>
        <v>1.4640159265927797</v>
      </c>
      <c r="G14" s="16" t="str">
        <f t="shared" si="3"/>
        <v>discharge/export</v>
      </c>
    </row>
    <row r="15" spans="1:7" ht="17.100000000000001" customHeight="1" x14ac:dyDescent="0.25">
      <c r="A15" s="13">
        <f>'4_All_periods'!C370</f>
        <v>240</v>
      </c>
      <c r="B15" s="14">
        <f>'4_All_periods'!D370</f>
        <v>-1.5546</v>
      </c>
      <c r="C15" s="14">
        <f>'4_All_periods'!E370</f>
        <v>-8.7800000000000003E-2</v>
      </c>
      <c r="D15" s="15">
        <f t="shared" si="0"/>
        <v>0.16840000000000011</v>
      </c>
      <c r="E15" s="15">
        <f t="shared" si="1"/>
        <v>-0.25259999999999999</v>
      </c>
      <c r="F15" s="15">
        <f t="shared" si="2"/>
        <v>0.85333703045227438</v>
      </c>
      <c r="G15" s="16" t="str">
        <f t="shared" si="3"/>
        <v>charge/import</v>
      </c>
    </row>
    <row r="16" spans="1:7" ht="17.100000000000001" customHeight="1" x14ac:dyDescent="0.25">
      <c r="A16" s="13">
        <f>'4_All_periods'!C371</f>
        <v>270</v>
      </c>
      <c r="B16" s="14">
        <f>'4_All_periods'!D371</f>
        <v>-1.5024999999999999</v>
      </c>
      <c r="C16" s="14">
        <f>'4_All_periods'!E371</f>
        <v>-0.1055</v>
      </c>
      <c r="D16" s="15">
        <f t="shared" si="0"/>
        <v>0.22050000000000014</v>
      </c>
      <c r="E16" s="15">
        <f t="shared" si="1"/>
        <v>-0.27029999999999998</v>
      </c>
      <c r="F16" s="15">
        <f t="shared" si="2"/>
        <v>0.10550000000000027</v>
      </c>
      <c r="G16" s="16" t="str">
        <f t="shared" si="3"/>
        <v>charge/import</v>
      </c>
    </row>
    <row r="17" spans="1:7" ht="17.100000000000001" customHeight="1" x14ac:dyDescent="0.25">
      <c r="A17" s="13">
        <f>'4_All_periods'!C372</f>
        <v>300</v>
      </c>
      <c r="B17" s="14">
        <f>'4_All_periods'!D372</f>
        <v>-1.4915</v>
      </c>
      <c r="C17" s="14">
        <f>'4_All_periods'!E372</f>
        <v>-0.1046</v>
      </c>
      <c r="D17" s="15">
        <f t="shared" si="0"/>
        <v>0.23150000000000004</v>
      </c>
      <c r="E17" s="15">
        <f t="shared" si="1"/>
        <v>-0.26939999999999997</v>
      </c>
      <c r="F17" s="15">
        <f t="shared" si="2"/>
        <v>-0.65516374276414791</v>
      </c>
      <c r="G17" s="16" t="str">
        <f t="shared" si="3"/>
        <v>charge/import</v>
      </c>
    </row>
    <row r="18" spans="1:7" ht="17.100000000000001" customHeight="1" x14ac:dyDescent="0.25">
      <c r="A18" s="13">
        <f>'4_All_periods'!C373</f>
        <v>330</v>
      </c>
      <c r="B18" s="14">
        <f>'4_All_periods'!D373</f>
        <v>-1.4915</v>
      </c>
      <c r="C18" s="14">
        <f>'4_All_periods'!E373</f>
        <v>-0.1046</v>
      </c>
      <c r="D18" s="15">
        <f t="shared" si="0"/>
        <v>0.23150000000000004</v>
      </c>
      <c r="E18" s="15">
        <f t="shared" si="1"/>
        <v>-0.26939999999999997</v>
      </c>
      <c r="F18" s="15">
        <f t="shared" si="2"/>
        <v>-1.2393768897444899</v>
      </c>
      <c r="G18" s="16" t="str">
        <f t="shared" si="3"/>
        <v>charge/import</v>
      </c>
    </row>
    <row r="19" spans="1:7" ht="17.100000000000001" customHeight="1" x14ac:dyDescent="0.25">
      <c r="A19" s="17" t="s">
        <v>76</v>
      </c>
      <c r="B19" s="18">
        <f>B7</f>
        <v>-1.4843999999999999</v>
      </c>
      <c r="C19" s="18">
        <f>C7</f>
        <v>0.18079999999999999</v>
      </c>
      <c r="D19" s="18">
        <f>D7</f>
        <v>0.23860000000000015</v>
      </c>
      <c r="E19" s="18">
        <f>E7</f>
        <v>1.5999999999999986E-2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0.31869999999999998</v>
      </c>
    </row>
    <row r="23" spans="1:7" ht="18" customHeight="1" x14ac:dyDescent="0.25">
      <c r="A23" s="45" t="s">
        <v>79</v>
      </c>
      <c r="B23" s="46"/>
      <c r="C23" s="20">
        <f>MAX(0,MAX(D7:D18))</f>
        <v>0.23860000000000015</v>
      </c>
    </row>
    <row r="24" spans="1:7" ht="18" customHeight="1" x14ac:dyDescent="0.25">
      <c r="A24" s="45" t="s">
        <v>80</v>
      </c>
      <c r="B24" s="46"/>
      <c r="C24" s="20">
        <f>MAX(0,-MIN(D7:D18))</f>
        <v>8.0099999999999838E-2</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"&amp;TEXT('4_All_periods'!H362,"0.00000")&amp;" pu"&amp;IF('4_All_periods'!H362&gt;=1.0999," → over-voltage limit is active"," → clear of the limit, so the battery bounds it"),"blocked at 180°: Vmax there = "&amp;TEXT('4_All_periods'!H368,"0.00000")&amp;" pu"&amp;IF('4_All_periods'!H368&gt;=1.0999,"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35" priority="1">
      <formula>ISNUMBER(SEARCH("charge",$G7))</formula>
    </cfRule>
    <cfRule type="expression" dxfId="34"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171</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'4_All_periods'!I374</f>
        <v>-1.5298</v>
      </c>
      <c r="C4" s="10" t="s">
        <v>69</v>
      </c>
      <c r="D4" s="11">
        <f>'4_All_periods'!J374</f>
        <v>0.15709999999999999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'4_All_periods'!C374</f>
        <v>0</v>
      </c>
      <c r="B7" s="14">
        <f>'4_All_periods'!D374</f>
        <v>-1.1769000000000001</v>
      </c>
      <c r="C7" s="14">
        <f>'4_All_periods'!E374</f>
        <v>0.1653</v>
      </c>
      <c r="D7" s="15">
        <f t="shared" ref="D7:D18" si="0">B7-$B$4</f>
        <v>0.35289999999999999</v>
      </c>
      <c r="E7" s="15">
        <f t="shared" ref="E7:E18" si="1">C7-$D$4</f>
        <v>8.2000000000000128E-3</v>
      </c>
      <c r="F7" s="15">
        <f t="shared" ref="F7:F18" si="2">B7*COS(RADIANS(A7))+C7*SIN(RADIANS(A7))</f>
        <v>-1.1769000000000001</v>
      </c>
      <c r="G7" s="16" t="str">
        <f t="shared" ref="G7:G18" si="3">IF(D7&gt;0,"charge/import","discharge/export")</f>
        <v>charge/import</v>
      </c>
    </row>
    <row r="8" spans="1:7" ht="17.100000000000001" customHeight="1" x14ac:dyDescent="0.25">
      <c r="A8" s="13">
        <f>'4_All_periods'!C375</f>
        <v>30</v>
      </c>
      <c r="B8" s="14">
        <f>'4_All_periods'!D375</f>
        <v>-1.1865000000000001</v>
      </c>
      <c r="C8" s="14">
        <f>'4_All_periods'!E375</f>
        <v>0.48880000000000001</v>
      </c>
      <c r="D8" s="15">
        <f t="shared" si="0"/>
        <v>0.34329999999999994</v>
      </c>
      <c r="E8" s="15">
        <f t="shared" si="1"/>
        <v>0.33169999999999999</v>
      </c>
      <c r="F8" s="15">
        <f t="shared" si="2"/>
        <v>-0.78313914159023668</v>
      </c>
      <c r="G8" s="16" t="str">
        <f t="shared" si="3"/>
        <v>charge/import</v>
      </c>
    </row>
    <row r="9" spans="1:7" ht="17.100000000000001" customHeight="1" x14ac:dyDescent="0.25">
      <c r="A9" s="13">
        <f>'4_All_periods'!C376</f>
        <v>60</v>
      </c>
      <c r="B9" s="14">
        <f>'4_All_periods'!D376</f>
        <v>-1.1879</v>
      </c>
      <c r="C9" s="14">
        <f>'4_All_periods'!E376</f>
        <v>0.49020000000000002</v>
      </c>
      <c r="D9" s="15">
        <f t="shared" si="0"/>
        <v>0.34190000000000009</v>
      </c>
      <c r="E9" s="15">
        <f t="shared" si="1"/>
        <v>0.33310000000000006</v>
      </c>
      <c r="F9" s="15">
        <f t="shared" si="2"/>
        <v>-0.16942434706486825</v>
      </c>
      <c r="G9" s="16" t="str">
        <f t="shared" si="3"/>
        <v>charge/import</v>
      </c>
    </row>
    <row r="10" spans="1:7" ht="17.100000000000001" customHeight="1" x14ac:dyDescent="0.25">
      <c r="A10" s="13">
        <f>'4_All_periods'!C377</f>
        <v>90</v>
      </c>
      <c r="B10" s="14">
        <f>'4_All_periods'!D377</f>
        <v>-1.2237</v>
      </c>
      <c r="C10" s="14">
        <f>'4_All_periods'!E377</f>
        <v>0.49259999999999998</v>
      </c>
      <c r="D10" s="15">
        <f t="shared" si="0"/>
        <v>0.30610000000000004</v>
      </c>
      <c r="E10" s="15">
        <f t="shared" si="1"/>
        <v>0.33550000000000002</v>
      </c>
      <c r="F10" s="15">
        <f t="shared" si="2"/>
        <v>0.49259999999999993</v>
      </c>
      <c r="G10" s="16" t="str">
        <f t="shared" si="3"/>
        <v>charge/import</v>
      </c>
    </row>
    <row r="11" spans="1:7" ht="17.100000000000001" customHeight="1" x14ac:dyDescent="0.25">
      <c r="A11" s="13">
        <f>'4_All_periods'!C378</f>
        <v>120</v>
      </c>
      <c r="B11" s="14">
        <f>'4_All_periods'!D378</f>
        <v>-1.3791</v>
      </c>
      <c r="C11" s="14">
        <f>'4_All_periods'!E378</f>
        <v>0.45090000000000002</v>
      </c>
      <c r="D11" s="15">
        <f t="shared" si="0"/>
        <v>0.15070000000000006</v>
      </c>
      <c r="E11" s="15">
        <f t="shared" si="1"/>
        <v>0.29380000000000006</v>
      </c>
      <c r="F11" s="15">
        <f t="shared" si="2"/>
        <v>1.0800408545664031</v>
      </c>
      <c r="G11" s="16" t="str">
        <f t="shared" si="3"/>
        <v>charge/import</v>
      </c>
    </row>
    <row r="12" spans="1:7" ht="17.100000000000001" customHeight="1" x14ac:dyDescent="0.25">
      <c r="A12" s="13">
        <f>'4_All_periods'!C379</f>
        <v>150</v>
      </c>
      <c r="B12" s="14">
        <f>'4_All_periods'!D379</f>
        <v>-1.4749000000000001</v>
      </c>
      <c r="C12" s="14">
        <f>'4_All_periods'!E379</f>
        <v>0.35639999999999999</v>
      </c>
      <c r="D12" s="15">
        <f t="shared" si="0"/>
        <v>5.4899999999999949E-2</v>
      </c>
      <c r="E12" s="15">
        <f t="shared" si="1"/>
        <v>0.1993</v>
      </c>
      <c r="F12" s="15">
        <f t="shared" si="2"/>
        <v>1.4555008680416686</v>
      </c>
      <c r="G12" s="16" t="str">
        <f t="shared" si="3"/>
        <v>charge/import</v>
      </c>
    </row>
    <row r="13" spans="1:7" ht="17.100000000000001" customHeight="1" x14ac:dyDescent="0.25">
      <c r="A13" s="13">
        <f>'4_All_periods'!C380</f>
        <v>180</v>
      </c>
      <c r="B13" s="14">
        <f>'4_All_periods'!D380</f>
        <v>-1.5085</v>
      </c>
      <c r="C13" s="14">
        <f>'4_All_periods'!E380</f>
        <v>0.25180000000000002</v>
      </c>
      <c r="D13" s="15">
        <f t="shared" si="0"/>
        <v>2.1300000000000097E-2</v>
      </c>
      <c r="E13" s="15">
        <f t="shared" si="1"/>
        <v>9.4700000000000034E-2</v>
      </c>
      <c r="F13" s="15">
        <f t="shared" si="2"/>
        <v>1.5085</v>
      </c>
      <c r="G13" s="16" t="str">
        <f t="shared" si="3"/>
        <v>charge/import</v>
      </c>
    </row>
    <row r="14" spans="1:7" ht="17.100000000000001" customHeight="1" x14ac:dyDescent="0.25">
      <c r="A14" s="13">
        <f>'4_All_periods'!C381</f>
        <v>210</v>
      </c>
      <c r="B14" s="14">
        <f>'4_All_periods'!D381</f>
        <v>-1.4708000000000001</v>
      </c>
      <c r="C14" s="14">
        <f>'4_All_periods'!E381</f>
        <v>0.12570000000000001</v>
      </c>
      <c r="D14" s="15">
        <f t="shared" si="0"/>
        <v>5.8999999999999941E-2</v>
      </c>
      <c r="E14" s="15">
        <f t="shared" si="1"/>
        <v>-3.1399999999999983E-2</v>
      </c>
      <c r="F14" s="15">
        <f t="shared" si="2"/>
        <v>1.2109001638861523</v>
      </c>
      <c r="G14" s="16" t="str">
        <f t="shared" si="3"/>
        <v>charge/import</v>
      </c>
    </row>
    <row r="15" spans="1:7" ht="17.100000000000001" customHeight="1" x14ac:dyDescent="0.25">
      <c r="A15" s="13">
        <f>'4_All_periods'!C382</f>
        <v>240</v>
      </c>
      <c r="B15" s="14">
        <f>'4_All_periods'!D382</f>
        <v>-1.258</v>
      </c>
      <c r="C15" s="14">
        <f>'4_All_periods'!E382</f>
        <v>-9.7600000000000006E-2</v>
      </c>
      <c r="D15" s="15">
        <f t="shared" si="0"/>
        <v>0.27180000000000004</v>
      </c>
      <c r="E15" s="15">
        <f t="shared" si="1"/>
        <v>-0.25469999999999998</v>
      </c>
      <c r="F15" s="15">
        <f t="shared" si="2"/>
        <v>0.7135240794093618</v>
      </c>
      <c r="G15" s="16" t="str">
        <f t="shared" si="3"/>
        <v>charge/import</v>
      </c>
    </row>
    <row r="16" spans="1:7" ht="17.100000000000001" customHeight="1" x14ac:dyDescent="0.25">
      <c r="A16" s="13">
        <f>'4_All_periods'!C383</f>
        <v>270</v>
      </c>
      <c r="B16" s="14">
        <f>'4_All_periods'!D383</f>
        <v>-1.1984999999999999</v>
      </c>
      <c r="C16" s="14">
        <f>'4_All_periods'!E383</f>
        <v>-0.1173</v>
      </c>
      <c r="D16" s="15">
        <f t="shared" si="0"/>
        <v>0.33130000000000015</v>
      </c>
      <c r="E16" s="15">
        <f t="shared" si="1"/>
        <v>-0.27439999999999998</v>
      </c>
      <c r="F16" s="15">
        <f t="shared" si="2"/>
        <v>0.11730000000000022</v>
      </c>
      <c r="G16" s="16" t="str">
        <f t="shared" si="3"/>
        <v>charge/import</v>
      </c>
    </row>
    <row r="17" spans="1:7" ht="17.100000000000001" customHeight="1" x14ac:dyDescent="0.25">
      <c r="A17" s="13">
        <f>'4_All_periods'!C384</f>
        <v>300</v>
      </c>
      <c r="B17" s="14">
        <f>'4_All_periods'!D384</f>
        <v>-1.1847000000000001</v>
      </c>
      <c r="C17" s="14">
        <f>'4_All_periods'!E384</f>
        <v>-0.1157</v>
      </c>
      <c r="D17" s="15">
        <f t="shared" si="0"/>
        <v>0.34509999999999996</v>
      </c>
      <c r="E17" s="15">
        <f t="shared" si="1"/>
        <v>-0.27279999999999999</v>
      </c>
      <c r="F17" s="15">
        <f t="shared" si="2"/>
        <v>-0.4921508607821406</v>
      </c>
      <c r="G17" s="16" t="str">
        <f t="shared" si="3"/>
        <v>charge/import</v>
      </c>
    </row>
    <row r="18" spans="1:7" ht="17.100000000000001" customHeight="1" x14ac:dyDescent="0.25">
      <c r="A18" s="13">
        <f>'4_All_periods'!C385</f>
        <v>330</v>
      </c>
      <c r="B18" s="14">
        <f>'4_All_periods'!D385</f>
        <v>-1.1839</v>
      </c>
      <c r="C18" s="14">
        <f>'4_All_periods'!E385</f>
        <v>-0.1149</v>
      </c>
      <c r="D18" s="15">
        <f t="shared" si="0"/>
        <v>0.3459000000000001</v>
      </c>
      <c r="E18" s="15">
        <f t="shared" si="1"/>
        <v>-0.27200000000000002</v>
      </c>
      <c r="F18" s="15">
        <f t="shared" si="2"/>
        <v>-0.96783747554039645</v>
      </c>
      <c r="G18" s="16" t="str">
        <f t="shared" si="3"/>
        <v>charge/import</v>
      </c>
    </row>
    <row r="19" spans="1:7" ht="17.100000000000001" customHeight="1" x14ac:dyDescent="0.25">
      <c r="A19" s="17" t="s">
        <v>76</v>
      </c>
      <c r="B19" s="18">
        <f>B7</f>
        <v>-1.1769000000000001</v>
      </c>
      <c r="C19" s="18">
        <f>C7</f>
        <v>0.1653</v>
      </c>
      <c r="D19" s="18">
        <f>D7</f>
        <v>0.35289999999999999</v>
      </c>
      <c r="E19" s="18">
        <f>E7</f>
        <v>8.2000000000000128E-3</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0.33159999999999989</v>
      </c>
    </row>
    <row r="23" spans="1:7" ht="18" customHeight="1" x14ac:dyDescent="0.25">
      <c r="A23" s="45" t="s">
        <v>79</v>
      </c>
      <c r="B23" s="46"/>
      <c r="C23" s="20">
        <f>MAX(0,MAX(D7:D18))</f>
        <v>0.35289999999999999</v>
      </c>
    </row>
    <row r="24" spans="1:7" ht="18" customHeight="1" x14ac:dyDescent="0.25">
      <c r="A24" s="45" t="s">
        <v>80</v>
      </c>
      <c r="B24" s="46"/>
      <c r="C24" s="20">
        <f>MAX(0,-MIN(D7:D18))</f>
        <v>0</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one-sided → charge/import only (no export headroom)</v>
      </c>
      <c r="D25" s="55"/>
      <c r="E25" s="55"/>
      <c r="F25" s="55"/>
      <c r="G25" s="56"/>
    </row>
    <row r="26" spans="1:7" ht="18" customHeight="1" x14ac:dyDescent="0.25">
      <c r="A26" s="51" t="s">
        <v>191</v>
      </c>
      <c r="B26" s="52"/>
      <c r="C26" s="53" t="str">
        <f>IF(AND(C23&gt;0.02,C24&gt;0.02),"both directions have headroom",IF(C23&lt;=0.02,"blocked at 0°: Vmax there = "&amp;TEXT('4_All_periods'!H374,"0.00000")&amp;" pu"&amp;IF('4_All_periods'!H374&gt;=1.0999," → over-voltage limit is active"," → clear of the limit, so the battery bounds it"),"blocked at 180°: Vmax there = "&amp;TEXT('4_All_periods'!H380,"0.00000")&amp;" pu"&amp;IF('4_All_periods'!H380&gt;=1.0999," → over-voltage limit is active"," → clear of the limit, so the battery bounds it")))</f>
        <v>blocked at 180°: Vmax there = 1.10000 pu → over-voltage limit is active</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33" priority="1">
      <formula>ISNUMBER(SEARCH("charge",$G7))</formula>
    </cfRule>
    <cfRule type="expression" dxfId="32"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172</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'4_All_periods'!I386</f>
        <v>-1.2201</v>
      </c>
      <c r="C4" s="10" t="s">
        <v>69</v>
      </c>
      <c r="D4" s="11">
        <f>'4_All_periods'!J386</f>
        <v>0.16589999999999999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'4_All_periods'!C386</f>
        <v>0</v>
      </c>
      <c r="B7" s="14">
        <f>'4_All_periods'!D386</f>
        <v>-0.82469999999999999</v>
      </c>
      <c r="C7" s="14">
        <f>'4_All_periods'!E386</f>
        <v>0.1535</v>
      </c>
      <c r="D7" s="15">
        <f t="shared" ref="D7:D18" si="0">B7-$B$4</f>
        <v>0.39539999999999997</v>
      </c>
      <c r="E7" s="15">
        <f t="shared" ref="E7:E18" si="1">C7-$D$4</f>
        <v>-1.2399999999999994E-2</v>
      </c>
      <c r="F7" s="15">
        <f t="shared" ref="F7:F18" si="2">B7*COS(RADIANS(A7))+C7*SIN(RADIANS(A7))</f>
        <v>-0.82469999999999999</v>
      </c>
      <c r="G7" s="16" t="str">
        <f t="shared" ref="G7:G18" si="3">IF(D7&gt;0,"charge/import","discharge/export")</f>
        <v>charge/import</v>
      </c>
    </row>
    <row r="8" spans="1:7" ht="17.100000000000001" customHeight="1" x14ac:dyDescent="0.25">
      <c r="A8" s="13">
        <f>'4_All_periods'!C387</f>
        <v>30</v>
      </c>
      <c r="B8" s="14">
        <f>'4_All_periods'!D387</f>
        <v>-0.83150000000000002</v>
      </c>
      <c r="C8" s="14">
        <f>'4_All_periods'!E387</f>
        <v>0.49659999999999999</v>
      </c>
      <c r="D8" s="15">
        <f t="shared" si="0"/>
        <v>0.38859999999999995</v>
      </c>
      <c r="E8" s="15">
        <f t="shared" si="1"/>
        <v>0.33069999999999999</v>
      </c>
      <c r="F8" s="15">
        <f t="shared" si="2"/>
        <v>-0.47180012324676079</v>
      </c>
      <c r="G8" s="16" t="str">
        <f t="shared" si="3"/>
        <v>charge/import</v>
      </c>
    </row>
    <row r="9" spans="1:7" ht="17.100000000000001" customHeight="1" x14ac:dyDescent="0.25">
      <c r="A9" s="13">
        <f>'4_All_periods'!C388</f>
        <v>60</v>
      </c>
      <c r="B9" s="14">
        <f>'4_All_periods'!D388</f>
        <v>-0.83209999999999995</v>
      </c>
      <c r="C9" s="14">
        <f>'4_All_periods'!E388</f>
        <v>0.497</v>
      </c>
      <c r="D9" s="15">
        <f t="shared" si="0"/>
        <v>0.38800000000000001</v>
      </c>
      <c r="E9" s="15">
        <f t="shared" si="1"/>
        <v>0.33110000000000001</v>
      </c>
      <c r="F9" s="15">
        <f t="shared" si="2"/>
        <v>1.4364625680865883E-2</v>
      </c>
      <c r="G9" s="16" t="str">
        <f t="shared" si="3"/>
        <v>charge/import</v>
      </c>
    </row>
    <row r="10" spans="1:7" ht="17.100000000000001" customHeight="1" x14ac:dyDescent="0.25">
      <c r="A10" s="13">
        <f>'4_All_periods'!C389</f>
        <v>90</v>
      </c>
      <c r="B10" s="14">
        <f>'4_All_periods'!D389</f>
        <v>-0.86739999999999995</v>
      </c>
      <c r="C10" s="14">
        <f>'4_All_periods'!E389</f>
        <v>0.49940000000000001</v>
      </c>
      <c r="D10" s="15">
        <f t="shared" si="0"/>
        <v>0.35270000000000001</v>
      </c>
      <c r="E10" s="15">
        <f t="shared" si="1"/>
        <v>0.33350000000000002</v>
      </c>
      <c r="F10" s="15">
        <f t="shared" si="2"/>
        <v>0.49939999999999996</v>
      </c>
      <c r="G10" s="16" t="str">
        <f t="shared" si="3"/>
        <v>charge/import</v>
      </c>
    </row>
    <row r="11" spans="1:7" ht="17.100000000000001" customHeight="1" x14ac:dyDescent="0.25">
      <c r="A11" s="13">
        <f>'4_All_periods'!C390</f>
        <v>120</v>
      </c>
      <c r="B11" s="14">
        <f>'4_All_periods'!D390</f>
        <v>-1.0249999999999999</v>
      </c>
      <c r="C11" s="14">
        <f>'4_All_periods'!E390</f>
        <v>0.45710000000000001</v>
      </c>
      <c r="D11" s="15">
        <f t="shared" si="0"/>
        <v>0.19510000000000005</v>
      </c>
      <c r="E11" s="15">
        <f t="shared" si="1"/>
        <v>0.29120000000000001</v>
      </c>
      <c r="F11" s="15">
        <f t="shared" si="2"/>
        <v>0.90836021206986661</v>
      </c>
      <c r="G11" s="16" t="str">
        <f t="shared" si="3"/>
        <v>charge/import</v>
      </c>
    </row>
    <row r="12" spans="1:7" ht="17.100000000000001" customHeight="1" x14ac:dyDescent="0.25">
      <c r="A12" s="13">
        <f>'4_All_periods'!C391</f>
        <v>150</v>
      </c>
      <c r="B12" s="14">
        <f>'4_All_periods'!D391</f>
        <v>-1.1364000000000001</v>
      </c>
      <c r="C12" s="14">
        <f>'4_All_periods'!E391</f>
        <v>0.34870000000000001</v>
      </c>
      <c r="D12" s="15">
        <f t="shared" si="0"/>
        <v>8.3699999999999886E-2</v>
      </c>
      <c r="E12" s="15">
        <f t="shared" si="1"/>
        <v>0.18280000000000002</v>
      </c>
      <c r="F12" s="15">
        <f t="shared" si="2"/>
        <v>1.1585012688606362</v>
      </c>
      <c r="G12" s="16" t="str">
        <f t="shared" si="3"/>
        <v>charge/import</v>
      </c>
    </row>
    <row r="13" spans="1:7" ht="17.100000000000001" customHeight="1" x14ac:dyDescent="0.25">
      <c r="A13" s="13">
        <f>'4_All_periods'!C392</f>
        <v>180</v>
      </c>
      <c r="B13" s="14">
        <f>'4_All_periods'!D392</f>
        <v>-1.1669</v>
      </c>
      <c r="C13" s="14">
        <f>'4_All_periods'!E392</f>
        <v>0.248</v>
      </c>
      <c r="D13" s="15">
        <f t="shared" si="0"/>
        <v>5.3199999999999914E-2</v>
      </c>
      <c r="E13" s="15">
        <f t="shared" si="1"/>
        <v>8.2100000000000006E-2</v>
      </c>
      <c r="F13" s="15">
        <f t="shared" si="2"/>
        <v>1.1669</v>
      </c>
      <c r="G13" s="16" t="str">
        <f t="shared" si="3"/>
        <v>charge/import</v>
      </c>
    </row>
    <row r="14" spans="1:7" ht="17.100000000000001" customHeight="1" x14ac:dyDescent="0.25">
      <c r="A14" s="13">
        <f>'4_All_periods'!C393</f>
        <v>210</v>
      </c>
      <c r="B14" s="14">
        <f>'4_All_periods'!D393</f>
        <v>-1.1232</v>
      </c>
      <c r="C14" s="14">
        <f>'4_All_periods'!E393</f>
        <v>0.1016</v>
      </c>
      <c r="D14" s="15">
        <f t="shared" si="0"/>
        <v>9.6899999999999986E-2</v>
      </c>
      <c r="E14" s="15">
        <f t="shared" si="1"/>
        <v>-6.4299999999999996E-2</v>
      </c>
      <c r="F14" s="15">
        <f t="shared" si="2"/>
        <v>0.92191973353068146</v>
      </c>
      <c r="G14" s="16" t="str">
        <f t="shared" si="3"/>
        <v>charge/import</v>
      </c>
    </row>
    <row r="15" spans="1:7" ht="17.100000000000001" customHeight="1" x14ac:dyDescent="0.25">
      <c r="A15" s="13">
        <f>'4_All_periods'!C394</f>
        <v>240</v>
      </c>
      <c r="B15" s="14">
        <f>'4_All_periods'!D394</f>
        <v>-0.9214</v>
      </c>
      <c r="C15" s="14">
        <f>'4_All_periods'!E394</f>
        <v>-0.1091</v>
      </c>
      <c r="D15" s="15">
        <f t="shared" si="0"/>
        <v>0.29869999999999997</v>
      </c>
      <c r="E15" s="15">
        <f t="shared" si="1"/>
        <v>-0.27500000000000002</v>
      </c>
      <c r="F15" s="15">
        <f t="shared" si="2"/>
        <v>0.55518337155288267</v>
      </c>
      <c r="G15" s="16" t="str">
        <f t="shared" si="3"/>
        <v>charge/import</v>
      </c>
    </row>
    <row r="16" spans="1:7" ht="17.100000000000001" customHeight="1" x14ac:dyDescent="0.25">
      <c r="A16" s="13">
        <f>'4_All_periods'!C395</f>
        <v>270</v>
      </c>
      <c r="B16" s="14">
        <f>'4_All_periods'!D395</f>
        <v>-0.83879999999999999</v>
      </c>
      <c r="C16" s="14">
        <f>'4_All_periods'!E395</f>
        <v>-0.13550000000000001</v>
      </c>
      <c r="D16" s="15">
        <f t="shared" si="0"/>
        <v>0.38129999999999997</v>
      </c>
      <c r="E16" s="15">
        <f t="shared" si="1"/>
        <v>-0.3014</v>
      </c>
      <c r="F16" s="15">
        <f t="shared" si="2"/>
        <v>0.13550000000000018</v>
      </c>
      <c r="G16" s="16" t="str">
        <f t="shared" si="3"/>
        <v>charge/import</v>
      </c>
    </row>
    <row r="17" spans="1:7" ht="17.100000000000001" customHeight="1" x14ac:dyDescent="0.25">
      <c r="A17" s="13">
        <f>'4_All_periods'!C396</f>
        <v>300</v>
      </c>
      <c r="B17" s="14">
        <f>'4_All_periods'!D396</f>
        <v>-0.83120000000000005</v>
      </c>
      <c r="C17" s="14">
        <f>'4_All_periods'!E396</f>
        <v>-0.13439999999999999</v>
      </c>
      <c r="D17" s="15">
        <f t="shared" si="0"/>
        <v>0.38889999999999991</v>
      </c>
      <c r="E17" s="15">
        <f t="shared" si="1"/>
        <v>-0.30030000000000001</v>
      </c>
      <c r="F17" s="15">
        <f t="shared" si="2"/>
        <v>-0.29920618573137159</v>
      </c>
      <c r="G17" s="16" t="str">
        <f t="shared" si="3"/>
        <v>charge/import</v>
      </c>
    </row>
    <row r="18" spans="1:7" ht="17.100000000000001" customHeight="1" x14ac:dyDescent="0.25">
      <c r="A18" s="13">
        <f>'4_All_periods'!C397</f>
        <v>330</v>
      </c>
      <c r="B18" s="14">
        <f>'4_All_periods'!D397</f>
        <v>-0.83099999999999996</v>
      </c>
      <c r="C18" s="14">
        <f>'4_All_periods'!E397</f>
        <v>-0.13420000000000001</v>
      </c>
      <c r="D18" s="15">
        <f t="shared" si="0"/>
        <v>0.3891</v>
      </c>
      <c r="E18" s="15">
        <f t="shared" si="1"/>
        <v>-0.30010000000000003</v>
      </c>
      <c r="F18" s="15">
        <f t="shared" si="2"/>
        <v>-0.65256711054486816</v>
      </c>
      <c r="G18" s="16" t="str">
        <f t="shared" si="3"/>
        <v>charge/import</v>
      </c>
    </row>
    <row r="19" spans="1:7" ht="17.100000000000001" customHeight="1" x14ac:dyDescent="0.25">
      <c r="A19" s="17" t="s">
        <v>76</v>
      </c>
      <c r="B19" s="18">
        <f>B7</f>
        <v>-0.82469999999999999</v>
      </c>
      <c r="C19" s="18">
        <f>C7</f>
        <v>0.1535</v>
      </c>
      <c r="D19" s="18">
        <f>D7</f>
        <v>0.39539999999999997</v>
      </c>
      <c r="E19" s="18">
        <f>E7</f>
        <v>-1.2399999999999994E-2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0.34220000000000006</v>
      </c>
    </row>
    <row r="23" spans="1:7" ht="18" customHeight="1" x14ac:dyDescent="0.25">
      <c r="A23" s="45" t="s">
        <v>79</v>
      </c>
      <c r="B23" s="46"/>
      <c r="C23" s="20">
        <f>MAX(0,MAX(D7:D18))</f>
        <v>0.39539999999999997</v>
      </c>
    </row>
    <row r="24" spans="1:7" ht="18" customHeight="1" x14ac:dyDescent="0.25">
      <c r="A24" s="45" t="s">
        <v>80</v>
      </c>
      <c r="B24" s="46"/>
      <c r="C24" s="20">
        <f>MAX(0,-MIN(D7:D18))</f>
        <v>0</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one-sided → charge/import only (no export headroom)</v>
      </c>
      <c r="D25" s="55"/>
      <c r="E25" s="55"/>
      <c r="F25" s="55"/>
      <c r="G25" s="56"/>
    </row>
    <row r="26" spans="1:7" ht="18" customHeight="1" x14ac:dyDescent="0.25">
      <c r="A26" s="51" t="s">
        <v>191</v>
      </c>
      <c r="B26" s="52"/>
      <c r="C26" s="53" t="str">
        <f>IF(AND(C23&gt;0.02,C24&gt;0.02),"both directions have headroom",IF(C23&lt;=0.02,"blocked at 0°: Vmax there = "&amp;TEXT('4_All_periods'!H386,"0.00000")&amp;" pu"&amp;IF('4_All_periods'!H386&gt;=1.0999," → over-voltage limit is active"," → clear of the limit, so the battery bounds it"),"blocked at 180°: Vmax there = "&amp;TEXT('4_All_periods'!H392,"0.00000")&amp;" pu"&amp;IF('4_All_periods'!H392&gt;=1.0999," → over-voltage limit is active"," → clear of the limit, so the battery bounds it")))</f>
        <v>blocked at 180°: Vmax there = 1.10000 pu → over-voltage limit is active</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31" priority="1">
      <formula>ISNUMBER(SEARCH("charge",$G7))</formula>
    </cfRule>
    <cfRule type="expression" dxfId="30"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173</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'4_All_periods'!I398</f>
        <v>-0.86609999999999998</v>
      </c>
      <c r="C4" s="10" t="s">
        <v>69</v>
      </c>
      <c r="D4" s="11">
        <f>'4_All_periods'!J398</f>
        <v>0.1739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'4_All_periods'!C398</f>
        <v>0</v>
      </c>
      <c r="B7" s="14">
        <f>'4_All_periods'!D398</f>
        <v>-0.50490000000000002</v>
      </c>
      <c r="C7" s="14">
        <f>'4_All_periods'!E398</f>
        <v>0.15840000000000001</v>
      </c>
      <c r="D7" s="15">
        <f t="shared" ref="D7:D18" si="0">B7-$B$4</f>
        <v>0.36119999999999997</v>
      </c>
      <c r="E7" s="15">
        <f t="shared" ref="E7:E18" si="1">C7-$D$4</f>
        <v>-1.5499999999999986E-2</v>
      </c>
      <c r="F7" s="15">
        <f t="shared" ref="F7:F18" si="2">B7*COS(RADIANS(A7))+C7*SIN(RADIANS(A7))</f>
        <v>-0.50490000000000002</v>
      </c>
      <c r="G7" s="16" t="str">
        <f t="shared" ref="G7:G18" si="3">IF(D7&gt;0,"charge/import","discharge/export")</f>
        <v>charge/import</v>
      </c>
    </row>
    <row r="8" spans="1:7" ht="17.100000000000001" customHeight="1" x14ac:dyDescent="0.25">
      <c r="A8" s="13">
        <f>'4_All_periods'!C399</f>
        <v>30</v>
      </c>
      <c r="B8" s="14">
        <f>'4_All_periods'!D399</f>
        <v>-0.50990000000000002</v>
      </c>
      <c r="C8" s="14">
        <f>'4_All_periods'!E399</f>
        <v>0.50139999999999996</v>
      </c>
      <c r="D8" s="15">
        <f t="shared" si="0"/>
        <v>0.35619999999999996</v>
      </c>
      <c r="E8" s="15">
        <f t="shared" si="1"/>
        <v>0.32749999999999996</v>
      </c>
      <c r="F8" s="15">
        <f t="shared" si="2"/>
        <v>-0.1908863533896854</v>
      </c>
      <c r="G8" s="16" t="str">
        <f t="shared" si="3"/>
        <v>charge/import</v>
      </c>
    </row>
    <row r="9" spans="1:7" ht="17.100000000000001" customHeight="1" x14ac:dyDescent="0.25">
      <c r="A9" s="13">
        <f>'4_All_periods'!C400</f>
        <v>60</v>
      </c>
      <c r="B9" s="14">
        <f>'4_All_periods'!D400</f>
        <v>-0.51049999999999995</v>
      </c>
      <c r="C9" s="14">
        <f>'4_All_periods'!E400</f>
        <v>0.50170000000000003</v>
      </c>
      <c r="D9" s="15">
        <f t="shared" si="0"/>
        <v>0.35560000000000003</v>
      </c>
      <c r="E9" s="15">
        <f t="shared" si="1"/>
        <v>0.32780000000000004</v>
      </c>
      <c r="F9" s="15">
        <f t="shared" si="2"/>
        <v>0.17923494507865284</v>
      </c>
      <c r="G9" s="16" t="str">
        <f t="shared" si="3"/>
        <v>charge/import</v>
      </c>
    </row>
    <row r="10" spans="1:7" ht="17.100000000000001" customHeight="1" x14ac:dyDescent="0.25">
      <c r="A10" s="13">
        <f>'4_All_periods'!C401</f>
        <v>90</v>
      </c>
      <c r="B10" s="14">
        <f>'4_All_periods'!D401</f>
        <v>-0.54720000000000002</v>
      </c>
      <c r="C10" s="14">
        <f>'4_All_periods'!E401</f>
        <v>0.50470000000000004</v>
      </c>
      <c r="D10" s="15">
        <f t="shared" si="0"/>
        <v>0.31889999999999996</v>
      </c>
      <c r="E10" s="15">
        <f t="shared" si="1"/>
        <v>0.33080000000000004</v>
      </c>
      <c r="F10" s="15">
        <f t="shared" si="2"/>
        <v>0.50470000000000004</v>
      </c>
      <c r="G10" s="16" t="str">
        <f t="shared" si="3"/>
        <v>charge/import</v>
      </c>
    </row>
    <row r="11" spans="1:7" ht="17.100000000000001" customHeight="1" x14ac:dyDescent="0.25">
      <c r="A11" s="13">
        <f>'4_All_periods'!C402</f>
        <v>120</v>
      </c>
      <c r="B11" s="14">
        <f>'4_All_periods'!D402</f>
        <v>-0.70640000000000003</v>
      </c>
      <c r="C11" s="14">
        <f>'4_All_periods'!E402</f>
        <v>0.46200000000000002</v>
      </c>
      <c r="D11" s="15">
        <f t="shared" si="0"/>
        <v>0.15969999999999995</v>
      </c>
      <c r="E11" s="15">
        <f t="shared" si="1"/>
        <v>0.28810000000000002</v>
      </c>
      <c r="F11" s="15">
        <f t="shared" si="2"/>
        <v>0.75330373654841054</v>
      </c>
      <c r="G11" s="16" t="str">
        <f t="shared" si="3"/>
        <v>charge/import</v>
      </c>
    </row>
    <row r="12" spans="1:7" ht="17.100000000000001" customHeight="1" x14ac:dyDescent="0.25">
      <c r="A12" s="13">
        <f>'4_All_periods'!C403</f>
        <v>150</v>
      </c>
      <c r="B12" s="14">
        <f>'4_All_periods'!D403</f>
        <v>-0.82169999999999999</v>
      </c>
      <c r="C12" s="14">
        <f>'4_All_periods'!E403</f>
        <v>0.34810000000000002</v>
      </c>
      <c r="D12" s="15">
        <f t="shared" si="0"/>
        <v>4.4399999999999995E-2</v>
      </c>
      <c r="E12" s="15">
        <f t="shared" si="1"/>
        <v>0.17420000000000002</v>
      </c>
      <c r="F12" s="15">
        <f t="shared" si="2"/>
        <v>0.88566307428967317</v>
      </c>
      <c r="G12" s="16" t="str">
        <f t="shared" si="3"/>
        <v>charge/import</v>
      </c>
    </row>
    <row r="13" spans="1:7" ht="17.100000000000001" customHeight="1" x14ac:dyDescent="0.25">
      <c r="A13" s="13">
        <f>'4_All_periods'!C404</f>
        <v>180</v>
      </c>
      <c r="B13" s="14">
        <f>'4_All_periods'!D404</f>
        <v>-0.85419999999999996</v>
      </c>
      <c r="C13" s="14">
        <f>'4_All_periods'!E404</f>
        <v>0.2351</v>
      </c>
      <c r="D13" s="15">
        <f t="shared" si="0"/>
        <v>1.1900000000000022E-2</v>
      </c>
      <c r="E13" s="15">
        <f t="shared" si="1"/>
        <v>6.1200000000000004E-2</v>
      </c>
      <c r="F13" s="15">
        <f t="shared" si="2"/>
        <v>0.85419999999999996</v>
      </c>
      <c r="G13" s="16" t="str">
        <f t="shared" si="3"/>
        <v>charge/import</v>
      </c>
    </row>
    <row r="14" spans="1:7" ht="17.100000000000001" customHeight="1" x14ac:dyDescent="0.25">
      <c r="A14" s="13">
        <f>'4_All_periods'!C405</f>
        <v>210</v>
      </c>
      <c r="B14" s="14">
        <f>'4_All_periods'!D405</f>
        <v>-0.81159999999999999</v>
      </c>
      <c r="C14" s="14">
        <f>'4_All_periods'!E405</f>
        <v>8.9300000000000004E-2</v>
      </c>
      <c r="D14" s="15">
        <f t="shared" si="0"/>
        <v>5.4499999999999993E-2</v>
      </c>
      <c r="E14" s="15">
        <f t="shared" si="1"/>
        <v>-8.4599999999999995E-2</v>
      </c>
      <c r="F14" s="15">
        <f t="shared" si="2"/>
        <v>0.65821621771145034</v>
      </c>
      <c r="G14" s="16" t="str">
        <f t="shared" si="3"/>
        <v>charge/import</v>
      </c>
    </row>
    <row r="15" spans="1:7" ht="17.100000000000001" customHeight="1" x14ac:dyDescent="0.25">
      <c r="A15" s="13">
        <f>'4_All_periods'!C406</f>
        <v>240</v>
      </c>
      <c r="B15" s="14">
        <f>'4_All_periods'!D406</f>
        <v>-0.62</v>
      </c>
      <c r="C15" s="14">
        <f>'4_All_periods'!E406</f>
        <v>-0.1129</v>
      </c>
      <c r="D15" s="15">
        <f t="shared" si="0"/>
        <v>0.24609999999999999</v>
      </c>
      <c r="E15" s="15">
        <f t="shared" si="1"/>
        <v>-0.2868</v>
      </c>
      <c r="F15" s="15">
        <f t="shared" si="2"/>
        <v>0.40777426808726336</v>
      </c>
      <c r="G15" s="16" t="str">
        <f t="shared" si="3"/>
        <v>charge/import</v>
      </c>
    </row>
    <row r="16" spans="1:7" ht="17.100000000000001" customHeight="1" x14ac:dyDescent="0.25">
      <c r="A16" s="13">
        <f>'4_All_periods'!C407</f>
        <v>270</v>
      </c>
      <c r="B16" s="14">
        <f>'4_All_periods'!D407</f>
        <v>-0.53120000000000001</v>
      </c>
      <c r="C16" s="14">
        <f>'4_All_periods'!E407</f>
        <v>-0.1404</v>
      </c>
      <c r="D16" s="15">
        <f t="shared" si="0"/>
        <v>0.33489999999999998</v>
      </c>
      <c r="E16" s="15">
        <f t="shared" si="1"/>
        <v>-0.31430000000000002</v>
      </c>
      <c r="F16" s="15">
        <f t="shared" si="2"/>
        <v>0.14040000000000011</v>
      </c>
      <c r="G16" s="16" t="str">
        <f t="shared" si="3"/>
        <v>charge/import</v>
      </c>
    </row>
    <row r="17" spans="1:7" ht="17.100000000000001" customHeight="1" x14ac:dyDescent="0.25">
      <c r="A17" s="13">
        <f>'4_All_periods'!C408</f>
        <v>300</v>
      </c>
      <c r="B17" s="14">
        <f>'4_All_periods'!D408</f>
        <v>-0.51419999999999999</v>
      </c>
      <c r="C17" s="14">
        <f>'4_All_periods'!E408</f>
        <v>-0.1376</v>
      </c>
      <c r="D17" s="15">
        <f t="shared" si="0"/>
        <v>0.35189999999999999</v>
      </c>
      <c r="E17" s="15">
        <f t="shared" si="1"/>
        <v>-0.3115</v>
      </c>
      <c r="F17" s="15">
        <f t="shared" si="2"/>
        <v>-0.13793490443926132</v>
      </c>
      <c r="G17" s="16" t="str">
        <f t="shared" si="3"/>
        <v>charge/import</v>
      </c>
    </row>
    <row r="18" spans="1:7" ht="17.100000000000001" customHeight="1" x14ac:dyDescent="0.25">
      <c r="A18" s="13">
        <f>'4_All_periods'!C409</f>
        <v>330</v>
      </c>
      <c r="B18" s="14">
        <f>'4_All_periods'!D409</f>
        <v>-0.51060000000000005</v>
      </c>
      <c r="C18" s="14">
        <f>'4_All_periods'!E409</f>
        <v>-0.13519999999999999</v>
      </c>
      <c r="D18" s="15">
        <f t="shared" si="0"/>
        <v>0.35549999999999993</v>
      </c>
      <c r="E18" s="15">
        <f t="shared" si="1"/>
        <v>-0.30909999999999999</v>
      </c>
      <c r="F18" s="15">
        <f t="shared" si="2"/>
        <v>-0.37459257117233424</v>
      </c>
      <c r="G18" s="16" t="str">
        <f t="shared" si="3"/>
        <v>charge/import</v>
      </c>
    </row>
    <row r="19" spans="1:7" ht="17.100000000000001" customHeight="1" x14ac:dyDescent="0.25">
      <c r="A19" s="17" t="s">
        <v>76</v>
      </c>
      <c r="B19" s="18">
        <f>B7</f>
        <v>-0.50490000000000002</v>
      </c>
      <c r="C19" s="18">
        <f>C7</f>
        <v>0.15840000000000001</v>
      </c>
      <c r="D19" s="18">
        <f>D7</f>
        <v>0.36119999999999997</v>
      </c>
      <c r="E19" s="18">
        <f>E7</f>
        <v>-1.5499999999999986E-2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0.34929999999999994</v>
      </c>
    </row>
    <row r="23" spans="1:7" ht="18" customHeight="1" x14ac:dyDescent="0.25">
      <c r="A23" s="45" t="s">
        <v>79</v>
      </c>
      <c r="B23" s="46"/>
      <c r="C23" s="20">
        <f>MAX(0,MAX(D7:D18))</f>
        <v>0.36119999999999997</v>
      </c>
    </row>
    <row r="24" spans="1:7" ht="18" customHeight="1" x14ac:dyDescent="0.25">
      <c r="A24" s="45" t="s">
        <v>80</v>
      </c>
      <c r="B24" s="46"/>
      <c r="C24" s="20">
        <f>MAX(0,-MIN(D7:D18))</f>
        <v>0</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one-sided → charge/import only (no export headroom)</v>
      </c>
      <c r="D25" s="55"/>
      <c r="E25" s="55"/>
      <c r="F25" s="55"/>
      <c r="G25" s="56"/>
    </row>
    <row r="26" spans="1:7" ht="18" customHeight="1" x14ac:dyDescent="0.25">
      <c r="A26" s="51" t="s">
        <v>191</v>
      </c>
      <c r="B26" s="52"/>
      <c r="C26" s="53" t="str">
        <f>IF(AND(C23&gt;0.02,C24&gt;0.02),"both directions have headroom",IF(C23&lt;=0.02,"blocked at 0°: Vmax there = "&amp;TEXT('4_All_periods'!H398,"0.00000")&amp;" pu"&amp;IF('4_All_periods'!H398&gt;=1.0999," → over-voltage limit is active"," → clear of the limit, so the battery bounds it"),"blocked at 180°: Vmax there = "&amp;TEXT('4_All_periods'!H404,"0.00000")&amp;" pu"&amp;IF('4_All_periods'!H404&gt;=1.0999," → over-voltage limit is active"," → clear of the limit, so the battery bounds it")))</f>
        <v>blocked at 180°: Vmax there = 1.10000 pu → over-voltage limit is active</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29" priority="1">
      <formula>ISNUMBER(SEARCH("charge",$G7))</formula>
    </cfRule>
    <cfRule type="expression" dxfId="28"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174</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'4_All_periods'!I410</f>
        <v>-0.54730000000000001</v>
      </c>
      <c r="C4" s="10" t="s">
        <v>69</v>
      </c>
      <c r="D4" s="11">
        <f>'4_All_periods'!J410</f>
        <v>0.1799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'4_All_periods'!C410</f>
        <v>0</v>
      </c>
      <c r="B7" s="14">
        <f>'4_All_periods'!D410</f>
        <v>-5.67E-2</v>
      </c>
      <c r="C7" s="14">
        <f>'4_All_periods'!E410</f>
        <v>0.3397</v>
      </c>
      <c r="D7" s="15">
        <f t="shared" ref="D7:D18" si="0">B7-$B$4</f>
        <v>0.49060000000000004</v>
      </c>
      <c r="E7" s="15">
        <f t="shared" ref="E7:E18" si="1">C7-$D$4</f>
        <v>0.1598</v>
      </c>
      <c r="F7" s="15">
        <f t="shared" ref="F7:F18" si="2">B7*COS(RADIANS(A7))+C7*SIN(RADIANS(A7))</f>
        <v>-5.67E-2</v>
      </c>
      <c r="G7" s="16" t="str">
        <f t="shared" ref="G7:G18" si="3">IF(D7&gt;0,"charge/import","discharge/export")</f>
        <v>charge/import</v>
      </c>
    </row>
    <row r="8" spans="1:7" ht="17.100000000000001" customHeight="1" x14ac:dyDescent="0.25">
      <c r="A8" s="13">
        <f>'4_All_periods'!C411</f>
        <v>30</v>
      </c>
      <c r="B8" s="14">
        <f>'4_All_periods'!D411</f>
        <v>-5.8599999999999999E-2</v>
      </c>
      <c r="C8" s="14">
        <f>'4_All_periods'!E411</f>
        <v>0.53110000000000002</v>
      </c>
      <c r="D8" s="15">
        <f t="shared" si="0"/>
        <v>0.48870000000000002</v>
      </c>
      <c r="E8" s="15">
        <f t="shared" si="1"/>
        <v>0.35120000000000001</v>
      </c>
      <c r="F8" s="15">
        <f t="shared" si="2"/>
        <v>0.21480091133823184</v>
      </c>
      <c r="G8" s="16" t="str">
        <f t="shared" si="3"/>
        <v>charge/import</v>
      </c>
    </row>
    <row r="9" spans="1:7" ht="17.100000000000001" customHeight="1" x14ac:dyDescent="0.25">
      <c r="A9" s="13">
        <f>'4_All_periods'!C412</f>
        <v>60</v>
      </c>
      <c r="B9" s="14">
        <f>'4_All_periods'!D412</f>
        <v>-5.9400000000000001E-2</v>
      </c>
      <c r="C9" s="14">
        <f>'4_All_periods'!E412</f>
        <v>0.53159999999999996</v>
      </c>
      <c r="D9" s="15">
        <f t="shared" si="0"/>
        <v>0.4879</v>
      </c>
      <c r="E9" s="15">
        <f t="shared" si="1"/>
        <v>0.35169999999999996</v>
      </c>
      <c r="F9" s="15">
        <f t="shared" si="2"/>
        <v>0.43067910465180753</v>
      </c>
      <c r="G9" s="16" t="str">
        <f t="shared" si="3"/>
        <v>charge/import</v>
      </c>
    </row>
    <row r="10" spans="1:7" ht="17.100000000000001" customHeight="1" x14ac:dyDescent="0.25">
      <c r="A10" s="13">
        <f>'4_All_periods'!C413</f>
        <v>90</v>
      </c>
      <c r="B10" s="14">
        <f>'4_All_periods'!D413</f>
        <v>-9.7100000000000006E-2</v>
      </c>
      <c r="C10" s="14">
        <f>'4_All_periods'!E413</f>
        <v>0.53490000000000004</v>
      </c>
      <c r="D10" s="15">
        <f t="shared" si="0"/>
        <v>0.45019999999999999</v>
      </c>
      <c r="E10" s="15">
        <f t="shared" si="1"/>
        <v>0.35500000000000004</v>
      </c>
      <c r="F10" s="15">
        <f t="shared" si="2"/>
        <v>0.53490000000000004</v>
      </c>
      <c r="G10" s="16" t="str">
        <f t="shared" si="3"/>
        <v>charge/import</v>
      </c>
    </row>
    <row r="11" spans="1:7" ht="17.100000000000001" customHeight="1" x14ac:dyDescent="0.25">
      <c r="A11" s="13">
        <f>'4_All_periods'!C414</f>
        <v>120</v>
      </c>
      <c r="B11" s="14">
        <f>'4_All_periods'!D414</f>
        <v>-0.25890000000000002</v>
      </c>
      <c r="C11" s="14">
        <f>'4_All_periods'!E414</f>
        <v>0.4914</v>
      </c>
      <c r="D11" s="15">
        <f t="shared" si="0"/>
        <v>0.28839999999999999</v>
      </c>
      <c r="E11" s="15">
        <f t="shared" si="1"/>
        <v>0.3115</v>
      </c>
      <c r="F11" s="15">
        <f t="shared" si="2"/>
        <v>0.55501488341967309</v>
      </c>
      <c r="G11" s="16" t="str">
        <f t="shared" si="3"/>
        <v>charge/import</v>
      </c>
    </row>
    <row r="12" spans="1:7" ht="17.100000000000001" customHeight="1" x14ac:dyDescent="0.25">
      <c r="A12" s="13">
        <f>'4_All_periods'!C415</f>
        <v>150</v>
      </c>
      <c r="B12" s="14">
        <f>'4_All_periods'!D415</f>
        <v>-0.37790000000000001</v>
      </c>
      <c r="C12" s="14">
        <f>'4_All_periods'!E415</f>
        <v>0.37269999999999998</v>
      </c>
      <c r="D12" s="15">
        <f t="shared" si="0"/>
        <v>0.1694</v>
      </c>
      <c r="E12" s="15">
        <f t="shared" si="1"/>
        <v>0.19279999999999997</v>
      </c>
      <c r="F12" s="15">
        <f t="shared" si="2"/>
        <v>0.51362100009013933</v>
      </c>
      <c r="G12" s="16" t="str">
        <f t="shared" si="3"/>
        <v>charge/import</v>
      </c>
    </row>
    <row r="13" spans="1:7" ht="17.100000000000001" customHeight="1" x14ac:dyDescent="0.25">
      <c r="A13" s="13">
        <f>'4_All_periods'!C416</f>
        <v>180</v>
      </c>
      <c r="B13" s="14">
        <f>'4_All_periods'!D416</f>
        <v>-0.4133</v>
      </c>
      <c r="C13" s="14">
        <f>'4_All_periods'!E416</f>
        <v>0.2432</v>
      </c>
      <c r="D13" s="15">
        <f t="shared" si="0"/>
        <v>0.13400000000000001</v>
      </c>
      <c r="E13" s="15">
        <f t="shared" si="1"/>
        <v>6.3299999999999995E-2</v>
      </c>
      <c r="F13" s="15">
        <f t="shared" si="2"/>
        <v>0.41330000000000006</v>
      </c>
      <c r="G13" s="16" t="str">
        <f t="shared" si="3"/>
        <v>charge/import</v>
      </c>
    </row>
    <row r="14" spans="1:7" ht="17.100000000000001" customHeight="1" x14ac:dyDescent="0.25">
      <c r="A14" s="13">
        <f>'4_All_periods'!C417</f>
        <v>210</v>
      </c>
      <c r="B14" s="14">
        <f>'4_All_periods'!D417</f>
        <v>-0.371</v>
      </c>
      <c r="C14" s="14">
        <f>'4_All_periods'!E417</f>
        <v>9.0399999999999994E-2</v>
      </c>
      <c r="D14" s="15">
        <f t="shared" si="0"/>
        <v>0.17630000000000001</v>
      </c>
      <c r="E14" s="15">
        <f t="shared" si="1"/>
        <v>-8.950000000000001E-2</v>
      </c>
      <c r="F14" s="15">
        <f t="shared" si="2"/>
        <v>0.27609542480402671</v>
      </c>
      <c r="G14" s="16" t="str">
        <f t="shared" si="3"/>
        <v>charge/import</v>
      </c>
    </row>
    <row r="15" spans="1:7" ht="17.100000000000001" customHeight="1" x14ac:dyDescent="0.25">
      <c r="A15" s="13">
        <f>'4_All_periods'!C418</f>
        <v>240</v>
      </c>
      <c r="B15" s="14">
        <f>'4_All_periods'!D418</f>
        <v>-0.20979999999999999</v>
      </c>
      <c r="C15" s="14">
        <f>'4_All_periods'!E418</f>
        <v>-7.9000000000000001E-2</v>
      </c>
      <c r="D15" s="15">
        <f t="shared" si="0"/>
        <v>0.33750000000000002</v>
      </c>
      <c r="E15" s="15">
        <f t="shared" si="1"/>
        <v>-0.25890000000000002</v>
      </c>
      <c r="F15" s="15">
        <f t="shared" si="2"/>
        <v>0.17331600689897073</v>
      </c>
      <c r="G15" s="16" t="str">
        <f t="shared" si="3"/>
        <v>charge/import</v>
      </c>
    </row>
    <row r="16" spans="1:7" ht="17.100000000000001" customHeight="1" x14ac:dyDescent="0.25">
      <c r="A16" s="13">
        <f>'4_All_periods'!C419</f>
        <v>270</v>
      </c>
      <c r="B16" s="14">
        <f>'4_All_periods'!D419</f>
        <v>-9.7199999999999995E-2</v>
      </c>
      <c r="C16" s="14">
        <f>'4_All_periods'!E419</f>
        <v>-0.112</v>
      </c>
      <c r="D16" s="15">
        <f t="shared" si="0"/>
        <v>0.4501</v>
      </c>
      <c r="E16" s="15">
        <f t="shared" si="1"/>
        <v>-0.29189999999999999</v>
      </c>
      <c r="F16" s="15">
        <f t="shared" si="2"/>
        <v>0.11200000000000002</v>
      </c>
      <c r="G16" s="16" t="str">
        <f t="shared" si="3"/>
        <v>charge/import</v>
      </c>
    </row>
    <row r="17" spans="1:7" ht="17.100000000000001" customHeight="1" x14ac:dyDescent="0.25">
      <c r="A17" s="13">
        <f>'4_All_periods'!C420</f>
        <v>300</v>
      </c>
      <c r="B17" s="14">
        <f>'4_All_periods'!D420</f>
        <v>-6.3600000000000004E-2</v>
      </c>
      <c r="C17" s="14">
        <f>'4_All_periods'!E420</f>
        <v>-0.109</v>
      </c>
      <c r="D17" s="15">
        <f t="shared" si="0"/>
        <v>0.48370000000000002</v>
      </c>
      <c r="E17" s="15">
        <f t="shared" si="1"/>
        <v>-0.28889999999999999</v>
      </c>
      <c r="F17" s="15">
        <f t="shared" si="2"/>
        <v>6.25967690125038E-2</v>
      </c>
      <c r="G17" s="16" t="str">
        <f t="shared" si="3"/>
        <v>charge/import</v>
      </c>
    </row>
    <row r="18" spans="1:7" ht="17.100000000000001" customHeight="1" x14ac:dyDescent="0.25">
      <c r="A18" s="13">
        <f>'4_All_periods'!C421</f>
        <v>330</v>
      </c>
      <c r="B18" s="14">
        <f>'4_All_periods'!D421</f>
        <v>-6.1800000000000001E-2</v>
      </c>
      <c r="C18" s="14">
        <f>'4_All_periods'!E421</f>
        <v>-0.1076</v>
      </c>
      <c r="D18" s="15">
        <f t="shared" si="0"/>
        <v>0.48549999999999999</v>
      </c>
      <c r="E18" s="15">
        <f t="shared" si="1"/>
        <v>-0.28749999999999998</v>
      </c>
      <c r="F18" s="15">
        <f t="shared" si="2"/>
        <v>2.7963004612175518E-4</v>
      </c>
      <c r="G18" s="16" t="str">
        <f t="shared" si="3"/>
        <v>charge/import</v>
      </c>
    </row>
    <row r="19" spans="1:7" ht="17.100000000000001" customHeight="1" x14ac:dyDescent="0.25">
      <c r="A19" s="17" t="s">
        <v>76</v>
      </c>
      <c r="B19" s="18">
        <f>B7</f>
        <v>-5.67E-2</v>
      </c>
      <c r="C19" s="18">
        <f>C7</f>
        <v>0.3397</v>
      </c>
      <c r="D19" s="18">
        <f>D7</f>
        <v>0.49060000000000004</v>
      </c>
      <c r="E19" s="18">
        <f>E7</f>
        <v>0.1598</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0.35660000000000003</v>
      </c>
    </row>
    <row r="23" spans="1:7" ht="18" customHeight="1" x14ac:dyDescent="0.25">
      <c r="A23" s="45" t="s">
        <v>79</v>
      </c>
      <c r="B23" s="46"/>
      <c r="C23" s="20">
        <f>MAX(0,MAX(D7:D18))</f>
        <v>0.49060000000000004</v>
      </c>
    </row>
    <row r="24" spans="1:7" ht="18" customHeight="1" x14ac:dyDescent="0.25">
      <c r="A24" s="45" t="s">
        <v>80</v>
      </c>
      <c r="B24" s="46"/>
      <c r="C24" s="20">
        <f>MAX(0,-MIN(D7:D18))</f>
        <v>0</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one-sided → charge/import only (no export headroom)</v>
      </c>
      <c r="D25" s="55"/>
      <c r="E25" s="55"/>
      <c r="F25" s="55"/>
      <c r="G25" s="56"/>
    </row>
    <row r="26" spans="1:7" ht="18" customHeight="1" x14ac:dyDescent="0.25">
      <c r="A26" s="51" t="s">
        <v>191</v>
      </c>
      <c r="B26" s="52"/>
      <c r="C26" s="53" t="str">
        <f>IF(AND(C23&gt;0.02,C24&gt;0.02),"both directions have headroom",IF(C23&lt;=0.02,"blocked at 0°: Vmax there = "&amp;TEXT('4_All_periods'!H410,"0.00000")&amp;" pu"&amp;IF('4_All_periods'!H410&gt;=1.0999," → over-voltage limit is active"," → clear of the limit, so the battery bounds it"),"blocked at 180°: Vmax there = "&amp;TEXT('4_All_periods'!H416,"0.00000")&amp;" pu"&amp;IF('4_All_periods'!H416&gt;=1.0999," → over-voltage limit is active"," → clear of the limit, so the battery bounds it")))</f>
        <v>blocked at 180°: Vmax there = 1.10000 pu → over-voltage limit is active</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27" priority="1">
      <formula>ISNUMBER(SEARCH("charge",$G7))</formula>
    </cfRule>
    <cfRule type="expression" dxfId="26"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175</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'4_All_periods'!I422</f>
        <v>-9.98E-2</v>
      </c>
      <c r="C4" s="10" t="s">
        <v>69</v>
      </c>
      <c r="D4" s="11">
        <f>'4_All_periods'!J422</f>
        <v>0.21129999999999999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'4_All_periods'!C422</f>
        <v>0</v>
      </c>
      <c r="B7" s="14">
        <f>'4_All_periods'!D422</f>
        <v>0.18210000000000001</v>
      </c>
      <c r="C7" s="14">
        <f>'4_All_periods'!E422</f>
        <v>0.33779999999999999</v>
      </c>
      <c r="D7" s="15">
        <f t="shared" ref="D7:D18" si="0">B7-$B$4</f>
        <v>0.28190000000000004</v>
      </c>
      <c r="E7" s="15">
        <f t="shared" ref="E7:E18" si="1">C7-$D$4</f>
        <v>0.1265</v>
      </c>
      <c r="F7" s="15">
        <f t="shared" ref="F7:F18" si="2">B7*COS(RADIANS(A7))+C7*SIN(RADIANS(A7))</f>
        <v>0.18210000000000001</v>
      </c>
      <c r="G7" s="16" t="str">
        <f t="shared" ref="G7:G18" si="3">IF(D7&gt;0,"charge/import","discharge/export")</f>
        <v>charge/import</v>
      </c>
    </row>
    <row r="8" spans="1:7" ht="17.100000000000001" customHeight="1" x14ac:dyDescent="0.25">
      <c r="A8" s="13">
        <f>'4_All_periods'!C423</f>
        <v>30</v>
      </c>
      <c r="B8" s="14">
        <f>'4_All_periods'!D423</f>
        <v>0.18149999999999999</v>
      </c>
      <c r="C8" s="14">
        <f>'4_All_periods'!E423</f>
        <v>0.51670000000000005</v>
      </c>
      <c r="D8" s="15">
        <f t="shared" si="0"/>
        <v>0.28129999999999999</v>
      </c>
      <c r="E8" s="15">
        <f t="shared" si="1"/>
        <v>0.30540000000000006</v>
      </c>
      <c r="F8" s="15">
        <f t="shared" si="2"/>
        <v>0.41553361078687556</v>
      </c>
      <c r="G8" s="16" t="str">
        <f t="shared" si="3"/>
        <v>charge/import</v>
      </c>
    </row>
    <row r="9" spans="1:7" ht="17.100000000000001" customHeight="1" x14ac:dyDescent="0.25">
      <c r="A9" s="13">
        <f>'4_All_periods'!C424</f>
        <v>60</v>
      </c>
      <c r="B9" s="14">
        <f>'4_All_periods'!D424</f>
        <v>0.17799999999999999</v>
      </c>
      <c r="C9" s="14">
        <f>'4_All_periods'!E424</f>
        <v>0.52</v>
      </c>
      <c r="D9" s="15">
        <f t="shared" si="0"/>
        <v>0.27779999999999999</v>
      </c>
      <c r="E9" s="15">
        <f t="shared" si="1"/>
        <v>0.30870000000000003</v>
      </c>
      <c r="F9" s="15">
        <f t="shared" si="2"/>
        <v>0.53933320996790812</v>
      </c>
      <c r="G9" s="16" t="str">
        <f t="shared" si="3"/>
        <v>charge/import</v>
      </c>
    </row>
    <row r="10" spans="1:7" ht="17.100000000000001" customHeight="1" x14ac:dyDescent="0.25">
      <c r="A10" s="13">
        <f>'4_All_periods'!C425</f>
        <v>90</v>
      </c>
      <c r="B10" s="14">
        <f>'4_All_periods'!D425</f>
        <v>0.1358</v>
      </c>
      <c r="C10" s="14">
        <f>'4_All_periods'!E425</f>
        <v>0.5242</v>
      </c>
      <c r="D10" s="15">
        <f t="shared" si="0"/>
        <v>0.2356</v>
      </c>
      <c r="E10" s="15">
        <f t="shared" si="1"/>
        <v>0.31290000000000001</v>
      </c>
      <c r="F10" s="15">
        <f t="shared" si="2"/>
        <v>0.5242</v>
      </c>
      <c r="G10" s="16" t="str">
        <f t="shared" si="3"/>
        <v>charge/import</v>
      </c>
    </row>
    <row r="11" spans="1:7" ht="17.100000000000001" customHeight="1" x14ac:dyDescent="0.25">
      <c r="A11" s="13">
        <f>'4_All_periods'!C426</f>
        <v>120</v>
      </c>
      <c r="B11" s="14">
        <f>'4_All_periods'!D426</f>
        <v>-2.7400000000000001E-2</v>
      </c>
      <c r="C11" s="14">
        <f>'4_All_periods'!E426</f>
        <v>0.48039999999999999</v>
      </c>
      <c r="D11" s="15">
        <f t="shared" si="0"/>
        <v>7.2399999999999992E-2</v>
      </c>
      <c r="E11" s="15">
        <f t="shared" si="1"/>
        <v>0.26910000000000001</v>
      </c>
      <c r="F11" s="15">
        <f t="shared" si="2"/>
        <v>0.42973860397804436</v>
      </c>
      <c r="G11" s="16" t="str">
        <f t="shared" si="3"/>
        <v>charge/import</v>
      </c>
    </row>
    <row r="12" spans="1:7" ht="17.100000000000001" customHeight="1" x14ac:dyDescent="0.25">
      <c r="A12" s="13">
        <f>'4_All_periods'!C427</f>
        <v>150</v>
      </c>
      <c r="B12" s="14">
        <f>'4_All_periods'!D427</f>
        <v>-0.14779999999999999</v>
      </c>
      <c r="C12" s="14">
        <f>'4_All_periods'!E427</f>
        <v>0.36</v>
      </c>
      <c r="D12" s="15">
        <f t="shared" si="0"/>
        <v>-4.7999999999999987E-2</v>
      </c>
      <c r="E12" s="15">
        <f t="shared" si="1"/>
        <v>0.1487</v>
      </c>
      <c r="F12" s="15">
        <f t="shared" si="2"/>
        <v>0.30799855467934001</v>
      </c>
      <c r="G12" s="16" t="str">
        <f t="shared" si="3"/>
        <v>discharge/export</v>
      </c>
    </row>
    <row r="13" spans="1:7" ht="17.100000000000001" customHeight="1" x14ac:dyDescent="0.25">
      <c r="A13" s="13">
        <f>'4_All_periods'!C428</f>
        <v>180</v>
      </c>
      <c r="B13" s="14">
        <f>'4_All_periods'!D428</f>
        <v>-0.1842</v>
      </c>
      <c r="C13" s="14">
        <f>'4_All_periods'!E428</f>
        <v>0.22739999999999999</v>
      </c>
      <c r="D13" s="15">
        <f t="shared" si="0"/>
        <v>-8.4400000000000003E-2</v>
      </c>
      <c r="E13" s="15">
        <f t="shared" si="1"/>
        <v>1.6100000000000003E-2</v>
      </c>
      <c r="F13" s="15">
        <f t="shared" si="2"/>
        <v>0.18420000000000003</v>
      </c>
      <c r="G13" s="16" t="str">
        <f t="shared" si="3"/>
        <v>discharge/export</v>
      </c>
    </row>
    <row r="14" spans="1:7" ht="17.100000000000001" customHeight="1" x14ac:dyDescent="0.25">
      <c r="A14" s="13">
        <f>'4_All_periods'!C429</f>
        <v>210</v>
      </c>
      <c r="B14" s="14">
        <f>'4_All_periods'!D429</f>
        <v>-0.1421</v>
      </c>
      <c r="C14" s="14">
        <f>'4_All_periods'!E429</f>
        <v>6.3200000000000006E-2</v>
      </c>
      <c r="D14" s="15">
        <f t="shared" si="0"/>
        <v>-4.2300000000000004E-2</v>
      </c>
      <c r="E14" s="15">
        <f t="shared" si="1"/>
        <v>-0.14809999999999998</v>
      </c>
      <c r="F14" s="15">
        <f t="shared" si="2"/>
        <v>9.1462209877768708E-2</v>
      </c>
      <c r="G14" s="16" t="str">
        <f t="shared" si="3"/>
        <v>discharge/export</v>
      </c>
    </row>
    <row r="15" spans="1:7" ht="17.100000000000001" customHeight="1" x14ac:dyDescent="0.25">
      <c r="A15" s="13">
        <f>'4_All_periods'!C430</f>
        <v>240</v>
      </c>
      <c r="B15" s="14">
        <f>'4_All_periods'!D430</f>
        <v>3.5999999999999999E-3</v>
      </c>
      <c r="C15" s="14">
        <f>'4_All_periods'!E430</f>
        <v>-8.8599999999999998E-2</v>
      </c>
      <c r="D15" s="15">
        <f t="shared" si="0"/>
        <v>0.10340000000000001</v>
      </c>
      <c r="E15" s="15">
        <f t="shared" si="1"/>
        <v>-0.2999</v>
      </c>
      <c r="F15" s="15">
        <f t="shared" si="2"/>
        <v>7.4929850775301246E-2</v>
      </c>
      <c r="G15" s="16" t="str">
        <f t="shared" si="3"/>
        <v>charge/import</v>
      </c>
    </row>
    <row r="16" spans="1:7" ht="17.100000000000001" customHeight="1" x14ac:dyDescent="0.25">
      <c r="A16" s="13">
        <f>'4_All_periods'!C431</f>
        <v>270</v>
      </c>
      <c r="B16" s="14">
        <f>'4_All_periods'!D431</f>
        <v>0.1298</v>
      </c>
      <c r="C16" s="14">
        <f>'4_All_periods'!E431</f>
        <v>-0.1217</v>
      </c>
      <c r="D16" s="15">
        <f t="shared" si="0"/>
        <v>0.2296</v>
      </c>
      <c r="E16" s="15">
        <f t="shared" si="1"/>
        <v>-0.33299999999999996</v>
      </c>
      <c r="F16" s="15">
        <f t="shared" si="2"/>
        <v>0.12169999999999997</v>
      </c>
      <c r="G16" s="16" t="str">
        <f t="shared" si="3"/>
        <v>charge/import</v>
      </c>
    </row>
    <row r="17" spans="1:7" ht="17.100000000000001" customHeight="1" x14ac:dyDescent="0.25">
      <c r="A17" s="13">
        <f>'4_All_periods'!C432</f>
        <v>300</v>
      </c>
      <c r="B17" s="14">
        <f>'4_All_periods'!D432</f>
        <v>0.17449999999999999</v>
      </c>
      <c r="C17" s="14">
        <f>'4_All_periods'!E432</f>
        <v>-0.1167</v>
      </c>
      <c r="D17" s="15">
        <f t="shared" si="0"/>
        <v>0.27429999999999999</v>
      </c>
      <c r="E17" s="15">
        <f t="shared" si="1"/>
        <v>-0.32799999999999996</v>
      </c>
      <c r="F17" s="15">
        <f t="shared" si="2"/>
        <v>0.18831516462164399</v>
      </c>
      <c r="G17" s="16" t="str">
        <f t="shared" si="3"/>
        <v>charge/import</v>
      </c>
    </row>
    <row r="18" spans="1:7" ht="17.100000000000001" customHeight="1" x14ac:dyDescent="0.25">
      <c r="A18" s="13">
        <f>'4_All_periods'!C433</f>
        <v>330</v>
      </c>
      <c r="B18" s="14">
        <f>'4_All_periods'!D433</f>
        <v>0.17749999999999999</v>
      </c>
      <c r="C18" s="14">
        <f>'4_All_periods'!E433</f>
        <v>-0.114</v>
      </c>
      <c r="D18" s="15">
        <f t="shared" si="0"/>
        <v>0.27729999999999999</v>
      </c>
      <c r="E18" s="15">
        <f t="shared" si="1"/>
        <v>-0.32529999999999998</v>
      </c>
      <c r="F18" s="15">
        <f t="shared" si="2"/>
        <v>0.21071950917173785</v>
      </c>
      <c r="G18" s="16" t="str">
        <f t="shared" si="3"/>
        <v>charge/import</v>
      </c>
    </row>
    <row r="19" spans="1:7" ht="17.100000000000001" customHeight="1" x14ac:dyDescent="0.25">
      <c r="A19" s="17" t="s">
        <v>76</v>
      </c>
      <c r="B19" s="18">
        <f>B7</f>
        <v>0.18210000000000001</v>
      </c>
      <c r="C19" s="18">
        <f>C7</f>
        <v>0.33779999999999999</v>
      </c>
      <c r="D19" s="18">
        <f>D7</f>
        <v>0.28190000000000004</v>
      </c>
      <c r="E19" s="18">
        <f>E7</f>
        <v>0.1265</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0.36630000000000001</v>
      </c>
    </row>
    <row r="23" spans="1:7" ht="18" customHeight="1" x14ac:dyDescent="0.25">
      <c r="A23" s="45" t="s">
        <v>79</v>
      </c>
      <c r="B23" s="46"/>
      <c r="C23" s="20">
        <f>MAX(0,MAX(D7:D18))</f>
        <v>0.28190000000000004</v>
      </c>
    </row>
    <row r="24" spans="1:7" ht="18" customHeight="1" x14ac:dyDescent="0.25">
      <c r="A24" s="45" t="s">
        <v>80</v>
      </c>
      <c r="B24" s="46"/>
      <c r="C24" s="20">
        <f>MAX(0,-MIN(D7:D18))</f>
        <v>8.4400000000000003E-2</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"&amp;TEXT('4_All_periods'!H422,"0.00000")&amp;" pu"&amp;IF('4_All_periods'!H422&gt;=1.0999," → over-voltage limit is active"," → clear of the limit, so the battery bounds it"),"blocked at 180°: Vmax there = "&amp;TEXT('4_All_periods'!H428,"0.00000")&amp;" pu"&amp;IF('4_All_periods'!H428&gt;=1.0999,"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25" priority="1">
      <formula>ISNUMBER(SEARCH("charge",$G7))</formula>
    </cfRule>
    <cfRule type="expression" dxfId="24"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176</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'4_All_periods'!I434</f>
        <v>0.1318</v>
      </c>
      <c r="C4" s="10" t="s">
        <v>69</v>
      </c>
      <c r="D4" s="11">
        <f>'4_All_periods'!J434</f>
        <v>0.20130000000000001</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'4_All_periods'!C434</f>
        <v>0</v>
      </c>
      <c r="B7" s="14">
        <f>'4_All_periods'!D434</f>
        <v>0.4123</v>
      </c>
      <c r="C7" s="14">
        <f>'4_All_periods'!E434</f>
        <v>0.50790000000000002</v>
      </c>
      <c r="D7" s="15">
        <f t="shared" ref="D7:D18" si="0">B7-$B$4</f>
        <v>0.28049999999999997</v>
      </c>
      <c r="E7" s="15">
        <f t="shared" ref="E7:E18" si="1">C7-$D$4</f>
        <v>0.30659999999999998</v>
      </c>
      <c r="F7" s="15">
        <f t="shared" ref="F7:F18" si="2">B7*COS(RADIANS(A7))+C7*SIN(RADIANS(A7))</f>
        <v>0.4123</v>
      </c>
      <c r="G7" s="16" t="str">
        <f t="shared" ref="G7:G18" si="3">IF(D7&gt;0,"charge/import","discharge/export")</f>
        <v>charge/import</v>
      </c>
    </row>
    <row r="8" spans="1:7" ht="17.100000000000001" customHeight="1" x14ac:dyDescent="0.25">
      <c r="A8" s="13">
        <f>'4_All_periods'!C435</f>
        <v>30</v>
      </c>
      <c r="B8" s="14">
        <f>'4_All_periods'!D435</f>
        <v>0.41220000000000001</v>
      </c>
      <c r="C8" s="14">
        <f>'4_All_periods'!E435</f>
        <v>0.50800000000000001</v>
      </c>
      <c r="D8" s="15">
        <f t="shared" si="0"/>
        <v>0.28039999999999998</v>
      </c>
      <c r="E8" s="15">
        <f t="shared" si="1"/>
        <v>0.30669999999999997</v>
      </c>
      <c r="F8" s="15">
        <f t="shared" si="2"/>
        <v>0.61097567143994558</v>
      </c>
      <c r="G8" s="16" t="str">
        <f t="shared" si="3"/>
        <v>charge/import</v>
      </c>
    </row>
    <row r="9" spans="1:7" ht="17.100000000000001" customHeight="1" x14ac:dyDescent="0.25">
      <c r="A9" s="13">
        <f>'4_All_periods'!C436</f>
        <v>60</v>
      </c>
      <c r="B9" s="14">
        <f>'4_All_periods'!D436</f>
        <v>0.40949999999999998</v>
      </c>
      <c r="C9" s="14">
        <f>'4_All_periods'!E436</f>
        <v>0.51039999999999996</v>
      </c>
      <c r="D9" s="15">
        <f t="shared" si="0"/>
        <v>0.27769999999999995</v>
      </c>
      <c r="E9" s="15">
        <f t="shared" si="1"/>
        <v>0.30909999999999993</v>
      </c>
      <c r="F9" s="15">
        <f t="shared" si="2"/>
        <v>0.64676936609157742</v>
      </c>
      <c r="G9" s="16" t="str">
        <f t="shared" si="3"/>
        <v>charge/import</v>
      </c>
    </row>
    <row r="10" spans="1:7" ht="17.100000000000001" customHeight="1" x14ac:dyDescent="0.25">
      <c r="A10" s="13">
        <f>'4_All_periods'!C437</f>
        <v>90</v>
      </c>
      <c r="B10" s="14">
        <f>'4_All_periods'!D437</f>
        <v>0.36609999999999998</v>
      </c>
      <c r="C10" s="14">
        <f>'4_All_periods'!E437</f>
        <v>0.5151</v>
      </c>
      <c r="D10" s="15">
        <f t="shared" si="0"/>
        <v>0.23429999999999998</v>
      </c>
      <c r="E10" s="15">
        <f t="shared" si="1"/>
        <v>0.31379999999999997</v>
      </c>
      <c r="F10" s="15">
        <f t="shared" si="2"/>
        <v>0.5151</v>
      </c>
      <c r="G10" s="16" t="str">
        <f t="shared" si="3"/>
        <v>charge/import</v>
      </c>
    </row>
    <row r="11" spans="1:7" ht="17.100000000000001" customHeight="1" x14ac:dyDescent="0.25">
      <c r="A11" s="13">
        <f>'4_All_periods'!C438</f>
        <v>120</v>
      </c>
      <c r="B11" s="14">
        <f>'4_All_periods'!D438</f>
        <v>0.20080000000000001</v>
      </c>
      <c r="C11" s="14">
        <f>'4_All_periods'!E438</f>
        <v>0.47060000000000002</v>
      </c>
      <c r="D11" s="15">
        <f t="shared" si="0"/>
        <v>6.9000000000000006E-2</v>
      </c>
      <c r="E11" s="15">
        <f t="shared" si="1"/>
        <v>0.26929999999999998</v>
      </c>
      <c r="F11" s="15">
        <f t="shared" si="2"/>
        <v>0.30715155502095692</v>
      </c>
      <c r="G11" s="16" t="str">
        <f t="shared" si="3"/>
        <v>charge/import</v>
      </c>
    </row>
    <row r="12" spans="1:7" ht="17.100000000000001" customHeight="1" x14ac:dyDescent="0.25">
      <c r="A12" s="13">
        <f>'4_All_periods'!C439</f>
        <v>150</v>
      </c>
      <c r="B12" s="14">
        <f>'4_All_periods'!D439</f>
        <v>7.9399999999999998E-2</v>
      </c>
      <c r="C12" s="14">
        <f>'4_All_periods'!E439</f>
        <v>0.3493</v>
      </c>
      <c r="D12" s="15">
        <f t="shared" si="0"/>
        <v>-5.2400000000000002E-2</v>
      </c>
      <c r="E12" s="15">
        <f t="shared" si="1"/>
        <v>0.14799999999999999</v>
      </c>
      <c r="F12" s="15">
        <f t="shared" si="2"/>
        <v>0.10588758293951554</v>
      </c>
      <c r="G12" s="16" t="str">
        <f t="shared" si="3"/>
        <v>discharge/export</v>
      </c>
    </row>
    <row r="13" spans="1:7" ht="17.100000000000001" customHeight="1" x14ac:dyDescent="0.25">
      <c r="A13" s="13">
        <f>'4_All_periods'!C440</f>
        <v>180</v>
      </c>
      <c r="B13" s="14">
        <f>'4_All_periods'!D440</f>
        <v>3.8100000000000002E-2</v>
      </c>
      <c r="C13" s="14">
        <f>'4_All_periods'!E440</f>
        <v>0.2059</v>
      </c>
      <c r="D13" s="15">
        <f t="shared" si="0"/>
        <v>-9.3700000000000006E-2</v>
      </c>
      <c r="E13" s="15">
        <f t="shared" si="1"/>
        <v>4.599999999999993E-3</v>
      </c>
      <c r="F13" s="15">
        <f t="shared" si="2"/>
        <v>-3.8099999999999974E-2</v>
      </c>
      <c r="G13" s="16" t="str">
        <f t="shared" si="3"/>
        <v>discharge/export</v>
      </c>
    </row>
    <row r="14" spans="1:7" ht="17.100000000000001" customHeight="1" x14ac:dyDescent="0.25">
      <c r="A14" s="13">
        <f>'4_All_periods'!C441</f>
        <v>210</v>
      </c>
      <c r="B14" s="14">
        <f>'4_All_periods'!D441</f>
        <v>8.2199999999999995E-2</v>
      </c>
      <c r="C14" s="14">
        <f>'4_All_periods'!E441</f>
        <v>3.9300000000000002E-2</v>
      </c>
      <c r="D14" s="15">
        <f t="shared" si="0"/>
        <v>-4.9600000000000005E-2</v>
      </c>
      <c r="E14" s="15">
        <f t="shared" si="1"/>
        <v>-0.16200000000000001</v>
      </c>
      <c r="F14" s="15">
        <f t="shared" si="2"/>
        <v>-9.0837288191080848E-2</v>
      </c>
      <c r="G14" s="16" t="str">
        <f t="shared" si="3"/>
        <v>discharge/export</v>
      </c>
    </row>
    <row r="15" spans="1:7" ht="17.100000000000001" customHeight="1" x14ac:dyDescent="0.25">
      <c r="A15" s="13">
        <f>'4_All_periods'!C442</f>
        <v>240</v>
      </c>
      <c r="B15" s="14">
        <f>'4_All_periods'!D442</f>
        <v>0.2127</v>
      </c>
      <c r="C15" s="14">
        <f>'4_All_periods'!E442</f>
        <v>-9.3399999999999997E-2</v>
      </c>
      <c r="D15" s="15">
        <f t="shared" si="0"/>
        <v>8.09E-2</v>
      </c>
      <c r="E15" s="15">
        <f t="shared" si="1"/>
        <v>-0.29470000000000002</v>
      </c>
      <c r="F15" s="15">
        <f t="shared" si="2"/>
        <v>-2.5463227286533552E-2</v>
      </c>
      <c r="G15" s="16" t="str">
        <f t="shared" si="3"/>
        <v>charge/import</v>
      </c>
    </row>
    <row r="16" spans="1:7" ht="17.100000000000001" customHeight="1" x14ac:dyDescent="0.25">
      <c r="A16" s="13">
        <f>'4_All_periods'!C443</f>
        <v>270</v>
      </c>
      <c r="B16" s="14">
        <f>'4_All_periods'!D443</f>
        <v>0.35460000000000003</v>
      </c>
      <c r="C16" s="14">
        <f>'4_All_periods'!E443</f>
        <v>-0.12909999999999999</v>
      </c>
      <c r="D16" s="15">
        <f t="shared" si="0"/>
        <v>0.22280000000000003</v>
      </c>
      <c r="E16" s="15">
        <f t="shared" si="1"/>
        <v>-0.33040000000000003</v>
      </c>
      <c r="F16" s="15">
        <f t="shared" si="2"/>
        <v>0.12909999999999994</v>
      </c>
      <c r="G16" s="16" t="str">
        <f t="shared" si="3"/>
        <v>charge/import</v>
      </c>
    </row>
    <row r="17" spans="1:7" ht="17.100000000000001" customHeight="1" x14ac:dyDescent="0.25">
      <c r="A17" s="13">
        <f>'4_All_periods'!C444</f>
        <v>300</v>
      </c>
      <c r="B17" s="14">
        <f>'4_All_periods'!D444</f>
        <v>0.40379999999999999</v>
      </c>
      <c r="C17" s="14">
        <f>'4_All_periods'!E444</f>
        <v>-0.1237</v>
      </c>
      <c r="D17" s="15">
        <f t="shared" si="0"/>
        <v>0.27200000000000002</v>
      </c>
      <c r="E17" s="15">
        <f t="shared" si="1"/>
        <v>-0.32500000000000001</v>
      </c>
      <c r="F17" s="15">
        <f t="shared" si="2"/>
        <v>0.30902734244813512</v>
      </c>
      <c r="G17" s="16" t="str">
        <f t="shared" si="3"/>
        <v>charge/import</v>
      </c>
    </row>
    <row r="18" spans="1:7" ht="17.100000000000001" customHeight="1" x14ac:dyDescent="0.25">
      <c r="A18" s="13">
        <f>'4_All_periods'!C445</f>
        <v>330</v>
      </c>
      <c r="B18" s="14">
        <f>'4_All_periods'!D445</f>
        <v>0.40660000000000002</v>
      </c>
      <c r="C18" s="14">
        <f>'4_All_periods'!E445</f>
        <v>-0.1211</v>
      </c>
      <c r="D18" s="15">
        <f t="shared" si="0"/>
        <v>0.27480000000000004</v>
      </c>
      <c r="E18" s="15">
        <f t="shared" si="1"/>
        <v>-0.32240000000000002</v>
      </c>
      <c r="F18" s="15">
        <f t="shared" si="2"/>
        <v>0.41267592917875273</v>
      </c>
      <c r="G18" s="16" t="str">
        <f t="shared" si="3"/>
        <v>charge/import</v>
      </c>
    </row>
    <row r="19" spans="1:7" ht="17.100000000000001" customHeight="1" x14ac:dyDescent="0.25">
      <c r="A19" s="17" t="s">
        <v>76</v>
      </c>
      <c r="B19" s="18">
        <f>B7</f>
        <v>0.4123</v>
      </c>
      <c r="C19" s="18">
        <f>C7</f>
        <v>0.50790000000000002</v>
      </c>
      <c r="D19" s="18">
        <f>D7</f>
        <v>0.28049999999999997</v>
      </c>
      <c r="E19" s="18">
        <f>E7</f>
        <v>0.30659999999999998</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0.37419999999999998</v>
      </c>
    </row>
    <row r="23" spans="1:7" ht="18" customHeight="1" x14ac:dyDescent="0.25">
      <c r="A23" s="45" t="s">
        <v>79</v>
      </c>
      <c r="B23" s="46"/>
      <c r="C23" s="20">
        <f>MAX(0,MAX(D7:D18))</f>
        <v>0.28049999999999997</v>
      </c>
    </row>
    <row r="24" spans="1:7" ht="18" customHeight="1" x14ac:dyDescent="0.25">
      <c r="A24" s="45" t="s">
        <v>80</v>
      </c>
      <c r="B24" s="46"/>
      <c r="C24" s="20">
        <f>MAX(0,-MIN(D7:D18))</f>
        <v>9.3700000000000006E-2</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"&amp;TEXT('4_All_periods'!H434,"0.00000")&amp;" pu"&amp;IF('4_All_periods'!H434&gt;=1.0999," → over-voltage limit is active"," → clear of the limit, so the battery bounds it"),"blocked at 180°: Vmax there = "&amp;TEXT('4_All_periods'!H440,"0.00000")&amp;" pu"&amp;IF('4_All_periods'!H440&gt;=1.0999,"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23" priority="1">
      <formula>ISNUMBER(SEARCH("charge",$G7))</formula>
    </cfRule>
    <cfRule type="expression" dxfId="22" priority="2">
      <formula>ISNUMBER(SEARCH("discharge",$G7))</formula>
    </cfRule>
  </conditionalFormatting>
  <pageMargins left="0.4" right="0.4" top="0.6" bottom="0.6" header="0.5" footer="0.5"/>
  <pageSetup scale="64" fitToHeight="0" orientation="landscape" r:id="rId1"/>
  <headerFooter>
    <oddFooter>&amp;L&amp;8 &amp;K595959TR9 rolling FOR — flexibility operating region at the PCC&amp;R&amp;8 &amp;K595959Page &amp;P of &amp;N</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177</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'4_All_periods'!I446</f>
        <v>0.36030000000000001</v>
      </c>
      <c r="C4" s="10" t="s">
        <v>69</v>
      </c>
      <c r="D4" s="11">
        <f>'4_All_periods'!J446</f>
        <v>0.193</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'4_All_periods'!C446</f>
        <v>0</v>
      </c>
      <c r="B7" s="14">
        <f>'4_All_periods'!D446</f>
        <v>0.67</v>
      </c>
      <c r="C7" s="14">
        <f>'4_All_periods'!E446</f>
        <v>0.50680000000000003</v>
      </c>
      <c r="D7" s="15">
        <f t="shared" ref="D7:D18" si="0">B7-$B$4</f>
        <v>0.30970000000000003</v>
      </c>
      <c r="E7" s="15">
        <f t="shared" ref="E7:E18" si="1">C7-$D$4</f>
        <v>0.31380000000000002</v>
      </c>
      <c r="F7" s="15">
        <f t="shared" ref="F7:F18" si="2">B7*COS(RADIANS(A7))+C7*SIN(RADIANS(A7))</f>
        <v>0.67</v>
      </c>
      <c r="G7" s="16" t="str">
        <f t="shared" ref="G7:G18" si="3">IF(D7&gt;0,"charge/import","discharge/export")</f>
        <v>charge/import</v>
      </c>
    </row>
    <row r="8" spans="1:7" ht="17.100000000000001" customHeight="1" x14ac:dyDescent="0.25">
      <c r="A8" s="13">
        <f>'4_All_periods'!C447</f>
        <v>30</v>
      </c>
      <c r="B8" s="14">
        <f>'4_All_periods'!D447</f>
        <v>0.66969999999999996</v>
      </c>
      <c r="C8" s="14">
        <f>'4_All_periods'!E447</f>
        <v>0.50770000000000004</v>
      </c>
      <c r="D8" s="15">
        <f t="shared" si="0"/>
        <v>0.30939999999999995</v>
      </c>
      <c r="E8" s="15">
        <f t="shared" si="1"/>
        <v>0.31470000000000004</v>
      </c>
      <c r="F8" s="15">
        <f t="shared" si="2"/>
        <v>0.83382721291443862</v>
      </c>
      <c r="G8" s="16" t="str">
        <f t="shared" si="3"/>
        <v>charge/import</v>
      </c>
    </row>
    <row r="9" spans="1:7" ht="17.100000000000001" customHeight="1" x14ac:dyDescent="0.25">
      <c r="A9" s="13">
        <f>'4_All_periods'!C448</f>
        <v>60</v>
      </c>
      <c r="B9" s="14">
        <f>'4_All_periods'!D448</f>
        <v>0.6673</v>
      </c>
      <c r="C9" s="14">
        <f>'4_All_periods'!E448</f>
        <v>0.50970000000000004</v>
      </c>
      <c r="D9" s="15">
        <f t="shared" si="0"/>
        <v>0.307</v>
      </c>
      <c r="E9" s="15">
        <f t="shared" si="1"/>
        <v>0.31670000000000004</v>
      </c>
      <c r="F9" s="15">
        <f t="shared" si="2"/>
        <v>0.77506314830892853</v>
      </c>
      <c r="G9" s="16" t="str">
        <f t="shared" si="3"/>
        <v>charge/import</v>
      </c>
    </row>
    <row r="10" spans="1:7" ht="17.100000000000001" customHeight="1" x14ac:dyDescent="0.25">
      <c r="A10" s="13">
        <f>'4_All_periods'!C449</f>
        <v>90</v>
      </c>
      <c r="B10" s="14">
        <f>'4_All_periods'!D449</f>
        <v>0.61539999999999995</v>
      </c>
      <c r="C10" s="14">
        <f>'4_All_periods'!E449</f>
        <v>0.51680000000000004</v>
      </c>
      <c r="D10" s="15">
        <f t="shared" si="0"/>
        <v>0.25509999999999994</v>
      </c>
      <c r="E10" s="15">
        <f t="shared" si="1"/>
        <v>0.32380000000000003</v>
      </c>
      <c r="F10" s="15">
        <f t="shared" si="2"/>
        <v>0.51680000000000004</v>
      </c>
      <c r="G10" s="16" t="str">
        <f t="shared" si="3"/>
        <v>charge/import</v>
      </c>
    </row>
    <row r="11" spans="1:7" ht="17.100000000000001" customHeight="1" x14ac:dyDescent="0.25">
      <c r="A11" s="13">
        <f>'4_All_periods'!C450</f>
        <v>120</v>
      </c>
      <c r="B11" s="14">
        <f>'4_All_periods'!D450</f>
        <v>0.44929999999999998</v>
      </c>
      <c r="C11" s="14">
        <f>'4_All_periods'!E450</f>
        <v>0.47210000000000002</v>
      </c>
      <c r="D11" s="15">
        <f t="shared" si="0"/>
        <v>8.8999999999999968E-2</v>
      </c>
      <c r="E11" s="15">
        <f t="shared" si="1"/>
        <v>0.27910000000000001</v>
      </c>
      <c r="F11" s="15">
        <f t="shared" si="2"/>
        <v>0.18420059312663364</v>
      </c>
      <c r="G11" s="16" t="str">
        <f t="shared" si="3"/>
        <v>charge/import</v>
      </c>
    </row>
    <row r="12" spans="1:7" ht="17.100000000000001" customHeight="1" x14ac:dyDescent="0.25">
      <c r="A12" s="13">
        <f>'4_All_periods'!C451</f>
        <v>150</v>
      </c>
      <c r="B12" s="14">
        <f>'4_All_periods'!D451</f>
        <v>0.32750000000000001</v>
      </c>
      <c r="C12" s="14">
        <f>'4_All_periods'!E451</f>
        <v>0.35049999999999998</v>
      </c>
      <c r="D12" s="15">
        <f t="shared" si="0"/>
        <v>-3.2799999999999996E-2</v>
      </c>
      <c r="E12" s="15">
        <f t="shared" si="1"/>
        <v>0.15749999999999997</v>
      </c>
      <c r="F12" s="15">
        <f t="shared" si="2"/>
        <v>-0.10837331973940373</v>
      </c>
      <c r="G12" s="16" t="str">
        <f t="shared" si="3"/>
        <v>discharge/export</v>
      </c>
    </row>
    <row r="13" spans="1:7" ht="17.100000000000001" customHeight="1" x14ac:dyDescent="0.25">
      <c r="A13" s="13">
        <f>'4_All_periods'!C452</f>
        <v>180</v>
      </c>
      <c r="B13" s="14">
        <f>'4_All_periods'!D452</f>
        <v>0.28689999999999999</v>
      </c>
      <c r="C13" s="14">
        <f>'4_All_periods'!E452</f>
        <v>0.20749999999999999</v>
      </c>
      <c r="D13" s="15">
        <f t="shared" si="0"/>
        <v>-7.3400000000000021E-2</v>
      </c>
      <c r="E13" s="15">
        <f t="shared" si="1"/>
        <v>1.4499999999999985E-2</v>
      </c>
      <c r="F13" s="15">
        <f t="shared" si="2"/>
        <v>-0.28689999999999999</v>
      </c>
      <c r="G13" s="16" t="str">
        <f t="shared" si="3"/>
        <v>discharge/export</v>
      </c>
    </row>
    <row r="14" spans="1:7" ht="17.100000000000001" customHeight="1" x14ac:dyDescent="0.25">
      <c r="A14" s="13">
        <f>'4_All_periods'!C453</f>
        <v>210</v>
      </c>
      <c r="B14" s="14">
        <f>'4_All_periods'!D453</f>
        <v>0.3342</v>
      </c>
      <c r="C14" s="14">
        <f>'4_All_periods'!E453</f>
        <v>3.3000000000000002E-2</v>
      </c>
      <c r="D14" s="15">
        <f t="shared" si="0"/>
        <v>-2.6100000000000012E-2</v>
      </c>
      <c r="E14" s="15">
        <f t="shared" si="1"/>
        <v>-0.16</v>
      </c>
      <c r="F14" s="15">
        <f t="shared" si="2"/>
        <v>-0.30592568994475938</v>
      </c>
      <c r="G14" s="16" t="str">
        <f t="shared" si="3"/>
        <v>discharge/export</v>
      </c>
    </row>
    <row r="15" spans="1:7" ht="17.100000000000001" customHeight="1" x14ac:dyDescent="0.25">
      <c r="A15" s="13">
        <f>'4_All_periods'!C454</f>
        <v>240</v>
      </c>
      <c r="B15" s="14">
        <f>'4_All_periods'!D454</f>
        <v>0.45550000000000002</v>
      </c>
      <c r="C15" s="14">
        <f>'4_All_periods'!E454</f>
        <v>-8.8700000000000001E-2</v>
      </c>
      <c r="D15" s="15">
        <f t="shared" si="0"/>
        <v>9.5200000000000007E-2</v>
      </c>
      <c r="E15" s="15">
        <f t="shared" si="1"/>
        <v>-0.28170000000000001</v>
      </c>
      <c r="F15" s="15">
        <f t="shared" si="2"/>
        <v>-0.15093354668432052</v>
      </c>
      <c r="G15" s="16" t="str">
        <f t="shared" si="3"/>
        <v>charge/import</v>
      </c>
    </row>
    <row r="16" spans="1:7" ht="17.100000000000001" customHeight="1" x14ac:dyDescent="0.25">
      <c r="A16" s="13">
        <f>'4_All_periods'!C455</f>
        <v>270</v>
      </c>
      <c r="B16" s="14">
        <f>'4_All_periods'!D455</f>
        <v>0.6028</v>
      </c>
      <c r="C16" s="14">
        <f>'4_All_periods'!E455</f>
        <v>-0.12690000000000001</v>
      </c>
      <c r="D16" s="15">
        <f t="shared" si="0"/>
        <v>0.24249999999999999</v>
      </c>
      <c r="E16" s="15">
        <f t="shared" si="1"/>
        <v>-0.31990000000000002</v>
      </c>
      <c r="F16" s="15">
        <f t="shared" si="2"/>
        <v>0.1268999999999999</v>
      </c>
      <c r="G16" s="16" t="str">
        <f t="shared" si="3"/>
        <v>charge/import</v>
      </c>
    </row>
    <row r="17" spans="1:7" ht="17.100000000000001" customHeight="1" x14ac:dyDescent="0.25">
      <c r="A17" s="13">
        <f>'4_All_periods'!C456</f>
        <v>300</v>
      </c>
      <c r="B17" s="14">
        <f>'4_All_periods'!D456</f>
        <v>0.66159999999999997</v>
      </c>
      <c r="C17" s="14">
        <f>'4_All_periods'!E456</f>
        <v>-0.11849999999999999</v>
      </c>
      <c r="D17" s="15">
        <f t="shared" si="0"/>
        <v>0.30129999999999996</v>
      </c>
      <c r="E17" s="15">
        <f t="shared" si="1"/>
        <v>-0.3115</v>
      </c>
      <c r="F17" s="15">
        <f t="shared" si="2"/>
        <v>0.43342401034845601</v>
      </c>
      <c r="G17" s="16" t="str">
        <f t="shared" si="3"/>
        <v>charge/import</v>
      </c>
    </row>
    <row r="18" spans="1:7" ht="17.100000000000001" customHeight="1" x14ac:dyDescent="0.25">
      <c r="A18" s="13">
        <f>'4_All_periods'!C457</f>
        <v>330</v>
      </c>
      <c r="B18" s="14">
        <f>'4_All_periods'!D457</f>
        <v>0.6643</v>
      </c>
      <c r="C18" s="14">
        <f>'4_All_periods'!E457</f>
        <v>-0.11650000000000001</v>
      </c>
      <c r="D18" s="15">
        <f t="shared" si="0"/>
        <v>0.30399999999999999</v>
      </c>
      <c r="E18" s="15">
        <f t="shared" si="1"/>
        <v>-0.3095</v>
      </c>
      <c r="F18" s="15">
        <f t="shared" si="2"/>
        <v>0.63355067573400248</v>
      </c>
      <c r="G18" s="16" t="str">
        <f t="shared" si="3"/>
        <v>charge/import</v>
      </c>
    </row>
    <row r="19" spans="1:7" ht="17.100000000000001" customHeight="1" x14ac:dyDescent="0.25">
      <c r="A19" s="17" t="s">
        <v>76</v>
      </c>
      <c r="B19" s="18">
        <f>B7</f>
        <v>0.67</v>
      </c>
      <c r="C19" s="18">
        <f>C7</f>
        <v>0.50680000000000003</v>
      </c>
      <c r="D19" s="18">
        <f>D7</f>
        <v>0.30970000000000003</v>
      </c>
      <c r="E19" s="18">
        <f>E7</f>
        <v>0.31380000000000002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0.38310000000000005</v>
      </c>
    </row>
    <row r="23" spans="1:7" ht="18" customHeight="1" x14ac:dyDescent="0.25">
      <c r="A23" s="45" t="s">
        <v>79</v>
      </c>
      <c r="B23" s="46"/>
      <c r="C23" s="20">
        <f>MAX(0,MAX(D7:D18))</f>
        <v>0.30970000000000003</v>
      </c>
    </row>
    <row r="24" spans="1:7" ht="18" customHeight="1" x14ac:dyDescent="0.25">
      <c r="A24" s="45" t="s">
        <v>80</v>
      </c>
      <c r="B24" s="46"/>
      <c r="C24" s="20">
        <f>MAX(0,-MIN(D7:D18))</f>
        <v>7.3400000000000021E-2</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"&amp;TEXT('4_All_periods'!H446,"0.00000")&amp;" pu"&amp;IF('4_All_periods'!H446&gt;=1.0999," → over-voltage limit is active"," → clear of the limit, so the battery bounds it"),"blocked at 180°: Vmax there = "&amp;TEXT('4_All_periods'!H452,"0.00000")&amp;" pu"&amp;IF('4_All_periods'!H452&gt;=1.0999,"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21" priority="1">
      <formula>ISNUMBER(SEARCH("charge",$G7))</formula>
    </cfRule>
    <cfRule type="expression" dxfId="20"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178</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'4_All_periods'!I458</f>
        <v>0.60909999999999997</v>
      </c>
      <c r="C4" s="10" t="s">
        <v>69</v>
      </c>
      <c r="D4" s="11">
        <f>'4_All_periods'!J458</f>
        <v>0.19500000000000001</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'4_All_periods'!C458</f>
        <v>0</v>
      </c>
      <c r="B7" s="14">
        <f>'4_All_periods'!D458</f>
        <v>1.0837000000000001</v>
      </c>
      <c r="C7" s="14">
        <f>'4_All_periods'!E458</f>
        <v>0.51839999999999997</v>
      </c>
      <c r="D7" s="15">
        <f t="shared" ref="D7:D18" si="0">B7-$B$4</f>
        <v>0.47460000000000013</v>
      </c>
      <c r="E7" s="15">
        <f t="shared" ref="E7:E18" si="1">C7-$D$4</f>
        <v>0.32339999999999997</v>
      </c>
      <c r="F7" s="15">
        <f t="shared" ref="F7:F18" si="2">B7*COS(RADIANS(A7))+C7*SIN(RADIANS(A7))</f>
        <v>1.0837000000000001</v>
      </c>
      <c r="G7" s="16" t="str">
        <f t="shared" ref="G7:G18" si="3">IF(D7&gt;0,"charge/import","discharge/export")</f>
        <v>charge/import</v>
      </c>
    </row>
    <row r="8" spans="1:7" ht="17.100000000000001" customHeight="1" x14ac:dyDescent="0.25">
      <c r="A8" s="13">
        <f>'4_All_periods'!C459</f>
        <v>30</v>
      </c>
      <c r="B8" s="14">
        <f>'4_All_periods'!D459</f>
        <v>1.0802</v>
      </c>
      <c r="C8" s="14">
        <f>'4_All_periods'!E459</f>
        <v>0.53410000000000002</v>
      </c>
      <c r="D8" s="15">
        <f t="shared" si="0"/>
        <v>0.47110000000000007</v>
      </c>
      <c r="E8" s="15">
        <f t="shared" si="1"/>
        <v>0.33910000000000001</v>
      </c>
      <c r="F8" s="15">
        <f t="shared" si="2"/>
        <v>1.2025306411679506</v>
      </c>
      <c r="G8" s="16" t="str">
        <f t="shared" si="3"/>
        <v>charge/import</v>
      </c>
    </row>
    <row r="9" spans="1:7" ht="17.100000000000001" customHeight="1" x14ac:dyDescent="0.25">
      <c r="A9" s="13">
        <f>'4_All_periods'!C460</f>
        <v>60</v>
      </c>
      <c r="B9" s="14">
        <f>'4_All_periods'!D460</f>
        <v>1.0701000000000001</v>
      </c>
      <c r="C9" s="14">
        <f>'4_All_periods'!E460</f>
        <v>0.54179999999999995</v>
      </c>
      <c r="D9" s="15">
        <f t="shared" si="0"/>
        <v>0.46100000000000008</v>
      </c>
      <c r="E9" s="15">
        <f t="shared" si="1"/>
        <v>0.34679999999999994</v>
      </c>
      <c r="F9" s="15">
        <f t="shared" si="2"/>
        <v>1.0042625637704088</v>
      </c>
      <c r="G9" s="16" t="str">
        <f t="shared" si="3"/>
        <v>charge/import</v>
      </c>
    </row>
    <row r="10" spans="1:7" ht="17.100000000000001" customHeight="1" x14ac:dyDescent="0.25">
      <c r="A10" s="13">
        <f>'4_All_periods'!C461</f>
        <v>90</v>
      </c>
      <c r="B10" s="14">
        <f>'4_All_periods'!D461</f>
        <v>1.0194000000000001</v>
      </c>
      <c r="C10" s="14">
        <f>'4_All_periods'!E461</f>
        <v>0.55030000000000001</v>
      </c>
      <c r="D10" s="15">
        <f t="shared" si="0"/>
        <v>0.41030000000000011</v>
      </c>
      <c r="E10" s="15">
        <f t="shared" si="1"/>
        <v>0.3553</v>
      </c>
      <c r="F10" s="15">
        <f t="shared" si="2"/>
        <v>0.55030000000000012</v>
      </c>
      <c r="G10" s="16" t="str">
        <f t="shared" si="3"/>
        <v>charge/import</v>
      </c>
    </row>
    <row r="11" spans="1:7" ht="17.100000000000001" customHeight="1" x14ac:dyDescent="0.25">
      <c r="A11" s="13">
        <f>'4_All_periods'!C462</f>
        <v>120</v>
      </c>
      <c r="B11" s="14">
        <f>'4_All_periods'!D462</f>
        <v>0.85029999999999994</v>
      </c>
      <c r="C11" s="14">
        <f>'4_All_periods'!E462</f>
        <v>0.50480000000000003</v>
      </c>
      <c r="D11" s="15">
        <f t="shared" si="0"/>
        <v>0.24119999999999997</v>
      </c>
      <c r="E11" s="15">
        <f t="shared" si="1"/>
        <v>0.30980000000000002</v>
      </c>
      <c r="F11" s="15">
        <f t="shared" si="2"/>
        <v>1.2019623830384851E-2</v>
      </c>
      <c r="G11" s="16" t="str">
        <f t="shared" si="3"/>
        <v>charge/import</v>
      </c>
    </row>
    <row r="12" spans="1:7" ht="17.100000000000001" customHeight="1" x14ac:dyDescent="0.25">
      <c r="A12" s="13">
        <f>'4_All_periods'!C463</f>
        <v>150</v>
      </c>
      <c r="B12" s="14">
        <f>'4_All_periods'!D463</f>
        <v>0.72660000000000002</v>
      </c>
      <c r="C12" s="14">
        <f>'4_All_periods'!E463</f>
        <v>0.38140000000000002</v>
      </c>
      <c r="D12" s="15">
        <f t="shared" si="0"/>
        <v>0.11750000000000005</v>
      </c>
      <c r="E12" s="15">
        <f t="shared" si="1"/>
        <v>0.18640000000000001</v>
      </c>
      <c r="F12" s="15">
        <f t="shared" si="2"/>
        <v>-0.43855405838977324</v>
      </c>
      <c r="G12" s="16" t="str">
        <f t="shared" si="3"/>
        <v>charge/import</v>
      </c>
    </row>
    <row r="13" spans="1:7" ht="17.100000000000001" customHeight="1" x14ac:dyDescent="0.25">
      <c r="A13" s="13">
        <f>'4_All_periods'!C464</f>
        <v>180</v>
      </c>
      <c r="B13" s="14">
        <f>'4_All_periods'!D464</f>
        <v>0.68369999999999997</v>
      </c>
      <c r="C13" s="14">
        <f>'4_All_periods'!E464</f>
        <v>0.23</v>
      </c>
      <c r="D13" s="15">
        <f t="shared" si="0"/>
        <v>7.46E-2</v>
      </c>
      <c r="E13" s="15">
        <f t="shared" si="1"/>
        <v>3.5000000000000003E-2</v>
      </c>
      <c r="F13" s="15">
        <f t="shared" si="2"/>
        <v>-0.68369999999999997</v>
      </c>
      <c r="G13" s="16" t="str">
        <f t="shared" si="3"/>
        <v>charge/import</v>
      </c>
    </row>
    <row r="14" spans="1:7" ht="17.100000000000001" customHeight="1" x14ac:dyDescent="0.25">
      <c r="A14" s="13">
        <f>'4_All_periods'!C465</f>
        <v>210</v>
      </c>
      <c r="B14" s="14">
        <f>'4_All_periods'!D465</f>
        <v>0.73</v>
      </c>
      <c r="C14" s="14">
        <f>'4_All_periods'!E465</f>
        <v>6.3899999999999998E-2</v>
      </c>
      <c r="D14" s="15">
        <f t="shared" si="0"/>
        <v>0.12090000000000001</v>
      </c>
      <c r="E14" s="15">
        <f t="shared" si="1"/>
        <v>-0.13109999999999999</v>
      </c>
      <c r="F14" s="15">
        <f t="shared" si="2"/>
        <v>-0.66414854476264018</v>
      </c>
      <c r="G14" s="16" t="str">
        <f t="shared" si="3"/>
        <v>charge/import</v>
      </c>
    </row>
    <row r="15" spans="1:7" ht="17.100000000000001" customHeight="1" x14ac:dyDescent="0.25">
      <c r="A15" s="13">
        <f>'4_All_periods'!C466</f>
        <v>240</v>
      </c>
      <c r="B15" s="14">
        <f>'4_All_periods'!D466</f>
        <v>0.8427</v>
      </c>
      <c r="C15" s="14">
        <f>'4_All_periods'!E466</f>
        <v>-0.05</v>
      </c>
      <c r="D15" s="15">
        <f t="shared" si="0"/>
        <v>0.23360000000000003</v>
      </c>
      <c r="E15" s="15">
        <f t="shared" si="1"/>
        <v>-0.245</v>
      </c>
      <c r="F15" s="15">
        <f t="shared" si="2"/>
        <v>-0.37804872981077847</v>
      </c>
      <c r="G15" s="16" t="str">
        <f t="shared" si="3"/>
        <v>charge/import</v>
      </c>
    </row>
    <row r="16" spans="1:7" ht="17.100000000000001" customHeight="1" x14ac:dyDescent="0.25">
      <c r="A16" s="13">
        <f>'4_All_periods'!C467</f>
        <v>270</v>
      </c>
      <c r="B16" s="14">
        <f>'4_All_periods'!D467</f>
        <v>0.99990000000000001</v>
      </c>
      <c r="C16" s="14">
        <f>'4_All_periods'!E467</f>
        <v>-9.0899999999999995E-2</v>
      </c>
      <c r="D16" s="15">
        <f t="shared" si="0"/>
        <v>0.39080000000000004</v>
      </c>
      <c r="E16" s="15">
        <f t="shared" si="1"/>
        <v>-0.28589999999999999</v>
      </c>
      <c r="F16" s="15">
        <f t="shared" si="2"/>
        <v>9.0899999999999814E-2</v>
      </c>
      <c r="G16" s="16" t="str">
        <f t="shared" si="3"/>
        <v>charge/import</v>
      </c>
    </row>
    <row r="17" spans="1:7" ht="17.100000000000001" customHeight="1" x14ac:dyDescent="0.25">
      <c r="A17" s="13">
        <f>'4_All_periods'!C468</f>
        <v>300</v>
      </c>
      <c r="B17" s="14">
        <f>'4_All_periods'!D468</f>
        <v>1.0698000000000001</v>
      </c>
      <c r="C17" s="14">
        <f>'4_All_periods'!E468</f>
        <v>-8.0100000000000005E-2</v>
      </c>
      <c r="D17" s="15">
        <f t="shared" si="0"/>
        <v>0.46070000000000011</v>
      </c>
      <c r="E17" s="15">
        <f t="shared" si="1"/>
        <v>-0.27510000000000001</v>
      </c>
      <c r="F17" s="15">
        <f t="shared" si="2"/>
        <v>0.60426863484313365</v>
      </c>
      <c r="G17" s="16" t="str">
        <f t="shared" si="3"/>
        <v>charge/import</v>
      </c>
    </row>
    <row r="18" spans="1:7" ht="17.100000000000001" customHeight="1" x14ac:dyDescent="0.25">
      <c r="A18" s="13">
        <f>'4_All_periods'!C469</f>
        <v>330</v>
      </c>
      <c r="B18" s="14">
        <f>'4_All_periods'!D469</f>
        <v>1.0746</v>
      </c>
      <c r="C18" s="14">
        <f>'4_All_periods'!E469</f>
        <v>-7.6399999999999996E-2</v>
      </c>
      <c r="D18" s="15">
        <f t="shared" si="0"/>
        <v>0.46550000000000002</v>
      </c>
      <c r="E18" s="15">
        <f t="shared" si="1"/>
        <v>-0.27139999999999997</v>
      </c>
      <c r="F18" s="15">
        <f t="shared" si="2"/>
        <v>0.96883089890675744</v>
      </c>
      <c r="G18" s="16" t="str">
        <f t="shared" si="3"/>
        <v>charge/import</v>
      </c>
    </row>
    <row r="19" spans="1:7" ht="17.100000000000001" customHeight="1" x14ac:dyDescent="0.25">
      <c r="A19" s="17" t="s">
        <v>76</v>
      </c>
      <c r="B19" s="18">
        <f>B7</f>
        <v>1.0837000000000001</v>
      </c>
      <c r="C19" s="18">
        <f>C7</f>
        <v>0.51839999999999997</v>
      </c>
      <c r="D19" s="18">
        <f>D7</f>
        <v>0.47460000000000013</v>
      </c>
      <c r="E19" s="18">
        <f>E7</f>
        <v>0.32339999999999997</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0.40000000000000013</v>
      </c>
    </row>
    <row r="23" spans="1:7" ht="18" customHeight="1" x14ac:dyDescent="0.25">
      <c r="A23" s="45" t="s">
        <v>79</v>
      </c>
      <c r="B23" s="46"/>
      <c r="C23" s="20">
        <f>MAX(0,MAX(D7:D18))</f>
        <v>0.47460000000000013</v>
      </c>
    </row>
    <row r="24" spans="1:7" ht="18" customHeight="1" x14ac:dyDescent="0.25">
      <c r="A24" s="45" t="s">
        <v>80</v>
      </c>
      <c r="B24" s="46"/>
      <c r="C24" s="20">
        <f>MAX(0,-MIN(D7:D18))</f>
        <v>0</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one-sided → charge/import only (no export headroom)</v>
      </c>
      <c r="D25" s="55"/>
      <c r="E25" s="55"/>
      <c r="F25" s="55"/>
      <c r="G25" s="56"/>
    </row>
    <row r="26" spans="1:7" ht="18" customHeight="1" x14ac:dyDescent="0.25">
      <c r="A26" s="51" t="s">
        <v>191</v>
      </c>
      <c r="B26" s="52"/>
      <c r="C26" s="53" t="str">
        <f>IF(AND(C23&gt;0.02,C24&gt;0.02),"both directions have headroom",IF(C23&lt;=0.02,"blocked at 0°: Vmax there = "&amp;TEXT('4_All_periods'!H458,"0.00000")&amp;" pu"&amp;IF('4_All_periods'!H458&gt;=1.0999," → over-voltage limit is active"," → clear of the limit, so the battery bounds it"),"blocked at 180°: Vmax there = "&amp;TEXT('4_All_periods'!H464,"0.00000")&amp;" pu"&amp;IF('4_All_periods'!H464&gt;=1.0999," → over-voltage limit is active"," → clear of the limit, so the battery bounds it")))</f>
        <v>blocked at 180°: Vmax there = 1.10000 pu → over-voltage limit is active</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19" priority="1">
      <formula>ISNUMBER(SEARCH("charge",$G7))</formula>
    </cfRule>
    <cfRule type="expression" dxfId="18"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179</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'4_All_periods'!I470</f>
        <v>1.0097</v>
      </c>
      <c r="C4" s="10" t="s">
        <v>69</v>
      </c>
      <c r="D4" s="11">
        <f>'4_All_periods'!J470</f>
        <v>0.22969999999999999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'4_All_periods'!C470</f>
        <v>0</v>
      </c>
      <c r="B7" s="14">
        <f>'4_All_periods'!D470</f>
        <v>1.2639</v>
      </c>
      <c r="C7" s="14">
        <f>'4_All_periods'!E470</f>
        <v>0.50039999999999996</v>
      </c>
      <c r="D7" s="15">
        <f t="shared" ref="D7:D18" si="0">B7-$B$4</f>
        <v>0.25419999999999998</v>
      </c>
      <c r="E7" s="15">
        <f t="shared" ref="E7:E18" si="1">C7-$D$4</f>
        <v>0.27069999999999994</v>
      </c>
      <c r="F7" s="15">
        <f t="shared" ref="F7:F18" si="2">B7*COS(RADIANS(A7))+C7*SIN(RADIANS(A7))</f>
        <v>1.2639</v>
      </c>
      <c r="G7" s="16" t="str">
        <f t="shared" ref="G7:G18" si="3">IF(D7&gt;0,"charge/import","discharge/export")</f>
        <v>charge/import</v>
      </c>
    </row>
    <row r="8" spans="1:7" ht="17.100000000000001" customHeight="1" x14ac:dyDescent="0.25">
      <c r="A8" s="13">
        <f>'4_All_periods'!C471</f>
        <v>30</v>
      </c>
      <c r="B8" s="14">
        <f>'4_All_periods'!D471</f>
        <v>1.2548999999999999</v>
      </c>
      <c r="C8" s="14">
        <f>'4_All_periods'!E471</f>
        <v>0.5323</v>
      </c>
      <c r="D8" s="15">
        <f t="shared" si="0"/>
        <v>0.24519999999999986</v>
      </c>
      <c r="E8" s="15">
        <f t="shared" si="1"/>
        <v>0.30259999999999998</v>
      </c>
      <c r="F8" s="15">
        <f t="shared" si="2"/>
        <v>1.352925279209092</v>
      </c>
      <c r="G8" s="16" t="str">
        <f t="shared" si="3"/>
        <v>charge/import</v>
      </c>
    </row>
    <row r="9" spans="1:7" ht="17.100000000000001" customHeight="1" x14ac:dyDescent="0.25">
      <c r="A9" s="13">
        <f>'4_All_periods'!C472</f>
        <v>60</v>
      </c>
      <c r="B9" s="14">
        <f>'4_All_periods'!D472</f>
        <v>1.2371000000000001</v>
      </c>
      <c r="C9" s="14">
        <f>'4_All_periods'!E472</f>
        <v>0.54679999999999995</v>
      </c>
      <c r="D9" s="15">
        <f t="shared" si="0"/>
        <v>0.22740000000000005</v>
      </c>
      <c r="E9" s="15">
        <f t="shared" si="1"/>
        <v>0.31709999999999994</v>
      </c>
      <c r="F9" s="15">
        <f t="shared" si="2"/>
        <v>1.0920926907893311</v>
      </c>
      <c r="G9" s="16" t="str">
        <f t="shared" si="3"/>
        <v>charge/import</v>
      </c>
    </row>
    <row r="10" spans="1:7" ht="17.100000000000001" customHeight="1" x14ac:dyDescent="0.25">
      <c r="A10" s="13">
        <f>'4_All_periods'!C473</f>
        <v>90</v>
      </c>
      <c r="B10" s="14">
        <f>'4_All_periods'!D473</f>
        <v>1.1606000000000001</v>
      </c>
      <c r="C10" s="14">
        <f>'4_All_periods'!E473</f>
        <v>0.56399999999999995</v>
      </c>
      <c r="D10" s="15">
        <f t="shared" si="0"/>
        <v>0.15090000000000003</v>
      </c>
      <c r="E10" s="15">
        <f t="shared" si="1"/>
        <v>0.33429999999999993</v>
      </c>
      <c r="F10" s="15">
        <f t="shared" si="2"/>
        <v>0.56400000000000006</v>
      </c>
      <c r="G10" s="16" t="str">
        <f t="shared" si="3"/>
        <v>charge/import</v>
      </c>
    </row>
    <row r="11" spans="1:7" ht="17.100000000000001" customHeight="1" x14ac:dyDescent="0.25">
      <c r="A11" s="13">
        <f>'4_All_periods'!C474</f>
        <v>120</v>
      </c>
      <c r="B11" s="14">
        <f>'4_All_periods'!D474</f>
        <v>0.99690000000000001</v>
      </c>
      <c r="C11" s="14">
        <f>'4_All_periods'!E474</f>
        <v>0.51849999999999996</v>
      </c>
      <c r="D11" s="15">
        <f t="shared" si="0"/>
        <v>-1.2800000000000034E-2</v>
      </c>
      <c r="E11" s="15">
        <f t="shared" si="1"/>
        <v>0.28879999999999995</v>
      </c>
      <c r="F11" s="15">
        <f t="shared" si="2"/>
        <v>-4.9415828137768347E-2</v>
      </c>
      <c r="G11" s="16" t="str">
        <f t="shared" si="3"/>
        <v>discharge/export</v>
      </c>
    </row>
    <row r="12" spans="1:7" ht="17.100000000000001" customHeight="1" x14ac:dyDescent="0.25">
      <c r="A12" s="13">
        <f>'4_All_periods'!C475</f>
        <v>150</v>
      </c>
      <c r="B12" s="14">
        <f>'4_All_periods'!D475</f>
        <v>0.87250000000000005</v>
      </c>
      <c r="C12" s="14">
        <f>'4_All_periods'!E475</f>
        <v>0.39450000000000002</v>
      </c>
      <c r="D12" s="15">
        <f t="shared" si="0"/>
        <v>-0.13719999999999999</v>
      </c>
      <c r="E12" s="15">
        <f t="shared" si="1"/>
        <v>0.16480000000000003</v>
      </c>
      <c r="F12" s="15">
        <f t="shared" si="2"/>
        <v>-0.55835716480192277</v>
      </c>
      <c r="G12" s="16" t="str">
        <f t="shared" si="3"/>
        <v>discharge/export</v>
      </c>
    </row>
    <row r="13" spans="1:7" ht="17.100000000000001" customHeight="1" x14ac:dyDescent="0.25">
      <c r="A13" s="13">
        <f>'4_All_periods'!C476</f>
        <v>180</v>
      </c>
      <c r="B13" s="14">
        <f>'4_All_periods'!D476</f>
        <v>0.82940000000000003</v>
      </c>
      <c r="C13" s="14">
        <f>'4_All_periods'!E476</f>
        <v>0.23960000000000001</v>
      </c>
      <c r="D13" s="15">
        <f t="shared" si="0"/>
        <v>-0.18030000000000002</v>
      </c>
      <c r="E13" s="15">
        <f t="shared" si="1"/>
        <v>9.9000000000000199E-3</v>
      </c>
      <c r="F13" s="15">
        <f t="shared" si="2"/>
        <v>-0.82940000000000003</v>
      </c>
      <c r="G13" s="16" t="str">
        <f t="shared" si="3"/>
        <v>discharge/export</v>
      </c>
    </row>
    <row r="14" spans="1:7" ht="17.100000000000001" customHeight="1" x14ac:dyDescent="0.25">
      <c r="A14" s="13">
        <f>'4_All_periods'!C477</f>
        <v>210</v>
      </c>
      <c r="B14" s="14">
        <f>'4_All_periods'!D477</f>
        <v>0.87309999999999999</v>
      </c>
      <c r="C14" s="14">
        <f>'4_All_periods'!E477</f>
        <v>7.9100000000000004E-2</v>
      </c>
      <c r="D14" s="15">
        <f t="shared" si="0"/>
        <v>-0.13660000000000005</v>
      </c>
      <c r="E14" s="15">
        <f t="shared" si="1"/>
        <v>-0.15059999999999998</v>
      </c>
      <c r="F14" s="15">
        <f t="shared" si="2"/>
        <v>-0.79567678004419329</v>
      </c>
      <c r="G14" s="16" t="str">
        <f t="shared" si="3"/>
        <v>discharge/export</v>
      </c>
    </row>
    <row r="15" spans="1:7" ht="17.100000000000001" customHeight="1" x14ac:dyDescent="0.25">
      <c r="A15" s="13">
        <f>'4_All_periods'!C478</f>
        <v>240</v>
      </c>
      <c r="B15" s="14">
        <f>'4_All_periods'!D478</f>
        <v>0.98580000000000001</v>
      </c>
      <c r="C15" s="14">
        <f>'4_All_periods'!E478</f>
        <v>-3.4200000000000001E-2</v>
      </c>
      <c r="D15" s="15">
        <f t="shared" si="0"/>
        <v>-2.3900000000000032E-2</v>
      </c>
      <c r="E15" s="15">
        <f t="shared" si="1"/>
        <v>-0.26389999999999997</v>
      </c>
      <c r="F15" s="15">
        <f t="shared" si="2"/>
        <v>-0.46328193119057265</v>
      </c>
      <c r="G15" s="16" t="str">
        <f t="shared" si="3"/>
        <v>discharge/export</v>
      </c>
    </row>
    <row r="16" spans="1:7" ht="17.100000000000001" customHeight="1" x14ac:dyDescent="0.25">
      <c r="A16" s="13">
        <f>'4_All_periods'!C479</f>
        <v>270</v>
      </c>
      <c r="B16" s="14">
        <f>'4_All_periods'!D479</f>
        <v>1.1454</v>
      </c>
      <c r="C16" s="14">
        <f>'4_All_periods'!E479</f>
        <v>-7.5999999999999998E-2</v>
      </c>
      <c r="D16" s="15">
        <f t="shared" si="0"/>
        <v>0.13569999999999993</v>
      </c>
      <c r="E16" s="15">
        <f t="shared" si="1"/>
        <v>-0.30569999999999997</v>
      </c>
      <c r="F16" s="15">
        <f t="shared" si="2"/>
        <v>7.599999999999979E-2</v>
      </c>
      <c r="G16" s="16" t="str">
        <f t="shared" si="3"/>
        <v>charge/import</v>
      </c>
    </row>
    <row r="17" spans="1:7" ht="17.100000000000001" customHeight="1" x14ac:dyDescent="0.25">
      <c r="A17" s="13">
        <f>'4_All_periods'!C480</f>
        <v>300</v>
      </c>
      <c r="B17" s="14">
        <f>'4_All_periods'!D480</f>
        <v>1.2436</v>
      </c>
      <c r="C17" s="14">
        <f>'4_All_periods'!E480</f>
        <v>-5.7500000000000002E-2</v>
      </c>
      <c r="D17" s="15">
        <f t="shared" si="0"/>
        <v>0.2339</v>
      </c>
      <c r="E17" s="15">
        <f t="shared" si="1"/>
        <v>-0.28720000000000001</v>
      </c>
      <c r="F17" s="15">
        <f t="shared" si="2"/>
        <v>0.67159646071760537</v>
      </c>
      <c r="G17" s="16" t="str">
        <f t="shared" si="3"/>
        <v>charge/import</v>
      </c>
    </row>
    <row r="18" spans="1:7" ht="17.100000000000001" customHeight="1" x14ac:dyDescent="0.25">
      <c r="A18" s="13">
        <f>'4_All_periods'!C481</f>
        <v>330</v>
      </c>
      <c r="B18" s="14">
        <f>'4_All_periods'!D481</f>
        <v>1.2543</v>
      </c>
      <c r="C18" s="14">
        <f>'4_All_periods'!E481</f>
        <v>-4.8500000000000001E-2</v>
      </c>
      <c r="D18" s="15">
        <f t="shared" si="0"/>
        <v>0.24459999999999993</v>
      </c>
      <c r="E18" s="15">
        <f t="shared" si="1"/>
        <v>-0.2782</v>
      </c>
      <c r="F18" s="15">
        <f t="shared" si="2"/>
        <v>1.1105056639668212</v>
      </c>
      <c r="G18" s="16" t="str">
        <f t="shared" si="3"/>
        <v>charge/import</v>
      </c>
    </row>
    <row r="19" spans="1:7" ht="17.100000000000001" customHeight="1" x14ac:dyDescent="0.25">
      <c r="A19" s="17" t="s">
        <v>76</v>
      </c>
      <c r="B19" s="18">
        <f>B7</f>
        <v>1.2639</v>
      </c>
      <c r="C19" s="18">
        <f>C7</f>
        <v>0.50039999999999996</v>
      </c>
      <c r="D19" s="18">
        <f>D7</f>
        <v>0.25419999999999998</v>
      </c>
      <c r="E19" s="18">
        <f>E7</f>
        <v>0.27069999999999994</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0.4345</v>
      </c>
    </row>
    <row r="23" spans="1:7" ht="18" customHeight="1" x14ac:dyDescent="0.25">
      <c r="A23" s="45" t="s">
        <v>79</v>
      </c>
      <c r="B23" s="46"/>
      <c r="C23" s="20">
        <f>MAX(0,MAX(D7:D18))</f>
        <v>0.25419999999999998</v>
      </c>
    </row>
    <row r="24" spans="1:7" ht="18" customHeight="1" x14ac:dyDescent="0.25">
      <c r="A24" s="45" t="s">
        <v>80</v>
      </c>
      <c r="B24" s="46"/>
      <c r="C24" s="20">
        <f>MAX(0,-MIN(D7:D18))</f>
        <v>0.18030000000000002</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"&amp;TEXT('4_All_periods'!H470,"0.00000")&amp;" pu"&amp;IF('4_All_periods'!H470&gt;=1.0999," → over-voltage limit is active"," → clear of the limit, so the battery bounds it"),"blocked at 180°: Vmax there = "&amp;TEXT('4_All_periods'!H476,"0.00000")&amp;" pu"&amp;IF('4_All_periods'!H476&gt;=1.0999,"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17" priority="1">
      <formula>ISNUMBER(SEARCH("charge",$G7))</formula>
    </cfRule>
    <cfRule type="expression" dxfId="16"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180</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'4_All_periods'!I482</f>
        <v>1.1563000000000001</v>
      </c>
      <c r="C4" s="10" t="s">
        <v>69</v>
      </c>
      <c r="D4" s="11">
        <f>'4_All_periods'!J482</f>
        <v>0.2442</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'4_All_periods'!C482</f>
        <v>0</v>
      </c>
      <c r="B7" s="14">
        <f>'4_All_periods'!D482</f>
        <v>1.3748</v>
      </c>
      <c r="C7" s="14">
        <f>'4_All_periods'!E482</f>
        <v>0.47710000000000002</v>
      </c>
      <c r="D7" s="15">
        <f t="shared" ref="D7:D18" si="0">B7-$B$4</f>
        <v>0.21849999999999992</v>
      </c>
      <c r="E7" s="15">
        <f t="shared" ref="E7:E18" si="1">C7-$D$4</f>
        <v>0.23290000000000002</v>
      </c>
      <c r="F7" s="15">
        <f t="shared" ref="F7:F18" si="2">B7*COS(RADIANS(A7))+C7*SIN(RADIANS(A7))</f>
        <v>1.3748</v>
      </c>
      <c r="G7" s="16" t="str">
        <f t="shared" ref="G7:G18" si="3">IF(D7&gt;0,"charge/import","discharge/export")</f>
        <v>charge/import</v>
      </c>
    </row>
    <row r="8" spans="1:7" ht="17.100000000000001" customHeight="1" x14ac:dyDescent="0.25">
      <c r="A8" s="13">
        <f>'4_All_periods'!C483</f>
        <v>30</v>
      </c>
      <c r="B8" s="14">
        <f>'4_All_periods'!D483</f>
        <v>1.3601000000000001</v>
      </c>
      <c r="C8" s="14">
        <f>'4_All_periods'!E483</f>
        <v>0.5232</v>
      </c>
      <c r="D8" s="15">
        <f t="shared" si="0"/>
        <v>0.20379999999999998</v>
      </c>
      <c r="E8" s="15">
        <f t="shared" si="1"/>
        <v>0.27900000000000003</v>
      </c>
      <c r="F8" s="15">
        <f t="shared" si="2"/>
        <v>1.439481151687215</v>
      </c>
      <c r="G8" s="16" t="str">
        <f t="shared" si="3"/>
        <v>charge/import</v>
      </c>
    </row>
    <row r="9" spans="1:7" ht="17.100000000000001" customHeight="1" x14ac:dyDescent="0.25">
      <c r="A9" s="13">
        <f>'4_All_periods'!C484</f>
        <v>60</v>
      </c>
      <c r="B9" s="14">
        <f>'4_All_periods'!D484</f>
        <v>1.3297000000000001</v>
      </c>
      <c r="C9" s="14">
        <f>'4_All_periods'!E484</f>
        <v>0.55200000000000005</v>
      </c>
      <c r="D9" s="15">
        <f t="shared" si="0"/>
        <v>0.1734</v>
      </c>
      <c r="E9" s="15">
        <f t="shared" si="1"/>
        <v>0.30780000000000007</v>
      </c>
      <c r="F9" s="15">
        <f t="shared" si="2"/>
        <v>1.1428960228890104</v>
      </c>
      <c r="G9" s="16" t="str">
        <f t="shared" si="3"/>
        <v>charge/import</v>
      </c>
    </row>
    <row r="10" spans="1:7" ht="17.100000000000001" customHeight="1" x14ac:dyDescent="0.25">
      <c r="A10" s="13">
        <f>'4_All_periods'!C485</f>
        <v>90</v>
      </c>
      <c r="B10" s="14">
        <f>'4_All_periods'!D485</f>
        <v>1.2333000000000001</v>
      </c>
      <c r="C10" s="14">
        <f>'4_All_periods'!E485</f>
        <v>0.57620000000000005</v>
      </c>
      <c r="D10" s="15">
        <f t="shared" si="0"/>
        <v>7.6999999999999957E-2</v>
      </c>
      <c r="E10" s="15">
        <f t="shared" si="1"/>
        <v>0.33200000000000007</v>
      </c>
      <c r="F10" s="15">
        <f t="shared" si="2"/>
        <v>0.57620000000000016</v>
      </c>
      <c r="G10" s="16" t="str">
        <f t="shared" si="3"/>
        <v>charge/import</v>
      </c>
    </row>
    <row r="11" spans="1:7" ht="17.100000000000001" customHeight="1" x14ac:dyDescent="0.25">
      <c r="A11" s="13">
        <f>'4_All_periods'!C486</f>
        <v>120</v>
      </c>
      <c r="B11" s="14">
        <f>'4_All_periods'!D486</f>
        <v>1.0729</v>
      </c>
      <c r="C11" s="14">
        <f>'4_All_periods'!E486</f>
        <v>0.53139999999999998</v>
      </c>
      <c r="D11" s="15">
        <f t="shared" si="0"/>
        <v>-8.3400000000000141E-2</v>
      </c>
      <c r="E11" s="15">
        <f t="shared" si="1"/>
        <v>0.28720000000000001</v>
      </c>
      <c r="F11" s="15">
        <f t="shared" si="2"/>
        <v>-7.6244100428949024E-2</v>
      </c>
      <c r="G11" s="16" t="str">
        <f t="shared" si="3"/>
        <v>discharge/export</v>
      </c>
    </row>
    <row r="12" spans="1:7" ht="17.100000000000001" customHeight="1" x14ac:dyDescent="0.25">
      <c r="A12" s="13">
        <f>'4_All_periods'!C487</f>
        <v>150</v>
      </c>
      <c r="B12" s="14">
        <f>'4_All_periods'!D487</f>
        <v>0.94979999999999998</v>
      </c>
      <c r="C12" s="14">
        <f>'4_All_periods'!E487</f>
        <v>0.40870000000000001</v>
      </c>
      <c r="D12" s="15">
        <f t="shared" si="0"/>
        <v>-0.20650000000000013</v>
      </c>
      <c r="E12" s="15">
        <f t="shared" si="1"/>
        <v>0.16450000000000001</v>
      </c>
      <c r="F12" s="15">
        <f t="shared" si="2"/>
        <v>-0.61820092851445985</v>
      </c>
      <c r="G12" s="16" t="str">
        <f t="shared" si="3"/>
        <v>discharge/export</v>
      </c>
    </row>
    <row r="13" spans="1:7" ht="17.100000000000001" customHeight="1" x14ac:dyDescent="0.25">
      <c r="A13" s="13">
        <f>'4_All_periods'!C488</f>
        <v>180</v>
      </c>
      <c r="B13" s="14">
        <f>'4_All_periods'!D488</f>
        <v>0.90810000000000002</v>
      </c>
      <c r="C13" s="14">
        <f>'4_All_periods'!E488</f>
        <v>0.25679999999999997</v>
      </c>
      <c r="D13" s="15">
        <f t="shared" si="0"/>
        <v>-0.24820000000000009</v>
      </c>
      <c r="E13" s="15">
        <f t="shared" si="1"/>
        <v>1.2599999999999972E-2</v>
      </c>
      <c r="F13" s="15">
        <f t="shared" si="2"/>
        <v>-0.90810000000000002</v>
      </c>
      <c r="G13" s="16" t="str">
        <f t="shared" si="3"/>
        <v>discharge/export</v>
      </c>
    </row>
    <row r="14" spans="1:7" ht="17.100000000000001" customHeight="1" x14ac:dyDescent="0.25">
      <c r="A14" s="13">
        <f>'4_All_periods'!C489</f>
        <v>210</v>
      </c>
      <c r="B14" s="14">
        <f>'4_All_periods'!D489</f>
        <v>0.95079999999999998</v>
      </c>
      <c r="C14" s="14">
        <f>'4_All_periods'!E489</f>
        <v>8.9399999999999993E-2</v>
      </c>
      <c r="D14" s="15">
        <f t="shared" si="0"/>
        <v>-0.20550000000000013</v>
      </c>
      <c r="E14" s="15">
        <f t="shared" si="1"/>
        <v>-0.15479999999999999</v>
      </c>
      <c r="F14" s="15">
        <f t="shared" si="2"/>
        <v>-0.86811695391824417</v>
      </c>
      <c r="G14" s="16" t="str">
        <f t="shared" si="3"/>
        <v>discharge/export</v>
      </c>
    </row>
    <row r="15" spans="1:7" ht="17.100000000000001" customHeight="1" x14ac:dyDescent="0.25">
      <c r="A15" s="13">
        <f>'4_All_periods'!C490</f>
        <v>240</v>
      </c>
      <c r="B15" s="14">
        <f>'4_All_periods'!D490</f>
        <v>1.0619000000000001</v>
      </c>
      <c r="C15" s="14">
        <f>'4_All_periods'!E490</f>
        <v>-2.1899999999999999E-2</v>
      </c>
      <c r="D15" s="15">
        <f t="shared" si="0"/>
        <v>-9.4400000000000039E-2</v>
      </c>
      <c r="E15" s="15">
        <f t="shared" si="1"/>
        <v>-0.2661</v>
      </c>
      <c r="F15" s="15">
        <f t="shared" si="2"/>
        <v>-0.51198404365712125</v>
      </c>
      <c r="G15" s="16" t="str">
        <f t="shared" si="3"/>
        <v>discharge/export</v>
      </c>
    </row>
    <row r="16" spans="1:7" ht="17.100000000000001" customHeight="1" x14ac:dyDescent="0.25">
      <c r="A16" s="13">
        <f>'4_All_periods'!C491</f>
        <v>270</v>
      </c>
      <c r="B16" s="14">
        <f>'4_All_periods'!D491</f>
        <v>1.2202</v>
      </c>
      <c r="C16" s="14">
        <f>'4_All_periods'!E491</f>
        <v>-6.3299999999999995E-2</v>
      </c>
      <c r="D16" s="15">
        <f t="shared" si="0"/>
        <v>6.3899999999999846E-2</v>
      </c>
      <c r="E16" s="15">
        <f t="shared" si="1"/>
        <v>-0.3075</v>
      </c>
      <c r="F16" s="15">
        <f t="shared" si="2"/>
        <v>6.3299999999999773E-2</v>
      </c>
      <c r="G16" s="16" t="str">
        <f t="shared" si="3"/>
        <v>charge/import</v>
      </c>
    </row>
    <row r="17" spans="1:7" ht="17.100000000000001" customHeight="1" x14ac:dyDescent="0.25">
      <c r="A17" s="13">
        <f>'4_All_periods'!C492</f>
        <v>300</v>
      </c>
      <c r="B17" s="14">
        <f>'4_All_periods'!D492</f>
        <v>1.3419000000000001</v>
      </c>
      <c r="C17" s="14">
        <f>'4_All_periods'!E492</f>
        <v>-3.6999999999999998E-2</v>
      </c>
      <c r="D17" s="15">
        <f t="shared" si="0"/>
        <v>0.18559999999999999</v>
      </c>
      <c r="E17" s="15">
        <f t="shared" si="1"/>
        <v>-0.28120000000000001</v>
      </c>
      <c r="F17" s="15">
        <f t="shared" si="2"/>
        <v>0.70299293994002443</v>
      </c>
      <c r="G17" s="16" t="str">
        <f t="shared" si="3"/>
        <v>charge/import</v>
      </c>
    </row>
    <row r="18" spans="1:7" ht="17.100000000000001" customHeight="1" x14ac:dyDescent="0.25">
      <c r="A18" s="13">
        <f>'4_All_periods'!C493</f>
        <v>330</v>
      </c>
      <c r="B18" s="14">
        <f>'4_All_periods'!D493</f>
        <v>1.3645</v>
      </c>
      <c r="C18" s="14">
        <f>'4_All_periods'!E493</f>
        <v>-1.6899999999999998E-2</v>
      </c>
      <c r="D18" s="15">
        <f t="shared" si="0"/>
        <v>0.20819999999999994</v>
      </c>
      <c r="E18" s="15">
        <f t="shared" si="1"/>
        <v>-0.2611</v>
      </c>
      <c r="F18" s="15">
        <f t="shared" si="2"/>
        <v>1.1901416634638662</v>
      </c>
      <c r="G18" s="16" t="str">
        <f t="shared" si="3"/>
        <v>charge/import</v>
      </c>
    </row>
    <row r="19" spans="1:7" ht="17.100000000000001" customHeight="1" x14ac:dyDescent="0.25">
      <c r="A19" s="17" t="s">
        <v>76</v>
      </c>
      <c r="B19" s="18">
        <f>B7</f>
        <v>1.3748</v>
      </c>
      <c r="C19" s="18">
        <f>C7</f>
        <v>0.47710000000000002</v>
      </c>
      <c r="D19" s="18">
        <f>D7</f>
        <v>0.21849999999999992</v>
      </c>
      <c r="E19" s="18">
        <f>E7</f>
        <v>0.23290000000000002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0.4667</v>
      </c>
    </row>
    <row r="23" spans="1:7" ht="18" customHeight="1" x14ac:dyDescent="0.25">
      <c r="A23" s="45" t="s">
        <v>79</v>
      </c>
      <c r="B23" s="46"/>
      <c r="C23" s="20">
        <f>MAX(0,MAX(D7:D18))</f>
        <v>0.21849999999999992</v>
      </c>
    </row>
    <row r="24" spans="1:7" ht="18" customHeight="1" x14ac:dyDescent="0.25">
      <c r="A24" s="45" t="s">
        <v>80</v>
      </c>
      <c r="B24" s="46"/>
      <c r="C24" s="20">
        <f>MAX(0,-MIN(D7:D18))</f>
        <v>0.24820000000000009</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"&amp;TEXT('4_All_periods'!H482,"0.00000")&amp;" pu"&amp;IF('4_All_periods'!H482&gt;=1.0999," → over-voltage limit is active"," → clear of the limit, so the battery bounds it"),"blocked at 180°: Vmax there = "&amp;TEXT('4_All_periods'!H488,"0.00000")&amp;" pu"&amp;IF('4_All_periods'!H488&gt;=1.0999,"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15" priority="1">
      <formula>ISNUMBER(SEARCH("charge",$G7))</formula>
    </cfRule>
    <cfRule type="expression" dxfId="14"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181</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'4_All_periods'!I494</f>
        <v>1.2314000000000001</v>
      </c>
      <c r="C4" s="10" t="s">
        <v>69</v>
      </c>
      <c r="D4" s="11">
        <f>'4_All_periods'!J494</f>
        <v>0.25679999999999997</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'4_All_periods'!C494</f>
        <v>0</v>
      </c>
      <c r="B7" s="14">
        <f>'4_All_periods'!D494</f>
        <v>1.4133</v>
      </c>
      <c r="C7" s="14">
        <f>'4_All_periods'!E494</f>
        <v>0.41570000000000001</v>
      </c>
      <c r="D7" s="15">
        <f t="shared" ref="D7:D18" si="0">B7-$B$4</f>
        <v>0.18189999999999995</v>
      </c>
      <c r="E7" s="15">
        <f t="shared" ref="E7:E18" si="1">C7-$D$4</f>
        <v>0.15890000000000004</v>
      </c>
      <c r="F7" s="15">
        <f t="shared" ref="F7:F18" si="2">B7*COS(RADIANS(A7))+C7*SIN(RADIANS(A7))</f>
        <v>1.4133</v>
      </c>
      <c r="G7" s="16" t="str">
        <f t="shared" ref="G7:G18" si="3">IF(D7&gt;0,"charge/import","discharge/export")</f>
        <v>charge/import</v>
      </c>
    </row>
    <row r="8" spans="1:7" ht="17.100000000000001" customHeight="1" x14ac:dyDescent="0.25">
      <c r="A8" s="13">
        <f>'4_All_periods'!C495</f>
        <v>30</v>
      </c>
      <c r="B8" s="14">
        <f>'4_All_periods'!D495</f>
        <v>1.3937999999999999</v>
      </c>
      <c r="C8" s="14">
        <f>'4_All_periods'!E495</f>
        <v>0.50090000000000001</v>
      </c>
      <c r="D8" s="15">
        <f t="shared" si="0"/>
        <v>0.16239999999999988</v>
      </c>
      <c r="E8" s="15">
        <f t="shared" si="1"/>
        <v>0.24410000000000004</v>
      </c>
      <c r="F8" s="15">
        <f t="shared" si="2"/>
        <v>1.4575162077947508</v>
      </c>
      <c r="G8" s="16" t="str">
        <f t="shared" si="3"/>
        <v>charge/import</v>
      </c>
    </row>
    <row r="9" spans="1:7" ht="17.100000000000001" customHeight="1" x14ac:dyDescent="0.25">
      <c r="A9" s="13">
        <f>'4_All_periods'!C496</f>
        <v>60</v>
      </c>
      <c r="B9" s="14">
        <f>'4_All_periods'!D496</f>
        <v>1.3452999999999999</v>
      </c>
      <c r="C9" s="14">
        <f>'4_All_periods'!E496</f>
        <v>0.54730000000000001</v>
      </c>
      <c r="D9" s="15">
        <f t="shared" si="0"/>
        <v>0.11389999999999989</v>
      </c>
      <c r="E9" s="15">
        <f t="shared" si="1"/>
        <v>0.29050000000000004</v>
      </c>
      <c r="F9" s="15">
        <f t="shared" si="2"/>
        <v>1.1466257034912233</v>
      </c>
      <c r="G9" s="16" t="str">
        <f t="shared" si="3"/>
        <v>charge/import</v>
      </c>
    </row>
    <row r="10" spans="1:7" ht="17.100000000000001" customHeight="1" x14ac:dyDescent="0.25">
      <c r="A10" s="13">
        <f>'4_All_periods'!C497</f>
        <v>90</v>
      </c>
      <c r="B10" s="14">
        <f>'4_All_periods'!D497</f>
        <v>1.2363</v>
      </c>
      <c r="C10" s="14">
        <f>'4_All_periods'!E497</f>
        <v>0.57689999999999997</v>
      </c>
      <c r="D10" s="15">
        <f t="shared" si="0"/>
        <v>4.8999999999999044E-3</v>
      </c>
      <c r="E10" s="15">
        <f t="shared" si="1"/>
        <v>0.3201</v>
      </c>
      <c r="F10" s="15">
        <f t="shared" si="2"/>
        <v>0.57690000000000008</v>
      </c>
      <c r="G10" s="16" t="str">
        <f t="shared" si="3"/>
        <v>charge/import</v>
      </c>
    </row>
    <row r="11" spans="1:7" ht="17.100000000000001" customHeight="1" x14ac:dyDescent="0.25">
      <c r="A11" s="13">
        <f>'4_All_periods'!C498</f>
        <v>120</v>
      </c>
      <c r="B11" s="14">
        <f>'4_All_periods'!D498</f>
        <v>1.0793999999999999</v>
      </c>
      <c r="C11" s="14">
        <f>'4_All_periods'!E498</f>
        <v>0.5323</v>
      </c>
      <c r="D11" s="15">
        <f t="shared" si="0"/>
        <v>-0.15200000000000014</v>
      </c>
      <c r="E11" s="15">
        <f t="shared" si="1"/>
        <v>0.27550000000000002</v>
      </c>
      <c r="F11" s="15">
        <f t="shared" si="2"/>
        <v>-7.8714677565543012E-2</v>
      </c>
      <c r="G11" s="16" t="str">
        <f t="shared" si="3"/>
        <v>discharge/export</v>
      </c>
    </row>
    <row r="12" spans="1:7" ht="17.100000000000001" customHeight="1" x14ac:dyDescent="0.25">
      <c r="A12" s="13">
        <f>'4_All_periods'!C499</f>
        <v>150</v>
      </c>
      <c r="B12" s="14">
        <f>'4_All_periods'!D499</f>
        <v>0.95699999999999996</v>
      </c>
      <c r="C12" s="14">
        <f>'4_All_periods'!E499</f>
        <v>0.41070000000000001</v>
      </c>
      <c r="D12" s="15">
        <f t="shared" si="0"/>
        <v>-0.27440000000000009</v>
      </c>
      <c r="E12" s="15">
        <f t="shared" si="1"/>
        <v>0.15390000000000004</v>
      </c>
      <c r="F12" s="15">
        <f t="shared" si="2"/>
        <v>-0.62343631142170786</v>
      </c>
      <c r="G12" s="16" t="str">
        <f t="shared" si="3"/>
        <v>discharge/export</v>
      </c>
    </row>
    <row r="13" spans="1:7" ht="17.100000000000001" customHeight="1" x14ac:dyDescent="0.25">
      <c r="A13" s="13">
        <f>'4_All_periods'!C500</f>
        <v>180</v>
      </c>
      <c r="B13" s="14">
        <f>'4_All_periods'!D500</f>
        <v>0.91559999999999997</v>
      </c>
      <c r="C13" s="14">
        <f>'4_All_periods'!E500</f>
        <v>0.2432</v>
      </c>
      <c r="D13" s="15">
        <f t="shared" si="0"/>
        <v>-0.31580000000000008</v>
      </c>
      <c r="E13" s="15">
        <f t="shared" si="1"/>
        <v>-1.3599999999999973E-2</v>
      </c>
      <c r="F13" s="15">
        <f t="shared" si="2"/>
        <v>-0.91559999999999997</v>
      </c>
      <c r="G13" s="16" t="str">
        <f t="shared" si="3"/>
        <v>discharge/export</v>
      </c>
    </row>
    <row r="14" spans="1:7" ht="17.100000000000001" customHeight="1" x14ac:dyDescent="0.25">
      <c r="A14" s="13">
        <f>'4_All_periods'!C501</f>
        <v>210</v>
      </c>
      <c r="B14" s="14">
        <f>'4_All_periods'!D501</f>
        <v>0.95669999999999999</v>
      </c>
      <c r="C14" s="14">
        <f>'4_All_periods'!E501</f>
        <v>8.9300000000000004E-2</v>
      </c>
      <c r="D14" s="15">
        <f t="shared" si="0"/>
        <v>-0.27470000000000006</v>
      </c>
      <c r="E14" s="15">
        <f t="shared" si="1"/>
        <v>-0.16749999999999998</v>
      </c>
      <c r="F14" s="15">
        <f t="shared" si="2"/>
        <v>-0.87317650380057232</v>
      </c>
      <c r="G14" s="16" t="str">
        <f t="shared" si="3"/>
        <v>discharge/export</v>
      </c>
    </row>
    <row r="15" spans="1:7" ht="17.100000000000001" customHeight="1" x14ac:dyDescent="0.25">
      <c r="A15" s="13">
        <f>'4_All_periods'!C502</f>
        <v>240</v>
      </c>
      <c r="B15" s="14">
        <f>'4_All_periods'!D502</f>
        <v>1.0664</v>
      </c>
      <c r="C15" s="14">
        <f>'4_All_periods'!E502</f>
        <v>-2.0299999999999999E-2</v>
      </c>
      <c r="D15" s="15">
        <f t="shared" si="0"/>
        <v>-0.16500000000000004</v>
      </c>
      <c r="E15" s="15">
        <f t="shared" si="1"/>
        <v>-0.27709999999999996</v>
      </c>
      <c r="F15" s="15">
        <f t="shared" si="2"/>
        <v>-0.5156196843031764</v>
      </c>
      <c r="G15" s="16" t="str">
        <f t="shared" si="3"/>
        <v>discharge/export</v>
      </c>
    </row>
    <row r="16" spans="1:7" ht="17.100000000000001" customHeight="1" x14ac:dyDescent="0.25">
      <c r="A16" s="13">
        <f>'4_All_periods'!C503</f>
        <v>270</v>
      </c>
      <c r="B16" s="14">
        <f>'4_All_periods'!D503</f>
        <v>1.2251000000000001</v>
      </c>
      <c r="C16" s="14">
        <f>'4_All_periods'!E503</f>
        <v>-6.1899999999999997E-2</v>
      </c>
      <c r="D16" s="15">
        <f t="shared" si="0"/>
        <v>-6.2999999999999723E-3</v>
      </c>
      <c r="E16" s="15">
        <f t="shared" si="1"/>
        <v>-0.31869999999999998</v>
      </c>
      <c r="F16" s="15">
        <f t="shared" si="2"/>
        <v>6.1899999999999775E-2</v>
      </c>
      <c r="G16" s="16" t="str">
        <f t="shared" si="3"/>
        <v>discharge/export</v>
      </c>
    </row>
    <row r="17" spans="1:7" ht="17.100000000000001" customHeight="1" x14ac:dyDescent="0.25">
      <c r="A17" s="13">
        <f>'4_All_periods'!C504</f>
        <v>300</v>
      </c>
      <c r="B17" s="14">
        <f>'4_All_periods'!D504</f>
        <v>1.3649</v>
      </c>
      <c r="C17" s="14">
        <f>'4_All_periods'!E504</f>
        <v>-2.8799999999999999E-2</v>
      </c>
      <c r="D17" s="15">
        <f t="shared" si="0"/>
        <v>0.13349999999999995</v>
      </c>
      <c r="E17" s="15">
        <f t="shared" si="1"/>
        <v>-0.28559999999999997</v>
      </c>
      <c r="F17" s="15">
        <f t="shared" si="2"/>
        <v>0.70739153162899193</v>
      </c>
      <c r="G17" s="16" t="str">
        <f t="shared" si="3"/>
        <v>charge/import</v>
      </c>
    </row>
    <row r="18" spans="1:7" ht="17.100000000000001" customHeight="1" x14ac:dyDescent="0.25">
      <c r="A18" s="13">
        <f>'4_All_periods'!C505</f>
        <v>330</v>
      </c>
      <c r="B18" s="14">
        <f>'4_All_periods'!D505</f>
        <v>1.4019999999999999</v>
      </c>
      <c r="C18" s="14">
        <f>'4_All_periods'!E505</f>
        <v>4.7000000000000002E-3</v>
      </c>
      <c r="D18" s="15">
        <f t="shared" si="0"/>
        <v>0.17059999999999986</v>
      </c>
      <c r="E18" s="15">
        <f t="shared" si="1"/>
        <v>-0.25209999999999999</v>
      </c>
      <c r="F18" s="15">
        <f t="shared" si="2"/>
        <v>1.2118176161057825</v>
      </c>
      <c r="G18" s="16" t="str">
        <f t="shared" si="3"/>
        <v>charge/import</v>
      </c>
    </row>
    <row r="19" spans="1:7" ht="17.100000000000001" customHeight="1" x14ac:dyDescent="0.25">
      <c r="A19" s="17" t="s">
        <v>76</v>
      </c>
      <c r="B19" s="18">
        <f>B7</f>
        <v>1.4133</v>
      </c>
      <c r="C19" s="18">
        <f>C7</f>
        <v>0.41570000000000001</v>
      </c>
      <c r="D19" s="18">
        <f>D7</f>
        <v>0.18189999999999995</v>
      </c>
      <c r="E19" s="18">
        <f>E7</f>
        <v>0.15890000000000004</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0.49770000000000003</v>
      </c>
    </row>
    <row r="23" spans="1:7" ht="18" customHeight="1" x14ac:dyDescent="0.25">
      <c r="A23" s="45" t="s">
        <v>79</v>
      </c>
      <c r="B23" s="46"/>
      <c r="C23" s="20">
        <f>MAX(0,MAX(D7:D18))</f>
        <v>0.18189999999999995</v>
      </c>
    </row>
    <row r="24" spans="1:7" ht="18" customHeight="1" x14ac:dyDescent="0.25">
      <c r="A24" s="45" t="s">
        <v>80</v>
      </c>
      <c r="B24" s="46"/>
      <c r="C24" s="20">
        <f>MAX(0,-MIN(D7:D18))</f>
        <v>0.31580000000000008</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"&amp;TEXT('4_All_periods'!H494,"0.00000")&amp;" pu"&amp;IF('4_All_periods'!H494&gt;=1.0999," → over-voltage limit is active"," → clear of the limit, so the battery bounds it"),"blocked at 180°: Vmax there = "&amp;TEXT('4_All_periods'!H500,"0.00000")&amp;" pu"&amp;IF('4_All_periods'!H500&gt;=1.0999,"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13" priority="1">
      <formula>ISNUMBER(SEARCH("charge",$G7))</formula>
    </cfRule>
    <cfRule type="expression" dxfId="12"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182</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'4_All_periods'!I506</f>
        <v>1.2369000000000001</v>
      </c>
      <c r="C4" s="10" t="s">
        <v>69</v>
      </c>
      <c r="D4" s="11">
        <f>'4_All_periods'!J506</f>
        <v>0.25800000000000001</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'4_All_periods'!C506</f>
        <v>0</v>
      </c>
      <c r="B7" s="14">
        <f>'4_All_periods'!D506</f>
        <v>1.4056999999999999</v>
      </c>
      <c r="C7" s="14">
        <f>'4_All_periods'!E506</f>
        <v>0.34970000000000001</v>
      </c>
      <c r="D7" s="15">
        <f t="shared" ref="D7:D18" si="0">B7-$B$4</f>
        <v>0.16879999999999984</v>
      </c>
      <c r="E7" s="15">
        <f t="shared" ref="E7:E18" si="1">C7-$D$4</f>
        <v>9.1700000000000004E-2</v>
      </c>
      <c r="F7" s="15">
        <f t="shared" ref="F7:F18" si="2">B7*COS(RADIANS(A7))+C7*SIN(RADIANS(A7))</f>
        <v>1.4056999999999999</v>
      </c>
      <c r="G7" s="16" t="str">
        <f t="shared" ref="G7:G18" si="3">IF(D7&gt;0,"charge/import","discharge/export")</f>
        <v>charge/import</v>
      </c>
    </row>
    <row r="8" spans="1:7" ht="17.100000000000001" customHeight="1" x14ac:dyDescent="0.25">
      <c r="A8" s="13">
        <f>'4_All_periods'!C507</f>
        <v>30</v>
      </c>
      <c r="B8" s="14">
        <f>'4_All_periods'!D507</f>
        <v>1.3832</v>
      </c>
      <c r="C8" s="14">
        <f>'4_All_periods'!E507</f>
        <v>0.47020000000000001</v>
      </c>
      <c r="D8" s="15">
        <f t="shared" si="0"/>
        <v>0.14629999999999987</v>
      </c>
      <c r="E8" s="15">
        <f t="shared" si="1"/>
        <v>0.2122</v>
      </c>
      <c r="F8" s="15">
        <f t="shared" si="2"/>
        <v>1.4329863385146355</v>
      </c>
      <c r="G8" s="16" t="str">
        <f t="shared" si="3"/>
        <v>charge/import</v>
      </c>
    </row>
    <row r="9" spans="1:7" ht="17.100000000000001" customHeight="1" x14ac:dyDescent="0.25">
      <c r="A9" s="13">
        <f>'4_All_periods'!C508</f>
        <v>60</v>
      </c>
      <c r="B9" s="14">
        <f>'4_All_periods'!D508</f>
        <v>1.3164</v>
      </c>
      <c r="C9" s="14">
        <f>'4_All_periods'!E508</f>
        <v>0.53559999999999997</v>
      </c>
      <c r="D9" s="15">
        <f t="shared" si="0"/>
        <v>7.9499999999999904E-2</v>
      </c>
      <c r="E9" s="15">
        <f t="shared" si="1"/>
        <v>0.27759999999999996</v>
      </c>
      <c r="F9" s="15">
        <f t="shared" si="2"/>
        <v>1.1220432062669454</v>
      </c>
      <c r="G9" s="16" t="str">
        <f t="shared" si="3"/>
        <v>charge/import</v>
      </c>
    </row>
    <row r="10" spans="1:7" ht="17.100000000000001" customHeight="1" x14ac:dyDescent="0.25">
      <c r="A10" s="13">
        <f>'4_All_periods'!C509</f>
        <v>90</v>
      </c>
      <c r="B10" s="14">
        <f>'4_All_periods'!D509</f>
        <v>1.1981999999999999</v>
      </c>
      <c r="C10" s="14">
        <f>'4_All_periods'!E509</f>
        <v>0.56850000000000001</v>
      </c>
      <c r="D10" s="15">
        <f t="shared" si="0"/>
        <v>-3.8700000000000179E-2</v>
      </c>
      <c r="E10" s="15">
        <f t="shared" si="1"/>
        <v>0.3105</v>
      </c>
      <c r="F10" s="15">
        <f t="shared" si="2"/>
        <v>0.56850000000000012</v>
      </c>
      <c r="G10" s="16" t="str">
        <f t="shared" si="3"/>
        <v>discharge/export</v>
      </c>
    </row>
    <row r="11" spans="1:7" ht="17.100000000000001" customHeight="1" x14ac:dyDescent="0.25">
      <c r="A11" s="13">
        <f>'4_All_periods'!C510</f>
        <v>120</v>
      </c>
      <c r="B11" s="14">
        <f>'4_All_periods'!D510</f>
        <v>1.038</v>
      </c>
      <c r="C11" s="14">
        <f>'4_All_periods'!E510</f>
        <v>0.52400000000000002</v>
      </c>
      <c r="D11" s="15">
        <f t="shared" si="0"/>
        <v>-0.19890000000000008</v>
      </c>
      <c r="E11" s="15">
        <f t="shared" si="1"/>
        <v>0.26600000000000001</v>
      </c>
      <c r="F11" s="15">
        <f t="shared" si="2"/>
        <v>-6.5202688416953869E-2</v>
      </c>
      <c r="G11" s="16" t="str">
        <f t="shared" si="3"/>
        <v>discharge/export</v>
      </c>
    </row>
    <row r="12" spans="1:7" ht="17.100000000000001" customHeight="1" x14ac:dyDescent="0.25">
      <c r="A12" s="13">
        <f>'4_All_periods'!C511</f>
        <v>150</v>
      </c>
      <c r="B12" s="14">
        <f>'4_All_periods'!D511</f>
        <v>0.91990000000000005</v>
      </c>
      <c r="C12" s="14">
        <f>'4_All_periods'!E511</f>
        <v>0.40710000000000002</v>
      </c>
      <c r="D12" s="15">
        <f t="shared" si="0"/>
        <v>-0.31700000000000006</v>
      </c>
      <c r="E12" s="15">
        <f t="shared" si="1"/>
        <v>0.14910000000000001</v>
      </c>
      <c r="F12" s="15">
        <f t="shared" si="2"/>
        <v>-0.59310676894130521</v>
      </c>
      <c r="G12" s="16" t="str">
        <f t="shared" si="3"/>
        <v>discharge/export</v>
      </c>
    </row>
    <row r="13" spans="1:7" ht="17.100000000000001" customHeight="1" x14ac:dyDescent="0.25">
      <c r="A13" s="13">
        <f>'4_All_periods'!C512</f>
        <v>180</v>
      </c>
      <c r="B13" s="14">
        <f>'4_All_periods'!D512</f>
        <v>0.88080000000000003</v>
      </c>
      <c r="C13" s="14">
        <f>'4_All_periods'!E512</f>
        <v>0.23899999999999999</v>
      </c>
      <c r="D13" s="15">
        <f t="shared" si="0"/>
        <v>-0.35610000000000008</v>
      </c>
      <c r="E13" s="15">
        <f t="shared" si="1"/>
        <v>-1.9000000000000017E-2</v>
      </c>
      <c r="F13" s="15">
        <f t="shared" si="2"/>
        <v>-0.88080000000000003</v>
      </c>
      <c r="G13" s="16" t="str">
        <f t="shared" si="3"/>
        <v>discharge/export</v>
      </c>
    </row>
    <row r="14" spans="1:7" ht="17.100000000000001" customHeight="1" x14ac:dyDescent="0.25">
      <c r="A14" s="13">
        <f>'4_All_periods'!C513</f>
        <v>210</v>
      </c>
      <c r="B14" s="14">
        <f>'4_All_periods'!D513</f>
        <v>0.92159999999999997</v>
      </c>
      <c r="C14" s="14">
        <f>'4_All_periods'!E513</f>
        <v>7.5700000000000003E-2</v>
      </c>
      <c r="D14" s="15">
        <f t="shared" si="0"/>
        <v>-0.31530000000000014</v>
      </c>
      <c r="E14" s="15">
        <f t="shared" si="1"/>
        <v>-0.18230000000000002</v>
      </c>
      <c r="F14" s="15">
        <f t="shared" si="2"/>
        <v>-0.83597901212773862</v>
      </c>
      <c r="G14" s="16" t="str">
        <f t="shared" si="3"/>
        <v>discharge/export</v>
      </c>
    </row>
    <row r="15" spans="1:7" ht="17.100000000000001" customHeight="1" x14ac:dyDescent="0.25">
      <c r="A15" s="13">
        <f>'4_All_periods'!C514</f>
        <v>240</v>
      </c>
      <c r="B15" s="14">
        <f>'4_All_periods'!D514</f>
        <v>1.0273000000000001</v>
      </c>
      <c r="C15" s="14">
        <f>'4_All_periods'!E514</f>
        <v>-0.03</v>
      </c>
      <c r="D15" s="15">
        <f t="shared" si="0"/>
        <v>-0.20960000000000001</v>
      </c>
      <c r="E15" s="15">
        <f t="shared" si="1"/>
        <v>-0.28800000000000003</v>
      </c>
      <c r="F15" s="15">
        <f t="shared" si="2"/>
        <v>-0.48766923788646732</v>
      </c>
      <c r="G15" s="16" t="str">
        <f t="shared" si="3"/>
        <v>discharge/export</v>
      </c>
    </row>
    <row r="16" spans="1:7" ht="17.100000000000001" customHeight="1" x14ac:dyDescent="0.25">
      <c r="A16" s="13">
        <f>'4_All_periods'!C515</f>
        <v>270</v>
      </c>
      <c r="B16" s="14">
        <f>'4_All_periods'!D515</f>
        <v>1.1841999999999999</v>
      </c>
      <c r="C16" s="14">
        <f>'4_All_periods'!E515</f>
        <v>-7.1099999999999997E-2</v>
      </c>
      <c r="D16" s="15">
        <f t="shared" si="0"/>
        <v>-5.2700000000000191E-2</v>
      </c>
      <c r="E16" s="15">
        <f t="shared" si="1"/>
        <v>-0.3291</v>
      </c>
      <c r="F16" s="15">
        <f t="shared" si="2"/>
        <v>7.1099999999999774E-2</v>
      </c>
      <c r="G16" s="16" t="str">
        <f t="shared" si="3"/>
        <v>discharge/export</v>
      </c>
    </row>
    <row r="17" spans="1:7" ht="17.100000000000001" customHeight="1" x14ac:dyDescent="0.25">
      <c r="A17" s="13">
        <f>'4_All_periods'!C516</f>
        <v>300</v>
      </c>
      <c r="B17" s="14">
        <f>'4_All_periods'!D516</f>
        <v>1.3344</v>
      </c>
      <c r="C17" s="14">
        <f>'4_All_periods'!E516</f>
        <v>-3.3799999999999997E-2</v>
      </c>
      <c r="D17" s="15">
        <f t="shared" si="0"/>
        <v>9.749999999999992E-2</v>
      </c>
      <c r="E17" s="15">
        <f t="shared" si="1"/>
        <v>-0.2918</v>
      </c>
      <c r="F17" s="15">
        <f t="shared" si="2"/>
        <v>0.69647165864791416</v>
      </c>
      <c r="G17" s="16" t="str">
        <f t="shared" si="3"/>
        <v>charge/import</v>
      </c>
    </row>
    <row r="18" spans="1:7" ht="17.100000000000001" customHeight="1" x14ac:dyDescent="0.25">
      <c r="A18" s="13">
        <f>'4_All_periods'!C517</f>
        <v>330</v>
      </c>
      <c r="B18" s="14">
        <f>'4_All_periods'!D517</f>
        <v>1.3914</v>
      </c>
      <c r="C18" s="14">
        <f>'4_All_periods'!E517</f>
        <v>1.8200000000000001E-2</v>
      </c>
      <c r="D18" s="15">
        <f t="shared" si="0"/>
        <v>0.15449999999999986</v>
      </c>
      <c r="E18" s="15">
        <f t="shared" si="1"/>
        <v>-0.23980000000000001</v>
      </c>
      <c r="F18" s="15">
        <f t="shared" si="2"/>
        <v>1.1958877468256675</v>
      </c>
      <c r="G18" s="16" t="str">
        <f t="shared" si="3"/>
        <v>charge/import</v>
      </c>
    </row>
    <row r="19" spans="1:7" ht="17.100000000000001" customHeight="1" x14ac:dyDescent="0.25">
      <c r="A19" s="17" t="s">
        <v>76</v>
      </c>
      <c r="B19" s="18">
        <f>B7</f>
        <v>1.4056999999999999</v>
      </c>
      <c r="C19" s="18">
        <f>C7</f>
        <v>0.34970000000000001</v>
      </c>
      <c r="D19" s="18">
        <f>D7</f>
        <v>0.16879999999999984</v>
      </c>
      <c r="E19" s="18">
        <f>E7</f>
        <v>9.1700000000000004E-2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0.52489999999999992</v>
      </c>
    </row>
    <row r="23" spans="1:7" ht="18" customHeight="1" x14ac:dyDescent="0.25">
      <c r="A23" s="45" t="s">
        <v>79</v>
      </c>
      <c r="B23" s="46"/>
      <c r="C23" s="20">
        <f>MAX(0,MAX(D7:D18))</f>
        <v>0.16879999999999984</v>
      </c>
    </row>
    <row r="24" spans="1:7" ht="18" customHeight="1" x14ac:dyDescent="0.25">
      <c r="A24" s="45" t="s">
        <v>80</v>
      </c>
      <c r="B24" s="46"/>
      <c r="C24" s="20">
        <f>MAX(0,-MIN(D7:D18))</f>
        <v>0.35610000000000008</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"&amp;TEXT('4_All_periods'!H506,"0.00000")&amp;" pu"&amp;IF('4_All_periods'!H506&gt;=1.0999," → over-voltage limit is active"," → clear of the limit, so the battery bounds it"),"blocked at 180°: Vmax there = "&amp;TEXT('4_All_periods'!H512,"0.00000")&amp;" pu"&amp;IF('4_All_periods'!H512&gt;=1.0999,"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11" priority="1">
      <formula>ISNUMBER(SEARCH("charge",$G7))</formula>
    </cfRule>
    <cfRule type="expression" dxfId="10"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183</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'4_All_periods'!I518</f>
        <v>1.1953</v>
      </c>
      <c r="C4" s="10" t="s">
        <v>69</v>
      </c>
      <c r="D4" s="11">
        <f>'4_All_periods'!J518</f>
        <v>0.24909999999999999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'4_All_periods'!C518</f>
        <v>0</v>
      </c>
      <c r="B7" s="14">
        <f>'4_All_periods'!D518</f>
        <v>1.3925000000000001</v>
      </c>
      <c r="C7" s="14">
        <f>'4_All_periods'!E518</f>
        <v>0.30359999999999998</v>
      </c>
      <c r="D7" s="15">
        <f t="shared" ref="D7:D18" si="0">B7-$B$4</f>
        <v>0.19720000000000004</v>
      </c>
      <c r="E7" s="15">
        <f t="shared" ref="E7:E18" si="1">C7-$D$4</f>
        <v>5.4499999999999993E-2</v>
      </c>
      <c r="F7" s="15">
        <f t="shared" ref="F7:F18" si="2">B7*COS(RADIANS(A7))+C7*SIN(RADIANS(A7))</f>
        <v>1.3925000000000001</v>
      </c>
      <c r="G7" s="16" t="str">
        <f t="shared" ref="G7:G18" si="3">IF(D7&gt;0,"charge/import","discharge/export")</f>
        <v>charge/import</v>
      </c>
    </row>
    <row r="8" spans="1:7" ht="17.100000000000001" customHeight="1" x14ac:dyDescent="0.25">
      <c r="A8" s="13">
        <f>'4_All_periods'!C519</f>
        <v>30</v>
      </c>
      <c r="B8" s="14">
        <f>'4_All_periods'!D519</f>
        <v>1.3693</v>
      </c>
      <c r="C8" s="14">
        <f>'4_All_periods'!E519</f>
        <v>0.43049999999999999</v>
      </c>
      <c r="D8" s="15">
        <f t="shared" si="0"/>
        <v>0.17399999999999993</v>
      </c>
      <c r="E8" s="15">
        <f t="shared" si="1"/>
        <v>0.18140000000000001</v>
      </c>
      <c r="F8" s="15">
        <f t="shared" si="2"/>
        <v>1.4010985854020319</v>
      </c>
      <c r="G8" s="16" t="str">
        <f t="shared" si="3"/>
        <v>charge/import</v>
      </c>
    </row>
    <row r="9" spans="1:7" ht="17.100000000000001" customHeight="1" x14ac:dyDescent="0.25">
      <c r="A9" s="13">
        <f>'4_All_periods'!C520</f>
        <v>60</v>
      </c>
      <c r="B9" s="14">
        <f>'4_All_periods'!D520</f>
        <v>1.2753000000000001</v>
      </c>
      <c r="C9" s="14">
        <f>'4_All_periods'!E520</f>
        <v>0.52569999999999995</v>
      </c>
      <c r="D9" s="15">
        <f t="shared" si="0"/>
        <v>8.0000000000000071E-2</v>
      </c>
      <c r="E9" s="15">
        <f t="shared" si="1"/>
        <v>0.27659999999999996</v>
      </c>
      <c r="F9" s="15">
        <f t="shared" si="2"/>
        <v>1.0929195547694794</v>
      </c>
      <c r="G9" s="16" t="str">
        <f t="shared" si="3"/>
        <v>charge/import</v>
      </c>
    </row>
    <row r="10" spans="1:7" ht="17.100000000000001" customHeight="1" x14ac:dyDescent="0.25">
      <c r="A10" s="13">
        <f>'4_All_periods'!C521</f>
        <v>90</v>
      </c>
      <c r="B10" s="14">
        <f>'4_All_periods'!D521</f>
        <v>1.1539999999999999</v>
      </c>
      <c r="C10" s="14">
        <f>'4_All_periods'!E521</f>
        <v>0.55920000000000003</v>
      </c>
      <c r="D10" s="15">
        <f t="shared" si="0"/>
        <v>-4.1300000000000114E-2</v>
      </c>
      <c r="E10" s="15">
        <f t="shared" si="1"/>
        <v>0.31010000000000004</v>
      </c>
      <c r="F10" s="15">
        <f t="shared" si="2"/>
        <v>0.55920000000000014</v>
      </c>
      <c r="G10" s="16" t="str">
        <f t="shared" si="3"/>
        <v>discharge/export</v>
      </c>
    </row>
    <row r="11" spans="1:7" ht="17.100000000000001" customHeight="1" x14ac:dyDescent="0.25">
      <c r="A11" s="13">
        <f>'4_All_periods'!C522</f>
        <v>120</v>
      </c>
      <c r="B11" s="14">
        <f>'4_All_periods'!D522</f>
        <v>0.99639999999999995</v>
      </c>
      <c r="C11" s="14">
        <f>'4_All_periods'!E522</f>
        <v>0.51539999999999997</v>
      </c>
      <c r="D11" s="15">
        <f t="shared" si="0"/>
        <v>-0.19890000000000008</v>
      </c>
      <c r="E11" s="15">
        <f t="shared" si="1"/>
        <v>0.26629999999999998</v>
      </c>
      <c r="F11" s="15">
        <f t="shared" si="2"/>
        <v>-5.1850506889500048E-2</v>
      </c>
      <c r="G11" s="16" t="str">
        <f t="shared" si="3"/>
        <v>discharge/export</v>
      </c>
    </row>
    <row r="12" spans="1:7" ht="17.100000000000001" customHeight="1" x14ac:dyDescent="0.25">
      <c r="A12" s="13">
        <f>'4_All_periods'!C523</f>
        <v>150</v>
      </c>
      <c r="B12" s="14">
        <f>'4_All_periods'!D523</f>
        <v>0.88490000000000002</v>
      </c>
      <c r="C12" s="14">
        <f>'4_All_periods'!E523</f>
        <v>0.40500000000000003</v>
      </c>
      <c r="D12" s="15">
        <f t="shared" si="0"/>
        <v>-0.31040000000000001</v>
      </c>
      <c r="E12" s="15">
        <f t="shared" si="1"/>
        <v>0.15590000000000004</v>
      </c>
      <c r="F12" s="15">
        <f t="shared" si="2"/>
        <v>-0.56384587980884981</v>
      </c>
      <c r="G12" s="16" t="str">
        <f t="shared" si="3"/>
        <v>discharge/export</v>
      </c>
    </row>
    <row r="13" spans="1:7" ht="17.100000000000001" customHeight="1" x14ac:dyDescent="0.25">
      <c r="A13" s="13">
        <f>'4_All_periods'!C524</f>
        <v>180</v>
      </c>
      <c r="B13" s="14">
        <f>'4_All_periods'!D524</f>
        <v>0.84899999999999998</v>
      </c>
      <c r="C13" s="14">
        <f>'4_All_periods'!E524</f>
        <v>0.20019999999999999</v>
      </c>
      <c r="D13" s="15">
        <f t="shared" si="0"/>
        <v>-0.34630000000000005</v>
      </c>
      <c r="E13" s="15">
        <f t="shared" si="1"/>
        <v>-4.8899999999999999E-2</v>
      </c>
      <c r="F13" s="15">
        <f t="shared" si="2"/>
        <v>-0.84899999999999998</v>
      </c>
      <c r="G13" s="16" t="str">
        <f t="shared" si="3"/>
        <v>discharge/export</v>
      </c>
    </row>
    <row r="14" spans="1:7" ht="17.100000000000001" customHeight="1" x14ac:dyDescent="0.25">
      <c r="A14" s="13">
        <f>'4_All_periods'!C525</f>
        <v>210</v>
      </c>
      <c r="B14" s="14">
        <f>'4_All_periods'!D525</f>
        <v>0.88680000000000003</v>
      </c>
      <c r="C14" s="14">
        <f>'4_All_periods'!E525</f>
        <v>5.9499999999999997E-2</v>
      </c>
      <c r="D14" s="15">
        <f t="shared" si="0"/>
        <v>-0.3085</v>
      </c>
      <c r="E14" s="15">
        <f t="shared" si="1"/>
        <v>-0.18959999999999999</v>
      </c>
      <c r="F14" s="15">
        <f t="shared" si="2"/>
        <v>-0.79774132807604026</v>
      </c>
      <c r="G14" s="16" t="str">
        <f t="shared" si="3"/>
        <v>discharge/export</v>
      </c>
    </row>
    <row r="15" spans="1:7" ht="17.100000000000001" customHeight="1" x14ac:dyDescent="0.25">
      <c r="A15" s="13">
        <f>'4_All_periods'!C526</f>
        <v>240</v>
      </c>
      <c r="B15" s="14">
        <f>'4_All_periods'!D526</f>
        <v>0.98619999999999997</v>
      </c>
      <c r="C15" s="14">
        <f>'4_All_periods'!E526</f>
        <v>-0.04</v>
      </c>
      <c r="D15" s="15">
        <f t="shared" si="0"/>
        <v>-0.20910000000000006</v>
      </c>
      <c r="E15" s="15">
        <f t="shared" si="1"/>
        <v>-0.28909999999999997</v>
      </c>
      <c r="F15" s="15">
        <f t="shared" si="2"/>
        <v>-0.45845898384862288</v>
      </c>
      <c r="G15" s="16" t="str">
        <f t="shared" si="3"/>
        <v>discharge/export</v>
      </c>
    </row>
    <row r="16" spans="1:7" ht="17.100000000000001" customHeight="1" x14ac:dyDescent="0.25">
      <c r="A16" s="13">
        <f>'4_All_periods'!C527</f>
        <v>270</v>
      </c>
      <c r="B16" s="14">
        <f>'4_All_periods'!D527</f>
        <v>1.1413</v>
      </c>
      <c r="C16" s="14">
        <f>'4_All_periods'!E527</f>
        <v>-8.0299999999999996E-2</v>
      </c>
      <c r="D16" s="15">
        <f t="shared" si="0"/>
        <v>-5.4000000000000048E-2</v>
      </c>
      <c r="E16" s="15">
        <f t="shared" si="1"/>
        <v>-0.32939999999999997</v>
      </c>
      <c r="F16" s="15">
        <f t="shared" si="2"/>
        <v>8.0299999999999788E-2</v>
      </c>
      <c r="G16" s="16" t="str">
        <f t="shared" si="3"/>
        <v>discharge/export</v>
      </c>
    </row>
    <row r="17" spans="1:7" ht="17.100000000000001" customHeight="1" x14ac:dyDescent="0.25">
      <c r="A17" s="13">
        <f>'4_All_periods'!C528</f>
        <v>300</v>
      </c>
      <c r="B17" s="14">
        <f>'4_All_periods'!D528</f>
        <v>1.2985</v>
      </c>
      <c r="C17" s="14">
        <f>'4_All_periods'!E528</f>
        <v>-4.02E-2</v>
      </c>
      <c r="D17" s="15">
        <f t="shared" si="0"/>
        <v>0.10319999999999996</v>
      </c>
      <c r="E17" s="15">
        <f t="shared" si="1"/>
        <v>-0.2893</v>
      </c>
      <c r="F17" s="15">
        <f t="shared" si="2"/>
        <v>0.68406422123213451</v>
      </c>
      <c r="G17" s="16" t="str">
        <f t="shared" si="3"/>
        <v>charge/import</v>
      </c>
    </row>
    <row r="18" spans="1:7" ht="17.100000000000001" customHeight="1" x14ac:dyDescent="0.25">
      <c r="A18" s="13">
        <f>'4_All_periods'!C529</f>
        <v>330</v>
      </c>
      <c r="B18" s="14">
        <f>'4_All_periods'!D529</f>
        <v>1.3734999999999999</v>
      </c>
      <c r="C18" s="14">
        <f>'4_All_periods'!E529</f>
        <v>3.0700000000000002E-2</v>
      </c>
      <c r="D18" s="15">
        <f t="shared" si="0"/>
        <v>0.17819999999999991</v>
      </c>
      <c r="E18" s="15">
        <f t="shared" si="1"/>
        <v>-0.21839999999999998</v>
      </c>
      <c r="F18" s="15">
        <f t="shared" si="2"/>
        <v>1.1741358920979261</v>
      </c>
      <c r="G18" s="16" t="str">
        <f t="shared" si="3"/>
        <v>charge/import</v>
      </c>
    </row>
    <row r="19" spans="1:7" ht="17.100000000000001" customHeight="1" x14ac:dyDescent="0.25">
      <c r="A19" s="17" t="s">
        <v>76</v>
      </c>
      <c r="B19" s="18">
        <f>B7</f>
        <v>1.3925000000000001</v>
      </c>
      <c r="C19" s="18">
        <f>C7</f>
        <v>0.30359999999999998</v>
      </c>
      <c r="D19" s="18">
        <f>D7</f>
        <v>0.19720000000000004</v>
      </c>
      <c r="E19" s="18">
        <f>E7</f>
        <v>5.4499999999999993E-2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0.54350000000000009</v>
      </c>
    </row>
    <row r="23" spans="1:7" ht="18" customHeight="1" x14ac:dyDescent="0.25">
      <c r="A23" s="45" t="s">
        <v>79</v>
      </c>
      <c r="B23" s="46"/>
      <c r="C23" s="20">
        <f>MAX(0,MAX(D7:D18))</f>
        <v>0.19720000000000004</v>
      </c>
    </row>
    <row r="24" spans="1:7" ht="18" customHeight="1" x14ac:dyDescent="0.25">
      <c r="A24" s="45" t="s">
        <v>80</v>
      </c>
      <c r="B24" s="46"/>
      <c r="C24" s="20">
        <f>MAX(0,-MIN(D7:D18))</f>
        <v>0.34630000000000005</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"&amp;TEXT('4_All_periods'!H518,"0.00000")&amp;" pu"&amp;IF('4_All_periods'!H518&gt;=1.0999," → over-voltage limit is active"," → clear of the limit, so the battery bounds it"),"blocked at 180°: Vmax there = "&amp;TEXT('4_All_periods'!H524,"0.00000")&amp;" pu"&amp;IF('4_All_periods'!H524&gt;=1.0999,"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9" priority="1">
      <formula>ISNUMBER(SEARCH("charge",$G7))</formula>
    </cfRule>
    <cfRule type="expression" dxfId="8"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184</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'4_All_periods'!I530</f>
        <v>1.1524000000000001</v>
      </c>
      <c r="C4" s="10" t="s">
        <v>69</v>
      </c>
      <c r="D4" s="11">
        <f>'4_All_periods'!J530</f>
        <v>0.2399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'4_All_periods'!C530</f>
        <v>0</v>
      </c>
      <c r="B7" s="14">
        <f>'4_All_periods'!D530</f>
        <v>1.2931999999999999</v>
      </c>
      <c r="C7" s="14">
        <f>'4_All_periods'!E530</f>
        <v>0.24970000000000001</v>
      </c>
      <c r="D7" s="15">
        <f t="shared" ref="D7:D18" si="0">B7-$B$4</f>
        <v>0.14079999999999981</v>
      </c>
      <c r="E7" s="15">
        <f t="shared" ref="E7:E18" si="1">C7-$D$4</f>
        <v>9.8000000000000032E-3</v>
      </c>
      <c r="F7" s="15">
        <f t="shared" ref="F7:F18" si="2">B7*COS(RADIANS(A7))+C7*SIN(RADIANS(A7))</f>
        <v>1.2931999999999999</v>
      </c>
      <c r="G7" s="16" t="str">
        <f t="shared" ref="G7:G18" si="3">IF(D7&gt;0,"charge/import","discharge/export")</f>
        <v>charge/import</v>
      </c>
    </row>
    <row r="8" spans="1:7" ht="17.100000000000001" customHeight="1" x14ac:dyDescent="0.25">
      <c r="A8" s="13">
        <f>'4_All_periods'!C531</f>
        <v>30</v>
      </c>
      <c r="B8" s="14">
        <f>'4_All_periods'!D531</f>
        <v>1.2625999999999999</v>
      </c>
      <c r="C8" s="14">
        <f>'4_All_periods'!E531</f>
        <v>0.4</v>
      </c>
      <c r="D8" s="15">
        <f t="shared" si="0"/>
        <v>0.11019999999999985</v>
      </c>
      <c r="E8" s="15">
        <f t="shared" si="1"/>
        <v>0.16010000000000002</v>
      </c>
      <c r="F8" s="15">
        <f t="shared" si="2"/>
        <v>1.2934436748182323</v>
      </c>
      <c r="G8" s="16" t="str">
        <f t="shared" si="3"/>
        <v>charge/import</v>
      </c>
    </row>
    <row r="9" spans="1:7" ht="17.100000000000001" customHeight="1" x14ac:dyDescent="0.25">
      <c r="A9" s="13">
        <f>'4_All_periods'!C532</f>
        <v>60</v>
      </c>
      <c r="B9" s="14">
        <f>'4_All_periods'!D532</f>
        <v>1.1619999999999999</v>
      </c>
      <c r="C9" s="14">
        <f>'4_All_periods'!E532</f>
        <v>0.50009999999999999</v>
      </c>
      <c r="D9" s="15">
        <f t="shared" si="0"/>
        <v>9.5999999999998309E-3</v>
      </c>
      <c r="E9" s="15">
        <f t="shared" si="1"/>
        <v>0.26019999999999999</v>
      </c>
      <c r="F9" s="15">
        <f t="shared" si="2"/>
        <v>1.0140993044325979</v>
      </c>
      <c r="G9" s="16" t="str">
        <f t="shared" si="3"/>
        <v>charge/import</v>
      </c>
    </row>
    <row r="10" spans="1:7" ht="17.100000000000001" customHeight="1" x14ac:dyDescent="0.25">
      <c r="A10" s="13">
        <f>'4_All_periods'!C533</f>
        <v>90</v>
      </c>
      <c r="B10" s="14">
        <f>'4_All_periods'!D533</f>
        <v>1.0381</v>
      </c>
      <c r="C10" s="14">
        <f>'4_All_periods'!E533</f>
        <v>0.53459999999999996</v>
      </c>
      <c r="D10" s="15">
        <f t="shared" si="0"/>
        <v>-0.11430000000000007</v>
      </c>
      <c r="E10" s="15">
        <f t="shared" si="1"/>
        <v>0.29469999999999996</v>
      </c>
      <c r="F10" s="15">
        <f t="shared" si="2"/>
        <v>0.53460000000000008</v>
      </c>
      <c r="G10" s="16" t="str">
        <f t="shared" si="3"/>
        <v>discharge/export</v>
      </c>
    </row>
    <row r="11" spans="1:7" ht="17.100000000000001" customHeight="1" x14ac:dyDescent="0.25">
      <c r="A11" s="13">
        <f>'4_All_periods'!C534</f>
        <v>120</v>
      </c>
      <c r="B11" s="14">
        <f>'4_All_periods'!D534</f>
        <v>0.88500000000000001</v>
      </c>
      <c r="C11" s="14">
        <f>'4_All_periods'!E534</f>
        <v>0.4929</v>
      </c>
      <c r="D11" s="15">
        <f t="shared" si="0"/>
        <v>-0.26740000000000008</v>
      </c>
      <c r="E11" s="15">
        <f t="shared" si="1"/>
        <v>0.253</v>
      </c>
      <c r="F11" s="15">
        <f t="shared" si="2"/>
        <v>-1.5636078474649928E-2</v>
      </c>
      <c r="G11" s="16" t="str">
        <f t="shared" si="3"/>
        <v>discharge/export</v>
      </c>
    </row>
    <row r="12" spans="1:7" ht="17.100000000000001" customHeight="1" x14ac:dyDescent="0.25">
      <c r="A12" s="13">
        <f>'4_All_periods'!C535</f>
        <v>150</v>
      </c>
      <c r="B12" s="14">
        <f>'4_All_periods'!D535</f>
        <v>0.7823</v>
      </c>
      <c r="C12" s="14">
        <f>'4_All_periods'!E535</f>
        <v>0.39250000000000002</v>
      </c>
      <c r="D12" s="15">
        <f t="shared" si="0"/>
        <v>-0.3701000000000001</v>
      </c>
      <c r="E12" s="15">
        <f t="shared" si="1"/>
        <v>0.15260000000000001</v>
      </c>
      <c r="F12" s="15">
        <f t="shared" si="2"/>
        <v>-0.48124167338056639</v>
      </c>
      <c r="G12" s="16" t="str">
        <f t="shared" si="3"/>
        <v>discharge/export</v>
      </c>
    </row>
    <row r="13" spans="1:7" ht="17.100000000000001" customHeight="1" x14ac:dyDescent="0.25">
      <c r="A13" s="13">
        <f>'4_All_periods'!C536</f>
        <v>180</v>
      </c>
      <c r="B13" s="14">
        <f>'4_All_periods'!D536</f>
        <v>0.75009999999999999</v>
      </c>
      <c r="C13" s="14">
        <f>'4_All_periods'!E536</f>
        <v>0.1396</v>
      </c>
      <c r="D13" s="15">
        <f t="shared" si="0"/>
        <v>-0.4023000000000001</v>
      </c>
      <c r="E13" s="15">
        <f t="shared" si="1"/>
        <v>-0.1003</v>
      </c>
      <c r="F13" s="15">
        <f t="shared" si="2"/>
        <v>-0.75009999999999999</v>
      </c>
      <c r="G13" s="16" t="str">
        <f t="shared" si="3"/>
        <v>discharge/export</v>
      </c>
    </row>
    <row r="14" spans="1:7" ht="17.100000000000001" customHeight="1" x14ac:dyDescent="0.25">
      <c r="A14" s="13">
        <f>'4_All_periods'!C537</f>
        <v>210</v>
      </c>
      <c r="B14" s="14">
        <f>'4_All_periods'!D537</f>
        <v>0.78339999999999999</v>
      </c>
      <c r="C14" s="14">
        <f>'4_All_periods'!E537</f>
        <v>2.3599999999999999E-2</v>
      </c>
      <c r="D14" s="15">
        <f t="shared" si="0"/>
        <v>-0.36900000000000011</v>
      </c>
      <c r="E14" s="15">
        <f t="shared" si="1"/>
        <v>-0.21629999999999999</v>
      </c>
      <c r="F14" s="15">
        <f t="shared" si="2"/>
        <v>-0.69024430132472925</v>
      </c>
      <c r="G14" s="16" t="str">
        <f t="shared" si="3"/>
        <v>discharge/export</v>
      </c>
    </row>
    <row r="15" spans="1:7" ht="17.100000000000001" customHeight="1" x14ac:dyDescent="0.25">
      <c r="A15" s="13">
        <f>'4_All_periods'!C538</f>
        <v>240</v>
      </c>
      <c r="B15" s="14">
        <f>'4_All_periods'!D538</f>
        <v>0.87570000000000003</v>
      </c>
      <c r="C15" s="14">
        <f>'4_All_periods'!E538</f>
        <v>-6.8099999999999994E-2</v>
      </c>
      <c r="D15" s="15">
        <f t="shared" si="0"/>
        <v>-0.27670000000000006</v>
      </c>
      <c r="E15" s="15">
        <f t="shared" si="1"/>
        <v>-0.308</v>
      </c>
      <c r="F15" s="15">
        <f t="shared" si="2"/>
        <v>-0.37887367000228017</v>
      </c>
      <c r="G15" s="16" t="str">
        <f t="shared" si="3"/>
        <v>discharge/export</v>
      </c>
    </row>
    <row r="16" spans="1:7" ht="17.100000000000001" customHeight="1" x14ac:dyDescent="0.25">
      <c r="A16" s="13">
        <f>'4_All_periods'!C539</f>
        <v>270</v>
      </c>
      <c r="B16" s="14">
        <f>'4_All_periods'!D539</f>
        <v>1.0226999999999999</v>
      </c>
      <c r="C16" s="14">
        <f>'4_All_periods'!E539</f>
        <v>-0.106</v>
      </c>
      <c r="D16" s="15">
        <f t="shared" si="0"/>
        <v>-0.12970000000000015</v>
      </c>
      <c r="E16" s="15">
        <f t="shared" si="1"/>
        <v>-0.34589999999999999</v>
      </c>
      <c r="F16" s="15">
        <f t="shared" si="2"/>
        <v>0.1059999999999998</v>
      </c>
      <c r="G16" s="16" t="str">
        <f t="shared" si="3"/>
        <v>discharge/export</v>
      </c>
    </row>
    <row r="17" spans="1:7" ht="17.100000000000001" customHeight="1" x14ac:dyDescent="0.25">
      <c r="A17" s="13">
        <f>'4_All_periods'!C540</f>
        <v>300</v>
      </c>
      <c r="B17" s="14">
        <f>'4_All_periods'!D540</f>
        <v>1.1838</v>
      </c>
      <c r="C17" s="14">
        <f>'4_All_periods'!E540</f>
        <v>-6.4199999999999993E-2</v>
      </c>
      <c r="D17" s="15">
        <f t="shared" si="0"/>
        <v>3.1399999999999872E-2</v>
      </c>
      <c r="E17" s="15">
        <f t="shared" si="1"/>
        <v>-0.30409999999999998</v>
      </c>
      <c r="F17" s="15">
        <f t="shared" si="2"/>
        <v>0.64749883092296101</v>
      </c>
      <c r="G17" s="16" t="str">
        <f t="shared" si="3"/>
        <v>charge/import</v>
      </c>
    </row>
    <row r="18" spans="1:7" ht="17.100000000000001" customHeight="1" x14ac:dyDescent="0.25">
      <c r="A18" s="13">
        <f>'4_All_periods'!C541</f>
        <v>330</v>
      </c>
      <c r="B18" s="14">
        <f>'4_All_periods'!D541</f>
        <v>1.2716000000000001</v>
      </c>
      <c r="C18" s="14">
        <f>'4_All_periods'!E541</f>
        <v>2.0299999999999999E-2</v>
      </c>
      <c r="D18" s="15">
        <f t="shared" si="0"/>
        <v>0.11919999999999997</v>
      </c>
      <c r="E18" s="15">
        <f t="shared" si="1"/>
        <v>-0.21960000000000002</v>
      </c>
      <c r="F18" s="15">
        <f t="shared" si="2"/>
        <v>1.0910879034522918</v>
      </c>
      <c r="G18" s="16" t="str">
        <f t="shared" si="3"/>
        <v>charge/import</v>
      </c>
    </row>
    <row r="19" spans="1:7" ht="17.100000000000001" customHeight="1" x14ac:dyDescent="0.25">
      <c r="A19" s="17" t="s">
        <v>76</v>
      </c>
      <c r="B19" s="18">
        <f>B7</f>
        <v>1.2931999999999999</v>
      </c>
      <c r="C19" s="18">
        <f>C7</f>
        <v>0.24970000000000001</v>
      </c>
      <c r="D19" s="18">
        <f>D7</f>
        <v>0.14079999999999981</v>
      </c>
      <c r="E19" s="18">
        <f>E7</f>
        <v>9.8000000000000032E-3</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0.54309999999999992</v>
      </c>
    </row>
    <row r="23" spans="1:7" ht="18" customHeight="1" x14ac:dyDescent="0.25">
      <c r="A23" s="45" t="s">
        <v>79</v>
      </c>
      <c r="B23" s="46"/>
      <c r="C23" s="20">
        <f>MAX(0,MAX(D7:D18))</f>
        <v>0.14079999999999981</v>
      </c>
    </row>
    <row r="24" spans="1:7" ht="18" customHeight="1" x14ac:dyDescent="0.25">
      <c r="A24" s="45" t="s">
        <v>80</v>
      </c>
      <c r="B24" s="46"/>
      <c r="C24" s="20">
        <f>MAX(0,-MIN(D7:D18))</f>
        <v>0.4023000000000001</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"&amp;TEXT('4_All_periods'!H530,"0.00000")&amp;" pu"&amp;IF('4_All_periods'!H530&gt;=1.0999," → over-voltage limit is active"," → clear of the limit, so the battery bounds it"),"blocked at 180°: Vmax there = "&amp;TEXT('4_All_periods'!H536,"0.00000")&amp;" pu"&amp;IF('4_All_periods'!H536&gt;=1.0999,"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7" priority="1">
      <formula>ISNUMBER(SEARCH("charge",$G7))</formula>
    </cfRule>
    <cfRule type="expression" dxfId="6"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185</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'4_All_periods'!I542</f>
        <v>1.0326</v>
      </c>
      <c r="C4" s="10" t="s">
        <v>69</v>
      </c>
      <c r="D4" s="11">
        <f>'4_All_periods'!J542</f>
        <v>0.21429999999999999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'4_All_periods'!C542</f>
        <v>0</v>
      </c>
      <c r="B7" s="14">
        <f>'4_All_periods'!D542</f>
        <v>1.1257999999999999</v>
      </c>
      <c r="C7" s="14">
        <f>'4_All_periods'!E542</f>
        <v>0.20280000000000001</v>
      </c>
      <c r="D7" s="15">
        <f t="shared" ref="D7:D18" si="0">B7-$B$4</f>
        <v>9.319999999999995E-2</v>
      </c>
      <c r="E7" s="15">
        <f t="shared" ref="E7:E18" si="1">C7-$D$4</f>
        <v>-1.1499999999999982E-2</v>
      </c>
      <c r="F7" s="15">
        <f t="shared" ref="F7:F18" si="2">B7*COS(RADIANS(A7))+C7*SIN(RADIANS(A7))</f>
        <v>1.1257999999999999</v>
      </c>
      <c r="G7" s="16" t="str">
        <f t="shared" ref="G7:G18" si="3">IF(D7&gt;0,"charge/import","discharge/export")</f>
        <v>charge/import</v>
      </c>
    </row>
    <row r="8" spans="1:7" ht="17.100000000000001" customHeight="1" x14ac:dyDescent="0.25">
      <c r="A8" s="13">
        <f>'4_All_periods'!C543</f>
        <v>30</v>
      </c>
      <c r="B8" s="14">
        <f>'4_All_periods'!D543</f>
        <v>1.0941000000000001</v>
      </c>
      <c r="C8" s="14">
        <f>'4_All_periods'!E543</f>
        <v>0.35659999999999997</v>
      </c>
      <c r="D8" s="15">
        <f t="shared" si="0"/>
        <v>6.150000000000011E-2</v>
      </c>
      <c r="E8" s="15">
        <f t="shared" si="1"/>
        <v>0.14229999999999998</v>
      </c>
      <c r="F8" s="15">
        <f t="shared" si="2"/>
        <v>1.1258183942805544</v>
      </c>
      <c r="G8" s="16" t="str">
        <f t="shared" si="3"/>
        <v>charge/import</v>
      </c>
    </row>
    <row r="9" spans="1:7" ht="17.100000000000001" customHeight="1" x14ac:dyDescent="0.25">
      <c r="A9" s="13">
        <f>'4_All_periods'!C544</f>
        <v>60</v>
      </c>
      <c r="B9" s="14">
        <f>'4_All_periods'!D544</f>
        <v>0.98780000000000001</v>
      </c>
      <c r="C9" s="14">
        <f>'4_All_periods'!E544</f>
        <v>0.46250000000000002</v>
      </c>
      <c r="D9" s="15">
        <f t="shared" si="0"/>
        <v>-4.4799999999999951E-2</v>
      </c>
      <c r="E9" s="15">
        <f t="shared" si="1"/>
        <v>0.24820000000000003</v>
      </c>
      <c r="F9" s="15">
        <f t="shared" si="2"/>
        <v>0.89443674925030292</v>
      </c>
      <c r="G9" s="16" t="str">
        <f t="shared" si="3"/>
        <v>discharge/export</v>
      </c>
    </row>
    <row r="10" spans="1:7" ht="17.100000000000001" customHeight="1" x14ac:dyDescent="0.25">
      <c r="A10" s="13">
        <f>'4_All_periods'!C545</f>
        <v>90</v>
      </c>
      <c r="B10" s="14">
        <f>'4_All_periods'!D545</f>
        <v>0.85750000000000004</v>
      </c>
      <c r="C10" s="14">
        <f>'4_All_periods'!E545</f>
        <v>0.49690000000000001</v>
      </c>
      <c r="D10" s="15">
        <f t="shared" si="0"/>
        <v>-0.17509999999999992</v>
      </c>
      <c r="E10" s="15">
        <f t="shared" si="1"/>
        <v>0.28260000000000002</v>
      </c>
      <c r="F10" s="15">
        <f t="shared" si="2"/>
        <v>0.49690000000000006</v>
      </c>
      <c r="G10" s="16" t="str">
        <f t="shared" si="3"/>
        <v>discharge/export</v>
      </c>
    </row>
    <row r="11" spans="1:7" ht="17.100000000000001" customHeight="1" x14ac:dyDescent="0.25">
      <c r="A11" s="13">
        <f>'4_All_periods'!C546</f>
        <v>120</v>
      </c>
      <c r="B11" s="14">
        <f>'4_All_periods'!D546</f>
        <v>0.70750000000000002</v>
      </c>
      <c r="C11" s="14">
        <f>'4_All_periods'!E546</f>
        <v>0.45750000000000002</v>
      </c>
      <c r="D11" s="15">
        <f t="shared" si="0"/>
        <v>-0.32509999999999994</v>
      </c>
      <c r="E11" s="15">
        <f t="shared" si="1"/>
        <v>0.24320000000000003</v>
      </c>
      <c r="F11" s="15">
        <f t="shared" si="2"/>
        <v>4.2456622231380858E-2</v>
      </c>
      <c r="G11" s="16" t="str">
        <f t="shared" si="3"/>
        <v>discharge/export</v>
      </c>
    </row>
    <row r="12" spans="1:7" ht="17.100000000000001" customHeight="1" x14ac:dyDescent="0.25">
      <c r="A12" s="13">
        <f>'4_All_periods'!C547</f>
        <v>150</v>
      </c>
      <c r="B12" s="14">
        <f>'4_All_periods'!D547</f>
        <v>0.6169</v>
      </c>
      <c r="C12" s="14">
        <f>'4_All_periods'!E547</f>
        <v>0.36899999999999999</v>
      </c>
      <c r="D12" s="15">
        <f t="shared" si="0"/>
        <v>-0.41569999999999996</v>
      </c>
      <c r="E12" s="15">
        <f t="shared" si="1"/>
        <v>0.1547</v>
      </c>
      <c r="F12" s="15">
        <f t="shared" si="2"/>
        <v>-0.34975107159462027</v>
      </c>
      <c r="G12" s="16" t="str">
        <f t="shared" si="3"/>
        <v>discharge/export</v>
      </c>
    </row>
    <row r="13" spans="1:7" ht="17.100000000000001" customHeight="1" x14ac:dyDescent="0.25">
      <c r="A13" s="13">
        <f>'4_All_periods'!C548</f>
        <v>180</v>
      </c>
      <c r="B13" s="14">
        <f>'4_All_periods'!D548</f>
        <v>0.58809999999999996</v>
      </c>
      <c r="C13" s="14">
        <f>'4_All_periods'!E548</f>
        <v>0.1046</v>
      </c>
      <c r="D13" s="15">
        <f t="shared" si="0"/>
        <v>-0.44450000000000001</v>
      </c>
      <c r="E13" s="15">
        <f t="shared" si="1"/>
        <v>-0.10969999999999999</v>
      </c>
      <c r="F13" s="15">
        <f t="shared" si="2"/>
        <v>-0.58809999999999996</v>
      </c>
      <c r="G13" s="16" t="str">
        <f t="shared" si="3"/>
        <v>discharge/export</v>
      </c>
    </row>
    <row r="14" spans="1:7" ht="17.100000000000001" customHeight="1" x14ac:dyDescent="0.25">
      <c r="A14" s="13">
        <f>'4_All_periods'!C549</f>
        <v>210</v>
      </c>
      <c r="B14" s="14">
        <f>'4_All_periods'!D549</f>
        <v>0.62009999999999998</v>
      </c>
      <c r="C14" s="14">
        <f>'4_All_periods'!E549</f>
        <v>-2.7199999999999998E-2</v>
      </c>
      <c r="D14" s="15">
        <f t="shared" si="0"/>
        <v>-0.41249999999999998</v>
      </c>
      <c r="E14" s="15">
        <f t="shared" si="1"/>
        <v>-0.24149999999999999</v>
      </c>
      <c r="F14" s="15">
        <f t="shared" si="2"/>
        <v>-0.52342235288673034</v>
      </c>
      <c r="G14" s="16" t="str">
        <f t="shared" si="3"/>
        <v>discharge/export</v>
      </c>
    </row>
    <row r="15" spans="1:7" ht="17.100000000000001" customHeight="1" x14ac:dyDescent="0.25">
      <c r="A15" s="13">
        <f>'4_All_periods'!C550</f>
        <v>240</v>
      </c>
      <c r="B15" s="14">
        <f>'4_All_periods'!D550</f>
        <v>0.70369999999999999</v>
      </c>
      <c r="C15" s="14">
        <f>'4_All_periods'!E550</f>
        <v>-0.1099</v>
      </c>
      <c r="D15" s="15">
        <f t="shared" si="0"/>
        <v>-0.32889999999999997</v>
      </c>
      <c r="E15" s="15">
        <f t="shared" si="1"/>
        <v>-0.32419999999999999</v>
      </c>
      <c r="F15" s="15">
        <f t="shared" si="2"/>
        <v>-0.25667380812409057</v>
      </c>
      <c r="G15" s="16" t="str">
        <f t="shared" si="3"/>
        <v>discharge/export</v>
      </c>
    </row>
    <row r="16" spans="1:7" ht="17.100000000000001" customHeight="1" x14ac:dyDescent="0.25">
      <c r="A16" s="13">
        <f>'4_All_periods'!C551</f>
        <v>270</v>
      </c>
      <c r="B16" s="14">
        <f>'4_All_periods'!D551</f>
        <v>0.84230000000000005</v>
      </c>
      <c r="C16" s="14">
        <f>'4_All_periods'!E551</f>
        <v>-0.1452</v>
      </c>
      <c r="D16" s="15">
        <f t="shared" si="0"/>
        <v>-0.19029999999999991</v>
      </c>
      <c r="E16" s="15">
        <f t="shared" si="1"/>
        <v>-0.35949999999999999</v>
      </c>
      <c r="F16" s="15">
        <f t="shared" si="2"/>
        <v>0.14519999999999983</v>
      </c>
      <c r="G16" s="16" t="str">
        <f t="shared" si="3"/>
        <v>discharge/export</v>
      </c>
    </row>
    <row r="17" spans="1:7" ht="17.100000000000001" customHeight="1" x14ac:dyDescent="0.25">
      <c r="A17" s="13">
        <f>'4_All_periods'!C552</f>
        <v>300</v>
      </c>
      <c r="B17" s="14">
        <f>'4_All_periods'!D552</f>
        <v>1.0042</v>
      </c>
      <c r="C17" s="14">
        <f>'4_All_periods'!E552</f>
        <v>-0.1027</v>
      </c>
      <c r="D17" s="15">
        <f t="shared" si="0"/>
        <v>-2.8399999999999981E-2</v>
      </c>
      <c r="E17" s="15">
        <f t="shared" si="1"/>
        <v>-0.317</v>
      </c>
      <c r="F17" s="15">
        <f t="shared" si="2"/>
        <v>0.59104080896866196</v>
      </c>
      <c r="G17" s="16" t="str">
        <f t="shared" si="3"/>
        <v>discharge/export</v>
      </c>
    </row>
    <row r="18" spans="1:7" ht="17.100000000000001" customHeight="1" x14ac:dyDescent="0.25">
      <c r="A18" s="13">
        <f>'4_All_periods'!C553</f>
        <v>330</v>
      </c>
      <c r="B18" s="14">
        <f>'4_All_periods'!D553</f>
        <v>1.0995999999999999</v>
      </c>
      <c r="C18" s="14">
        <f>'4_All_periods'!E553</f>
        <v>-9.4999999999999998E-3</v>
      </c>
      <c r="D18" s="15">
        <f t="shared" si="0"/>
        <v>6.6999999999999948E-2</v>
      </c>
      <c r="E18" s="15">
        <f t="shared" si="1"/>
        <v>-0.2238</v>
      </c>
      <c r="F18" s="15">
        <f t="shared" si="2"/>
        <v>0.95703153400136842</v>
      </c>
      <c r="G18" s="16" t="str">
        <f t="shared" si="3"/>
        <v>charge/import</v>
      </c>
    </row>
    <row r="19" spans="1:7" ht="17.100000000000001" customHeight="1" x14ac:dyDescent="0.25">
      <c r="A19" s="17" t="s">
        <v>76</v>
      </c>
      <c r="B19" s="18">
        <f>B7</f>
        <v>1.1257999999999999</v>
      </c>
      <c r="C19" s="18">
        <f>C7</f>
        <v>0.20280000000000001</v>
      </c>
      <c r="D19" s="18">
        <f>D7</f>
        <v>9.319999999999995E-2</v>
      </c>
      <c r="E19" s="18">
        <f>E7</f>
        <v>-1.1499999999999982E-2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0.53769999999999996</v>
      </c>
    </row>
    <row r="23" spans="1:7" ht="18" customHeight="1" x14ac:dyDescent="0.25">
      <c r="A23" s="45" t="s">
        <v>79</v>
      </c>
      <c r="B23" s="46"/>
      <c r="C23" s="20">
        <f>MAX(0,MAX(D7:D18))</f>
        <v>9.319999999999995E-2</v>
      </c>
    </row>
    <row r="24" spans="1:7" ht="18" customHeight="1" x14ac:dyDescent="0.25">
      <c r="A24" s="45" t="s">
        <v>80</v>
      </c>
      <c r="B24" s="46"/>
      <c r="C24" s="20">
        <f>MAX(0,-MIN(D7:D18))</f>
        <v>0.44450000000000001</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"&amp;TEXT('4_All_periods'!H542,"0.00000")&amp;" pu"&amp;IF('4_All_periods'!H542&gt;=1.0999," → over-voltage limit is active"," → clear of the limit, so the battery bounds it"),"blocked at 180°: Vmax there = "&amp;TEXT('4_All_periods'!H548,"0.00000")&amp;" pu"&amp;IF('4_All_periods'!H548&gt;=1.0999,"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5" priority="1">
      <formula>ISNUMBER(SEARCH("charge",$G7))</formula>
    </cfRule>
    <cfRule type="expression" dxfId="4"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186</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'4_All_periods'!I554</f>
        <v>0.85</v>
      </c>
      <c r="C4" s="10" t="s">
        <v>69</v>
      </c>
      <c r="D4" s="11">
        <f>'4_All_periods'!J554</f>
        <v>0.1759</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'4_All_periods'!C554</f>
        <v>0</v>
      </c>
      <c r="B7" s="14">
        <f>'4_All_periods'!D554</f>
        <v>0.93540000000000001</v>
      </c>
      <c r="C7" s="14">
        <f>'4_All_periods'!E554</f>
        <v>0.13700000000000001</v>
      </c>
      <c r="D7" s="15">
        <f t="shared" ref="D7:D18" si="0">B7-$B$4</f>
        <v>8.5400000000000031E-2</v>
      </c>
      <c r="E7" s="15">
        <f t="shared" ref="E7:E18" si="1">C7-$D$4</f>
        <v>-3.889999999999999E-2</v>
      </c>
      <c r="F7" s="15">
        <f t="shared" ref="F7:F18" si="2">B7*COS(RADIANS(A7))+C7*SIN(RADIANS(A7))</f>
        <v>0.93540000000000001</v>
      </c>
      <c r="G7" s="16" t="str">
        <f t="shared" ref="G7:G18" si="3">IF(D7&gt;0,"charge/import","discharge/export")</f>
        <v>charge/import</v>
      </c>
    </row>
    <row r="8" spans="1:7" ht="17.100000000000001" customHeight="1" x14ac:dyDescent="0.25">
      <c r="A8" s="13">
        <f>'4_All_periods'!C555</f>
        <v>30</v>
      </c>
      <c r="B8" s="14">
        <f>'4_All_periods'!D555</f>
        <v>0.9002</v>
      </c>
      <c r="C8" s="14">
        <f>'4_All_periods'!E555</f>
        <v>0.31669999999999998</v>
      </c>
      <c r="D8" s="15">
        <f t="shared" si="0"/>
        <v>5.0200000000000022E-2</v>
      </c>
      <c r="E8" s="15">
        <f t="shared" si="1"/>
        <v>0.14079999999999998</v>
      </c>
      <c r="F8" s="15">
        <f t="shared" si="2"/>
        <v>0.93794606848675166</v>
      </c>
      <c r="G8" s="16" t="str">
        <f t="shared" si="3"/>
        <v>charge/import</v>
      </c>
    </row>
    <row r="9" spans="1:7" ht="17.100000000000001" customHeight="1" x14ac:dyDescent="0.25">
      <c r="A9" s="13">
        <f>'4_All_periods'!C556</f>
        <v>60</v>
      </c>
      <c r="B9" s="14">
        <f>'4_All_periods'!D556</f>
        <v>0.79530000000000001</v>
      </c>
      <c r="C9" s="14">
        <f>'4_All_periods'!E556</f>
        <v>0.41980000000000001</v>
      </c>
      <c r="D9" s="15">
        <f t="shared" si="0"/>
        <v>-5.4699999999999971E-2</v>
      </c>
      <c r="E9" s="15">
        <f t="shared" si="1"/>
        <v>0.24390000000000001</v>
      </c>
      <c r="F9" s="15">
        <f t="shared" si="2"/>
        <v>0.76120746450870747</v>
      </c>
      <c r="G9" s="16" t="str">
        <f t="shared" si="3"/>
        <v>discharge/export</v>
      </c>
    </row>
    <row r="10" spans="1:7" ht="17.100000000000001" customHeight="1" x14ac:dyDescent="0.25">
      <c r="A10" s="13">
        <f>'4_All_periods'!C557</f>
        <v>90</v>
      </c>
      <c r="B10" s="14">
        <f>'4_All_periods'!D557</f>
        <v>0.65510000000000002</v>
      </c>
      <c r="C10" s="14">
        <f>'4_All_periods'!E557</f>
        <v>0.4551</v>
      </c>
      <c r="D10" s="15">
        <f t="shared" si="0"/>
        <v>-0.19489999999999996</v>
      </c>
      <c r="E10" s="15">
        <f t="shared" si="1"/>
        <v>0.2792</v>
      </c>
      <c r="F10" s="15">
        <f t="shared" si="2"/>
        <v>0.45510000000000006</v>
      </c>
      <c r="G10" s="16" t="str">
        <f t="shared" si="3"/>
        <v>discharge/export</v>
      </c>
    </row>
    <row r="11" spans="1:7" ht="17.100000000000001" customHeight="1" x14ac:dyDescent="0.25">
      <c r="A11" s="13">
        <f>'4_All_periods'!C558</f>
        <v>120</v>
      </c>
      <c r="B11" s="14">
        <f>'4_All_periods'!D558</f>
        <v>0.51259999999999994</v>
      </c>
      <c r="C11" s="14">
        <f>'4_All_periods'!E558</f>
        <v>0.41810000000000003</v>
      </c>
      <c r="D11" s="15">
        <f t="shared" si="0"/>
        <v>-0.33740000000000003</v>
      </c>
      <c r="E11" s="15">
        <f t="shared" si="1"/>
        <v>0.24220000000000003</v>
      </c>
      <c r="F11" s="15">
        <f t="shared" si="2"/>
        <v>0.10578522132227397</v>
      </c>
      <c r="G11" s="16" t="str">
        <f t="shared" si="3"/>
        <v>discharge/export</v>
      </c>
    </row>
    <row r="12" spans="1:7" ht="17.100000000000001" customHeight="1" x14ac:dyDescent="0.25">
      <c r="A12" s="13">
        <f>'4_All_periods'!C559</f>
        <v>150</v>
      </c>
      <c r="B12" s="14">
        <f>'4_All_periods'!D559</f>
        <v>0.42799999999999999</v>
      </c>
      <c r="C12" s="14">
        <f>'4_All_periods'!E559</f>
        <v>0.33489999999999998</v>
      </c>
      <c r="D12" s="15">
        <f t="shared" si="0"/>
        <v>-0.42199999999999999</v>
      </c>
      <c r="E12" s="15">
        <f t="shared" si="1"/>
        <v>0.15899999999999997</v>
      </c>
      <c r="F12" s="15">
        <f t="shared" si="2"/>
        <v>-0.20320887281973979</v>
      </c>
      <c r="G12" s="16" t="str">
        <f t="shared" si="3"/>
        <v>discharge/export</v>
      </c>
    </row>
    <row r="13" spans="1:7" ht="17.100000000000001" customHeight="1" x14ac:dyDescent="0.25">
      <c r="A13" s="13">
        <f>'4_All_periods'!C560</f>
        <v>180</v>
      </c>
      <c r="B13" s="14">
        <f>'4_All_periods'!D560</f>
        <v>0.40200000000000002</v>
      </c>
      <c r="C13" s="14">
        <f>'4_All_periods'!E560</f>
        <v>7.4499999999999997E-2</v>
      </c>
      <c r="D13" s="15">
        <f t="shared" si="0"/>
        <v>-0.44799999999999995</v>
      </c>
      <c r="E13" s="15">
        <f t="shared" si="1"/>
        <v>-0.1014</v>
      </c>
      <c r="F13" s="15">
        <f t="shared" si="2"/>
        <v>-0.40200000000000002</v>
      </c>
      <c r="G13" s="16" t="str">
        <f t="shared" si="3"/>
        <v>discharge/export</v>
      </c>
    </row>
    <row r="14" spans="1:7" ht="17.100000000000001" customHeight="1" x14ac:dyDescent="0.25">
      <c r="A14" s="13">
        <f>'4_All_periods'!C561</f>
        <v>210</v>
      </c>
      <c r="B14" s="14">
        <f>'4_All_periods'!D561</f>
        <v>0.4304</v>
      </c>
      <c r="C14" s="14">
        <f>'4_All_periods'!E561</f>
        <v>-7.4499999999999997E-2</v>
      </c>
      <c r="D14" s="15">
        <f t="shared" si="0"/>
        <v>-0.41959999999999997</v>
      </c>
      <c r="E14" s="15">
        <f t="shared" si="1"/>
        <v>-0.25040000000000001</v>
      </c>
      <c r="F14" s="15">
        <f t="shared" si="2"/>
        <v>-0.33548733378882239</v>
      </c>
      <c r="G14" s="16" t="str">
        <f t="shared" si="3"/>
        <v>discharge/export</v>
      </c>
    </row>
    <row r="15" spans="1:7" ht="17.100000000000001" customHeight="1" x14ac:dyDescent="0.25">
      <c r="A15" s="13">
        <f>'4_All_periods'!C562</f>
        <v>240</v>
      </c>
      <c r="B15" s="14">
        <f>'4_All_periods'!D562</f>
        <v>0.51300000000000001</v>
      </c>
      <c r="C15" s="14">
        <f>'4_All_periods'!E562</f>
        <v>-0.15540000000000001</v>
      </c>
      <c r="D15" s="15">
        <f t="shared" si="0"/>
        <v>-0.33699999999999997</v>
      </c>
      <c r="E15" s="15">
        <f t="shared" si="1"/>
        <v>-0.33130000000000004</v>
      </c>
      <c r="F15" s="15">
        <f t="shared" si="2"/>
        <v>-0.12191965225189849</v>
      </c>
      <c r="G15" s="16" t="str">
        <f t="shared" si="3"/>
        <v>discharge/export</v>
      </c>
    </row>
    <row r="16" spans="1:7" ht="17.100000000000001" customHeight="1" x14ac:dyDescent="0.25">
      <c r="A16" s="13">
        <f>'4_All_periods'!C563</f>
        <v>270</v>
      </c>
      <c r="B16" s="14">
        <f>'4_All_periods'!D563</f>
        <v>0.64259999999999995</v>
      </c>
      <c r="C16" s="14">
        <f>'4_All_periods'!E563</f>
        <v>-0.18779999999999999</v>
      </c>
      <c r="D16" s="15">
        <f t="shared" si="0"/>
        <v>-0.20740000000000003</v>
      </c>
      <c r="E16" s="15">
        <f t="shared" si="1"/>
        <v>-0.36370000000000002</v>
      </c>
      <c r="F16" s="15">
        <f t="shared" si="2"/>
        <v>0.18779999999999988</v>
      </c>
      <c r="G16" s="16" t="str">
        <f t="shared" si="3"/>
        <v>discharge/export</v>
      </c>
    </row>
    <row r="17" spans="1:7" ht="17.100000000000001" customHeight="1" x14ac:dyDescent="0.25">
      <c r="A17" s="13">
        <f>'4_All_periods'!C564</f>
        <v>300</v>
      </c>
      <c r="B17" s="14">
        <f>'4_All_periods'!D564</f>
        <v>0.80510000000000004</v>
      </c>
      <c r="C17" s="14">
        <f>'4_All_periods'!E564</f>
        <v>-0.1449</v>
      </c>
      <c r="D17" s="15">
        <f t="shared" si="0"/>
        <v>-4.489999999999994E-2</v>
      </c>
      <c r="E17" s="15">
        <f t="shared" si="1"/>
        <v>-0.32079999999999997</v>
      </c>
      <c r="F17" s="15">
        <f t="shared" si="2"/>
        <v>0.52803708100836522</v>
      </c>
      <c r="G17" s="16" t="str">
        <f t="shared" si="3"/>
        <v>discharge/export</v>
      </c>
    </row>
    <row r="18" spans="1:7" ht="17.100000000000001" customHeight="1" x14ac:dyDescent="0.25">
      <c r="A18" s="13">
        <f>'4_All_periods'!C565</f>
        <v>330</v>
      </c>
      <c r="B18" s="14">
        <f>'4_All_periods'!D565</f>
        <v>0.90620000000000001</v>
      </c>
      <c r="C18" s="14">
        <f>'4_All_periods'!E565</f>
        <v>-4.5100000000000001E-2</v>
      </c>
      <c r="D18" s="15">
        <f t="shared" si="0"/>
        <v>5.6200000000000028E-2</v>
      </c>
      <c r="E18" s="15">
        <f t="shared" si="1"/>
        <v>-0.221</v>
      </c>
      <c r="F18" s="15">
        <f t="shared" si="2"/>
        <v>0.80734222090945817</v>
      </c>
      <c r="G18" s="16" t="str">
        <f t="shared" si="3"/>
        <v>charge/import</v>
      </c>
    </row>
    <row r="19" spans="1:7" ht="17.100000000000001" customHeight="1" x14ac:dyDescent="0.25">
      <c r="A19" s="17" t="s">
        <v>76</v>
      </c>
      <c r="B19" s="18">
        <f>B7</f>
        <v>0.93540000000000001</v>
      </c>
      <c r="C19" s="18">
        <f>C7</f>
        <v>0.13700000000000001</v>
      </c>
      <c r="D19" s="18">
        <f>D7</f>
        <v>8.5400000000000031E-2</v>
      </c>
      <c r="E19" s="18">
        <f>E7</f>
        <v>-3.889999999999999E-2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0.53339999999999999</v>
      </c>
    </row>
    <row r="23" spans="1:7" ht="18" customHeight="1" x14ac:dyDescent="0.25">
      <c r="A23" s="45" t="s">
        <v>79</v>
      </c>
      <c r="B23" s="46"/>
      <c r="C23" s="20">
        <f>MAX(0,MAX(D7:D18))</f>
        <v>8.5400000000000031E-2</v>
      </c>
    </row>
    <row r="24" spans="1:7" ht="18" customHeight="1" x14ac:dyDescent="0.25">
      <c r="A24" s="45" t="s">
        <v>80</v>
      </c>
      <c r="B24" s="46"/>
      <c r="C24" s="20">
        <f>MAX(0,-MIN(D7:D18))</f>
        <v>0.44799999999999995</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"&amp;TEXT('4_All_periods'!H554,"0.00000")&amp;" pu"&amp;IF('4_All_periods'!H554&gt;=1.0999," → over-voltage limit is active"," → clear of the limit, so the battery bounds it"),"blocked at 180°: Vmax there = "&amp;TEXT('4_All_periods'!H560,"0.00000")&amp;" pu"&amp;IF('4_All_periods'!H560&gt;=1.0999,"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3" priority="1">
      <formula>ISNUMBER(SEARCH("charge",$G7))</formula>
    </cfRule>
    <cfRule type="expression" dxfId="2"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BDD7EE"/>
    <pageSetUpPr fitToPage="1"/>
  </sheetPr>
  <dimension ref="A1:G27"/>
  <sheetViews>
    <sheetView showGridLines="0" workbookViewId="0">
      <pane ySplit="6" topLeftCell="A7" activePane="bottomLeft" state="frozen"/>
      <selection pane="bottomLeft"/>
    </sheetView>
  </sheetViews>
  <sheetFormatPr defaultRowHeight="15" x14ac:dyDescent="0.25"/>
  <cols>
    <col min="1" max="1" width="23" customWidth="1"/>
    <col min="2" max="5" width="14" customWidth="1"/>
    <col min="6" max="6" width="13" customWidth="1"/>
    <col min="7" max="7" width="19" customWidth="1"/>
  </cols>
  <sheetData>
    <row r="1" spans="1:7" ht="24" customHeight="1" x14ac:dyDescent="0.25">
      <c r="A1" s="1" t="s">
        <v>187</v>
      </c>
    </row>
    <row r="2" spans="1:7" ht="6" customHeight="1" x14ac:dyDescent="0.25"/>
    <row r="3" spans="1:7" ht="27.95" customHeight="1" x14ac:dyDescent="0.25">
      <c r="A3" s="50" t="s">
        <v>67</v>
      </c>
      <c r="B3" s="50"/>
      <c r="C3" s="50"/>
      <c r="D3" s="50"/>
      <c r="E3" s="50"/>
      <c r="F3" s="50"/>
      <c r="G3" s="50"/>
    </row>
    <row r="4" spans="1:7" ht="18.95" customHeight="1" x14ac:dyDescent="0.25">
      <c r="A4" s="10" t="s">
        <v>68</v>
      </c>
      <c r="B4" s="11">
        <f>'4_All_periods'!I566</f>
        <v>0.64880000000000004</v>
      </c>
      <c r="C4" s="10" t="s">
        <v>69</v>
      </c>
      <c r="D4" s="11">
        <f>'4_All_periods'!J566</f>
        <v>0.13370000000000001</v>
      </c>
    </row>
    <row r="5" spans="1:7" ht="8.1" customHeight="1" x14ac:dyDescent="0.25"/>
    <row r="6" spans="1:7" ht="30" customHeight="1" x14ac:dyDescent="0.25">
      <c r="A6" s="12" t="s">
        <v>24</v>
      </c>
      <c r="B6" s="12" t="s">
        <v>70</v>
      </c>
      <c r="C6" s="12" t="s">
        <v>71</v>
      </c>
      <c r="D6" s="12" t="s">
        <v>72</v>
      </c>
      <c r="E6" s="12" t="s">
        <v>73</v>
      </c>
      <c r="F6" s="12" t="s">
        <v>74</v>
      </c>
      <c r="G6" s="12" t="s">
        <v>75</v>
      </c>
    </row>
    <row r="7" spans="1:7" ht="17.100000000000001" customHeight="1" x14ac:dyDescent="0.25">
      <c r="A7" s="13">
        <f>'4_All_periods'!C566</f>
        <v>0</v>
      </c>
      <c r="B7" s="14">
        <f>'4_All_periods'!D566</f>
        <v>0.83899999999999997</v>
      </c>
      <c r="C7" s="14">
        <f>'4_All_periods'!E566</f>
        <v>0.14449999999999999</v>
      </c>
      <c r="D7" s="15">
        <f t="shared" ref="D7:D18" si="0">B7-$B$4</f>
        <v>0.19019999999999992</v>
      </c>
      <c r="E7" s="15">
        <f t="shared" ref="E7:E18" si="1">C7-$D$4</f>
        <v>1.0799999999999976E-2</v>
      </c>
      <c r="F7" s="15">
        <f t="shared" ref="F7:F18" si="2">B7*COS(RADIANS(A7))+C7*SIN(RADIANS(A7))</f>
        <v>0.83899999999999997</v>
      </c>
      <c r="G7" s="16" t="str">
        <f t="shared" ref="G7:G18" si="3">IF(D7&gt;0,"charge/import","discharge/export")</f>
        <v>charge/import</v>
      </c>
    </row>
    <row r="8" spans="1:7" ht="17.100000000000001" customHeight="1" x14ac:dyDescent="0.25">
      <c r="A8" s="13">
        <f>'4_All_periods'!C567</f>
        <v>30</v>
      </c>
      <c r="B8" s="14">
        <f>'4_All_periods'!D567</f>
        <v>0.80349999999999999</v>
      </c>
      <c r="C8" s="14">
        <f>'4_All_periods'!E567</f>
        <v>0.29199999999999998</v>
      </c>
      <c r="D8" s="15">
        <f t="shared" si="0"/>
        <v>0.15469999999999995</v>
      </c>
      <c r="E8" s="15">
        <f t="shared" si="1"/>
        <v>0.15829999999999997</v>
      </c>
      <c r="F8" s="15">
        <f t="shared" si="2"/>
        <v>0.84185141194079649</v>
      </c>
      <c r="G8" s="16" t="str">
        <f t="shared" si="3"/>
        <v>charge/import</v>
      </c>
    </row>
    <row r="9" spans="1:7" ht="17.100000000000001" customHeight="1" x14ac:dyDescent="0.25">
      <c r="A9" s="13">
        <f>'4_All_periods'!C568</f>
        <v>60</v>
      </c>
      <c r="B9" s="14">
        <f>'4_All_periods'!D568</f>
        <v>0.69779999999999998</v>
      </c>
      <c r="C9" s="14">
        <f>'4_All_periods'!E568</f>
        <v>0.39660000000000001</v>
      </c>
      <c r="D9" s="15">
        <f t="shared" si="0"/>
        <v>4.8999999999999932E-2</v>
      </c>
      <c r="E9" s="15">
        <f t="shared" si="1"/>
        <v>0.26290000000000002</v>
      </c>
      <c r="F9" s="15">
        <f t="shared" si="2"/>
        <v>0.69236567514090841</v>
      </c>
      <c r="G9" s="16" t="str">
        <f t="shared" si="3"/>
        <v>charge/import</v>
      </c>
    </row>
    <row r="10" spans="1:7" ht="17.100000000000001" customHeight="1" x14ac:dyDescent="0.25">
      <c r="A10" s="13">
        <f>'4_All_periods'!C569</f>
        <v>90</v>
      </c>
      <c r="B10" s="14">
        <f>'4_All_periods'!D569</f>
        <v>0.5504</v>
      </c>
      <c r="C10" s="14">
        <f>'4_All_periods'!E569</f>
        <v>0.43390000000000001</v>
      </c>
      <c r="D10" s="15">
        <f t="shared" si="0"/>
        <v>-9.8400000000000043E-2</v>
      </c>
      <c r="E10" s="15">
        <f t="shared" si="1"/>
        <v>0.30020000000000002</v>
      </c>
      <c r="F10" s="15">
        <f t="shared" si="2"/>
        <v>0.43390000000000006</v>
      </c>
      <c r="G10" s="16" t="str">
        <f t="shared" si="3"/>
        <v>discharge/export</v>
      </c>
    </row>
    <row r="11" spans="1:7" ht="17.100000000000001" customHeight="1" x14ac:dyDescent="0.25">
      <c r="A11" s="13">
        <f>'4_All_periods'!C570</f>
        <v>120</v>
      </c>
      <c r="B11" s="14">
        <f>'4_All_periods'!D570</f>
        <v>0.41499999999999998</v>
      </c>
      <c r="C11" s="14">
        <f>'4_All_periods'!E570</f>
        <v>0.39889999999999998</v>
      </c>
      <c r="D11" s="15">
        <f t="shared" si="0"/>
        <v>-0.23380000000000006</v>
      </c>
      <c r="E11" s="15">
        <f t="shared" si="1"/>
        <v>0.26519999999999999</v>
      </c>
      <c r="F11" s="15">
        <f t="shared" si="2"/>
        <v>0.13795753356961266</v>
      </c>
      <c r="G11" s="16" t="str">
        <f t="shared" si="3"/>
        <v>discharge/export</v>
      </c>
    </row>
    <row r="12" spans="1:7" ht="17.100000000000001" customHeight="1" x14ac:dyDescent="0.25">
      <c r="A12" s="13">
        <f>'4_All_periods'!C571</f>
        <v>150</v>
      </c>
      <c r="B12" s="14">
        <f>'4_All_periods'!D571</f>
        <v>0.33589999999999998</v>
      </c>
      <c r="C12" s="14">
        <f>'4_All_periods'!E571</f>
        <v>0.32200000000000001</v>
      </c>
      <c r="D12" s="15">
        <f t="shared" si="0"/>
        <v>-0.31290000000000007</v>
      </c>
      <c r="E12" s="15">
        <f t="shared" si="1"/>
        <v>0.1883</v>
      </c>
      <c r="F12" s="15">
        <f t="shared" si="2"/>
        <v>-0.12989793313119297</v>
      </c>
      <c r="G12" s="16" t="str">
        <f t="shared" si="3"/>
        <v>discharge/export</v>
      </c>
    </row>
    <row r="13" spans="1:7" ht="17.100000000000001" customHeight="1" x14ac:dyDescent="0.25">
      <c r="A13" s="13">
        <f>'4_All_periods'!C572</f>
        <v>180</v>
      </c>
      <c r="B13" s="14">
        <f>'4_All_periods'!D572</f>
        <v>0.3145</v>
      </c>
      <c r="C13" s="14">
        <f>'4_All_periods'!E572</f>
        <v>1.8599999999999998E-2</v>
      </c>
      <c r="D13" s="15">
        <f t="shared" si="0"/>
        <v>-0.33430000000000004</v>
      </c>
      <c r="E13" s="15">
        <f t="shared" si="1"/>
        <v>-0.11510000000000001</v>
      </c>
      <c r="F13" s="15">
        <f t="shared" si="2"/>
        <v>-0.3145</v>
      </c>
      <c r="G13" s="16" t="str">
        <f t="shared" si="3"/>
        <v>discharge/export</v>
      </c>
    </row>
    <row r="14" spans="1:7" ht="17.100000000000001" customHeight="1" x14ac:dyDescent="0.25">
      <c r="A14" s="13">
        <f>'4_All_periods'!C573</f>
        <v>210</v>
      </c>
      <c r="B14" s="14">
        <f>'4_All_periods'!D573</f>
        <v>0.34210000000000002</v>
      </c>
      <c r="C14" s="14">
        <f>'4_All_periods'!E573</f>
        <v>-0.104</v>
      </c>
      <c r="D14" s="15">
        <f t="shared" si="0"/>
        <v>-0.30670000000000003</v>
      </c>
      <c r="E14" s="15">
        <f t="shared" si="1"/>
        <v>-0.23770000000000002</v>
      </c>
      <c r="F14" s="15">
        <f t="shared" si="2"/>
        <v>-0.24426729063465644</v>
      </c>
      <c r="G14" s="16" t="str">
        <f t="shared" si="3"/>
        <v>discharge/export</v>
      </c>
    </row>
    <row r="15" spans="1:7" ht="17.100000000000001" customHeight="1" x14ac:dyDescent="0.25">
      <c r="A15" s="13">
        <f>'4_All_periods'!C574</f>
        <v>240</v>
      </c>
      <c r="B15" s="14">
        <f>'4_All_periods'!D574</f>
        <v>0.42049999999999998</v>
      </c>
      <c r="C15" s="14">
        <f>'4_All_periods'!E574</f>
        <v>-0.17979999999999999</v>
      </c>
      <c r="D15" s="15">
        <f t="shared" si="0"/>
        <v>-0.22830000000000006</v>
      </c>
      <c r="E15" s="15">
        <f t="shared" si="1"/>
        <v>-0.3135</v>
      </c>
      <c r="F15" s="15">
        <f t="shared" si="2"/>
        <v>-5.4538632399558168E-2</v>
      </c>
      <c r="G15" s="16" t="str">
        <f t="shared" si="3"/>
        <v>discharge/export</v>
      </c>
    </row>
    <row r="16" spans="1:7" ht="17.100000000000001" customHeight="1" x14ac:dyDescent="0.25">
      <c r="A16" s="13">
        <f>'4_All_periods'!C575</f>
        <v>270</v>
      </c>
      <c r="B16" s="14">
        <f>'4_All_periods'!D575</f>
        <v>0.54049999999999998</v>
      </c>
      <c r="C16" s="14">
        <f>'4_All_periods'!E575</f>
        <v>-0.2099</v>
      </c>
      <c r="D16" s="15">
        <f t="shared" si="0"/>
        <v>-0.10830000000000006</v>
      </c>
      <c r="E16" s="15">
        <f t="shared" si="1"/>
        <v>-0.34360000000000002</v>
      </c>
      <c r="F16" s="15">
        <f t="shared" si="2"/>
        <v>0.20989999999999989</v>
      </c>
      <c r="G16" s="16" t="str">
        <f t="shared" si="3"/>
        <v>discharge/export</v>
      </c>
    </row>
    <row r="17" spans="1:7" ht="17.100000000000001" customHeight="1" x14ac:dyDescent="0.25">
      <c r="A17" s="13">
        <f>'4_All_periods'!C576</f>
        <v>300</v>
      </c>
      <c r="B17" s="14">
        <f>'4_All_periods'!D576</f>
        <v>0.70350000000000001</v>
      </c>
      <c r="C17" s="14">
        <f>'4_All_periods'!E576</f>
        <v>-0.1666</v>
      </c>
      <c r="D17" s="15">
        <f t="shared" si="0"/>
        <v>5.4699999999999971E-2</v>
      </c>
      <c r="E17" s="15">
        <f t="shared" si="1"/>
        <v>-0.30030000000000001</v>
      </c>
      <c r="F17" s="15">
        <f t="shared" si="2"/>
        <v>0.49602983227048753</v>
      </c>
      <c r="G17" s="16" t="str">
        <f t="shared" si="3"/>
        <v>charge/import</v>
      </c>
    </row>
    <row r="18" spans="1:7" ht="17.100000000000001" customHeight="1" x14ac:dyDescent="0.25">
      <c r="A18" s="13">
        <f>'4_All_periods'!C577</f>
        <v>330</v>
      </c>
      <c r="B18" s="14">
        <f>'4_All_periods'!D577</f>
        <v>0.80679999999999996</v>
      </c>
      <c r="C18" s="14">
        <f>'4_All_periods'!E577</f>
        <v>-6.4199999999999993E-2</v>
      </c>
      <c r="D18" s="15">
        <f t="shared" si="0"/>
        <v>0.15799999999999992</v>
      </c>
      <c r="E18" s="15">
        <f t="shared" si="1"/>
        <v>-0.19790000000000002</v>
      </c>
      <c r="F18" s="15">
        <f t="shared" si="2"/>
        <v>0.73080929577328491</v>
      </c>
      <c r="G18" s="16" t="str">
        <f t="shared" si="3"/>
        <v>charge/import</v>
      </c>
    </row>
    <row r="19" spans="1:7" ht="17.100000000000001" customHeight="1" x14ac:dyDescent="0.25">
      <c r="A19" s="17" t="s">
        <v>76</v>
      </c>
      <c r="B19" s="18">
        <f>B7</f>
        <v>0.83899999999999997</v>
      </c>
      <c r="C19" s="18">
        <f>C7</f>
        <v>0.14449999999999999</v>
      </c>
      <c r="D19" s="18">
        <f>D7</f>
        <v>0.19019999999999992</v>
      </c>
      <c r="E19" s="18">
        <f>E7</f>
        <v>1.0799999999999976E-2</v>
      </c>
      <c r="F19" s="18"/>
      <c r="G19" s="19"/>
    </row>
    <row r="20" spans="1:7" ht="8.1" customHeight="1" x14ac:dyDescent="0.25"/>
    <row r="21" spans="1:7" ht="20.100000000000001" customHeight="1" x14ac:dyDescent="0.25">
      <c r="A21" s="41" t="s">
        <v>77</v>
      </c>
      <c r="B21" s="42"/>
      <c r="C21" s="42"/>
    </row>
    <row r="22" spans="1:7" ht="18" customHeight="1" x14ac:dyDescent="0.25">
      <c r="A22" s="45" t="s">
        <v>78</v>
      </c>
      <c r="B22" s="46"/>
      <c r="C22" s="20">
        <f>MAX(B7:B18)-MIN(B7:B18)</f>
        <v>0.52449999999999997</v>
      </c>
    </row>
    <row r="23" spans="1:7" ht="18" customHeight="1" x14ac:dyDescent="0.25">
      <c r="A23" s="45" t="s">
        <v>79</v>
      </c>
      <c r="B23" s="46"/>
      <c r="C23" s="20">
        <f>MAX(0,MAX(D7:D18))</f>
        <v>0.19019999999999992</v>
      </c>
    </row>
    <row r="24" spans="1:7" ht="18" customHeight="1" x14ac:dyDescent="0.25">
      <c r="A24" s="45" t="s">
        <v>80</v>
      </c>
      <c r="B24" s="46"/>
      <c r="C24" s="20">
        <f>MAX(0,-MIN(D7:D18))</f>
        <v>0.33430000000000004</v>
      </c>
    </row>
    <row r="25" spans="1:7" ht="18" customHeight="1" x14ac:dyDescent="0.25">
      <c r="A25" s="47" t="s">
        <v>81</v>
      </c>
      <c r="B25" s="48"/>
      <c r="C25" s="54" t="str">
        <f>IF(AND(C23&gt;0.02,C24&gt;0.02),"two-sided → can charge (import) or discharge (export)",IF(C23&lt;=0.02,"one-sided → discharge/export only (no import headroom)","one-sided → charge/import only (no export headroom)"))</f>
        <v>two-sided → can charge (import) or discharge (export)</v>
      </c>
      <c r="D25" s="55"/>
      <c r="E25" s="55"/>
      <c r="F25" s="55"/>
      <c r="G25" s="56"/>
    </row>
    <row r="26" spans="1:7" ht="18" customHeight="1" x14ac:dyDescent="0.25">
      <c r="A26" s="51" t="s">
        <v>191</v>
      </c>
      <c r="B26" s="52"/>
      <c r="C26" s="53" t="str">
        <f>IF(AND(C23&gt;0.02,C24&gt;0.02),"both directions have headroom",IF(C23&lt;=0.02,"blocked at 0°: Vmax there = "&amp;TEXT('4_All_periods'!H566,"0.00000")&amp;" pu"&amp;IF('4_All_periods'!H566&gt;=1.0999," → over-voltage limit is active"," → clear of the limit, so the battery bounds it"),"blocked at 180°: Vmax there = "&amp;TEXT('4_All_periods'!H572,"0.00000")&amp;" pu"&amp;IF('4_All_periods'!H572&gt;=1.0999," → over-voltage limit is active"," → clear of the limit, so the battery bounds it")))</f>
        <v>both directions have headroom</v>
      </c>
      <c r="D26" s="52"/>
      <c r="E26" s="52"/>
      <c r="F26" s="52"/>
      <c r="G26" s="52"/>
    </row>
    <row r="27" spans="1:7" ht="21.95" customHeight="1" x14ac:dyDescent="0.25">
      <c r="A27" s="49" t="s">
        <v>82</v>
      </c>
      <c r="B27" s="40"/>
      <c r="C27" s="40"/>
      <c r="D27" s="40"/>
      <c r="E27" s="40"/>
      <c r="F27" s="40"/>
      <c r="G27" s="40"/>
    </row>
  </sheetData>
  <mergeCells count="10">
    <mergeCell ref="A24:B24"/>
    <mergeCell ref="A25:B25"/>
    <mergeCell ref="A27:G27"/>
    <mergeCell ref="A3:G3"/>
    <mergeCell ref="A21:C21"/>
    <mergeCell ref="A23:B23"/>
    <mergeCell ref="A22:B22"/>
    <mergeCell ref="A26:B26"/>
    <mergeCell ref="C26:G26"/>
    <mergeCell ref="C25:G25"/>
  </mergeCells>
  <conditionalFormatting sqref="G7:G18">
    <cfRule type="expression" dxfId="1" priority="1">
      <formula>ISNUMBER(SEARCH("charge",$G7))</formula>
    </cfRule>
    <cfRule type="expression" dxfId="0" priority="2">
      <formula>ISNUMBER(SEARCH("discharge",$G7))</formula>
    </cfRule>
  </conditionalFormatting>
  <pageMargins left="0.4" right="0.4" top="0.6" bottom="0.6" header="0.5" footer="0.5"/>
  <pageSetup fitToHeight="0" orientation="landscape"/>
  <headerFooter>
    <oddFooter>&amp;L&amp;8 &amp;K595959TR9 rolling FOR — flexibility operating region at the PCC&amp;R&amp;8 &amp;K595959Page &amp;P of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52</vt:i4>
      </vt:variant>
    </vt:vector>
  </HeadingPairs>
  <TitlesOfParts>
    <vt:vector size="103" baseType="lpstr">
      <vt:lpstr>1_Summary</vt:lpstr>
      <vt:lpstr>2_Sample_00h00</vt:lpstr>
      <vt:lpstr>3_Sample_12h00</vt:lpstr>
      <vt:lpstr>4_All_periods</vt:lpstr>
      <vt:lpstr>P02_00h30</vt:lpstr>
      <vt:lpstr>P03_01h00</vt:lpstr>
      <vt:lpstr>P04_01h30</vt:lpstr>
      <vt:lpstr>P05_02h00</vt:lpstr>
      <vt:lpstr>P06_02h30</vt:lpstr>
      <vt:lpstr>P07_03h00</vt:lpstr>
      <vt:lpstr>P08_03h30</vt:lpstr>
      <vt:lpstr>P09_04h00</vt:lpstr>
      <vt:lpstr>P10_04h30</vt:lpstr>
      <vt:lpstr>P11_05h00</vt:lpstr>
      <vt:lpstr>P12_05h30</vt:lpstr>
      <vt:lpstr>P13_06h00</vt:lpstr>
      <vt:lpstr>P14_06h30</vt:lpstr>
      <vt:lpstr>P15_07h00</vt:lpstr>
      <vt:lpstr>P16_07h30</vt:lpstr>
      <vt:lpstr>P17_08h00</vt:lpstr>
      <vt:lpstr>P18_08h30</vt:lpstr>
      <vt:lpstr>P19_09h00</vt:lpstr>
      <vt:lpstr>P20_09h30</vt:lpstr>
      <vt:lpstr>P21_10h00</vt:lpstr>
      <vt:lpstr>P22_10h30</vt:lpstr>
      <vt:lpstr>P23_11h00</vt:lpstr>
      <vt:lpstr>P24_11h30</vt:lpstr>
      <vt:lpstr>P25_12h00</vt:lpstr>
      <vt:lpstr>P26_12h30</vt:lpstr>
      <vt:lpstr>P27_13h00</vt:lpstr>
      <vt:lpstr>P28_13h30</vt:lpstr>
      <vt:lpstr>P29_14h00</vt:lpstr>
      <vt:lpstr>P30_14h30</vt:lpstr>
      <vt:lpstr>P31_15h00</vt:lpstr>
      <vt:lpstr>P32_15h30</vt:lpstr>
      <vt:lpstr>P33_16h00</vt:lpstr>
      <vt:lpstr>P34_16h30</vt:lpstr>
      <vt:lpstr>P35_17h00</vt:lpstr>
      <vt:lpstr>P36_17h30</vt:lpstr>
      <vt:lpstr>P37_18h00</vt:lpstr>
      <vt:lpstr>P38_18h30</vt:lpstr>
      <vt:lpstr>P39_19h00</vt:lpstr>
      <vt:lpstr>P40_19h30</vt:lpstr>
      <vt:lpstr>P41_20h00</vt:lpstr>
      <vt:lpstr>P42_20h30</vt:lpstr>
      <vt:lpstr>P43_21h00</vt:lpstr>
      <vt:lpstr>P44_21h30</vt:lpstr>
      <vt:lpstr>P45_22h00</vt:lpstr>
      <vt:lpstr>P46_22h30</vt:lpstr>
      <vt:lpstr>P47_23h00</vt:lpstr>
      <vt:lpstr>P48_23h30</vt:lpstr>
      <vt:lpstr>'1_Summary'!Print_Area</vt:lpstr>
      <vt:lpstr>'2_Sample_00h00'!Print_Area</vt:lpstr>
      <vt:lpstr>'3_Sample_12h00'!Print_Area</vt:lpstr>
      <vt:lpstr>'4_All_periods'!Print_Area</vt:lpstr>
      <vt:lpstr>P02_00h30!Print_Area</vt:lpstr>
      <vt:lpstr>P03_01h00!Print_Area</vt:lpstr>
      <vt:lpstr>P04_01h30!Print_Area</vt:lpstr>
      <vt:lpstr>P05_02h00!Print_Area</vt:lpstr>
      <vt:lpstr>P06_02h30!Print_Area</vt:lpstr>
      <vt:lpstr>P07_03h00!Print_Area</vt:lpstr>
      <vt:lpstr>P08_03h30!Print_Area</vt:lpstr>
      <vt:lpstr>P09_04h00!Print_Area</vt:lpstr>
      <vt:lpstr>P10_04h30!Print_Area</vt:lpstr>
      <vt:lpstr>P11_05h00!Print_Area</vt:lpstr>
      <vt:lpstr>P12_05h30!Print_Area</vt:lpstr>
      <vt:lpstr>P13_06h00!Print_Area</vt:lpstr>
      <vt:lpstr>P14_06h30!Print_Area</vt:lpstr>
      <vt:lpstr>P15_07h00!Print_Area</vt:lpstr>
      <vt:lpstr>P16_07h30!Print_Area</vt:lpstr>
      <vt:lpstr>P17_08h00!Print_Area</vt:lpstr>
      <vt:lpstr>P18_08h30!Print_Area</vt:lpstr>
      <vt:lpstr>P19_09h00!Print_Area</vt:lpstr>
      <vt:lpstr>P20_09h30!Print_Area</vt:lpstr>
      <vt:lpstr>P21_10h00!Print_Area</vt:lpstr>
      <vt:lpstr>P22_10h30!Print_Area</vt:lpstr>
      <vt:lpstr>P23_11h00!Print_Area</vt:lpstr>
      <vt:lpstr>P24_11h30!Print_Area</vt:lpstr>
      <vt:lpstr>P25_12h00!Print_Area</vt:lpstr>
      <vt:lpstr>P26_12h30!Print_Area</vt:lpstr>
      <vt:lpstr>P27_13h00!Print_Area</vt:lpstr>
      <vt:lpstr>P28_13h30!Print_Area</vt:lpstr>
      <vt:lpstr>P29_14h00!Print_Area</vt:lpstr>
      <vt:lpstr>P30_14h30!Print_Area</vt:lpstr>
      <vt:lpstr>P31_15h00!Print_Area</vt:lpstr>
      <vt:lpstr>P32_15h30!Print_Area</vt:lpstr>
      <vt:lpstr>P33_16h00!Print_Area</vt:lpstr>
      <vt:lpstr>P34_16h30!Print_Area</vt:lpstr>
      <vt:lpstr>P35_17h00!Print_Area</vt:lpstr>
      <vt:lpstr>P36_17h30!Print_Area</vt:lpstr>
      <vt:lpstr>P37_18h00!Print_Area</vt:lpstr>
      <vt:lpstr>P38_18h30!Print_Area</vt:lpstr>
      <vt:lpstr>P39_19h00!Print_Area</vt:lpstr>
      <vt:lpstr>P40_19h30!Print_Area</vt:lpstr>
      <vt:lpstr>P41_20h00!Print_Area</vt:lpstr>
      <vt:lpstr>P42_20h30!Print_Area</vt:lpstr>
      <vt:lpstr>P43_21h00!Print_Area</vt:lpstr>
      <vt:lpstr>P44_21h30!Print_Area</vt:lpstr>
      <vt:lpstr>P45_22h00!Print_Area</vt:lpstr>
      <vt:lpstr>P46_22h30!Print_Area</vt:lpstr>
      <vt:lpstr>P47_23h00!Print_Area</vt:lpstr>
      <vt:lpstr>P48_23h30!Print_Area</vt:lpstr>
      <vt:lpstr>'4_All_periods'!Print_Titles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TR9 rolling flexibility operating region (FOR)</dc:title>
  <dc:subject>Half-hourly FOR at the PCC of transformer TR9</dc:subject>
  <dc:creator>openpyxl</dc:creator>
  <cp:keywords>FOR; flexibility; PCC; TR9; OPF</cp:keywords>
  <dc:description>48 rolling steps x 12 boundary directions. Absolute and deviation FOR, with the batteries-off baseline.</dc:description>
  <cp:lastModifiedBy>Tulio</cp:lastModifiedBy>
  <cp:lastPrinted>2026-07-27T17:44:59Z</cp:lastPrinted>
  <dcterms:created xsi:type="dcterms:W3CDTF">2026-07-25T01:42:00Z</dcterms:created>
  <dcterms:modified xsi:type="dcterms:W3CDTF">2026-07-27T19:07:02Z</dcterms:modified>
</cp:coreProperties>
</file>