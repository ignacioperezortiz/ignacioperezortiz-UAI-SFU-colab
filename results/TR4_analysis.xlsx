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projects\UAI-SFU-colab\results\TR4_analysis\"/>
    </mc:Choice>
  </mc:AlternateContent>
  <xr:revisionPtr revIDLastSave="0" documentId="8_{6133226C-CA75-4D1B-BE02-DC8CDC36259F}" xr6:coauthVersionLast="47" xr6:coauthVersionMax="47" xr10:uidLastSave="{00000000-0000-0000-0000-000000000000}"/>
  <bookViews>
    <workbookView xWindow="-120" yWindow="-120" windowWidth="38640" windowHeight="21120" firstSheet="13" activeTab="15" xr2:uid="{00000000-000D-0000-FFFF-FFFF00000000}"/>
  </bookViews>
  <sheets>
    <sheet name="ReadMe" sheetId="1" r:id="rId1"/>
    <sheet name="Summary" sheetId="2" r:id="rId2"/>
    <sheet name="FleetAverage" sheetId="3" r:id="rId3"/>
    <sheet name="SOC_pct" sheetId="4" r:id="rId4"/>
    <sheet name="Demand_kW" sheetId="5" r:id="rId5"/>
    <sheet name="PV_kW" sheetId="6" r:id="rId6"/>
    <sheet name="Charge_kW" sheetId="7" r:id="rId7"/>
    <sheet name="Discharge_kW" sheetId="8" r:id="rId8"/>
    <sheet name="Net_kW" sheetId="9" r:id="rId9"/>
    <sheet name="ProsumerMetrics" sheetId="10" r:id="rId10"/>
    <sheet name="Dashboard" sheetId="11" r:id="rId11"/>
    <sheet name="ChartData" sheetId="12" r:id="rId12"/>
    <sheet name="Fleet Avg Figure" sheetId="13" r:id="rId13"/>
    <sheet name="Self Consumption Figure" sheetId="14" r:id="rId14"/>
    <sheet name="Net Per Prosumer Figure" sheetId="15" r:id="rId15"/>
    <sheet name="Demand PV Dispatch Figur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7" i="16" l="1"/>
  <c r="C76" i="16"/>
  <c r="B76" i="16"/>
  <c r="B75" i="16"/>
  <c r="B71" i="16"/>
  <c r="B70" i="16"/>
  <c r="E69" i="16"/>
  <c r="D69" i="16"/>
  <c r="A69" i="16"/>
  <c r="B68" i="16"/>
  <c r="A68" i="16"/>
  <c r="B67" i="16"/>
  <c r="C62" i="16"/>
  <c r="B62" i="16"/>
  <c r="B61" i="16"/>
  <c r="E60" i="16"/>
  <c r="D60" i="16"/>
  <c r="C60" i="16"/>
  <c r="E57" i="16"/>
  <c r="B55" i="16"/>
  <c r="D51" i="16"/>
  <c r="C51" i="16"/>
  <c r="B51" i="16"/>
  <c r="D49" i="16"/>
  <c r="A49" i="16"/>
  <c r="E47" i="16"/>
  <c r="D47" i="16"/>
  <c r="A43" i="16"/>
  <c r="E42" i="16"/>
  <c r="D42" i="16"/>
  <c r="C42" i="16"/>
  <c r="B42" i="16"/>
  <c r="E41" i="16"/>
  <c r="D41" i="16"/>
  <c r="C41" i="16"/>
  <c r="B41" i="16"/>
  <c r="B38" i="16"/>
  <c r="A38" i="16"/>
  <c r="B74" i="15"/>
  <c r="B73" i="15"/>
  <c r="B70" i="15"/>
  <c r="A70" i="15"/>
  <c r="B66" i="15"/>
  <c r="B65" i="15"/>
  <c r="C64" i="15"/>
  <c r="B64" i="15"/>
  <c r="B61" i="15"/>
  <c r="A61" i="15"/>
  <c r="B60" i="15"/>
  <c r="B59" i="15"/>
  <c r="B53" i="15"/>
  <c r="B50" i="15"/>
  <c r="A50" i="15"/>
  <c r="B49" i="15"/>
  <c r="B48" i="15"/>
  <c r="B45" i="15"/>
  <c r="B44" i="15"/>
  <c r="A44" i="15"/>
  <c r="B43" i="15"/>
  <c r="B42" i="15"/>
  <c r="B41" i="15"/>
  <c r="B34" i="15"/>
  <c r="B33" i="15"/>
  <c r="A33" i="15"/>
  <c r="C32" i="15"/>
  <c r="B32" i="15"/>
  <c r="B31" i="15"/>
  <c r="B30" i="15"/>
  <c r="B29" i="15"/>
  <c r="A29" i="15"/>
  <c r="B28" i="15"/>
  <c r="B27" i="15"/>
  <c r="F83" i="14"/>
  <c r="B83" i="14"/>
  <c r="A83" i="14"/>
  <c r="F81" i="14"/>
  <c r="B81" i="14"/>
  <c r="F80" i="14"/>
  <c r="B79" i="14"/>
  <c r="B78" i="14"/>
  <c r="B76" i="14"/>
  <c r="C74" i="14"/>
  <c r="B74" i="14"/>
  <c r="A74" i="14"/>
  <c r="F73" i="14"/>
  <c r="F72" i="14"/>
  <c r="B72" i="14"/>
  <c r="A72" i="14"/>
  <c r="G71" i="14"/>
  <c r="F71" i="14"/>
  <c r="G68" i="14"/>
  <c r="F68" i="14"/>
  <c r="B68" i="14"/>
  <c r="A68" i="14"/>
  <c r="F67" i="14"/>
  <c r="B67" i="14"/>
  <c r="A67" i="14"/>
  <c r="G66" i="14"/>
  <c r="B64" i="14"/>
  <c r="F63" i="14"/>
  <c r="B63" i="14"/>
  <c r="F60" i="14"/>
  <c r="B60" i="14"/>
  <c r="A60" i="14"/>
  <c r="F59" i="14"/>
  <c r="B59" i="14"/>
  <c r="F58" i="14"/>
  <c r="B58" i="14"/>
  <c r="F57" i="14"/>
  <c r="F55" i="14"/>
  <c r="B55" i="14"/>
  <c r="B54" i="14"/>
  <c r="A54" i="14"/>
  <c r="G53" i="14"/>
  <c r="F53" i="14"/>
  <c r="B53" i="14"/>
  <c r="F51" i="14"/>
  <c r="B51" i="14"/>
  <c r="A51" i="14"/>
  <c r="G50" i="14"/>
  <c r="F50" i="14"/>
  <c r="B47" i="14"/>
  <c r="G46" i="14"/>
  <c r="F46" i="14"/>
  <c r="B44" i="14"/>
  <c r="F41" i="14"/>
  <c r="B41" i="14"/>
  <c r="F40" i="14"/>
  <c r="B40" i="14"/>
  <c r="G39" i="14"/>
  <c r="F39" i="14"/>
  <c r="F37" i="14"/>
  <c r="C37" i="14"/>
  <c r="B37" i="14"/>
  <c r="C73" i="13"/>
  <c r="B73" i="13"/>
  <c r="A73" i="13"/>
  <c r="E72" i="13"/>
  <c r="D72" i="13"/>
  <c r="C72" i="13"/>
  <c r="C68" i="13"/>
  <c r="B68" i="13"/>
  <c r="E64" i="13"/>
  <c r="B64" i="13"/>
  <c r="E61" i="13"/>
  <c r="B60" i="13"/>
  <c r="E58" i="13"/>
  <c r="E57" i="13"/>
  <c r="E54" i="13"/>
  <c r="B54" i="13"/>
  <c r="A54" i="13"/>
  <c r="E53" i="13"/>
  <c r="A53" i="13"/>
  <c r="C51" i="13"/>
  <c r="D49" i="13"/>
  <c r="C49" i="13"/>
  <c r="A49" i="13"/>
  <c r="E48" i="13"/>
  <c r="D48" i="13"/>
  <c r="C48" i="13"/>
  <c r="B48" i="13"/>
  <c r="E46" i="13"/>
  <c r="B44" i="13"/>
  <c r="E42" i="13"/>
  <c r="D41" i="13"/>
  <c r="C41" i="13"/>
  <c r="D38" i="13"/>
  <c r="C38" i="13"/>
  <c r="B38" i="13"/>
  <c r="A38" i="13"/>
  <c r="E37" i="13"/>
  <c r="B35" i="13"/>
  <c r="A35" i="13"/>
  <c r="A32" i="13"/>
  <c r="D31" i="13"/>
  <c r="C31" i="13"/>
  <c r="B31" i="13"/>
  <c r="E30" i="13"/>
  <c r="B27" i="13"/>
  <c r="A27" i="13"/>
  <c r="AF49" i="12"/>
  <c r="F84" i="14" s="1"/>
  <c r="AB49" i="12"/>
  <c r="B84" i="14" s="1"/>
  <c r="X49" i="12"/>
  <c r="U49" i="12"/>
  <c r="B85" i="16" s="1"/>
  <c r="T49" i="12"/>
  <c r="H49" i="12"/>
  <c r="G49" i="12"/>
  <c r="AF48" i="12"/>
  <c r="AB48" i="12"/>
  <c r="AA48" i="12"/>
  <c r="A73" i="15" s="1"/>
  <c r="V48" i="12"/>
  <c r="C84" i="16" s="1"/>
  <c r="U48" i="12"/>
  <c r="B84" i="16" s="1"/>
  <c r="T48" i="12"/>
  <c r="A84" i="16" s="1"/>
  <c r="F48" i="12"/>
  <c r="C48" i="12"/>
  <c r="B48" i="12"/>
  <c r="A48" i="12"/>
  <c r="AG47" i="12"/>
  <c r="G82" i="14" s="1"/>
  <c r="AF47" i="12"/>
  <c r="F82" i="14" s="1"/>
  <c r="AB47" i="12"/>
  <c r="M47" i="12"/>
  <c r="L47" i="12"/>
  <c r="K47" i="12"/>
  <c r="I47" i="12"/>
  <c r="H47" i="12"/>
  <c r="G47" i="12"/>
  <c r="F47" i="12"/>
  <c r="D47" i="12"/>
  <c r="C47" i="12"/>
  <c r="B47" i="12"/>
  <c r="A47" i="12"/>
  <c r="AF46" i="12"/>
  <c r="AB46" i="12"/>
  <c r="B71" i="15" s="1"/>
  <c r="U46" i="12"/>
  <c r="T46" i="12"/>
  <c r="M46" i="12"/>
  <c r="L46" i="12"/>
  <c r="K46" i="12"/>
  <c r="A46" i="12"/>
  <c r="AF45" i="12"/>
  <c r="AB45" i="12"/>
  <c r="B80" i="14" s="1"/>
  <c r="AA45" i="12"/>
  <c r="A80" i="14" s="1"/>
  <c r="W45" i="12"/>
  <c r="D81" i="16" s="1"/>
  <c r="V45" i="12"/>
  <c r="C70" i="13" s="1"/>
  <c r="U45" i="12"/>
  <c r="B70" i="13" s="1"/>
  <c r="T45" i="12"/>
  <c r="A81" i="16" s="1"/>
  <c r="M45" i="12"/>
  <c r="L45" i="12"/>
  <c r="K45" i="12"/>
  <c r="G45" i="12"/>
  <c r="F45" i="12"/>
  <c r="AF44" i="12"/>
  <c r="F79" i="14" s="1"/>
  <c r="AB44" i="12"/>
  <c r="B69" i="15" s="1"/>
  <c r="X44" i="12"/>
  <c r="E69" i="13" s="1"/>
  <c r="W44" i="12"/>
  <c r="D69" i="13" s="1"/>
  <c r="V44" i="12"/>
  <c r="C69" i="13" s="1"/>
  <c r="U44" i="12"/>
  <c r="T44" i="12"/>
  <c r="M44" i="12"/>
  <c r="L44" i="12"/>
  <c r="K44" i="12"/>
  <c r="H44" i="12"/>
  <c r="G44" i="12"/>
  <c r="F44" i="12"/>
  <c r="D44" i="12"/>
  <c r="C44" i="12"/>
  <c r="B44" i="12"/>
  <c r="A44" i="12"/>
  <c r="AF43" i="12"/>
  <c r="F78" i="14" s="1"/>
  <c r="AB43" i="12"/>
  <c r="B68" i="15" s="1"/>
  <c r="M43" i="12"/>
  <c r="L43" i="12"/>
  <c r="K43" i="12"/>
  <c r="B43" i="12"/>
  <c r="AF42" i="12"/>
  <c r="F77" i="14" s="1"/>
  <c r="AC42" i="12"/>
  <c r="AB42" i="12"/>
  <c r="AA42" i="12"/>
  <c r="X42" i="12"/>
  <c r="W42" i="12"/>
  <c r="D78" i="16" s="1"/>
  <c r="V42" i="12"/>
  <c r="C78" i="16" s="1"/>
  <c r="U42" i="12"/>
  <c r="T42" i="12"/>
  <c r="M42" i="12"/>
  <c r="L42" i="12"/>
  <c r="K42" i="12"/>
  <c r="F42" i="12"/>
  <c r="B42" i="12"/>
  <c r="A42" i="12"/>
  <c r="AG41" i="12"/>
  <c r="G76" i="14" s="1"/>
  <c r="AF41" i="12"/>
  <c r="F76" i="14" s="1"/>
  <c r="AB41" i="12"/>
  <c r="M41" i="12"/>
  <c r="L41" i="12"/>
  <c r="K41" i="12"/>
  <c r="I41" i="12"/>
  <c r="H41" i="12"/>
  <c r="G41" i="12"/>
  <c r="F41" i="12"/>
  <c r="C41" i="12"/>
  <c r="AF40" i="12"/>
  <c r="F75" i="14" s="1"/>
  <c r="AB40" i="12"/>
  <c r="B75" i="14" s="1"/>
  <c r="V40" i="12"/>
  <c r="C65" i="13" s="1"/>
  <c r="U40" i="12"/>
  <c r="B65" i="13" s="1"/>
  <c r="M40" i="12"/>
  <c r="L40" i="12"/>
  <c r="K40" i="12"/>
  <c r="F40" i="12"/>
  <c r="C40" i="12"/>
  <c r="AF39" i="12"/>
  <c r="F74" i="14" s="1"/>
  <c r="AC39" i="12"/>
  <c r="AE39" i="12" s="1"/>
  <c r="E74" i="14" s="1"/>
  <c r="AB39" i="12"/>
  <c r="U39" i="12"/>
  <c r="M39" i="12"/>
  <c r="L39" i="12"/>
  <c r="K39" i="12"/>
  <c r="H39" i="12"/>
  <c r="G39" i="12"/>
  <c r="F39" i="12"/>
  <c r="C39" i="12"/>
  <c r="A39" i="12"/>
  <c r="AF38" i="12"/>
  <c r="AB38" i="12"/>
  <c r="AA38" i="12"/>
  <c r="X38" i="12"/>
  <c r="E74" i="16" s="1"/>
  <c r="W38" i="12"/>
  <c r="D74" i="16" s="1"/>
  <c r="V38" i="12"/>
  <c r="C74" i="16" s="1"/>
  <c r="M38" i="12"/>
  <c r="L38" i="12"/>
  <c r="K38" i="12"/>
  <c r="B38" i="12"/>
  <c r="AF37" i="12"/>
  <c r="AB37" i="12"/>
  <c r="B62" i="15" s="1"/>
  <c r="AA37" i="12"/>
  <c r="A62" i="15" s="1"/>
  <c r="U37" i="12"/>
  <c r="B62" i="13" s="1"/>
  <c r="M37" i="12"/>
  <c r="L37" i="12"/>
  <c r="K37" i="12"/>
  <c r="F37" i="12"/>
  <c r="AF36" i="12"/>
  <c r="AB36" i="12"/>
  <c r="B71" i="14" s="1"/>
  <c r="AA36" i="12"/>
  <c r="A71" i="14" s="1"/>
  <c r="X36" i="12"/>
  <c r="E72" i="16" s="1"/>
  <c r="W36" i="12"/>
  <c r="V36" i="12"/>
  <c r="U36" i="12"/>
  <c r="T36" i="12"/>
  <c r="M36" i="12"/>
  <c r="L36" i="12"/>
  <c r="K36" i="12"/>
  <c r="I36" i="12"/>
  <c r="H36" i="12"/>
  <c r="G36" i="12"/>
  <c r="F36" i="12"/>
  <c r="D36" i="12"/>
  <c r="C36" i="12"/>
  <c r="B36" i="12"/>
  <c r="A36" i="12"/>
  <c r="AG35" i="12"/>
  <c r="G70" i="14" s="1"/>
  <c r="AF35" i="12"/>
  <c r="F70" i="14" s="1"/>
  <c r="AB35" i="12"/>
  <c r="B70" i="14" s="1"/>
  <c r="M35" i="12"/>
  <c r="L35" i="12"/>
  <c r="K35" i="12"/>
  <c r="I35" i="12"/>
  <c r="H35" i="12"/>
  <c r="G35" i="12"/>
  <c r="F35" i="12"/>
  <c r="C35" i="12"/>
  <c r="B35" i="12"/>
  <c r="AF34" i="12"/>
  <c r="F69" i="14" s="1"/>
  <c r="AB34" i="12"/>
  <c r="B69" i="14" s="1"/>
  <c r="U34" i="12"/>
  <c r="B59" i="13" s="1"/>
  <c r="T34" i="12"/>
  <c r="M34" i="12"/>
  <c r="L34" i="12"/>
  <c r="K34" i="12"/>
  <c r="B34" i="12"/>
  <c r="A34" i="12"/>
  <c r="AG33" i="12"/>
  <c r="AF33" i="12"/>
  <c r="AE33" i="12"/>
  <c r="E68" i="14" s="1"/>
  <c r="AB33" i="12"/>
  <c r="B58" i="15" s="1"/>
  <c r="AA33" i="12"/>
  <c r="A58" i="15" s="1"/>
  <c r="X33" i="12"/>
  <c r="W33" i="12"/>
  <c r="D58" i="13" s="1"/>
  <c r="V33" i="12"/>
  <c r="U33" i="12"/>
  <c r="T33" i="12"/>
  <c r="A58" i="13" s="1"/>
  <c r="M33" i="12"/>
  <c r="L33" i="12"/>
  <c r="K33" i="12"/>
  <c r="I33" i="12"/>
  <c r="H33" i="12"/>
  <c r="G33" i="12"/>
  <c r="F33" i="12"/>
  <c r="AF32" i="12"/>
  <c r="AB32" i="12"/>
  <c r="B57" i="15" s="1"/>
  <c r="AA32" i="12"/>
  <c r="A57" i="15" s="1"/>
  <c r="Y32" i="12"/>
  <c r="F57" i="13" s="1"/>
  <c r="X32" i="12"/>
  <c r="E68" i="16" s="1"/>
  <c r="W32" i="12"/>
  <c r="D68" i="16" s="1"/>
  <c r="V32" i="12"/>
  <c r="C68" i="16" s="1"/>
  <c r="U32" i="12"/>
  <c r="B57" i="13" s="1"/>
  <c r="T32" i="12"/>
  <c r="A57" i="13" s="1"/>
  <c r="M32" i="12"/>
  <c r="L32" i="12"/>
  <c r="K32" i="12"/>
  <c r="H32" i="12"/>
  <c r="G32" i="12"/>
  <c r="F32" i="12"/>
  <c r="C32" i="12"/>
  <c r="B32" i="12"/>
  <c r="A32" i="12"/>
  <c r="AG31" i="12"/>
  <c r="AF31" i="12"/>
  <c r="F66" i="14" s="1"/>
  <c r="AB31" i="12"/>
  <c r="M31" i="12"/>
  <c r="L31" i="12"/>
  <c r="K31" i="12"/>
  <c r="B31" i="12"/>
  <c r="A31" i="12"/>
  <c r="AG30" i="12"/>
  <c r="G65" i="14" s="1"/>
  <c r="AF30" i="12"/>
  <c r="F65" i="14" s="1"/>
  <c r="AB30" i="12"/>
  <c r="X30" i="12"/>
  <c r="W30" i="12"/>
  <c r="V30" i="12"/>
  <c r="U30" i="12"/>
  <c r="M30" i="12"/>
  <c r="L30" i="12"/>
  <c r="K30" i="12"/>
  <c r="B30" i="12"/>
  <c r="A30" i="12"/>
  <c r="AG29" i="12"/>
  <c r="G64" i="14" s="1"/>
  <c r="AF29" i="12"/>
  <c r="F64" i="14" s="1"/>
  <c r="AB29" i="12"/>
  <c r="B54" i="15" s="1"/>
  <c r="U29" i="12"/>
  <c r="B65" i="16" s="1"/>
  <c r="T29" i="12"/>
  <c r="A65" i="16" s="1"/>
  <c r="M29" i="12"/>
  <c r="L29" i="12"/>
  <c r="K29" i="12"/>
  <c r="I29" i="12"/>
  <c r="H29" i="12"/>
  <c r="G29" i="12"/>
  <c r="F29" i="12"/>
  <c r="C29" i="12"/>
  <c r="AF28" i="12"/>
  <c r="AB28" i="12"/>
  <c r="AA28" i="12"/>
  <c r="V28" i="12"/>
  <c r="C64" i="16" s="1"/>
  <c r="U28" i="12"/>
  <c r="T28" i="12"/>
  <c r="A64" i="16" s="1"/>
  <c r="M28" i="12"/>
  <c r="L28" i="12"/>
  <c r="K28" i="12"/>
  <c r="AG27" i="12"/>
  <c r="G62" i="14" s="1"/>
  <c r="AF27" i="12"/>
  <c r="F62" i="14" s="1"/>
  <c r="AB27" i="12"/>
  <c r="B52" i="15" s="1"/>
  <c r="M27" i="12"/>
  <c r="L27" i="12"/>
  <c r="K27" i="12"/>
  <c r="I27" i="12"/>
  <c r="H27" i="12"/>
  <c r="G27" i="12"/>
  <c r="D27" i="12"/>
  <c r="C27" i="12"/>
  <c r="B27" i="12"/>
  <c r="AF26" i="12"/>
  <c r="F61" i="14" s="1"/>
  <c r="AB26" i="12"/>
  <c r="B61" i="14" s="1"/>
  <c r="AA26" i="12"/>
  <c r="A61" i="14" s="1"/>
  <c r="X26" i="12"/>
  <c r="W26" i="12"/>
  <c r="D51" i="13" s="1"/>
  <c r="V26" i="12"/>
  <c r="M26" i="12"/>
  <c r="L26" i="12"/>
  <c r="K26" i="12"/>
  <c r="AF25" i="12"/>
  <c r="AB25" i="12"/>
  <c r="AA25" i="12"/>
  <c r="M25" i="12"/>
  <c r="L25" i="12"/>
  <c r="K25" i="12"/>
  <c r="G25" i="12"/>
  <c r="F25" i="12"/>
  <c r="D25" i="12"/>
  <c r="C25" i="12"/>
  <c r="AF24" i="12"/>
  <c r="AB24" i="12"/>
  <c r="AA24" i="12"/>
  <c r="X24" i="12"/>
  <c r="E49" i="13" s="1"/>
  <c r="W24" i="12"/>
  <c r="M24" i="12"/>
  <c r="L24" i="12"/>
  <c r="K24" i="12"/>
  <c r="I24" i="12"/>
  <c r="H24" i="12"/>
  <c r="G24" i="12"/>
  <c r="F24" i="12"/>
  <c r="D24" i="12"/>
  <c r="C24" i="12"/>
  <c r="B24" i="12"/>
  <c r="A24" i="12"/>
  <c r="AG23" i="12"/>
  <c r="G58" i="14" s="1"/>
  <c r="AF23" i="12"/>
  <c r="AB23" i="12"/>
  <c r="M23" i="12"/>
  <c r="L23" i="12"/>
  <c r="K23" i="12"/>
  <c r="I23" i="12"/>
  <c r="H23" i="12"/>
  <c r="G23" i="12"/>
  <c r="F23" i="12"/>
  <c r="C23" i="12"/>
  <c r="AF22" i="12"/>
  <c r="AB22" i="12"/>
  <c r="AA22" i="12"/>
  <c r="W22" i="12"/>
  <c r="D58" i="16" s="1"/>
  <c r="V22" i="12"/>
  <c r="T22" i="12"/>
  <c r="M22" i="12"/>
  <c r="L22" i="12"/>
  <c r="K22" i="12"/>
  <c r="F22" i="12"/>
  <c r="A22" i="12"/>
  <c r="AG21" i="12"/>
  <c r="G56" i="14" s="1"/>
  <c r="AF21" i="12"/>
  <c r="F56" i="14" s="1"/>
  <c r="AB21" i="12"/>
  <c r="AA21" i="12"/>
  <c r="X21" i="12"/>
  <c r="W21" i="12"/>
  <c r="D46" i="13" s="1"/>
  <c r="M21" i="12"/>
  <c r="L21" i="12"/>
  <c r="K21" i="12"/>
  <c r="I21" i="12"/>
  <c r="H21" i="12"/>
  <c r="C21" i="12"/>
  <c r="AF20" i="12"/>
  <c r="AB20" i="12"/>
  <c r="AA20" i="12"/>
  <c r="X20" i="12"/>
  <c r="E45" i="13" s="1"/>
  <c r="W20" i="12"/>
  <c r="V20" i="12"/>
  <c r="U20" i="12"/>
  <c r="B45" i="13" s="1"/>
  <c r="T20" i="12"/>
  <c r="A45" i="13" s="1"/>
  <c r="M20" i="12"/>
  <c r="L20" i="12"/>
  <c r="K20" i="12"/>
  <c r="H20" i="12"/>
  <c r="G20" i="12"/>
  <c r="F20" i="12"/>
  <c r="D20" i="12"/>
  <c r="C20" i="12"/>
  <c r="B20" i="12"/>
  <c r="A20" i="12"/>
  <c r="AG19" i="12"/>
  <c r="G54" i="14" s="1"/>
  <c r="AF19" i="12"/>
  <c r="F54" i="14" s="1"/>
  <c r="AB19" i="12"/>
  <c r="U19" i="12"/>
  <c r="M19" i="12"/>
  <c r="L19" i="12"/>
  <c r="K19" i="12"/>
  <c r="F19" i="12"/>
  <c r="C19" i="12"/>
  <c r="A19" i="12"/>
  <c r="AG18" i="12"/>
  <c r="AF18" i="12"/>
  <c r="AB18" i="12"/>
  <c r="X18" i="12"/>
  <c r="E43" i="13" s="1"/>
  <c r="W18" i="12"/>
  <c r="D43" i="13" s="1"/>
  <c r="V18" i="12"/>
  <c r="U18" i="12"/>
  <c r="T18" i="12"/>
  <c r="A43" i="13" s="1"/>
  <c r="M18" i="12"/>
  <c r="L18" i="12"/>
  <c r="K18" i="12"/>
  <c r="B18" i="12"/>
  <c r="AF17" i="12"/>
  <c r="F52" i="14" s="1"/>
  <c r="AB17" i="12"/>
  <c r="B52" i="14" s="1"/>
  <c r="AA17" i="12"/>
  <c r="W17" i="12"/>
  <c r="V17" i="12"/>
  <c r="C53" i="16" s="1"/>
  <c r="U17" i="12"/>
  <c r="B53" i="16" s="1"/>
  <c r="T17" i="12"/>
  <c r="A53" i="16" s="1"/>
  <c r="M17" i="12"/>
  <c r="L17" i="12"/>
  <c r="K17" i="12"/>
  <c r="H17" i="12"/>
  <c r="G17" i="12"/>
  <c r="F17" i="12"/>
  <c r="AF16" i="12"/>
  <c r="AB16" i="12"/>
  <c r="AA16" i="12"/>
  <c r="A41" i="15" s="1"/>
  <c r="W16" i="12"/>
  <c r="D52" i="16" s="1"/>
  <c r="V16" i="12"/>
  <c r="C52" i="16" s="1"/>
  <c r="U16" i="12"/>
  <c r="T16" i="12"/>
  <c r="A41" i="13" s="1"/>
  <c r="M16" i="12"/>
  <c r="L16" i="12"/>
  <c r="K16" i="12"/>
  <c r="F16" i="12"/>
  <c r="A16" i="12"/>
  <c r="AG15" i="12"/>
  <c r="AF15" i="12"/>
  <c r="AB15" i="12"/>
  <c r="M15" i="12"/>
  <c r="L15" i="12"/>
  <c r="K15" i="12"/>
  <c r="I15" i="12"/>
  <c r="G15" i="12"/>
  <c r="F15" i="12"/>
  <c r="C15" i="12"/>
  <c r="B15" i="12"/>
  <c r="AF14" i="12"/>
  <c r="F49" i="14" s="1"/>
  <c r="AB14" i="12"/>
  <c r="AA14" i="12"/>
  <c r="M14" i="12"/>
  <c r="L14" i="12"/>
  <c r="K14" i="12"/>
  <c r="A14" i="12"/>
  <c r="AG13" i="12"/>
  <c r="G48" i="14" s="1"/>
  <c r="AF13" i="12"/>
  <c r="F48" i="14" s="1"/>
  <c r="AB13" i="12"/>
  <c r="AA13" i="12"/>
  <c r="W13" i="12"/>
  <c r="V13" i="12"/>
  <c r="C49" i="16" s="1"/>
  <c r="U13" i="12"/>
  <c r="B49" i="16" s="1"/>
  <c r="T13" i="12"/>
  <c r="M13" i="12"/>
  <c r="L13" i="12"/>
  <c r="K13" i="12"/>
  <c r="I13" i="12"/>
  <c r="G13" i="12"/>
  <c r="F13" i="12"/>
  <c r="C13" i="12"/>
  <c r="AF12" i="12"/>
  <c r="F47" i="14" s="1"/>
  <c r="AB12" i="12"/>
  <c r="B37" i="15" s="1"/>
  <c r="M12" i="12"/>
  <c r="L12" i="12"/>
  <c r="K12" i="12"/>
  <c r="H12" i="12"/>
  <c r="G12" i="12"/>
  <c r="D12" i="12"/>
  <c r="C12" i="12"/>
  <c r="B12" i="12"/>
  <c r="AF11" i="12"/>
  <c r="AB11" i="12"/>
  <c r="B36" i="15" s="1"/>
  <c r="Q11" i="12"/>
  <c r="P11" i="12"/>
  <c r="R11" i="12" s="1"/>
  <c r="M11" i="12"/>
  <c r="L11" i="12"/>
  <c r="K11" i="12"/>
  <c r="I11" i="12"/>
  <c r="H11" i="12"/>
  <c r="B11" i="12"/>
  <c r="AF10" i="12"/>
  <c r="F45" i="14" s="1"/>
  <c r="AB10" i="12"/>
  <c r="AA10" i="12"/>
  <c r="A35" i="15" s="1"/>
  <c r="X10" i="12"/>
  <c r="E46" i="16" s="1"/>
  <c r="W10" i="12"/>
  <c r="D46" i="16" s="1"/>
  <c r="V10" i="12"/>
  <c r="C46" i="16" s="1"/>
  <c r="Q10" i="12"/>
  <c r="P10" i="12" s="1"/>
  <c r="R10" i="12" s="1"/>
  <c r="M10" i="12"/>
  <c r="L10" i="12"/>
  <c r="K10" i="12"/>
  <c r="H10" i="12"/>
  <c r="G10" i="12"/>
  <c r="F10" i="12"/>
  <c r="C10" i="12"/>
  <c r="B10" i="12"/>
  <c r="A10" i="12"/>
  <c r="AG9" i="12"/>
  <c r="G44" i="14" s="1"/>
  <c r="AF9" i="12"/>
  <c r="F44" i="14" s="1"/>
  <c r="AB9" i="12"/>
  <c r="Q9" i="12"/>
  <c r="P9" i="12"/>
  <c r="R9" i="12" s="1"/>
  <c r="M9" i="12"/>
  <c r="L9" i="12"/>
  <c r="K9" i="12"/>
  <c r="C9" i="12"/>
  <c r="B9" i="12"/>
  <c r="AF8" i="12"/>
  <c r="F43" i="14" s="1"/>
  <c r="AC8" i="12"/>
  <c r="AB8" i="12"/>
  <c r="B43" i="14" s="1"/>
  <c r="AA8" i="12"/>
  <c r="A43" i="14" s="1"/>
  <c r="X8" i="12"/>
  <c r="W8" i="12"/>
  <c r="D44" i="16" s="1"/>
  <c r="V8" i="12"/>
  <c r="C44" i="16" s="1"/>
  <c r="U8" i="12"/>
  <c r="B44" i="16" s="1"/>
  <c r="T8" i="12"/>
  <c r="Q8" i="12"/>
  <c r="P8" i="12"/>
  <c r="R8" i="12" s="1"/>
  <c r="M8" i="12"/>
  <c r="L8" i="12"/>
  <c r="K8" i="12"/>
  <c r="AF7" i="12"/>
  <c r="F42" i="14" s="1"/>
  <c r="AC7" i="12"/>
  <c r="C42" i="14" s="1"/>
  <c r="AB7" i="12"/>
  <c r="B42" i="14" s="1"/>
  <c r="AA7" i="12"/>
  <c r="Y7" i="12"/>
  <c r="F32" i="13" s="1"/>
  <c r="X7" i="12"/>
  <c r="E43" i="16" s="1"/>
  <c r="W7" i="12"/>
  <c r="D43" i="16" s="1"/>
  <c r="V7" i="12"/>
  <c r="U7" i="12"/>
  <c r="B32" i="13" s="1"/>
  <c r="T7" i="12"/>
  <c r="R7" i="12"/>
  <c r="Q7" i="12"/>
  <c r="P7" i="12"/>
  <c r="M7" i="12"/>
  <c r="L7" i="12"/>
  <c r="K7" i="12"/>
  <c r="H7" i="12"/>
  <c r="G7" i="12"/>
  <c r="F7" i="12"/>
  <c r="D7" i="12"/>
  <c r="C7" i="12"/>
  <c r="B7" i="12"/>
  <c r="AF6" i="12"/>
  <c r="AB6" i="12"/>
  <c r="Q6" i="12"/>
  <c r="P6" i="12"/>
  <c r="R6" i="12" s="1"/>
  <c r="M6" i="12"/>
  <c r="L6" i="12"/>
  <c r="K6" i="12"/>
  <c r="H6" i="12"/>
  <c r="G6" i="12"/>
  <c r="D6" i="12"/>
  <c r="C6" i="12"/>
  <c r="AF5" i="12"/>
  <c r="AB5" i="12"/>
  <c r="T5" i="12"/>
  <c r="Q5" i="12"/>
  <c r="P5" i="12"/>
  <c r="R5" i="12" s="1"/>
  <c r="M5" i="12"/>
  <c r="L5" i="12"/>
  <c r="K5" i="12"/>
  <c r="A5" i="12"/>
  <c r="AG4" i="12"/>
  <c r="AF4" i="12"/>
  <c r="AB4" i="12"/>
  <c r="B39" i="14" s="1"/>
  <c r="AA4" i="12"/>
  <c r="A39" i="14" s="1"/>
  <c r="X4" i="12"/>
  <c r="Q4" i="12"/>
  <c r="P4" i="12" s="1"/>
  <c r="R4" i="12" s="1"/>
  <c r="M4" i="12"/>
  <c r="L4" i="12"/>
  <c r="K4" i="12"/>
  <c r="I4" i="12"/>
  <c r="H4" i="12"/>
  <c r="G4" i="12"/>
  <c r="F4" i="12"/>
  <c r="C4" i="12"/>
  <c r="B4" i="12"/>
  <c r="A4" i="12"/>
  <c r="AF3" i="12"/>
  <c r="F38" i="14" s="1"/>
  <c r="AB3" i="12"/>
  <c r="B38" i="14" s="1"/>
  <c r="Q3" i="12"/>
  <c r="P3" i="12" s="1"/>
  <c r="R3" i="12" s="1"/>
  <c r="M3" i="12"/>
  <c r="L3" i="12"/>
  <c r="K3" i="12"/>
  <c r="B3" i="12"/>
  <c r="A3" i="12"/>
  <c r="AF2" i="12"/>
  <c r="AB2" i="12"/>
  <c r="AA2" i="12"/>
  <c r="Y2" i="12"/>
  <c r="F27" i="13" s="1"/>
  <c r="X2" i="12"/>
  <c r="W2" i="12"/>
  <c r="D27" i="13" s="1"/>
  <c r="V2" i="12"/>
  <c r="C27" i="13" s="1"/>
  <c r="U2" i="12"/>
  <c r="T2" i="12"/>
  <c r="R2" i="12"/>
  <c r="Q2" i="12"/>
  <c r="P2" i="12"/>
  <c r="M2" i="12"/>
  <c r="L2" i="12"/>
  <c r="K2" i="12"/>
  <c r="P5" i="11"/>
  <c r="M5" i="11"/>
  <c r="J5" i="11"/>
  <c r="G5" i="11"/>
  <c r="D5" i="11"/>
  <c r="A5" i="11"/>
  <c r="J49" i="3"/>
  <c r="C49" i="12" s="1"/>
  <c r="I49" i="3"/>
  <c r="B49" i="12" s="1"/>
  <c r="H49" i="3"/>
  <c r="AG49" i="12" s="1"/>
  <c r="G84" i="14" s="1"/>
  <c r="F49" i="3"/>
  <c r="E49" i="3"/>
  <c r="W49" i="12" s="1"/>
  <c r="D49" i="3"/>
  <c r="V49" i="12" s="1"/>
  <c r="C49" i="3"/>
  <c r="B49" i="3"/>
  <c r="A49" i="3"/>
  <c r="K48" i="3"/>
  <c r="D48" i="12" s="1"/>
  <c r="J48" i="3"/>
  <c r="I48" i="3"/>
  <c r="H48" i="3"/>
  <c r="F48" i="3"/>
  <c r="E48" i="3"/>
  <c r="D48" i="3"/>
  <c r="C48" i="3"/>
  <c r="B48" i="3"/>
  <c r="A48" i="3"/>
  <c r="J47" i="3"/>
  <c r="I47" i="3"/>
  <c r="K47" i="3" s="1"/>
  <c r="H47" i="3"/>
  <c r="F47" i="3"/>
  <c r="X47" i="12" s="1"/>
  <c r="E83" i="16" s="1"/>
  <c r="E47" i="3"/>
  <c r="W47" i="12" s="1"/>
  <c r="D83" i="16" s="1"/>
  <c r="D47" i="3"/>
  <c r="V47" i="12" s="1"/>
  <c r="C83" i="16" s="1"/>
  <c r="C47" i="3"/>
  <c r="U47" i="12" s="1"/>
  <c r="B72" i="13" s="1"/>
  <c r="B47" i="3"/>
  <c r="A47" i="3"/>
  <c r="J46" i="3"/>
  <c r="C46" i="12" s="1"/>
  <c r="I46" i="3"/>
  <c r="B46" i="12" s="1"/>
  <c r="H46" i="3"/>
  <c r="I46" i="12" s="1"/>
  <c r="F46" i="3"/>
  <c r="E46" i="3"/>
  <c r="D46" i="3"/>
  <c r="V46" i="12" s="1"/>
  <c r="C46" i="3"/>
  <c r="B46" i="3"/>
  <c r="F46" i="12" s="1"/>
  <c r="A46" i="3"/>
  <c r="K45" i="3"/>
  <c r="D45" i="12" s="1"/>
  <c r="J45" i="3"/>
  <c r="C45" i="12" s="1"/>
  <c r="I45" i="3"/>
  <c r="B45" i="12" s="1"/>
  <c r="H45" i="3"/>
  <c r="I45" i="12" s="1"/>
  <c r="F45" i="3"/>
  <c r="E45" i="3"/>
  <c r="D45" i="3"/>
  <c r="C45" i="3"/>
  <c r="B45" i="3"/>
  <c r="A45" i="12" s="1"/>
  <c r="A45" i="3"/>
  <c r="K44" i="3"/>
  <c r="J44" i="3"/>
  <c r="I44" i="3"/>
  <c r="H44" i="3"/>
  <c r="F44" i="3"/>
  <c r="E44" i="3"/>
  <c r="D44" i="3"/>
  <c r="C44" i="3"/>
  <c r="G44" i="3" s="1"/>
  <c r="B44" i="3"/>
  <c r="AA44" i="12" s="1"/>
  <c r="A44" i="3"/>
  <c r="J43" i="3"/>
  <c r="C43" i="12" s="1"/>
  <c r="I43" i="3"/>
  <c r="H43" i="3"/>
  <c r="I43" i="12" s="1"/>
  <c r="F43" i="3"/>
  <c r="G43" i="3" s="1"/>
  <c r="E43" i="3"/>
  <c r="D43" i="3"/>
  <c r="V43" i="12" s="1"/>
  <c r="C79" i="16" s="1"/>
  <c r="C43" i="3"/>
  <c r="U43" i="12" s="1"/>
  <c r="B79" i="16" s="1"/>
  <c r="B43" i="3"/>
  <c r="A43" i="3"/>
  <c r="J42" i="3"/>
  <c r="C42" i="12" s="1"/>
  <c r="I42" i="3"/>
  <c r="K42" i="3" s="1"/>
  <c r="D42" i="12" s="1"/>
  <c r="H42" i="3"/>
  <c r="G42" i="3"/>
  <c r="Y42" i="12" s="1"/>
  <c r="F67" i="13" s="1"/>
  <c r="F42" i="3"/>
  <c r="H42" i="12" s="1"/>
  <c r="E42" i="3"/>
  <c r="G42" i="12" s="1"/>
  <c r="D42" i="3"/>
  <c r="C42" i="3"/>
  <c r="B42" i="3"/>
  <c r="A42" i="3"/>
  <c r="J41" i="3"/>
  <c r="I41" i="3"/>
  <c r="H41" i="3"/>
  <c r="F41" i="3"/>
  <c r="X41" i="12" s="1"/>
  <c r="E66" i="13" s="1"/>
  <c r="E41" i="3"/>
  <c r="W41" i="12" s="1"/>
  <c r="D41" i="3"/>
  <c r="V41" i="12" s="1"/>
  <c r="C41" i="3"/>
  <c r="G41" i="3" s="1"/>
  <c r="B41" i="3"/>
  <c r="A41" i="12" s="1"/>
  <c r="A41" i="3"/>
  <c r="J40" i="3"/>
  <c r="I40" i="3"/>
  <c r="B40" i="12" s="1"/>
  <c r="H40" i="3"/>
  <c r="F40" i="3"/>
  <c r="X40" i="12" s="1"/>
  <c r="E40" i="3"/>
  <c r="W40" i="12" s="1"/>
  <c r="D65" i="13" s="1"/>
  <c r="D40" i="3"/>
  <c r="C40" i="3"/>
  <c r="B40" i="3"/>
  <c r="A40" i="3"/>
  <c r="J39" i="3"/>
  <c r="I39" i="3"/>
  <c r="K39" i="3" s="1"/>
  <c r="D39" i="12" s="1"/>
  <c r="H39" i="3"/>
  <c r="AG39" i="12" s="1"/>
  <c r="G74" i="14" s="1"/>
  <c r="G39" i="3"/>
  <c r="Y39" i="12" s="1"/>
  <c r="F64" i="13" s="1"/>
  <c r="F39" i="3"/>
  <c r="X39" i="12" s="1"/>
  <c r="E75" i="16" s="1"/>
  <c r="E39" i="3"/>
  <c r="W39" i="12" s="1"/>
  <c r="D75" i="16" s="1"/>
  <c r="D39" i="3"/>
  <c r="V39" i="12" s="1"/>
  <c r="C75" i="16" s="1"/>
  <c r="C39" i="3"/>
  <c r="B39" i="3"/>
  <c r="AA39" i="12" s="1"/>
  <c r="A64" i="15" s="1"/>
  <c r="A39" i="3"/>
  <c r="J38" i="3"/>
  <c r="C38" i="12" s="1"/>
  <c r="I38" i="3"/>
  <c r="H38" i="3"/>
  <c r="F38" i="3"/>
  <c r="H38" i="12" s="1"/>
  <c r="E38" i="3"/>
  <c r="G38" i="12" s="1"/>
  <c r="D38" i="3"/>
  <c r="C38" i="3"/>
  <c r="U38" i="12" s="1"/>
  <c r="B38" i="3"/>
  <c r="F38" i="12" s="1"/>
  <c r="A38" i="3"/>
  <c r="J37" i="3"/>
  <c r="C37" i="12" s="1"/>
  <c r="I37" i="3"/>
  <c r="H37" i="3"/>
  <c r="F37" i="3"/>
  <c r="E37" i="3"/>
  <c r="G37" i="12" s="1"/>
  <c r="D37" i="3"/>
  <c r="G37" i="3" s="1"/>
  <c r="C37" i="3"/>
  <c r="B37" i="3"/>
  <c r="A37" i="12" s="1"/>
  <c r="A37" i="3"/>
  <c r="K36" i="3"/>
  <c r="J36" i="3"/>
  <c r="I36" i="3"/>
  <c r="H36" i="3"/>
  <c r="AG36" i="12" s="1"/>
  <c r="F36" i="3"/>
  <c r="E36" i="3"/>
  <c r="D36" i="3"/>
  <c r="C36" i="3"/>
  <c r="G36" i="3" s="1"/>
  <c r="AC36" i="12" s="1"/>
  <c r="B36" i="3"/>
  <c r="A36" i="3"/>
  <c r="K35" i="3"/>
  <c r="D35" i="12" s="1"/>
  <c r="J35" i="3"/>
  <c r="I35" i="3"/>
  <c r="H35" i="3"/>
  <c r="F35" i="3"/>
  <c r="X35" i="12" s="1"/>
  <c r="E35" i="3"/>
  <c r="W35" i="12" s="1"/>
  <c r="D35" i="3"/>
  <c r="V35" i="12" s="1"/>
  <c r="C35" i="3"/>
  <c r="U35" i="12" s="1"/>
  <c r="B35" i="3"/>
  <c r="A35" i="3"/>
  <c r="J34" i="3"/>
  <c r="C34" i="12" s="1"/>
  <c r="I34" i="3"/>
  <c r="K34" i="3" s="1"/>
  <c r="D34" i="12" s="1"/>
  <c r="H34" i="3"/>
  <c r="F34" i="3"/>
  <c r="E34" i="3"/>
  <c r="D34" i="3"/>
  <c r="G34" i="3" s="1"/>
  <c r="C34" i="3"/>
  <c r="B34" i="3"/>
  <c r="F34" i="12" s="1"/>
  <c r="A34" i="3"/>
  <c r="K33" i="3"/>
  <c r="D33" i="12" s="1"/>
  <c r="J33" i="3"/>
  <c r="C33" i="12" s="1"/>
  <c r="I33" i="3"/>
  <c r="B33" i="12" s="1"/>
  <c r="H33" i="3"/>
  <c r="F33" i="3"/>
  <c r="E33" i="3"/>
  <c r="D33" i="3"/>
  <c r="C33" i="3"/>
  <c r="G33" i="3" s="1"/>
  <c r="AC33" i="12" s="1"/>
  <c r="C58" i="15" s="1"/>
  <c r="B33" i="3"/>
  <c r="A33" i="12" s="1"/>
  <c r="A33" i="3"/>
  <c r="K32" i="3"/>
  <c r="D32" i="12" s="1"/>
  <c r="J32" i="3"/>
  <c r="I32" i="3"/>
  <c r="H32" i="3"/>
  <c r="F32" i="3"/>
  <c r="E32" i="3"/>
  <c r="D32" i="3"/>
  <c r="C32" i="3"/>
  <c r="G32" i="3" s="1"/>
  <c r="AC32" i="12" s="1"/>
  <c r="B32" i="3"/>
  <c r="A32" i="3"/>
  <c r="J31" i="3"/>
  <c r="C31" i="12" s="1"/>
  <c r="I31" i="3"/>
  <c r="K31" i="3" s="1"/>
  <c r="D31" i="12" s="1"/>
  <c r="H31" i="3"/>
  <c r="I31" i="12" s="1"/>
  <c r="F31" i="3"/>
  <c r="E31" i="3"/>
  <c r="D31" i="3"/>
  <c r="V31" i="12" s="1"/>
  <c r="C56" i="13" s="1"/>
  <c r="C31" i="3"/>
  <c r="U31" i="12" s="1"/>
  <c r="B56" i="13" s="1"/>
  <c r="B31" i="3"/>
  <c r="A31" i="3"/>
  <c r="K30" i="3"/>
  <c r="D30" i="12" s="1"/>
  <c r="J30" i="3"/>
  <c r="C30" i="12" s="1"/>
  <c r="I30" i="3"/>
  <c r="H30" i="3"/>
  <c r="I30" i="12" s="1"/>
  <c r="F30" i="3"/>
  <c r="H30" i="12" s="1"/>
  <c r="E30" i="3"/>
  <c r="G30" i="12" s="1"/>
  <c r="D30" i="3"/>
  <c r="C30" i="3"/>
  <c r="G30" i="3" s="1"/>
  <c r="Y30" i="12" s="1"/>
  <c r="F55" i="13" s="1"/>
  <c r="B30" i="3"/>
  <c r="A30" i="3"/>
  <c r="K29" i="3"/>
  <c r="D29" i="12" s="1"/>
  <c r="J29" i="3"/>
  <c r="I29" i="3"/>
  <c r="B29" i="12" s="1"/>
  <c r="H29" i="3"/>
  <c r="F29" i="3"/>
  <c r="X29" i="12" s="1"/>
  <c r="E65" i="16" s="1"/>
  <c r="E29" i="3"/>
  <c r="W29" i="12" s="1"/>
  <c r="D65" i="16" s="1"/>
  <c r="D29" i="3"/>
  <c r="G29" i="3" s="1"/>
  <c r="C29" i="3"/>
  <c r="B29" i="3"/>
  <c r="A29" i="12" s="1"/>
  <c r="A29" i="3"/>
  <c r="J28" i="3"/>
  <c r="C28" i="12" s="1"/>
  <c r="I28" i="3"/>
  <c r="B28" i="12" s="1"/>
  <c r="H28" i="3"/>
  <c r="F28" i="3"/>
  <c r="X28" i="12" s="1"/>
  <c r="E64" i="16" s="1"/>
  <c r="E28" i="3"/>
  <c r="D28" i="3"/>
  <c r="G28" i="3" s="1"/>
  <c r="C28" i="3"/>
  <c r="B28" i="3"/>
  <c r="F28" i="12" s="1"/>
  <c r="A28" i="3"/>
  <c r="K27" i="3"/>
  <c r="J27" i="3"/>
  <c r="I27" i="3"/>
  <c r="H27" i="3"/>
  <c r="F27" i="3"/>
  <c r="X27" i="12" s="1"/>
  <c r="E63" i="16" s="1"/>
  <c r="E27" i="3"/>
  <c r="W27" i="12" s="1"/>
  <c r="D27" i="3"/>
  <c r="V27" i="12" s="1"/>
  <c r="C27" i="3"/>
  <c r="B27" i="3"/>
  <c r="A27" i="3"/>
  <c r="K26" i="3"/>
  <c r="D26" i="12" s="1"/>
  <c r="J26" i="3"/>
  <c r="C26" i="12" s="1"/>
  <c r="I26" i="3"/>
  <c r="B26" i="12" s="1"/>
  <c r="H26" i="3"/>
  <c r="F26" i="3"/>
  <c r="H26" i="12" s="1"/>
  <c r="E26" i="3"/>
  <c r="G26" i="12" s="1"/>
  <c r="D26" i="3"/>
  <c r="C26" i="3"/>
  <c r="U26" i="12" s="1"/>
  <c r="B51" i="13" s="1"/>
  <c r="B26" i="3"/>
  <c r="F26" i="12" s="1"/>
  <c r="A26" i="3"/>
  <c r="K25" i="3"/>
  <c r="J25" i="3"/>
  <c r="I25" i="3"/>
  <c r="B25" i="12" s="1"/>
  <c r="H25" i="3"/>
  <c r="F25" i="3"/>
  <c r="E25" i="3"/>
  <c r="W25" i="12" s="1"/>
  <c r="D25" i="3"/>
  <c r="V25" i="12" s="1"/>
  <c r="C25" i="3"/>
  <c r="U25" i="12" s="1"/>
  <c r="B50" i="13" s="1"/>
  <c r="B25" i="3"/>
  <c r="A25" i="12" s="1"/>
  <c r="A25" i="3"/>
  <c r="J24" i="3"/>
  <c r="I24" i="3"/>
  <c r="K24" i="3" s="1"/>
  <c r="H24" i="3"/>
  <c r="AG24" i="12" s="1"/>
  <c r="G59" i="14" s="1"/>
  <c r="F24" i="3"/>
  <c r="E24" i="3"/>
  <c r="D24" i="3"/>
  <c r="V24" i="12" s="1"/>
  <c r="C24" i="3"/>
  <c r="B24" i="3"/>
  <c r="T24" i="12" s="1"/>
  <c r="A60" i="16" s="1"/>
  <c r="A24" i="3"/>
  <c r="J23" i="3"/>
  <c r="K23" i="3" s="1"/>
  <c r="D23" i="12" s="1"/>
  <c r="I23" i="3"/>
  <c r="B23" i="12" s="1"/>
  <c r="H23" i="3"/>
  <c r="F23" i="3"/>
  <c r="X23" i="12" s="1"/>
  <c r="E59" i="16" s="1"/>
  <c r="E23" i="3"/>
  <c r="W23" i="12" s="1"/>
  <c r="D59" i="16" s="1"/>
  <c r="D23" i="3"/>
  <c r="V23" i="12" s="1"/>
  <c r="C59" i="16" s="1"/>
  <c r="C23" i="3"/>
  <c r="U23" i="12" s="1"/>
  <c r="B59" i="16" s="1"/>
  <c r="B23" i="3"/>
  <c r="A23" i="3"/>
  <c r="J22" i="3"/>
  <c r="C22" i="12" s="1"/>
  <c r="I22" i="3"/>
  <c r="H22" i="3"/>
  <c r="F22" i="3"/>
  <c r="E22" i="3"/>
  <c r="G22" i="12" s="1"/>
  <c r="D22" i="3"/>
  <c r="C22" i="3"/>
  <c r="G22" i="3" s="1"/>
  <c r="B22" i="3"/>
  <c r="A22" i="3"/>
  <c r="J21" i="3"/>
  <c r="K21" i="3" s="1"/>
  <c r="D21" i="12" s="1"/>
  <c r="I21" i="3"/>
  <c r="B21" i="12" s="1"/>
  <c r="H21" i="3"/>
  <c r="F21" i="3"/>
  <c r="E21" i="3"/>
  <c r="G21" i="12" s="1"/>
  <c r="D21" i="3"/>
  <c r="V21" i="12" s="1"/>
  <c r="C21" i="3"/>
  <c r="G21" i="3" s="1"/>
  <c r="AC21" i="12" s="1"/>
  <c r="B21" i="3"/>
  <c r="A21" i="3"/>
  <c r="K20" i="3"/>
  <c r="J20" i="3"/>
  <c r="I20" i="3"/>
  <c r="H20" i="3"/>
  <c r="F20" i="3"/>
  <c r="E20" i="3"/>
  <c r="D20" i="3"/>
  <c r="C20" i="3"/>
  <c r="G20" i="3" s="1"/>
  <c r="AC20" i="12" s="1"/>
  <c r="B20" i="3"/>
  <c r="A20" i="3"/>
  <c r="J19" i="3"/>
  <c r="I19" i="3"/>
  <c r="K19" i="3" s="1"/>
  <c r="D19" i="12" s="1"/>
  <c r="H19" i="3"/>
  <c r="I19" i="12" s="1"/>
  <c r="F19" i="3"/>
  <c r="E19" i="3"/>
  <c r="D19" i="3"/>
  <c r="V19" i="12" s="1"/>
  <c r="C19" i="3"/>
  <c r="B19" i="3"/>
  <c r="AA19" i="12" s="1"/>
  <c r="A19" i="3"/>
  <c r="J18" i="3"/>
  <c r="C18" i="12" s="1"/>
  <c r="I18" i="3"/>
  <c r="K18" i="3" s="1"/>
  <c r="D18" i="12" s="1"/>
  <c r="H18" i="3"/>
  <c r="I18" i="12" s="1"/>
  <c r="F18" i="3"/>
  <c r="H18" i="12" s="1"/>
  <c r="E18" i="3"/>
  <c r="G18" i="12" s="1"/>
  <c r="D18" i="3"/>
  <c r="C18" i="3"/>
  <c r="G18" i="3" s="1"/>
  <c r="B18" i="3"/>
  <c r="AA18" i="12" s="1"/>
  <c r="A18" i="3"/>
  <c r="K17" i="3"/>
  <c r="D17" i="12" s="1"/>
  <c r="J17" i="3"/>
  <c r="C17" i="12" s="1"/>
  <c r="I17" i="3"/>
  <c r="B17" i="12" s="1"/>
  <c r="H17" i="3"/>
  <c r="AG17" i="12" s="1"/>
  <c r="G52" i="14" s="1"/>
  <c r="F17" i="3"/>
  <c r="X17" i="12" s="1"/>
  <c r="E53" i="16" s="1"/>
  <c r="E17" i="3"/>
  <c r="D17" i="3"/>
  <c r="C17" i="3"/>
  <c r="B17" i="3"/>
  <c r="A17" i="12" s="1"/>
  <c r="A17" i="3"/>
  <c r="J16" i="3"/>
  <c r="C16" i="12" s="1"/>
  <c r="I16" i="3"/>
  <c r="K16" i="3" s="1"/>
  <c r="D16" i="12" s="1"/>
  <c r="H16" i="3"/>
  <c r="F16" i="3"/>
  <c r="H16" i="12" s="1"/>
  <c r="E16" i="3"/>
  <c r="G16" i="12" s="1"/>
  <c r="D16" i="3"/>
  <c r="C16" i="3"/>
  <c r="B16" i="3"/>
  <c r="A16" i="3"/>
  <c r="J15" i="3"/>
  <c r="I15" i="3"/>
  <c r="K15" i="3" s="1"/>
  <c r="D15" i="12" s="1"/>
  <c r="H15" i="3"/>
  <c r="F15" i="3"/>
  <c r="E15" i="3"/>
  <c r="W15" i="12" s="1"/>
  <c r="D40" i="13" s="1"/>
  <c r="D15" i="3"/>
  <c r="V15" i="12" s="1"/>
  <c r="C40" i="13" s="1"/>
  <c r="C15" i="3"/>
  <c r="U15" i="12" s="1"/>
  <c r="B40" i="13" s="1"/>
  <c r="B15" i="3"/>
  <c r="A15" i="12" s="1"/>
  <c r="A15" i="3"/>
  <c r="J14" i="3"/>
  <c r="C14" i="12" s="1"/>
  <c r="I14" i="3"/>
  <c r="B14" i="12" s="1"/>
  <c r="H14" i="3"/>
  <c r="I14" i="12" s="1"/>
  <c r="G14" i="3"/>
  <c r="Y14" i="12" s="1"/>
  <c r="F39" i="13" s="1"/>
  <c r="F14" i="3"/>
  <c r="H14" i="12" s="1"/>
  <c r="E14" i="3"/>
  <c r="G14" i="12" s="1"/>
  <c r="D14" i="3"/>
  <c r="V14" i="12" s="1"/>
  <c r="C14" i="3"/>
  <c r="U14" i="12" s="1"/>
  <c r="B14" i="3"/>
  <c r="F14" i="12" s="1"/>
  <c r="A14" i="3"/>
  <c r="J13" i="3"/>
  <c r="I13" i="3"/>
  <c r="B13" i="12" s="1"/>
  <c r="H13" i="3"/>
  <c r="F13" i="3"/>
  <c r="X13" i="12" s="1"/>
  <c r="E49" i="16" s="1"/>
  <c r="E13" i="3"/>
  <c r="D13" i="3"/>
  <c r="C13" i="3"/>
  <c r="B13" i="3"/>
  <c r="A13" i="12" s="1"/>
  <c r="A13" i="3"/>
  <c r="K12" i="3"/>
  <c r="J12" i="3"/>
  <c r="I12" i="3"/>
  <c r="H12" i="3"/>
  <c r="F12" i="3"/>
  <c r="X12" i="12" s="1"/>
  <c r="E48" i="16" s="1"/>
  <c r="E12" i="3"/>
  <c r="W12" i="12" s="1"/>
  <c r="D37" i="13" s="1"/>
  <c r="D12" i="3"/>
  <c r="V12" i="12" s="1"/>
  <c r="C37" i="13" s="1"/>
  <c r="C12" i="3"/>
  <c r="U12" i="12" s="1"/>
  <c r="B37" i="13" s="1"/>
  <c r="B12" i="3"/>
  <c r="A12" i="3"/>
  <c r="J11" i="3"/>
  <c r="C11" i="12" s="1"/>
  <c r="I11" i="3"/>
  <c r="H11" i="3"/>
  <c r="AG11" i="12" s="1"/>
  <c r="F11" i="3"/>
  <c r="X11" i="12" s="1"/>
  <c r="E36" i="13" s="1"/>
  <c r="E11" i="3"/>
  <c r="W11" i="12" s="1"/>
  <c r="D36" i="13" s="1"/>
  <c r="D11" i="3"/>
  <c r="V11" i="12" s="1"/>
  <c r="C47" i="16" s="1"/>
  <c r="C11" i="3"/>
  <c r="U11" i="12" s="1"/>
  <c r="B47" i="16" s="1"/>
  <c r="B11" i="3"/>
  <c r="A11" i="12" s="1"/>
  <c r="A11" i="3"/>
  <c r="J10" i="3"/>
  <c r="I10" i="3"/>
  <c r="K10" i="3" s="1"/>
  <c r="D10" i="12" s="1"/>
  <c r="H10" i="3"/>
  <c r="AG10" i="12" s="1"/>
  <c r="G45" i="14" s="1"/>
  <c r="G10" i="3"/>
  <c r="AC10" i="12" s="1"/>
  <c r="F10" i="3"/>
  <c r="E10" i="3"/>
  <c r="D10" i="3"/>
  <c r="C10" i="3"/>
  <c r="U10" i="12" s="1"/>
  <c r="B46" i="16" s="1"/>
  <c r="B10" i="3"/>
  <c r="T10" i="12" s="1"/>
  <c r="A46" i="16" s="1"/>
  <c r="A10" i="3"/>
  <c r="J9" i="3"/>
  <c r="I9" i="3"/>
  <c r="K9" i="3" s="1"/>
  <c r="D9" i="12" s="1"/>
  <c r="H9" i="3"/>
  <c r="I9" i="12" s="1"/>
  <c r="F9" i="3"/>
  <c r="H9" i="12" s="1"/>
  <c r="E9" i="3"/>
  <c r="G9" i="12" s="1"/>
  <c r="D9" i="3"/>
  <c r="V9" i="12" s="1"/>
  <c r="C9" i="3"/>
  <c r="U9" i="12" s="1"/>
  <c r="B9" i="3"/>
  <c r="A9" i="12" s="1"/>
  <c r="A9" i="3"/>
  <c r="J8" i="3"/>
  <c r="C8" i="12" s="1"/>
  <c r="I8" i="3"/>
  <c r="B8" i="12" s="1"/>
  <c r="H8" i="3"/>
  <c r="I8" i="12" s="1"/>
  <c r="F8" i="3"/>
  <c r="H8" i="12" s="1"/>
  <c r="E8" i="3"/>
  <c r="G8" i="12" s="1"/>
  <c r="D8" i="3"/>
  <c r="C8" i="3"/>
  <c r="G8" i="3" s="1"/>
  <c r="Y8" i="12" s="1"/>
  <c r="F33" i="13" s="1"/>
  <c r="B8" i="3"/>
  <c r="A8" i="3"/>
  <c r="J7" i="3"/>
  <c r="I7" i="3"/>
  <c r="K7" i="3" s="1"/>
  <c r="H7" i="3"/>
  <c r="G7" i="3"/>
  <c r="F7" i="3"/>
  <c r="E7" i="3"/>
  <c r="D7" i="3"/>
  <c r="C7" i="3"/>
  <c r="B7" i="3"/>
  <c r="A7" i="12" s="1"/>
  <c r="A7" i="3"/>
  <c r="J6" i="3"/>
  <c r="I6" i="3"/>
  <c r="K6" i="3" s="1"/>
  <c r="H6" i="3"/>
  <c r="AG6" i="12" s="1"/>
  <c r="G41" i="14" s="1"/>
  <c r="F6" i="3"/>
  <c r="X6" i="12" s="1"/>
  <c r="E31" i="13" s="1"/>
  <c r="E6" i="3"/>
  <c r="W6" i="12" s="1"/>
  <c r="D6" i="3"/>
  <c r="V6" i="12" s="1"/>
  <c r="C6" i="3"/>
  <c r="U6" i="12" s="1"/>
  <c r="B6" i="3"/>
  <c r="F6" i="12" s="1"/>
  <c r="A6" i="3"/>
  <c r="J5" i="3"/>
  <c r="C5" i="12" s="1"/>
  <c r="I5" i="3"/>
  <c r="H5" i="3"/>
  <c r="I5" i="12" s="1"/>
  <c r="G5" i="3"/>
  <c r="F5" i="3"/>
  <c r="X5" i="12" s="1"/>
  <c r="E5" i="3"/>
  <c r="W5" i="12" s="1"/>
  <c r="D30" i="13" s="1"/>
  <c r="D5" i="3"/>
  <c r="V5" i="12" s="1"/>
  <c r="C30" i="13" s="1"/>
  <c r="C5" i="3"/>
  <c r="U5" i="12" s="1"/>
  <c r="B30" i="13" s="1"/>
  <c r="B5" i="3"/>
  <c r="A5" i="3"/>
  <c r="J4" i="3"/>
  <c r="I4" i="3"/>
  <c r="K4" i="3" s="1"/>
  <c r="D4" i="12" s="1"/>
  <c r="H4" i="3"/>
  <c r="F4" i="3"/>
  <c r="E4" i="3"/>
  <c r="W4" i="12" s="1"/>
  <c r="D4" i="3"/>
  <c r="V4" i="12" s="1"/>
  <c r="C4" i="3"/>
  <c r="G4" i="3" s="1"/>
  <c r="Y4" i="12" s="1"/>
  <c r="F29" i="13" s="1"/>
  <c r="B4" i="3"/>
  <c r="T4" i="12" s="1"/>
  <c r="A4" i="3"/>
  <c r="J3" i="3"/>
  <c r="C3" i="12" s="1"/>
  <c r="I3" i="3"/>
  <c r="H3" i="3"/>
  <c r="F3" i="3"/>
  <c r="E3" i="3"/>
  <c r="G3" i="12" s="1"/>
  <c r="D3" i="3"/>
  <c r="V3" i="12" s="1"/>
  <c r="C28" i="13" s="1"/>
  <c r="C3" i="3"/>
  <c r="U3" i="12" s="1"/>
  <c r="B3" i="3"/>
  <c r="F3" i="12" s="1"/>
  <c r="A3" i="3"/>
  <c r="J2" i="3"/>
  <c r="C2" i="12" s="1"/>
  <c r="I2" i="3"/>
  <c r="B2" i="12" s="1"/>
  <c r="H2" i="3"/>
  <c r="G2" i="3"/>
  <c r="AC2" i="12" s="1"/>
  <c r="C27" i="15" s="1"/>
  <c r="F2" i="3"/>
  <c r="H2" i="12" s="1"/>
  <c r="E2" i="3"/>
  <c r="G2" i="12" s="1"/>
  <c r="D2" i="3"/>
  <c r="C2" i="3"/>
  <c r="B2" i="3"/>
  <c r="A2" i="3"/>
  <c r="Y43" i="12" l="1"/>
  <c r="F68" i="13" s="1"/>
  <c r="AC43" i="12"/>
  <c r="E65" i="13"/>
  <c r="E76" i="16"/>
  <c r="A43" i="15"/>
  <c r="A53" i="14"/>
  <c r="AC28" i="12"/>
  <c r="Y28" i="12"/>
  <c r="F53" i="13" s="1"/>
  <c r="C50" i="13"/>
  <c r="C61" i="16"/>
  <c r="C46" i="13"/>
  <c r="C57" i="16"/>
  <c r="Y22" i="12"/>
  <c r="F47" i="13" s="1"/>
  <c r="AC22" i="12"/>
  <c r="AC37" i="12"/>
  <c r="Y37" i="12"/>
  <c r="F62" i="13" s="1"/>
  <c r="AC34" i="12"/>
  <c r="Y34" i="12"/>
  <c r="F59" i="13" s="1"/>
  <c r="D50" i="13"/>
  <c r="D61" i="16"/>
  <c r="K3" i="3"/>
  <c r="D3" i="12" s="1"/>
  <c r="G16" i="3"/>
  <c r="G48" i="12"/>
  <c r="W48" i="12"/>
  <c r="G13" i="3"/>
  <c r="H48" i="12"/>
  <c r="X48" i="12"/>
  <c r="Y21" i="12"/>
  <c r="F46" i="13" s="1"/>
  <c r="C35" i="13"/>
  <c r="H13" i="12"/>
  <c r="A71" i="13"/>
  <c r="A82" i="16"/>
  <c r="D35" i="13"/>
  <c r="AG48" i="12"/>
  <c r="G83" i="14" s="1"/>
  <c r="I48" i="12"/>
  <c r="C29" i="13"/>
  <c r="C40" i="16"/>
  <c r="Y10" i="12"/>
  <c r="F35" i="13" s="1"/>
  <c r="I49" i="12"/>
  <c r="D29" i="13"/>
  <c r="D40" i="16"/>
  <c r="I42" i="12"/>
  <c r="AG42" i="12"/>
  <c r="G77" i="14" s="1"/>
  <c r="AD2" i="12"/>
  <c r="D37" i="14" s="1"/>
  <c r="C43" i="14"/>
  <c r="AE8" i="12"/>
  <c r="E43" i="14" s="1"/>
  <c r="B50" i="14"/>
  <c r="B40" i="15"/>
  <c r="E62" i="16"/>
  <c r="E51" i="13"/>
  <c r="B69" i="16"/>
  <c r="B58" i="13"/>
  <c r="A85" i="16"/>
  <c r="A74" i="13"/>
  <c r="F30" i="12"/>
  <c r="AA30" i="12"/>
  <c r="T30" i="12"/>
  <c r="AE2" i="12"/>
  <c r="E37" i="14" s="1"/>
  <c r="AC4" i="12"/>
  <c r="AD8" i="12"/>
  <c r="D43" i="14" s="1"/>
  <c r="B35" i="15"/>
  <c r="B45" i="14"/>
  <c r="C69" i="16"/>
  <c r="C58" i="13"/>
  <c r="C63" i="13"/>
  <c r="B39" i="13"/>
  <c r="B50" i="16"/>
  <c r="AA27" i="12"/>
  <c r="T27" i="12"/>
  <c r="F27" i="12"/>
  <c r="A27" i="12"/>
  <c r="G40" i="12"/>
  <c r="A78" i="16"/>
  <c r="A67" i="13"/>
  <c r="A69" i="13"/>
  <c r="A80" i="16"/>
  <c r="E85" i="16"/>
  <c r="E74" i="13"/>
  <c r="D63" i="13"/>
  <c r="C39" i="13"/>
  <c r="C50" i="16"/>
  <c r="G27" i="3"/>
  <c r="U27" i="12"/>
  <c r="AG8" i="12"/>
  <c r="G43" i="14" s="1"/>
  <c r="H40" i="12"/>
  <c r="B78" i="16"/>
  <c r="B67" i="13"/>
  <c r="B69" i="13"/>
  <c r="B80" i="16"/>
  <c r="E63" i="13"/>
  <c r="D38" i="16"/>
  <c r="B56" i="16"/>
  <c r="C52" i="13"/>
  <c r="C63" i="16"/>
  <c r="AA43" i="12"/>
  <c r="T43" i="12"/>
  <c r="A43" i="12"/>
  <c r="F43" i="12"/>
  <c r="Y33" i="12"/>
  <c r="F58" i="13" s="1"/>
  <c r="E52" i="13"/>
  <c r="C39" i="16"/>
  <c r="E56" i="16"/>
  <c r="A63" i="14"/>
  <c r="A53" i="15"/>
  <c r="E27" i="13"/>
  <c r="E38" i="16"/>
  <c r="X45" i="12"/>
  <c r="H45" i="12"/>
  <c r="E40" i="16"/>
  <c r="E29" i="13"/>
  <c r="E33" i="13"/>
  <c r="E44" i="16"/>
  <c r="A46" i="15"/>
  <c r="A56" i="14"/>
  <c r="AE20" i="12"/>
  <c r="E55" i="14" s="1"/>
  <c r="AD20" i="12"/>
  <c r="D55" i="14" s="1"/>
  <c r="C45" i="15"/>
  <c r="C55" i="14"/>
  <c r="V37" i="12"/>
  <c r="B71" i="13"/>
  <c r="B82" i="16"/>
  <c r="AG7" i="12"/>
  <c r="G42" i="14" s="1"/>
  <c r="I7" i="12"/>
  <c r="A54" i="16"/>
  <c r="C38" i="16"/>
  <c r="G24" i="3"/>
  <c r="U24" i="12"/>
  <c r="C85" i="16"/>
  <c r="C74" i="13"/>
  <c r="E38" i="13"/>
  <c r="B62" i="14"/>
  <c r="A51" i="15"/>
  <c r="B73" i="16"/>
  <c r="A40" i="12"/>
  <c r="AA40" i="12"/>
  <c r="C71" i="13"/>
  <c r="C82" i="16"/>
  <c r="D85" i="16"/>
  <c r="D74" i="13"/>
  <c r="A48" i="14"/>
  <c r="A38" i="15"/>
  <c r="A58" i="16"/>
  <c r="A47" i="13"/>
  <c r="E78" i="16"/>
  <c r="E67" i="13"/>
  <c r="C64" i="13"/>
  <c r="B51" i="15"/>
  <c r="A29" i="13"/>
  <c r="A40" i="16"/>
  <c r="C35" i="15"/>
  <c r="AD10" i="12"/>
  <c r="D45" i="14" s="1"/>
  <c r="AE10" i="12"/>
  <c r="E45" i="14" s="1"/>
  <c r="C45" i="14"/>
  <c r="G48" i="3"/>
  <c r="G45" i="3"/>
  <c r="A27" i="15"/>
  <c r="A37" i="14"/>
  <c r="B46" i="15"/>
  <c r="B56" i="14"/>
  <c r="E35" i="13"/>
  <c r="W37" i="12"/>
  <c r="AE36" i="12"/>
  <c r="E71" i="14" s="1"/>
  <c r="AD36" i="12"/>
  <c r="D71" i="14" s="1"/>
  <c r="C71" i="14"/>
  <c r="C61" i="15"/>
  <c r="A52" i="16"/>
  <c r="D52" i="13"/>
  <c r="D63" i="16"/>
  <c r="A21" i="12"/>
  <c r="T21" i="12"/>
  <c r="F21" i="12"/>
  <c r="W43" i="12"/>
  <c r="G43" i="12"/>
  <c r="G46" i="12"/>
  <c r="W46" i="12"/>
  <c r="B48" i="14"/>
  <c r="B38" i="15"/>
  <c r="U22" i="12"/>
  <c r="AD33" i="12"/>
  <c r="D68" i="14" s="1"/>
  <c r="T40" i="12"/>
  <c r="C53" i="13"/>
  <c r="D64" i="13"/>
  <c r="X37" i="12"/>
  <c r="H37" i="12"/>
  <c r="AA3" i="12"/>
  <c r="T3" i="12"/>
  <c r="AG12" i="12"/>
  <c r="G47" i="14" s="1"/>
  <c r="I12" i="12"/>
  <c r="G25" i="3"/>
  <c r="AG28" i="12"/>
  <c r="G63" i="14" s="1"/>
  <c r="I28" i="12"/>
  <c r="AC41" i="12"/>
  <c r="Y41" i="12"/>
  <c r="F66" i="13" s="1"/>
  <c r="B39" i="15"/>
  <c r="B49" i="14"/>
  <c r="V34" i="12"/>
  <c r="D70" i="13"/>
  <c r="C33" i="15"/>
  <c r="C80" i="16"/>
  <c r="C58" i="16"/>
  <c r="C47" i="13"/>
  <c r="A49" i="15"/>
  <c r="A59" i="14"/>
  <c r="D57" i="16"/>
  <c r="B67" i="15"/>
  <c r="B77" i="14"/>
  <c r="C67" i="15"/>
  <c r="C77" i="14"/>
  <c r="K8" i="3"/>
  <c r="D8" i="12" s="1"/>
  <c r="AG40" i="12"/>
  <c r="G75" i="14" s="1"/>
  <c r="I40" i="12"/>
  <c r="A41" i="16"/>
  <c r="A30" i="13"/>
  <c r="B52" i="16"/>
  <c r="B41" i="13"/>
  <c r="AE42" i="12"/>
  <c r="E77" i="14" s="1"/>
  <c r="B82" i="14"/>
  <c r="B72" i="15"/>
  <c r="A42" i="13"/>
  <c r="I2" i="12"/>
  <c r="AG2" i="12"/>
  <c r="G37" i="14" s="1"/>
  <c r="F9" i="12"/>
  <c r="AA9" i="12"/>
  <c r="T9" i="12"/>
  <c r="AG5" i="12"/>
  <c r="G40" i="14" s="1"/>
  <c r="A55" i="14"/>
  <c r="A45" i="15"/>
  <c r="K2" i="3"/>
  <c r="D2" i="12" s="1"/>
  <c r="AA6" i="12"/>
  <c r="T6" i="12"/>
  <c r="A6" i="12"/>
  <c r="I34" i="12"/>
  <c r="AG34" i="12"/>
  <c r="G69" i="14" s="1"/>
  <c r="G12" i="3"/>
  <c r="A70" i="13"/>
  <c r="B28" i="13"/>
  <c r="B39" i="16"/>
  <c r="G9" i="3"/>
  <c r="AG25" i="12"/>
  <c r="G60" i="14" s="1"/>
  <c r="I25" i="12"/>
  <c r="C66" i="13"/>
  <c r="C77" i="16"/>
  <c r="AC14" i="12"/>
  <c r="B19" i="12"/>
  <c r="D66" i="16"/>
  <c r="D55" i="13"/>
  <c r="Y36" i="12"/>
  <c r="F61" i="13" s="1"/>
  <c r="B39" i="12"/>
  <c r="B48" i="16"/>
  <c r="D80" i="16"/>
  <c r="C46" i="15"/>
  <c r="C56" i="14"/>
  <c r="AE21" i="12"/>
  <c r="E56" i="14" s="1"/>
  <c r="AD21" i="12"/>
  <c r="D56" i="14" s="1"/>
  <c r="H46" i="12"/>
  <c r="X46" i="12"/>
  <c r="AC5" i="12"/>
  <c r="Y5" i="12"/>
  <c r="F30" i="13" s="1"/>
  <c r="C43" i="16"/>
  <c r="C32" i="13"/>
  <c r="C45" i="13"/>
  <c r="C56" i="16"/>
  <c r="D76" i="16"/>
  <c r="D45" i="13"/>
  <c r="D56" i="16"/>
  <c r="K5" i="3"/>
  <c r="D5" i="12" s="1"/>
  <c r="B5" i="12"/>
  <c r="K43" i="3"/>
  <c r="D43" i="12" s="1"/>
  <c r="K46" i="3"/>
  <c r="D46" i="12" s="1"/>
  <c r="B42" i="13"/>
  <c r="D54" i="13"/>
  <c r="W31" i="12"/>
  <c r="G31" i="12"/>
  <c r="K40" i="3"/>
  <c r="D40" i="12" s="1"/>
  <c r="A42" i="14"/>
  <c r="A32" i="15"/>
  <c r="B63" i="15"/>
  <c r="B73" i="14"/>
  <c r="X15" i="12"/>
  <c r="H15" i="12"/>
  <c r="B37" i="12"/>
  <c r="K37" i="3"/>
  <c r="D37" i="12" s="1"/>
  <c r="A39" i="15"/>
  <c r="A49" i="14"/>
  <c r="H22" i="12"/>
  <c r="X22" i="12"/>
  <c r="B74" i="16"/>
  <c r="B63" i="13"/>
  <c r="D66" i="13"/>
  <c r="D77" i="16"/>
  <c r="H28" i="12"/>
  <c r="E55" i="13"/>
  <c r="E66" i="16"/>
  <c r="C57" i="13"/>
  <c r="C48" i="16"/>
  <c r="D62" i="16"/>
  <c r="E80" i="16"/>
  <c r="G6" i="3"/>
  <c r="C44" i="13"/>
  <c r="C55" i="16"/>
  <c r="K28" i="3"/>
  <c r="D28" i="12" s="1"/>
  <c r="I6" i="12"/>
  <c r="B55" i="15"/>
  <c r="B65" i="14"/>
  <c r="D32" i="13"/>
  <c r="D57" i="13"/>
  <c r="A45" i="14"/>
  <c r="D48" i="16"/>
  <c r="B81" i="16"/>
  <c r="A63" i="15"/>
  <c r="A73" i="14"/>
  <c r="K22" i="3"/>
  <c r="D22" i="12" s="1"/>
  <c r="B22" i="12"/>
  <c r="C57" i="15"/>
  <c r="AE32" i="12"/>
  <c r="E67" i="14" s="1"/>
  <c r="AD32" i="12"/>
  <c r="D67" i="14" s="1"/>
  <c r="C67" i="14"/>
  <c r="I10" i="12"/>
  <c r="AG43" i="12"/>
  <c r="G78" i="14" s="1"/>
  <c r="AG45" i="12"/>
  <c r="G80" i="14" s="1"/>
  <c r="B33" i="13"/>
  <c r="C67" i="16"/>
  <c r="C81" i="16"/>
  <c r="G46" i="3"/>
  <c r="C54" i="16"/>
  <c r="C43" i="13"/>
  <c r="AA12" i="12"/>
  <c r="T12" i="12"/>
  <c r="A12" i="12"/>
  <c r="H34" i="12"/>
  <c r="X34" i="12"/>
  <c r="Y20" i="12"/>
  <c r="F45" i="13" s="1"/>
  <c r="C42" i="13"/>
  <c r="G28" i="12"/>
  <c r="W28" i="12"/>
  <c r="AG37" i="12"/>
  <c r="G72" i="14" s="1"/>
  <c r="I37" i="12"/>
  <c r="X16" i="12"/>
  <c r="B43" i="16"/>
  <c r="G31" i="3"/>
  <c r="G15" i="3"/>
  <c r="H3" i="12"/>
  <c r="X3" i="12"/>
  <c r="W19" i="12"/>
  <c r="G19" i="12"/>
  <c r="I22" i="12"/>
  <c r="AG22" i="12"/>
  <c r="G57" i="14" s="1"/>
  <c r="G3" i="3"/>
  <c r="X19" i="12"/>
  <c r="H19" i="12"/>
  <c r="G19" i="3"/>
  <c r="U21" i="12"/>
  <c r="I39" i="12"/>
  <c r="C33" i="13"/>
  <c r="D47" i="13"/>
  <c r="X43" i="12"/>
  <c r="H43" i="12"/>
  <c r="A67" i="15"/>
  <c r="A77" i="14"/>
  <c r="B54" i="16"/>
  <c r="B43" i="13"/>
  <c r="K11" i="3"/>
  <c r="D11" i="12" s="1"/>
  <c r="K14" i="3"/>
  <c r="D14" i="12" s="1"/>
  <c r="F18" i="12"/>
  <c r="A18" i="12"/>
  <c r="AC18" i="12"/>
  <c r="Y18" i="12"/>
  <c r="F43" i="13" s="1"/>
  <c r="G40" i="3"/>
  <c r="K49" i="3"/>
  <c r="D49" i="12" s="1"/>
  <c r="AD42" i="12"/>
  <c r="D77" i="14" s="1"/>
  <c r="AA15" i="12"/>
  <c r="T15" i="12"/>
  <c r="G34" i="12"/>
  <c r="W34" i="12"/>
  <c r="B34" i="13"/>
  <c r="B45" i="16"/>
  <c r="X31" i="12"/>
  <c r="H31" i="12"/>
  <c r="A69" i="15"/>
  <c r="A79" i="14"/>
  <c r="C34" i="13"/>
  <c r="C45" i="16"/>
  <c r="AC44" i="12"/>
  <c r="Y44" i="12"/>
  <c r="F69" i="13" s="1"/>
  <c r="A59" i="13"/>
  <c r="A70" i="16"/>
  <c r="X25" i="12"/>
  <c r="H25" i="12"/>
  <c r="F12" i="12"/>
  <c r="AC30" i="12"/>
  <c r="E32" i="13"/>
  <c r="AC29" i="12"/>
  <c r="Y29" i="12"/>
  <c r="F54" i="13" s="1"/>
  <c r="A44" i="16"/>
  <c r="A33" i="13"/>
  <c r="I17" i="12"/>
  <c r="B53" i="13"/>
  <c r="B64" i="16"/>
  <c r="D33" i="13"/>
  <c r="C68" i="14"/>
  <c r="B66" i="16"/>
  <c r="B55" i="13"/>
  <c r="C66" i="16"/>
  <c r="C55" i="13"/>
  <c r="I3" i="12"/>
  <c r="AG3" i="12"/>
  <c r="G38" i="14" s="1"/>
  <c r="AA31" i="12"/>
  <c r="T31" i="12"/>
  <c r="F49" i="12"/>
  <c r="A49" i="12"/>
  <c r="T25" i="12"/>
  <c r="AA49" i="12"/>
  <c r="B46" i="14"/>
  <c r="G49" i="3"/>
  <c r="B6" i="12"/>
  <c r="T37" i="12"/>
  <c r="AA23" i="12"/>
  <c r="T23" i="12"/>
  <c r="AD7" i="12"/>
  <c r="D42" i="14" s="1"/>
  <c r="B16" i="12"/>
  <c r="A52" i="14"/>
  <c r="A42" i="15"/>
  <c r="A47" i="15"/>
  <c r="A57" i="14"/>
  <c r="A26" i="12"/>
  <c r="V29" i="12"/>
  <c r="F31" i="12"/>
  <c r="AD39" i="12"/>
  <c r="D74" i="14" s="1"/>
  <c r="T41" i="12"/>
  <c r="B36" i="13"/>
  <c r="D54" i="16"/>
  <c r="K13" i="3"/>
  <c r="D13" i="12" s="1"/>
  <c r="C71" i="16"/>
  <c r="C60" i="13"/>
  <c r="AE7" i="12"/>
  <c r="E42" i="14" s="1"/>
  <c r="B47" i="15"/>
  <c r="B57" i="14"/>
  <c r="AA34" i="12"/>
  <c r="A38" i="12"/>
  <c r="U41" i="12"/>
  <c r="C36" i="13"/>
  <c r="E54" i="16"/>
  <c r="F8" i="12"/>
  <c r="A8" i="12"/>
  <c r="D60" i="13"/>
  <c r="D71" i="16"/>
  <c r="T14" i="12"/>
  <c r="A28" i="12"/>
  <c r="AA46" i="12"/>
  <c r="B83" i="16"/>
  <c r="AA47" i="12"/>
  <c r="T47" i="12"/>
  <c r="F2" i="12"/>
  <c r="A2" i="12"/>
  <c r="AA5" i="12"/>
  <c r="F5" i="12"/>
  <c r="E60" i="13"/>
  <c r="E71" i="16"/>
  <c r="G38" i="3"/>
  <c r="W3" i="12"/>
  <c r="W9" i="12"/>
  <c r="AA29" i="12"/>
  <c r="A61" i="13"/>
  <c r="A72" i="16"/>
  <c r="AG16" i="12"/>
  <c r="G51" i="14" s="1"/>
  <c r="I16" i="12"/>
  <c r="AA11" i="12"/>
  <c r="T11" i="12"/>
  <c r="G17" i="3"/>
  <c r="G26" i="3"/>
  <c r="G35" i="3"/>
  <c r="I38" i="12"/>
  <c r="AG38" i="12"/>
  <c r="G73" i="14" s="1"/>
  <c r="AG44" i="12"/>
  <c r="G79" i="14" s="1"/>
  <c r="I44" i="12"/>
  <c r="G47" i="3"/>
  <c r="X9" i="12"/>
  <c r="B61" i="13"/>
  <c r="B72" i="16"/>
  <c r="B74" i="13"/>
  <c r="D53" i="16"/>
  <c r="D42" i="13"/>
  <c r="G23" i="3"/>
  <c r="I26" i="12"/>
  <c r="AG26" i="12"/>
  <c r="G61" i="14" s="1"/>
  <c r="AG32" i="12"/>
  <c r="G67" i="14" s="1"/>
  <c r="I32" i="12"/>
  <c r="K38" i="3"/>
  <c r="D38" i="12" s="1"/>
  <c r="B41" i="12"/>
  <c r="K41" i="3"/>
  <c r="D41" i="12" s="1"/>
  <c r="G5" i="12"/>
  <c r="W14" i="12"/>
  <c r="T26" i="12"/>
  <c r="C61" i="13"/>
  <c r="C72" i="16"/>
  <c r="AA41" i="12"/>
  <c r="C67" i="13"/>
  <c r="AA35" i="12"/>
  <c r="T35" i="12"/>
  <c r="H5" i="12"/>
  <c r="F11" i="12"/>
  <c r="X14" i="12"/>
  <c r="A23" i="12"/>
  <c r="D61" i="13"/>
  <c r="D72" i="16"/>
  <c r="T38" i="12"/>
  <c r="D67" i="13"/>
  <c r="G11" i="3"/>
  <c r="AG20" i="12"/>
  <c r="G55" i="14" s="1"/>
  <c r="I20" i="12"/>
  <c r="G11" i="12"/>
  <c r="B66" i="14"/>
  <c r="B56" i="15"/>
  <c r="A35" i="12"/>
  <c r="A56" i="16"/>
  <c r="AG14" i="12"/>
  <c r="G49" i="14" s="1"/>
  <c r="AG46" i="12"/>
  <c r="G81" i="14" s="1"/>
  <c r="T19" i="12"/>
  <c r="T39" i="12"/>
  <c r="U4" i="12"/>
  <c r="A39" i="13" l="1"/>
  <c r="A50" i="16"/>
  <c r="AE44" i="12"/>
  <c r="E79" i="14" s="1"/>
  <c r="AD44" i="12"/>
  <c r="D79" i="14" s="1"/>
  <c r="C79" i="14"/>
  <c r="C69" i="15"/>
  <c r="Y19" i="12"/>
  <c r="F44" i="13" s="1"/>
  <c r="AC19" i="12"/>
  <c r="AC49" i="12"/>
  <c r="Y49" i="12"/>
  <c r="F74" i="13" s="1"/>
  <c r="E58" i="16"/>
  <c r="E47" i="13"/>
  <c r="AC24" i="12"/>
  <c r="Y24" i="12"/>
  <c r="F49" i="13" s="1"/>
  <c r="E34" i="13"/>
  <c r="E45" i="16"/>
  <c r="E44" i="13"/>
  <c r="E55" i="16"/>
  <c r="AC25" i="12"/>
  <c r="Y25" i="12"/>
  <c r="F50" i="13" s="1"/>
  <c r="Y11" i="12"/>
  <c r="F36" i="13" s="1"/>
  <c r="AC11" i="12"/>
  <c r="Y47" i="12"/>
  <c r="F72" i="13" s="1"/>
  <c r="AC47" i="12"/>
  <c r="A84" i="14"/>
  <c r="A74" i="15"/>
  <c r="Y3" i="12"/>
  <c r="F28" i="13" s="1"/>
  <c r="AC3" i="12"/>
  <c r="A50" i="13"/>
  <c r="A61" i="16"/>
  <c r="Y45" i="12"/>
  <c r="F70" i="13" s="1"/>
  <c r="AC45" i="12"/>
  <c r="AE4" i="12"/>
  <c r="E39" i="14" s="1"/>
  <c r="C29" i="15"/>
  <c r="C39" i="14"/>
  <c r="AD4" i="12"/>
  <c r="D39" i="14" s="1"/>
  <c r="E84" i="16"/>
  <c r="E73" i="13"/>
  <c r="A74" i="16"/>
  <c r="A63" i="13"/>
  <c r="A28" i="13"/>
  <c r="A39" i="16"/>
  <c r="Y48" i="12"/>
  <c r="F73" i="13" s="1"/>
  <c r="AC48" i="12"/>
  <c r="E67" i="16"/>
  <c r="E56" i="13"/>
  <c r="A28" i="15"/>
  <c r="A38" i="14"/>
  <c r="A66" i="16"/>
  <c r="A55" i="13"/>
  <c r="Y13" i="12"/>
  <c r="F38" i="13" s="1"/>
  <c r="AC13" i="12"/>
  <c r="B66" i="13"/>
  <c r="B77" i="16"/>
  <c r="A56" i="13"/>
  <c r="A67" i="16"/>
  <c r="D44" i="13"/>
  <c r="D55" i="16"/>
  <c r="A55" i="15"/>
  <c r="A65" i="14"/>
  <c r="D84" i="16"/>
  <c r="D73" i="13"/>
  <c r="Y35" i="12"/>
  <c r="F60" i="13" s="1"/>
  <c r="AC35" i="12"/>
  <c r="A56" i="15"/>
  <c r="A66" i="14"/>
  <c r="E28" i="13"/>
  <c r="E39" i="16"/>
  <c r="E40" i="13"/>
  <c r="E51" i="16"/>
  <c r="E73" i="16"/>
  <c r="E62" i="13"/>
  <c r="C62" i="13"/>
  <c r="C73" i="16"/>
  <c r="E39" i="13"/>
  <c r="E50" i="16"/>
  <c r="AC26" i="12"/>
  <c r="Y26" i="12"/>
  <c r="F51" i="13" s="1"/>
  <c r="A69" i="14"/>
  <c r="A59" i="15"/>
  <c r="D59" i="13"/>
  <c r="D70" i="16"/>
  <c r="AC16" i="12"/>
  <c r="Y16" i="12"/>
  <c r="F41" i="13" s="1"/>
  <c r="D67" i="16"/>
  <c r="D56" i="13"/>
  <c r="A44" i="14"/>
  <c r="A34" i="15"/>
  <c r="A40" i="13"/>
  <c r="A51" i="16"/>
  <c r="Y9" i="12"/>
  <c r="F34" i="13" s="1"/>
  <c r="AC9" i="12"/>
  <c r="D28" i="13"/>
  <c r="D39" i="16"/>
  <c r="AC12" i="12"/>
  <c r="Y12" i="12"/>
  <c r="F37" i="13" s="1"/>
  <c r="B29" i="13"/>
  <c r="B40" i="16"/>
  <c r="AE29" i="12"/>
  <c r="E64" i="14" s="1"/>
  <c r="AD29" i="12"/>
  <c r="D64" i="14" s="1"/>
  <c r="C54" i="15"/>
  <c r="C64" i="14"/>
  <c r="A37" i="13"/>
  <c r="A48" i="16"/>
  <c r="A40" i="14"/>
  <c r="A30" i="15"/>
  <c r="A37" i="15"/>
  <c r="A47" i="14"/>
  <c r="A75" i="14"/>
  <c r="A65" i="15"/>
  <c r="AE28" i="12"/>
  <c r="E63" i="14" s="1"/>
  <c r="AD28" i="12"/>
  <c r="D63" i="14" s="1"/>
  <c r="C63" i="14"/>
  <c r="C53" i="15"/>
  <c r="E71" i="13"/>
  <c r="E82" i="16"/>
  <c r="A65" i="13"/>
  <c r="A76" i="16"/>
  <c r="A36" i="15"/>
  <c r="A46" i="14"/>
  <c r="C39" i="15"/>
  <c r="C49" i="14"/>
  <c r="AE14" i="12"/>
  <c r="E49" i="14" s="1"/>
  <c r="AD14" i="12"/>
  <c r="D49" i="14" s="1"/>
  <c r="E52" i="16"/>
  <c r="E41" i="13"/>
  <c r="B58" i="16"/>
  <c r="B47" i="13"/>
  <c r="AD18" i="12"/>
  <c r="D53" i="14" s="1"/>
  <c r="C53" i="14"/>
  <c r="AE18" i="12"/>
  <c r="E53" i="14" s="1"/>
  <c r="C43" i="15"/>
  <c r="A51" i="13"/>
  <c r="A62" i="16"/>
  <c r="AC6" i="12"/>
  <c r="Y6" i="12"/>
  <c r="F31" i="13" s="1"/>
  <c r="A44" i="13"/>
  <c r="A55" i="16"/>
  <c r="C55" i="15"/>
  <c r="C65" i="14"/>
  <c r="AE30" i="12"/>
  <c r="E65" i="14" s="1"/>
  <c r="AD30" i="12"/>
  <c r="D65" i="14" s="1"/>
  <c r="A42" i="16"/>
  <c r="A31" i="13"/>
  <c r="A34" i="13"/>
  <c r="A45" i="16"/>
  <c r="A50" i="14"/>
  <c r="A40" i="15"/>
  <c r="C47" i="15"/>
  <c r="C57" i="14"/>
  <c r="AE22" i="12"/>
  <c r="E57" i="14" s="1"/>
  <c r="AD22" i="12"/>
  <c r="D57" i="14" s="1"/>
  <c r="D34" i="13"/>
  <c r="D45" i="16"/>
  <c r="AC38" i="12"/>
  <c r="Y38" i="12"/>
  <c r="F63" i="13" s="1"/>
  <c r="E81" i="16"/>
  <c r="E70" i="13"/>
  <c r="A46" i="13"/>
  <c r="A57" i="16"/>
  <c r="A31" i="15"/>
  <c r="A41" i="14"/>
  <c r="A63" i="16"/>
  <c r="A52" i="13"/>
  <c r="A79" i="16"/>
  <c r="A68" i="13"/>
  <c r="A47" i="16"/>
  <c r="A36" i="13"/>
  <c r="D79" i="16"/>
  <c r="D68" i="13"/>
  <c r="C65" i="16"/>
  <c r="C54" i="13"/>
  <c r="A72" i="13"/>
  <c r="A83" i="16"/>
  <c r="E68" i="13"/>
  <c r="E79" i="16"/>
  <c r="AC46" i="12"/>
  <c r="Y46" i="12"/>
  <c r="F71" i="13" s="1"/>
  <c r="C59" i="13"/>
  <c r="C70" i="16"/>
  <c r="A62" i="14"/>
  <c r="A52" i="15"/>
  <c r="B60" i="16"/>
  <c r="B49" i="13"/>
  <c r="Y15" i="12"/>
  <c r="F40" i="13" s="1"/>
  <c r="AC15" i="12"/>
  <c r="Y31" i="12"/>
  <c r="F56" i="13" s="1"/>
  <c r="AC31" i="12"/>
  <c r="A64" i="14"/>
  <c r="A54" i="15"/>
  <c r="A66" i="13"/>
  <c r="A77" i="16"/>
  <c r="A75" i="16"/>
  <c r="A64" i="13"/>
  <c r="Y23" i="12"/>
  <c r="F48" i="13" s="1"/>
  <c r="AC23" i="12"/>
  <c r="A72" i="15"/>
  <c r="A82" i="14"/>
  <c r="E50" i="13"/>
  <c r="E61" i="16"/>
  <c r="A73" i="16"/>
  <c r="A62" i="13"/>
  <c r="A68" i="15"/>
  <c r="A78" i="14"/>
  <c r="Y17" i="12"/>
  <c r="F42" i="13" s="1"/>
  <c r="AC17" i="12"/>
  <c r="A60" i="13"/>
  <c r="A71" i="16"/>
  <c r="B63" i="16"/>
  <c r="B52" i="13"/>
  <c r="A70" i="14"/>
  <c r="A60" i="15"/>
  <c r="AE34" i="12"/>
  <c r="E69" i="14" s="1"/>
  <c r="AD34" i="12"/>
  <c r="D69" i="14" s="1"/>
  <c r="C69" i="14"/>
  <c r="C59" i="15"/>
  <c r="A66" i="15"/>
  <c r="A76" i="14"/>
  <c r="AC40" i="12"/>
  <c r="Y40" i="12"/>
  <c r="F65" i="13" s="1"/>
  <c r="D64" i="16"/>
  <c r="D53" i="13"/>
  <c r="AE37" i="12"/>
  <c r="E72" i="14" s="1"/>
  <c r="C62" i="15"/>
  <c r="AD37" i="12"/>
  <c r="D72" i="14" s="1"/>
  <c r="C72" i="14"/>
  <c r="D39" i="13"/>
  <c r="D50" i="16"/>
  <c r="A59" i="16"/>
  <c r="A48" i="13"/>
  <c r="C68" i="15"/>
  <c r="AE43" i="12"/>
  <c r="E78" i="14" s="1"/>
  <c r="AD43" i="12"/>
  <c r="D78" i="14" s="1"/>
  <c r="C78" i="14"/>
  <c r="B46" i="13"/>
  <c r="B57" i="16"/>
  <c r="C66" i="15"/>
  <c r="C76" i="14"/>
  <c r="AE41" i="12"/>
  <c r="E76" i="14" s="1"/>
  <c r="AD41" i="12"/>
  <c r="D76" i="14" s="1"/>
  <c r="Y27" i="12"/>
  <c r="F52" i="13" s="1"/>
  <c r="AC27" i="12"/>
  <c r="D71" i="13"/>
  <c r="D82" i="16"/>
  <c r="E59" i="13"/>
  <c r="E70" i="16"/>
  <c r="A71" i="15"/>
  <c r="A81" i="14"/>
  <c r="A48" i="15"/>
  <c r="A58" i="14"/>
  <c r="AE5" i="12"/>
  <c r="E40" i="14" s="1"/>
  <c r="AD5" i="12"/>
  <c r="D40" i="14" s="1"/>
  <c r="C30" i="15"/>
  <c r="C40" i="14"/>
  <c r="D73" i="16"/>
  <c r="D62" i="13"/>
  <c r="AD19" i="12" l="1"/>
  <c r="D54" i="14" s="1"/>
  <c r="C44" i="15"/>
  <c r="C54" i="14"/>
  <c r="AE19" i="12"/>
  <c r="E54" i="14" s="1"/>
  <c r="C70" i="14"/>
  <c r="AE35" i="12"/>
  <c r="E70" i="14" s="1"/>
  <c r="AD35" i="12"/>
  <c r="D70" i="14" s="1"/>
  <c r="C60" i="15"/>
  <c r="C34" i="15"/>
  <c r="AE9" i="12"/>
  <c r="E44" i="14" s="1"/>
  <c r="C44" i="14"/>
  <c r="AD9" i="12"/>
  <c r="D44" i="14" s="1"/>
  <c r="C36" i="15"/>
  <c r="C46" i="14"/>
  <c r="AD11" i="12"/>
  <c r="D46" i="14" s="1"/>
  <c r="AE11" i="12"/>
  <c r="E46" i="14" s="1"/>
  <c r="AE25" i="12"/>
  <c r="E60" i="14" s="1"/>
  <c r="AD25" i="12"/>
  <c r="D60" i="14" s="1"/>
  <c r="C50" i="15"/>
  <c r="C60" i="14"/>
  <c r="C52" i="14"/>
  <c r="AE17" i="12"/>
  <c r="E52" i="14" s="1"/>
  <c r="AD17" i="12"/>
  <c r="D52" i="14" s="1"/>
  <c r="C42" i="15"/>
  <c r="AE24" i="12"/>
  <c r="E59" i="14" s="1"/>
  <c r="AD24" i="12"/>
  <c r="D59" i="14" s="1"/>
  <c r="C59" i="14"/>
  <c r="C49" i="15"/>
  <c r="AE6" i="12"/>
  <c r="E41" i="14" s="1"/>
  <c r="AD6" i="12"/>
  <c r="D41" i="14" s="1"/>
  <c r="C31" i="15"/>
  <c r="C41" i="14"/>
  <c r="C61" i="14"/>
  <c r="AE26" i="12"/>
  <c r="E61" i="14" s="1"/>
  <c r="C51" i="15"/>
  <c r="AD26" i="12"/>
  <c r="D61" i="14" s="1"/>
  <c r="C80" i="14"/>
  <c r="C70" i="15"/>
  <c r="AE45" i="12"/>
  <c r="E80" i="14" s="1"/>
  <c r="AD45" i="12"/>
  <c r="D80" i="14" s="1"/>
  <c r="C82" i="14"/>
  <c r="C72" i="15"/>
  <c r="AD47" i="12"/>
  <c r="D82" i="14" s="1"/>
  <c r="AE47" i="12"/>
  <c r="E82" i="14" s="1"/>
  <c r="AE48" i="12"/>
  <c r="E83" i="14" s="1"/>
  <c r="C73" i="15"/>
  <c r="C83" i="14"/>
  <c r="AD48" i="12"/>
  <c r="D83" i="14" s="1"/>
  <c r="C50" i="14"/>
  <c r="C40" i="15"/>
  <c r="AE15" i="12"/>
  <c r="E50" i="14" s="1"/>
  <c r="AD15" i="12"/>
  <c r="D50" i="14" s="1"/>
  <c r="C66" i="14"/>
  <c r="C56" i="15"/>
  <c r="AE31" i="12"/>
  <c r="E66" i="14" s="1"/>
  <c r="AD31" i="12"/>
  <c r="D66" i="14" s="1"/>
  <c r="C48" i="14"/>
  <c r="C38" i="15"/>
  <c r="AE13" i="12"/>
  <c r="E48" i="14" s="1"/>
  <c r="AD13" i="12"/>
  <c r="D48" i="14" s="1"/>
  <c r="C84" i="14"/>
  <c r="AE49" i="12"/>
  <c r="E84" i="14" s="1"/>
  <c r="C74" i="15"/>
  <c r="AD49" i="12"/>
  <c r="D84" i="14" s="1"/>
  <c r="C38" i="14"/>
  <c r="AD3" i="12"/>
  <c r="D38" i="14" s="1"/>
  <c r="AE3" i="12"/>
  <c r="E38" i="14" s="1"/>
  <c r="C28" i="15"/>
  <c r="C75" i="14"/>
  <c r="AE40" i="12"/>
  <c r="E75" i="14" s="1"/>
  <c r="AD40" i="12"/>
  <c r="D75" i="14" s="1"/>
  <c r="C65" i="15"/>
  <c r="AE16" i="12"/>
  <c r="E51" i="14" s="1"/>
  <c r="AD16" i="12"/>
  <c r="D51" i="14" s="1"/>
  <c r="C41" i="15"/>
  <c r="C51" i="14"/>
  <c r="C52" i="15"/>
  <c r="AE27" i="12"/>
  <c r="E62" i="14" s="1"/>
  <c r="AD27" i="12"/>
  <c r="D62" i="14" s="1"/>
  <c r="C62" i="14"/>
  <c r="C48" i="15"/>
  <c r="AE23" i="12"/>
  <c r="E58" i="14" s="1"/>
  <c r="C58" i="14"/>
  <c r="AD23" i="12"/>
  <c r="D58" i="14" s="1"/>
  <c r="AE12" i="12"/>
  <c r="E47" i="14" s="1"/>
  <c r="AD12" i="12"/>
  <c r="D47" i="14" s="1"/>
  <c r="C47" i="14"/>
  <c r="C37" i="15"/>
  <c r="C63" i="15"/>
  <c r="AE38" i="12"/>
  <c r="E73" i="14" s="1"/>
  <c r="AD38" i="12"/>
  <c r="D73" i="14" s="1"/>
  <c r="C73" i="14"/>
  <c r="AE46" i="12"/>
  <c r="E81" i="14" s="1"/>
  <c r="AD46" i="12"/>
  <c r="D81" i="14" s="1"/>
  <c r="C71" i="15"/>
  <c r="C81" i="14"/>
</calcChain>
</file>

<file path=xl/sharedStrings.xml><?xml version="1.0" encoding="utf-8"?>
<sst xmlns="http://schemas.openxmlformats.org/spreadsheetml/2006/main" count="506" uniqueCount="182">
  <si>
    <t>README</t>
  </si>
  <si>
    <t>Data behind the TR4 rolling-dispatch figures (SOC, demand/PV/dispatch, net, self-consumption, metrics histogram).</t>
  </si>
  <si>
    <t>Each quantity sheet: rows = 48 half-hour periods (with hour of day), columns = prosumers, plus fleet_average / fleet_total.</t>
  </si>
  <si>
    <t>Dispatch is the committed slot-1 execution of the rolling horizon (self-consumption baseline, Term 2 + Term 3).</t>
  </si>
  <si>
    <t>SOC is the realised state at the START of each step (fraction of capacity).</t>
  </si>
  <si>
    <t>net_kW = (demand - PV) + (charge - discharge); positive = import, negative = export.</t>
  </si>
  <si>
    <t>Regenerate: python build_workbook.py --force   (see README.md for other transformers).</t>
  </si>
  <si>
    <t>quantity</t>
  </si>
  <si>
    <t>value</t>
  </si>
  <si>
    <t>run</t>
  </si>
  <si>
    <t>TR4 exact-QCP rolling (FOR_PolyS=0, FOR_LinearizeVmax=0), 48 steps, all Optimal</t>
  </si>
  <si>
    <t>source dispatch</t>
  </si>
  <si>
    <t>FOR_rolling_soc_TR4.csv</t>
  </si>
  <si>
    <t>source load/PV</t>
  </si>
  <si>
    <t>TR4_load_PV_48periods.xlsx</t>
  </si>
  <si>
    <t>prosumers</t>
  </si>
  <si>
    <t>PV generated kWh/day</t>
  </si>
  <si>
    <t>demand kWh/day</t>
  </si>
  <si>
    <t>exported kWh/day</t>
  </si>
  <si>
    <t>imported kWh/day</t>
  </si>
  <si>
    <t>SCR % (PV used locally)</t>
  </si>
  <si>
    <t>SSR % (demand met locally)</t>
  </si>
  <si>
    <t>prosumer-periods |net|&lt;50W %</t>
  </si>
  <si>
    <t>SOC min/max over day</t>
  </si>
  <si>
    <t>0.10 / 1.00</t>
  </si>
  <si>
    <t>simultaneous chg+dis rows</t>
  </si>
  <si>
    <t>period</t>
  </si>
  <si>
    <t>hour</t>
  </si>
  <si>
    <t>demand_avg_kW</t>
  </si>
  <si>
    <t>PV_avg_kW</t>
  </si>
  <si>
    <t>charge_avg_kW</t>
  </si>
  <si>
    <t>discharge_avg_kW</t>
  </si>
  <si>
    <t>net_avg_kW</t>
  </si>
  <si>
    <t>SOC_avg_pct</t>
  </si>
  <si>
    <t>demand_total_kW</t>
  </si>
  <si>
    <t>PV_total_kW</t>
  </si>
  <si>
    <t>net_total_kW</t>
  </si>
  <si>
    <t>BES_TR4_one195_C</t>
  </si>
  <si>
    <t>BES_TR4_one223_B</t>
  </si>
  <si>
    <t>BES_TR4_one235_A</t>
  </si>
  <si>
    <t>BES_TR4_one242_B</t>
  </si>
  <si>
    <t>BES_TR4_one252_C</t>
  </si>
  <si>
    <t>BES_TR4_one260_C</t>
  </si>
  <si>
    <t>BES_TR4_one299_B</t>
  </si>
  <si>
    <t>BES_TR4_one320_B</t>
  </si>
  <si>
    <t>BES_TR4_one321_C</t>
  </si>
  <si>
    <t>BES_TR4_one328_A</t>
  </si>
  <si>
    <t>BES_TR4_one345_A</t>
  </si>
  <si>
    <t>BES_TR4_one366_B</t>
  </si>
  <si>
    <t>BES_TR4_one410_B</t>
  </si>
  <si>
    <t>BES_TR4_one50_A</t>
  </si>
  <si>
    <t>BES_TR4_one416_C</t>
  </si>
  <si>
    <t>BES_TR4_one423_B</t>
  </si>
  <si>
    <t>BES_TR4_one446_B</t>
  </si>
  <si>
    <t>BES_TR4_one480_A</t>
  </si>
  <si>
    <t>BES_TR4_one61_A</t>
  </si>
  <si>
    <t>BES_TR4_one544_A</t>
  </si>
  <si>
    <t>BES_TR4_one560_C</t>
  </si>
  <si>
    <t>BES_TR4_one570_B</t>
  </si>
  <si>
    <t>BES_TR4_one585_A</t>
  </si>
  <si>
    <t>BES_TR4_one590_A</t>
  </si>
  <si>
    <t>BES_TR4_one617_A</t>
  </si>
  <si>
    <t>BES_TR4_one76_A</t>
  </si>
  <si>
    <t>BES_TR4_one133_A</t>
  </si>
  <si>
    <t>BES_TR4_one137_A</t>
  </si>
  <si>
    <t>BES_TR4_one176_A</t>
  </si>
  <si>
    <t>BES_TR4_three64_A</t>
  </si>
  <si>
    <t>BES_TR4_three193_A</t>
  </si>
  <si>
    <t>BES_TR4_three232_C</t>
  </si>
  <si>
    <t>BES_TR4_three233_A</t>
  </si>
  <si>
    <t>BES_TR4_three248_C</t>
  </si>
  <si>
    <t>BES_TR4_three253_C</t>
  </si>
  <si>
    <t>BES_TR4_three66_C</t>
  </si>
  <si>
    <t>BES_TR4_three312_A</t>
  </si>
  <si>
    <t>BES_TR4_three321_B</t>
  </si>
  <si>
    <t>BES_TR4_three368_A</t>
  </si>
  <si>
    <t>BES_TR4_three388_A</t>
  </si>
  <si>
    <t>BES_TR4_three409_C</t>
  </si>
  <si>
    <t>BES_TR4_three76_A</t>
  </si>
  <si>
    <t>BES_TR4_three81_A</t>
  </si>
  <si>
    <t>BES_TR4_three90_C</t>
  </si>
  <si>
    <t>BES_TR4_three97_B</t>
  </si>
  <si>
    <t>BES_TR4_three160_C</t>
  </si>
  <si>
    <t>fleet_average</t>
  </si>
  <si>
    <t>fleet_total</t>
  </si>
  <si>
    <t>battery</t>
  </si>
  <si>
    <t>bus</t>
  </si>
  <si>
    <t>phase</t>
  </si>
  <si>
    <t>BattMaxP_kW</t>
  </si>
  <si>
    <t>BattEcap_kWh</t>
  </si>
  <si>
    <t>PV_kWh</t>
  </si>
  <si>
    <t>demand_kWh</t>
  </si>
  <si>
    <t>export_kWh</t>
  </si>
  <si>
    <t>import_kWh</t>
  </si>
  <si>
    <t>SCR_pct</t>
  </si>
  <si>
    <t>SSR_pct</t>
  </si>
  <si>
    <t>TR4_one195</t>
  </si>
  <si>
    <t>TR4_one223</t>
  </si>
  <si>
    <t>TR4_one235</t>
  </si>
  <si>
    <t>TR4_one242</t>
  </si>
  <si>
    <t>TR4_one252</t>
  </si>
  <si>
    <t>TR4_one260</t>
  </si>
  <si>
    <t>TR4_one299</t>
  </si>
  <si>
    <t>TR4_one320</t>
  </si>
  <si>
    <t>TR4_one321</t>
  </si>
  <si>
    <t>TR4_one328</t>
  </si>
  <si>
    <t>TR4_one345</t>
  </si>
  <si>
    <t>TR4_one366</t>
  </si>
  <si>
    <t>TR4_one410</t>
  </si>
  <si>
    <t>TR4_one50</t>
  </si>
  <si>
    <t>TR4_one416</t>
  </si>
  <si>
    <t>TR4_one423</t>
  </si>
  <si>
    <t>TR4_one446</t>
  </si>
  <si>
    <t>TR4_one480</t>
  </si>
  <si>
    <t>TR4_one61</t>
  </si>
  <si>
    <t>TR4_one544</t>
  </si>
  <si>
    <t>TR4_one560</t>
  </si>
  <si>
    <t>TR4_one570</t>
  </si>
  <si>
    <t>TR4_one585</t>
  </si>
  <si>
    <t>TR4_one590</t>
  </si>
  <si>
    <t>TR4_one617</t>
  </si>
  <si>
    <t>TR4_one76</t>
  </si>
  <si>
    <t>TR4_one133</t>
  </si>
  <si>
    <t>TR4_one137</t>
  </si>
  <si>
    <t>TR4_one176</t>
  </si>
  <si>
    <t>TR4_three64</t>
  </si>
  <si>
    <t>TR4_three193</t>
  </si>
  <si>
    <t>TR4_three232</t>
  </si>
  <si>
    <t>TR4_three233</t>
  </si>
  <si>
    <t>TR4_three248</t>
  </si>
  <si>
    <t>TR4_three253</t>
  </si>
  <si>
    <t>TR4_three66</t>
  </si>
  <si>
    <t>TR4_three312</t>
  </si>
  <si>
    <t>TR4_three321</t>
  </si>
  <si>
    <t>TR4_three368</t>
  </si>
  <si>
    <t>TR4_three388</t>
  </si>
  <si>
    <t>TR4_three409</t>
  </si>
  <si>
    <t>TR4_three76</t>
  </si>
  <si>
    <t>TR4_three81</t>
  </si>
  <si>
    <t>TR4_three90</t>
  </si>
  <si>
    <t>TR4_three97</t>
  </si>
  <si>
    <t>TR4_three160</t>
  </si>
  <si>
    <t>TR4 Rolling Dispatch Analysis</t>
  </si>
  <si>
    <t>Data behind TR4 rolling-dispatch figures: SOC, demand/PV/dispatch, net power, self-consumption, and prosumer metrics.</t>
  </si>
  <si>
    <t>Prosumers</t>
  </si>
  <si>
    <t>PV Generated (kWh/day)</t>
  </si>
  <si>
    <t>Demand (kWh/day)</t>
  </si>
  <si>
    <t>Imported (kWh/day)</t>
  </si>
  <si>
    <t>SCR (%)</t>
  </si>
  <si>
    <t>SSR (%)</t>
  </si>
  <si>
    <t>Notes: positive net power indicates fleet import; negative net power indicates export. SCR and SSR values are stored on a 0-100 percentage scale in the source workbook.</t>
  </si>
  <si>
    <t>Hour</t>
  </si>
  <si>
    <t>Demand total kW</t>
  </si>
  <si>
    <t>PV total kW</t>
  </si>
  <si>
    <t>Net total kW</t>
  </si>
  <si>
    <t>Charge avg kW</t>
  </si>
  <si>
    <t>Discharge avg kW</t>
  </si>
  <si>
    <t>SOC avg %</t>
  </si>
  <si>
    <t>Battery</t>
  </si>
  <si>
    <t>SCR %</t>
  </si>
  <si>
    <t>SSR %</t>
  </si>
  <si>
    <t>Rank</t>
  </si>
  <si>
    <t>Export kWh/day</t>
  </si>
  <si>
    <t>Chart label</t>
  </si>
  <si>
    <t>demand</t>
  </si>
  <si>
    <t>PV generation</t>
  </si>
  <si>
    <t>charging</t>
  </si>
  <si>
    <t>discharging</t>
  </si>
  <si>
    <t>net exchange</t>
  </si>
  <si>
    <t>Net target kW</t>
  </si>
  <si>
    <t>Fleet avg net kW</t>
  </si>
  <si>
    <t>Import only kW</t>
  </si>
  <si>
    <t>Export only kW</t>
  </si>
  <si>
    <t>SOC max %</t>
  </si>
  <si>
    <t>Fleet avg SOC %</t>
  </si>
  <si>
    <t>Legend: very light thin lines = individual prosumers; bold black = fleet-average net; bold muted green = fleet-average SOC; dashed gray targets show net = 0 and SOC max = 100%.</t>
  </si>
  <si>
    <t>Net zero target</t>
  </si>
  <si>
    <t>Fleet average net</t>
  </si>
  <si>
    <t>Demand, PV and battery dispatch -  TR4</t>
  </si>
  <si>
    <t>Demand avg kW</t>
  </si>
  <si>
    <t>PV avg kW</t>
  </si>
  <si>
    <t>Disch. avg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</si>
</sst>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"/>
  </numFmts>
  <fonts count="6" x14ac:knownFonts="1">
    <font>
      <sz val="11"/>
      <color theme="1"/>
      <name val="Calibri"/>
    </font>
    <font>
      <b/>
      <sz val="11"/>
      <color rgb="FFFFFFFF"/>
      <name val="Calibri"/>
    </font>
    <font>
      <sz val="11"/>
      <color rgb="FF172033"/>
      <name val="Calibri"/>
    </font>
    <font>
      <b/>
      <sz val="11"/>
      <color rgb="FF172033"/>
      <name val="Calibri"/>
    </font>
    <font>
      <b/>
      <sz val="18"/>
      <color rgb="FFFFFFFF"/>
      <name val="Calibri"/>
    </font>
    <font>
      <b/>
      <sz val="15"/>
      <color rgb="FF1720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F8FAFC"/>
      </patternFill>
    </fill>
    <fill>
      <patternFill patternType="solid">
        <fgColor rgb="FFEAF2FF"/>
      </patternFill>
    </fill>
    <fill>
      <patternFill patternType="solid">
        <fgColor rgb="FFEAF6EA"/>
      </patternFill>
    </fill>
    <fill>
      <patternFill patternType="solid">
        <fgColor rgb="FFFFF4E0"/>
      </patternFill>
    </fill>
    <fill>
      <patternFill patternType="solid">
        <fgColor rgb="FFFDECEC"/>
      </patternFill>
    </fill>
    <fill>
      <patternFill patternType="solid">
        <fgColor rgb="FFE6F4F3"/>
      </patternFill>
    </fill>
  </fills>
  <borders count="23">
    <border>
      <left/>
      <right/>
      <top/>
      <bottom/>
      <diagonal/>
    </border>
    <border>
      <left style="thin">
        <color rgb="FFC8D3DF"/>
      </left>
      <right style="thin">
        <color rgb="FFC8D3DF"/>
      </right>
      <top/>
      <bottom/>
      <diagonal/>
    </border>
    <border>
      <left style="thin">
        <color rgb="FFC8D3DF"/>
      </left>
      <right style="thin">
        <color rgb="FFC8D3DF"/>
      </right>
      <top/>
      <bottom style="thin">
        <color rgb="FFE5EAF0"/>
      </bottom>
      <diagonal/>
    </border>
    <border>
      <left style="thin">
        <color rgb="FFC8D3DF"/>
      </left>
      <right/>
      <top style="thin">
        <color rgb="FFC8D3DF"/>
      </top>
      <bottom style="thin">
        <color rgb="FFE5EAF0"/>
      </bottom>
      <diagonal/>
    </border>
    <border>
      <left/>
      <right style="thin">
        <color rgb="FFC8D3DF"/>
      </right>
      <top style="thin">
        <color rgb="FFC8D3DF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E5EAF0"/>
      </bottom>
      <diagonal/>
    </border>
    <border>
      <left/>
      <right style="thin">
        <color rgb="FFC8D3DF"/>
      </right>
      <top style="thin">
        <color rgb="FFE5EAF0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C8D3DF"/>
      </bottom>
      <diagonal/>
    </border>
    <border>
      <left/>
      <right style="thin">
        <color rgb="FFC8D3DF"/>
      </right>
      <top style="thin">
        <color rgb="FFE5EAF0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/>
      <diagonal/>
    </border>
    <border>
      <left/>
      <right style="thin">
        <color rgb="FFC8D3DF"/>
      </right>
      <top style="thin">
        <color rgb="FFC8D3DF"/>
      </top>
      <bottom/>
      <diagonal/>
    </border>
    <border>
      <left style="thin">
        <color rgb="FFC8D3DF"/>
      </left>
      <right/>
      <top/>
      <bottom style="thin">
        <color rgb="FFC8D3DF"/>
      </bottom>
      <diagonal/>
    </border>
    <border>
      <left/>
      <right style="thin">
        <color rgb="FFC8D3DF"/>
      </right>
      <top/>
      <bottom style="thin">
        <color rgb="FFC8D3DF"/>
      </bottom>
      <diagonal/>
    </border>
    <border>
      <left/>
      <right/>
      <top style="thin">
        <color rgb="FFC8D3DF"/>
      </top>
      <bottom/>
      <diagonal/>
    </border>
    <border>
      <left style="thin">
        <color rgb="FFC8D3DF"/>
      </left>
      <right/>
      <top/>
      <bottom/>
      <diagonal/>
    </border>
    <border>
      <left/>
      <right style="thin">
        <color rgb="FFC8D3DF"/>
      </right>
      <top/>
      <bottom/>
      <diagonal/>
    </border>
    <border>
      <left/>
      <right/>
      <top/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C8D3DF"/>
      </bottom>
      <diagonal/>
    </border>
    <border>
      <left/>
      <right style="thin">
        <color rgb="FFC8D3DF"/>
      </right>
      <top style="thin">
        <color rgb="FFC8D3DF"/>
      </top>
      <bottom style="thin">
        <color rgb="FFC8D3D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>
      <alignment vertical="center"/>
    </xf>
    <xf numFmtId="0" fontId="3" fillId="3" borderId="7" xfId="0" applyNumberFormat="1" applyFont="1" applyFill="1" applyBorder="1" applyAlignment="1">
      <alignment vertical="center"/>
    </xf>
    <xf numFmtId="164" fontId="2" fillId="0" borderId="6" xfId="0" applyNumberFormat="1" applyFont="1" applyFill="1" applyBorder="1" applyAlignment="1">
      <alignment vertical="center"/>
    </xf>
    <xf numFmtId="165" fontId="2" fillId="0" borderId="6" xfId="0" applyNumberFormat="1" applyFont="1" applyFill="1" applyBorder="1" applyAlignment="1">
      <alignment vertical="center"/>
    </xf>
    <xf numFmtId="3" fontId="2" fillId="0" borderId="8" xfId="0" applyNumberFormat="1" applyFont="1" applyFill="1" applyBorder="1" applyAlignment="1">
      <alignment vertical="center"/>
    </xf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1" fillId="2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1" fontId="2" fillId="0" borderId="5" xfId="0" applyNumberFormat="1" applyFont="1" applyFill="1" applyBorder="1" applyAlignment="1">
      <alignment vertical="center"/>
    </xf>
    <xf numFmtId="1" fontId="2" fillId="0" borderId="7" xfId="0" applyNumberFormat="1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166" fontId="2" fillId="0" borderId="11" xfId="0" applyNumberFormat="1" applyFont="1" applyFill="1" applyBorder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4" fontId="2" fillId="0" borderId="11" xfId="0" applyNumberFormat="1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vertical="center"/>
    </xf>
    <xf numFmtId="165" fontId="2" fillId="0" borderId="8" xfId="0" applyNumberFormat="1" applyFont="1" applyFill="1" applyBorder="1" applyAlignment="1">
      <alignment vertical="center"/>
    </xf>
    <xf numFmtId="166" fontId="2" fillId="0" borderId="6" xfId="0" applyNumberFormat="1" applyFont="1" applyFill="1" applyBorder="1" applyAlignment="1">
      <alignment vertical="center"/>
    </xf>
    <xf numFmtId="166" fontId="2" fillId="0" borderId="8" xfId="0" applyNumberFormat="1" applyFont="1" applyFill="1" applyBorder="1" applyAlignment="1">
      <alignment vertical="center"/>
    </xf>
    <xf numFmtId="1" fontId="2" fillId="0" borderId="10" xfId="0" applyNumberFormat="1" applyFont="1" applyFill="1" applyBorder="1" applyAlignment="1">
      <alignment vertical="center"/>
    </xf>
    <xf numFmtId="1" fontId="2" fillId="0" borderId="11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165" fontId="0" fillId="0" borderId="5" xfId="0" applyNumberFormat="1" applyFont="1" applyFill="1" applyBorder="1"/>
    <xf numFmtId="165" fontId="0" fillId="0" borderId="7" xfId="0" applyNumberFormat="1" applyFont="1" applyFill="1" applyBorder="1"/>
    <xf numFmtId="164" fontId="0" fillId="0" borderId="10" xfId="0" applyNumberFormat="1" applyFont="1" applyFill="1" applyBorder="1"/>
    <xf numFmtId="164" fontId="0" fillId="0" borderId="6" xfId="0" applyNumberFormat="1" applyFont="1" applyFill="1" applyBorder="1"/>
    <xf numFmtId="164" fontId="0" fillId="0" borderId="11" xfId="0" applyNumberFormat="1" applyFont="1" applyFill="1" applyBorder="1"/>
    <xf numFmtId="164" fontId="0" fillId="0" borderId="8" xfId="0" applyNumberFormat="1" applyFont="1" applyFill="1" applyBorder="1"/>
    <xf numFmtId="166" fontId="0" fillId="0" borderId="10" xfId="0" applyNumberFormat="1" applyFont="1" applyFill="1" applyBorder="1"/>
    <xf numFmtId="166" fontId="0" fillId="0" borderId="11" xfId="0" applyNumberFormat="1" applyFont="1" applyFill="1" applyBorder="1"/>
    <xf numFmtId="165" fontId="0" fillId="0" borderId="6" xfId="0" applyNumberFormat="1" applyFont="1" applyFill="1" applyBorder="1"/>
    <xf numFmtId="165" fontId="0" fillId="0" borderId="8" xfId="0" applyNumberFormat="1" applyFont="1" applyFill="1" applyBorder="1"/>
    <xf numFmtId="165" fontId="0" fillId="0" borderId="10" xfId="0" applyNumberFormat="1" applyFont="1" applyFill="1" applyBorder="1"/>
    <xf numFmtId="165" fontId="0" fillId="0" borderId="11" xfId="0" applyNumberFormat="1" applyFont="1" applyFill="1" applyBorder="1"/>
    <xf numFmtId="1" fontId="0" fillId="0" borderId="5" xfId="0" applyNumberFormat="1" applyFont="1" applyFill="1" applyBorder="1"/>
    <xf numFmtId="1" fontId="0" fillId="0" borderId="7" xfId="0" applyNumberFormat="1" applyFont="1" applyFill="1" applyBorder="1"/>
    <xf numFmtId="166" fontId="0" fillId="0" borderId="6" xfId="0" applyNumberFormat="1" applyFont="1" applyFill="1" applyBorder="1"/>
    <xf numFmtId="166" fontId="0" fillId="0" borderId="8" xfId="0" applyNumberFormat="1" applyFont="1" applyFill="1" applyBorder="1"/>
    <xf numFmtId="0" fontId="4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horizontal="left"/>
    </xf>
    <xf numFmtId="0" fontId="3" fillId="4" borderId="12" xfId="0" applyNumberFormat="1" applyFont="1" applyFill="1" applyBorder="1" applyAlignment="1">
      <alignment horizontal="center" vertical="center"/>
    </xf>
    <xf numFmtId="0" fontId="3" fillId="4" borderId="13" xfId="0" applyNumberFormat="1" applyFont="1" applyFill="1" applyBorder="1" applyAlignment="1">
      <alignment horizontal="center" vertical="center"/>
    </xf>
    <xf numFmtId="3" fontId="5" fillId="4" borderId="14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vertical="center"/>
    </xf>
    <xf numFmtId="0" fontId="3" fillId="5" borderId="12" xfId="0" applyNumberFormat="1" applyFont="1" applyFill="1" applyBorder="1" applyAlignment="1">
      <alignment horizontal="center" vertical="center"/>
    </xf>
    <xf numFmtId="0" fontId="3" fillId="5" borderId="13" xfId="0" applyNumberFormat="1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center" vertical="center"/>
    </xf>
    <xf numFmtId="0" fontId="2" fillId="5" borderId="15" xfId="0" applyNumberFormat="1" applyFont="1" applyFill="1" applyBorder="1" applyAlignment="1">
      <alignment vertical="center"/>
    </xf>
    <xf numFmtId="0" fontId="3" fillId="6" borderId="12" xfId="0" applyNumberFormat="1" applyFont="1" applyFill="1" applyBorder="1" applyAlignment="1">
      <alignment horizontal="center" vertical="center"/>
    </xf>
    <xf numFmtId="0" fontId="3" fillId="6" borderId="13" xfId="0" applyNumberFormat="1" applyFont="1" applyFill="1" applyBorder="1" applyAlignment="1">
      <alignment horizontal="center" vertical="center"/>
    </xf>
    <xf numFmtId="164" fontId="5" fillId="6" borderId="14" xfId="0" applyNumberFormat="1" applyFont="1" applyFill="1" applyBorder="1" applyAlignment="1">
      <alignment horizontal="center" vertical="center"/>
    </xf>
    <xf numFmtId="0" fontId="2" fillId="6" borderId="15" xfId="0" applyNumberFormat="1" applyFont="1" applyFill="1" applyBorder="1" applyAlignment="1">
      <alignment vertical="center"/>
    </xf>
    <xf numFmtId="0" fontId="3" fillId="7" borderId="12" xfId="0" applyNumberFormat="1" applyFont="1" applyFill="1" applyBorder="1" applyAlignment="1">
      <alignment horizontal="center" vertical="center"/>
    </xf>
    <xf numFmtId="0" fontId="3" fillId="7" borderId="13" xfId="0" applyNumberFormat="1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0" fontId="2" fillId="7" borderId="15" xfId="0" applyNumberFormat="1" applyFont="1" applyFill="1" applyBorder="1" applyAlignment="1">
      <alignment vertical="center"/>
    </xf>
    <xf numFmtId="0" fontId="3" fillId="8" borderId="12" xfId="0" applyNumberFormat="1" applyFont="1" applyFill="1" applyBorder="1" applyAlignment="1">
      <alignment horizontal="center" vertical="center"/>
    </xf>
    <xf numFmtId="0" fontId="3" fillId="8" borderId="13" xfId="0" applyNumberFormat="1" applyFont="1" applyFill="1" applyBorder="1" applyAlignment="1">
      <alignment horizontal="center" vertical="center"/>
    </xf>
    <xf numFmtId="165" fontId="5" fillId="8" borderId="14" xfId="0" applyNumberFormat="1" applyFont="1" applyFill="1" applyBorder="1" applyAlignment="1">
      <alignment horizontal="center" vertical="center"/>
    </xf>
    <xf numFmtId="0" fontId="2" fillId="8" borderId="15" xfId="0" applyNumberFormat="1" applyFont="1" applyFill="1" applyBorder="1" applyAlignment="1">
      <alignment vertical="center"/>
    </xf>
    <xf numFmtId="165" fontId="5" fillId="5" borderId="14" xfId="0" applyNumberFormat="1" applyFont="1" applyFill="1" applyBorder="1" applyAlignment="1">
      <alignment horizontal="center" vertical="center"/>
    </xf>
    <xf numFmtId="0" fontId="2" fillId="3" borderId="12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/>
    <xf numFmtId="0" fontId="0" fillId="0" borderId="13" xfId="0" applyNumberFormat="1" applyFont="1" applyFill="1" applyBorder="1"/>
    <xf numFmtId="0" fontId="0" fillId="0" borderId="17" xfId="0" applyNumberFormat="1" applyFont="1" applyFill="1" applyBorder="1"/>
    <xf numFmtId="0" fontId="0" fillId="0" borderId="0" xfId="0" applyNumberFormat="1" applyFont="1" applyFill="1" applyBorder="1"/>
    <xf numFmtId="0" fontId="0" fillId="0" borderId="18" xfId="0" applyNumberFormat="1" applyFont="1" applyFill="1" applyBorder="1"/>
    <xf numFmtId="0" fontId="0" fillId="0" borderId="14" xfId="0" applyNumberFormat="1" applyFont="1" applyFill="1" applyBorder="1"/>
    <xf numFmtId="0" fontId="0" fillId="0" borderId="19" xfId="0" applyNumberFormat="1" applyFont="1" applyFill="1" applyBorder="1"/>
    <xf numFmtId="0" fontId="0" fillId="0" borderId="15" xfId="0" applyNumberFormat="1" applyFont="1" applyFill="1" applyBorder="1"/>
    <xf numFmtId="0" fontId="2" fillId="3" borderId="20" xfId="0" applyNumberFormat="1" applyFont="1" applyFill="1" applyBorder="1" applyAlignment="1">
      <alignment vertical="top" wrapText="1"/>
    </xf>
    <xf numFmtId="0" fontId="0" fillId="0" borderId="21" xfId="0" applyNumberFormat="1" applyFont="1" applyFill="1" applyBorder="1"/>
    <xf numFmtId="0" fontId="0" fillId="0" borderId="22" xfId="0" applyNumberFormat="1" applyFont="1" applyFill="1" applyBorder="1"/>
    <xf numFmtId="0" fontId="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Fleet Power Profile by Half-Hour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ChartData!$B$2:$B$49</c:f>
              <c:numCache>
                <c:formatCode>#,##0.0</c:formatCode>
                <c:ptCount val="48"/>
                <c:pt idx="0">
                  <c:v>9.8664873333333318</c:v>
                </c:pt>
                <c:pt idx="1">
                  <c:v>8.8744943333333275</c:v>
                </c:pt>
                <c:pt idx="2">
                  <c:v>5.9693856666666658</c:v>
                </c:pt>
                <c:pt idx="3">
                  <c:v>6.6331046666666671</c:v>
                </c:pt>
                <c:pt idx="4">
                  <c:v>5.9838903333333331</c:v>
                </c:pt>
                <c:pt idx="5">
                  <c:v>6.2933250000000012</c:v>
                </c:pt>
                <c:pt idx="6">
                  <c:v>6.7169163333333319</c:v>
                </c:pt>
                <c:pt idx="7">
                  <c:v>6.8528215333333353</c:v>
                </c:pt>
                <c:pt idx="8">
                  <c:v>5.1851059999999984</c:v>
                </c:pt>
                <c:pt idx="9">
                  <c:v>5.9862453333333319</c:v>
                </c:pt>
                <c:pt idx="10">
                  <c:v>5.7679117333333316</c:v>
                </c:pt>
                <c:pt idx="11">
                  <c:v>6.5865561666666652</c:v>
                </c:pt>
                <c:pt idx="12">
                  <c:v>7.3661782999999987</c:v>
                </c:pt>
                <c:pt idx="13">
                  <c:v>10.088580066666673</c:v>
                </c:pt>
                <c:pt idx="14">
                  <c:v>13.141892666666667</c:v>
                </c:pt>
                <c:pt idx="15">
                  <c:v>12.77738029999999</c:v>
                </c:pt>
                <c:pt idx="16">
                  <c:v>12.408238133333333</c:v>
                </c:pt>
                <c:pt idx="17">
                  <c:v>16.09872196666667</c:v>
                </c:pt>
                <c:pt idx="18">
                  <c:v>16.78426690000002</c:v>
                </c:pt>
                <c:pt idx="19">
                  <c:v>14.385648299999991</c:v>
                </c:pt>
                <c:pt idx="20">
                  <c:v>18.024528499999999</c:v>
                </c:pt>
                <c:pt idx="21">
                  <c:v>12.410486200000005</c:v>
                </c:pt>
                <c:pt idx="22">
                  <c:v>16.772461633333325</c:v>
                </c:pt>
                <c:pt idx="23">
                  <c:v>19.123711799999999</c:v>
                </c:pt>
                <c:pt idx="24">
                  <c:v>11.440869666666666</c:v>
                </c:pt>
                <c:pt idx="25">
                  <c:v>13.714400233333345</c:v>
                </c:pt>
                <c:pt idx="26">
                  <c:v>15.926103100000002</c:v>
                </c:pt>
                <c:pt idx="27">
                  <c:v>17.847152466666675</c:v>
                </c:pt>
                <c:pt idx="28">
                  <c:v>14.654720866666656</c:v>
                </c:pt>
                <c:pt idx="29">
                  <c:v>14.302422566666673</c:v>
                </c:pt>
                <c:pt idx="30">
                  <c:v>15.74564376666666</c:v>
                </c:pt>
                <c:pt idx="31">
                  <c:v>14.158730399999991</c:v>
                </c:pt>
                <c:pt idx="32">
                  <c:v>16.922551399999993</c:v>
                </c:pt>
                <c:pt idx="33">
                  <c:v>16.185903799999998</c:v>
                </c:pt>
                <c:pt idx="34">
                  <c:v>17.74195056666667</c:v>
                </c:pt>
                <c:pt idx="35">
                  <c:v>19.917205299999996</c:v>
                </c:pt>
                <c:pt idx="36">
                  <c:v>20.274956333333325</c:v>
                </c:pt>
                <c:pt idx="37">
                  <c:v>20.723995499999997</c:v>
                </c:pt>
                <c:pt idx="38">
                  <c:v>15.335790699999993</c:v>
                </c:pt>
                <c:pt idx="39">
                  <c:v>19.807784066666663</c:v>
                </c:pt>
                <c:pt idx="40">
                  <c:v>22.717798233333344</c:v>
                </c:pt>
                <c:pt idx="41">
                  <c:v>23.712020666666664</c:v>
                </c:pt>
                <c:pt idx="42">
                  <c:v>25.374834000000014</c:v>
                </c:pt>
                <c:pt idx="43">
                  <c:v>21.354218333333339</c:v>
                </c:pt>
                <c:pt idx="44">
                  <c:v>22.466490666666679</c:v>
                </c:pt>
                <c:pt idx="45">
                  <c:v>22.2712167</c:v>
                </c:pt>
                <c:pt idx="46">
                  <c:v>20.369224833333337</c:v>
                </c:pt>
                <c:pt idx="47">
                  <c:v>13.759542666666666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FE-4EAA-81EA-AB911A13E53E}"/>
            </c:ext>
          </c:extLst>
        </c:ser>
        <c:ser>
          <c:idx val="1"/>
          <c:order val="1"/>
          <c:tx>
            <c:v>PV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ChartData!$C$2:$C$49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0.12386892480000007</c:v>
                </c:pt>
                <c:pt idx="8">
                  <c:v>1.7904417311999952</c:v>
                </c:pt>
                <c:pt idx="9">
                  <c:v>8.372648059200003</c:v>
                </c:pt>
                <c:pt idx="10">
                  <c:v>16.608250377600047</c:v>
                </c:pt>
                <c:pt idx="11">
                  <c:v>26.706887155199951</c:v>
                </c:pt>
                <c:pt idx="12">
                  <c:v>37.725069336000061</c:v>
                </c:pt>
                <c:pt idx="13">
                  <c:v>48.87868203839993</c:v>
                </c:pt>
                <c:pt idx="14">
                  <c:v>59.974540372800021</c:v>
                </c:pt>
                <c:pt idx="15">
                  <c:v>71.086539240000008</c:v>
                </c:pt>
                <c:pt idx="16">
                  <c:v>81.515858337600065</c:v>
                </c:pt>
                <c:pt idx="17">
                  <c:v>91.319433609599997</c:v>
                </c:pt>
                <c:pt idx="18">
                  <c:v>99.668713056000072</c:v>
                </c:pt>
                <c:pt idx="19">
                  <c:v>106.78980262079995</c:v>
                </c:pt>
                <c:pt idx="20">
                  <c:v>113.04032195039997</c:v>
                </c:pt>
                <c:pt idx="21">
                  <c:v>118.19898436320003</c:v>
                </c:pt>
                <c:pt idx="22">
                  <c:v>121.85920528800008</c:v>
                </c:pt>
                <c:pt idx="23">
                  <c:v>123.4644015168</c:v>
                </c:pt>
                <c:pt idx="24">
                  <c:v>123.92932784640004</c:v>
                </c:pt>
                <c:pt idx="25">
                  <c:v>123.05958019200004</c:v>
                </c:pt>
                <c:pt idx="26">
                  <c:v>120.13770535200005</c:v>
                </c:pt>
                <c:pt idx="27">
                  <c:v>115.68003578880007</c:v>
                </c:pt>
                <c:pt idx="28">
                  <c:v>110.35828415520002</c:v>
                </c:pt>
                <c:pt idx="29">
                  <c:v>103.61484623040008</c:v>
                </c:pt>
                <c:pt idx="30">
                  <c:v>96.448625812799989</c:v>
                </c:pt>
                <c:pt idx="31">
                  <c:v>87.825018739200033</c:v>
                </c:pt>
                <c:pt idx="32">
                  <c:v>78.112802063999951</c:v>
                </c:pt>
                <c:pt idx="33">
                  <c:v>66.386565825599973</c:v>
                </c:pt>
                <c:pt idx="34">
                  <c:v>55.411622183999945</c:v>
                </c:pt>
                <c:pt idx="35">
                  <c:v>44.134186363200016</c:v>
                </c:pt>
                <c:pt idx="36">
                  <c:v>33.225009648000032</c:v>
                </c:pt>
                <c:pt idx="37">
                  <c:v>22.707026136</c:v>
                </c:pt>
                <c:pt idx="38">
                  <c:v>13.259546918399993</c:v>
                </c:pt>
                <c:pt idx="39">
                  <c:v>3.8577581424000007</c:v>
                </c:pt>
                <c:pt idx="40">
                  <c:v>0.71149594560000062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FE-4EAA-81EA-AB911A13E53E}"/>
            </c:ext>
          </c:extLst>
        </c:ser>
        <c:ser>
          <c:idx val="2"/>
          <c:order val="2"/>
          <c:tx>
            <c:v>Net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ChartData!$D$2:$D$49</c:f>
              <c:numCache>
                <c:formatCode>#,##0.0</c:formatCode>
                <c:ptCount val="48"/>
                <c:pt idx="0">
                  <c:v>-1.512666666668494E-3</c:v>
                </c:pt>
                <c:pt idx="1">
                  <c:v>-1.5056666666719565E-3</c:v>
                </c:pt>
                <c:pt idx="2">
                  <c:v>-6.1433333333482665E-4</c:v>
                </c:pt>
                <c:pt idx="3">
                  <c:v>-1.8953333333326938E-3</c:v>
                </c:pt>
                <c:pt idx="4">
                  <c:v>0.27989033333333335</c:v>
                </c:pt>
                <c:pt idx="5">
                  <c:v>6.3324999999999854E-2</c:v>
                </c:pt>
                <c:pt idx="6">
                  <c:v>0.22791633333333117</c:v>
                </c:pt>
                <c:pt idx="7">
                  <c:v>0.68495260853333662</c:v>
                </c:pt>
                <c:pt idx="8">
                  <c:v>0.10539875600000359</c:v>
                </c:pt>
                <c:pt idx="9">
                  <c:v>0.1585972741333288</c:v>
                </c:pt>
                <c:pt idx="10">
                  <c:v>-3.3386442667158178E-3</c:v>
                </c:pt>
                <c:pt idx="11">
                  <c:v>-3.3098853327945266E-4</c:v>
                </c:pt>
                <c:pt idx="12">
                  <c:v>1.1089639999362078E-3</c:v>
                </c:pt>
                <c:pt idx="13">
                  <c:v>-1.0197173324955067E-4</c:v>
                </c:pt>
                <c:pt idx="14">
                  <c:v>-2.6477061333554097E-3</c:v>
                </c:pt>
                <c:pt idx="15">
                  <c:v>-2.7881589400000153</c:v>
                </c:pt>
                <c:pt idx="16">
                  <c:v>-31.398620204266738</c:v>
                </c:pt>
                <c:pt idx="17">
                  <c:v>-50.063711642933328</c:v>
                </c:pt>
                <c:pt idx="18">
                  <c:v>-69.848446156000051</c:v>
                </c:pt>
                <c:pt idx="19">
                  <c:v>-83.863154320799964</c:v>
                </c:pt>
                <c:pt idx="20">
                  <c:v>-92.291793450399965</c:v>
                </c:pt>
                <c:pt idx="21">
                  <c:v>-99.682498163200023</c:v>
                </c:pt>
                <c:pt idx="22">
                  <c:v>-99.559743654666761</c:v>
                </c:pt>
                <c:pt idx="23">
                  <c:v>-101.87768971679999</c:v>
                </c:pt>
                <c:pt idx="24">
                  <c:v>-109.43445817973337</c:v>
                </c:pt>
                <c:pt idx="25">
                  <c:v>-108.05117995866669</c:v>
                </c:pt>
                <c:pt idx="26">
                  <c:v>-103.64560225200005</c:v>
                </c:pt>
                <c:pt idx="27">
                  <c:v>-97.832883322133398</c:v>
                </c:pt>
                <c:pt idx="28">
                  <c:v>-95.703563288533374</c:v>
                </c:pt>
                <c:pt idx="29">
                  <c:v>-89.574423663733398</c:v>
                </c:pt>
                <c:pt idx="30">
                  <c:v>-80.850982046133325</c:v>
                </c:pt>
                <c:pt idx="31">
                  <c:v>-73.178288339200037</c:v>
                </c:pt>
                <c:pt idx="32">
                  <c:v>-61.501250663999961</c:v>
                </c:pt>
                <c:pt idx="33">
                  <c:v>-50.28366202559998</c:v>
                </c:pt>
                <c:pt idx="34">
                  <c:v>-38.666671617333279</c:v>
                </c:pt>
                <c:pt idx="35">
                  <c:v>-30.38298106320002</c:v>
                </c:pt>
                <c:pt idx="36">
                  <c:v>-20.137053314666709</c:v>
                </c:pt>
                <c:pt idx="37">
                  <c:v>-9.9870306360000036</c:v>
                </c:pt>
                <c:pt idx="38">
                  <c:v>-3.0747562183999992</c:v>
                </c:pt>
                <c:pt idx="39">
                  <c:v>-0.12297407573333885</c:v>
                </c:pt>
                <c:pt idx="40">
                  <c:v>3.3022877333408474E-3</c:v>
                </c:pt>
                <c:pt idx="41">
                  <c:v>2.5020206666666631</c:v>
                </c:pt>
                <c:pt idx="42">
                  <c:v>3.9668340000000128</c:v>
                </c:pt>
                <c:pt idx="43">
                  <c:v>2.3112183333333363</c:v>
                </c:pt>
                <c:pt idx="44">
                  <c:v>2.9364906666666748</c:v>
                </c:pt>
                <c:pt idx="45">
                  <c:v>2.3112166999999992</c:v>
                </c:pt>
                <c:pt idx="46">
                  <c:v>5.5872248333333392</c:v>
                </c:pt>
                <c:pt idx="47">
                  <c:v>3.4375426666666655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FE-4EAA-81EA-AB911A13E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Battery Dispatch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5.6521739130434778E-4</c:v>
                </c:pt>
                <c:pt idx="9">
                  <c:v>7.1086956521739131E-2</c:v>
                </c:pt>
                <c:pt idx="10">
                  <c:v>0.23558695652173914</c:v>
                </c:pt>
                <c:pt idx="11">
                  <c:v>0.43876086956521754</c:v>
                </c:pt>
                <c:pt idx="12">
                  <c:v>0.66</c:v>
                </c:pt>
                <c:pt idx="13">
                  <c:v>0.88632608695652193</c:v>
                </c:pt>
                <c:pt idx="14">
                  <c:v>1.0421304347826088</c:v>
                </c:pt>
                <c:pt idx="15">
                  <c:v>1.2376521739130435</c:v>
                </c:pt>
                <c:pt idx="16">
                  <c:v>0.82628260869565218</c:v>
                </c:pt>
                <c:pt idx="17">
                  <c:v>0.56358695652173918</c:v>
                </c:pt>
                <c:pt idx="18">
                  <c:v>0.29802173913043473</c:v>
                </c:pt>
                <c:pt idx="19">
                  <c:v>0.19726086956521738</c:v>
                </c:pt>
                <c:pt idx="20">
                  <c:v>9.6521739130434797E-2</c:v>
                </c:pt>
                <c:pt idx="21">
                  <c:v>0.1406304347826087</c:v>
                </c:pt>
                <c:pt idx="22">
                  <c:v>0.12015217391304346</c:v>
                </c:pt>
                <c:pt idx="23">
                  <c:v>6.7565217391304347E-2</c:v>
                </c:pt>
                <c:pt idx="24">
                  <c:v>6.6391304347826099E-2</c:v>
                </c:pt>
                <c:pt idx="25">
                  <c:v>2.8130434782608696E-2</c:v>
                </c:pt>
                <c:pt idx="26">
                  <c:v>1.2304347826086956E-2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6.3260869565217384E-3</c:v>
                </c:pt>
                <c:pt idx="31">
                  <c:v>1.0608695652173913E-2</c:v>
                </c:pt>
                <c:pt idx="32">
                  <c:v>0</c:v>
                </c:pt>
                <c:pt idx="33">
                  <c:v>2.4130434782608694E-3</c:v>
                </c:pt>
                <c:pt idx="34">
                  <c:v>9.5434782608695649E-3</c:v>
                </c:pt>
                <c:pt idx="35">
                  <c:v>7.0652173913043478E-3</c:v>
                </c:pt>
                <c:pt idx="36">
                  <c:v>1.8043478260869566E-3</c:v>
                </c:pt>
                <c:pt idx="37">
                  <c:v>9.717391304347827E-3</c:v>
                </c:pt>
                <c:pt idx="38">
                  <c:v>1.9086956521739133E-2</c:v>
                </c:pt>
                <c:pt idx="39">
                  <c:v>4.565217391304348E-4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2-48B5-9B2D-C288828F7209}"/>
            </c:ext>
          </c:extLst>
        </c:ser>
        <c:ser>
          <c:idx val="1"/>
          <c:order val="1"/>
          <c:tx>
            <c:v>Discharge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ChartData!$H$2:$H$49</c:f>
              <c:numCache>
                <c:formatCode>#,##0.000</c:formatCode>
                <c:ptCount val="48"/>
                <c:pt idx="0">
                  <c:v>0.21452173913043479</c:v>
                </c:pt>
                <c:pt idx="1">
                  <c:v>0.19295652173913042</c:v>
                </c:pt>
                <c:pt idx="2">
                  <c:v>0.1297826086956522</c:v>
                </c:pt>
                <c:pt idx="3">
                  <c:v>0.14423913043478259</c:v>
                </c:pt>
                <c:pt idx="4">
                  <c:v>0.124</c:v>
                </c:pt>
                <c:pt idx="5">
                  <c:v>0.13543478260869568</c:v>
                </c:pt>
                <c:pt idx="6">
                  <c:v>0.14106521739130437</c:v>
                </c:pt>
                <c:pt idx="7">
                  <c:v>0.13139130434782606</c:v>
                </c:pt>
                <c:pt idx="8">
                  <c:v>7.2070989408695635E-2</c:v>
                </c:pt>
                <c:pt idx="9">
                  <c:v>1.5760869565217394E-2</c:v>
                </c:pt>
                <c:pt idx="10">
                  <c:v>0</c:v>
                </c:pt>
                <c:pt idx="11">
                  <c:v>1.3695652173913043E-3</c:v>
                </c:pt>
                <c:pt idx="12">
                  <c:v>0</c:v>
                </c:pt>
                <c:pt idx="13">
                  <c:v>4.3065217391304353E-2</c:v>
                </c:pt>
                <c:pt idx="14">
                  <c:v>2.4086956521739134E-2</c:v>
                </c:pt>
                <c:pt idx="15">
                  <c:v>3.0673913043478263E-2</c:v>
                </c:pt>
                <c:pt idx="16">
                  <c:v>6.5217391304347823E-3</c:v>
                </c:pt>
                <c:pt idx="17">
                  <c:v>1.6695652173913045E-2</c:v>
                </c:pt>
                <c:pt idx="18">
                  <c:v>1.4630434782608696E-2</c:v>
                </c:pt>
                <c:pt idx="19">
                  <c:v>1.1586956521739132E-2</c:v>
                </c:pt>
                <c:pt idx="20">
                  <c:v>3.7304347826086957E-2</c:v>
                </c:pt>
                <c:pt idx="21">
                  <c:v>7.8913043478260874E-3</c:v>
                </c:pt>
                <c:pt idx="22">
                  <c:v>0</c:v>
                </c:pt>
                <c:pt idx="23">
                  <c:v>1.4021739130434781E-2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5.6956521739130435E-3</c:v>
                </c:pt>
                <c:pt idx="30">
                  <c:v>9.5434782608695649E-3</c:v>
                </c:pt>
                <c:pt idx="31">
                  <c:v>0</c:v>
                </c:pt>
                <c:pt idx="32">
                  <c:v>6.7608695652173912E-3</c:v>
                </c:pt>
                <c:pt idx="33">
                  <c:v>4.2173913043478265E-3</c:v>
                </c:pt>
                <c:pt idx="34">
                  <c:v>3.1217391304347825E-2</c:v>
                </c:pt>
                <c:pt idx="35">
                  <c:v>0.14110869565217393</c:v>
                </c:pt>
                <c:pt idx="36">
                  <c:v>0.15804347826086956</c:v>
                </c:pt>
                <c:pt idx="37">
                  <c:v>0.18371739130434783</c:v>
                </c:pt>
                <c:pt idx="38">
                  <c:v>0.13106521739130433</c:v>
                </c:pt>
                <c:pt idx="39">
                  <c:v>0.34986956521739132</c:v>
                </c:pt>
                <c:pt idx="40">
                  <c:v>0.47832608695652185</c:v>
                </c:pt>
                <c:pt idx="41">
                  <c:v>0.46108695652173914</c:v>
                </c:pt>
                <c:pt idx="42">
                  <c:v>0.46539130434782611</c:v>
                </c:pt>
                <c:pt idx="43">
                  <c:v>0.4139782608695653</c:v>
                </c:pt>
                <c:pt idx="44">
                  <c:v>0.42456521739130443</c:v>
                </c:pt>
                <c:pt idx="45">
                  <c:v>0.43391304347826087</c:v>
                </c:pt>
                <c:pt idx="46">
                  <c:v>0.3213478260869565</c:v>
                </c:pt>
                <c:pt idx="47">
                  <c:v>0.22439130434782611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E2-48B5-9B2D-C288828F7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State of Charge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ChartData!$I$2:$I$49</c:f>
              <c:numCache>
                <c:formatCode>0.0</c:formatCode>
                <c:ptCount val="48"/>
                <c:pt idx="0">
                  <c:v>40</c:v>
                </c:pt>
                <c:pt idx="1">
                  <c:v>37.30848695652174</c:v>
                </c:pt>
                <c:pt idx="2">
                  <c:v>34.887580434782613</c:v>
                </c:pt>
                <c:pt idx="3">
                  <c:v>33.259173913043476</c:v>
                </c:pt>
                <c:pt idx="4">
                  <c:v>31.44970217391305</c:v>
                </c:pt>
                <c:pt idx="5">
                  <c:v>29.893828260869551</c:v>
                </c:pt>
                <c:pt idx="6">
                  <c:v>28.194650000000014</c:v>
                </c:pt>
                <c:pt idx="7">
                  <c:v>26.423915217391304</c:v>
                </c:pt>
                <c:pt idx="8">
                  <c:v>24.776093478260869</c:v>
                </c:pt>
                <c:pt idx="9">
                  <c:v>23.878065217391306</c:v>
                </c:pt>
                <c:pt idx="10">
                  <c:v>24.482263043478266</c:v>
                </c:pt>
                <c:pt idx="11">
                  <c:v>27.143804347826091</c:v>
                </c:pt>
                <c:pt idx="12">
                  <c:v>32.082078260869565</c:v>
                </c:pt>
                <c:pt idx="13">
                  <c:v>39.535886956521743</c:v>
                </c:pt>
                <c:pt idx="14">
                  <c:v>49.005704347826089</c:v>
                </c:pt>
                <c:pt idx="15">
                  <c:v>60.473984782608674</c:v>
                </c:pt>
                <c:pt idx="16">
                  <c:v>74.067473913043486</c:v>
                </c:pt>
                <c:pt idx="17">
                  <c:v>83.318123913043479</c:v>
                </c:pt>
                <c:pt idx="18">
                  <c:v>89.474186956521763</c:v>
                </c:pt>
                <c:pt idx="19">
                  <c:v>92.656191304347843</c:v>
                </c:pt>
                <c:pt idx="20">
                  <c:v>94.739102173913039</c:v>
                </c:pt>
                <c:pt idx="21">
                  <c:v>95.360908695652185</c:v>
                </c:pt>
                <c:pt idx="22">
                  <c:v>96.85009565217392</c:v>
                </c:pt>
                <c:pt idx="23">
                  <c:v>98.206730434782614</c:v>
                </c:pt>
                <c:pt idx="24">
                  <c:v>98.793632608695674</c:v>
                </c:pt>
                <c:pt idx="25">
                  <c:v>99.543586956521736</c:v>
                </c:pt>
                <c:pt idx="26">
                  <c:v>99.861147826086949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99.928656521739114</c:v>
                </c:pt>
                <c:pt idx="31">
                  <c:v>99.880141304347831</c:v>
                </c:pt>
                <c:pt idx="32">
                  <c:v>100</c:v>
                </c:pt>
                <c:pt idx="33">
                  <c:v>99.915284782608708</c:v>
                </c:pt>
                <c:pt idx="34">
                  <c:v>99.889697826086973</c:v>
                </c:pt>
                <c:pt idx="35">
                  <c:v>99.605854347826067</c:v>
                </c:pt>
                <c:pt idx="36">
                  <c:v>97.914832608695647</c:v>
                </c:pt>
                <c:pt idx="37">
                  <c:v>95.95233913043478</c:v>
                </c:pt>
                <c:pt idx="38">
                  <c:v>93.75651304347825</c:v>
                </c:pt>
                <c:pt idx="39">
                  <c:v>92.326976086956506</c:v>
                </c:pt>
                <c:pt idx="40">
                  <c:v>87.941723913043489</c:v>
                </c:pt>
                <c:pt idx="41">
                  <c:v>81.93854782608696</c:v>
                </c:pt>
                <c:pt idx="42">
                  <c:v>76.152367391304352</c:v>
                </c:pt>
                <c:pt idx="43">
                  <c:v>70.312463043478274</c:v>
                </c:pt>
                <c:pt idx="44">
                  <c:v>65.116919565217415</c:v>
                </c:pt>
                <c:pt idx="45">
                  <c:v>59.789434782608694</c:v>
                </c:pt>
                <c:pt idx="46">
                  <c:v>54.344967391304358</c:v>
                </c:pt>
                <c:pt idx="47">
                  <c:v>50.312630434782612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E-41CF-B20D-D10169EC5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Prosumers by Exported Energy (kWh/day)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Export kWh/day</c:v>
          </c:tx>
          <c:spPr>
            <a:solidFill>
              <a:srgbClr val="2E7D32"/>
            </a:solidFill>
          </c:spPr>
          <c:invertIfNegative val="1"/>
          <c:cat>
            <c:strRef>
              <c:f>ChartData!$R$2:$R$11</c:f>
              <c:strCache>
                <c:ptCount val="10"/>
                <c:pt idx="0">
                  <c:v>one416_C</c:v>
                </c:pt>
                <c:pt idx="1">
                  <c:v>one585_A</c:v>
                </c:pt>
                <c:pt idx="2">
                  <c:v>one328_A</c:v>
                </c:pt>
                <c:pt idx="3">
                  <c:v>three97_B</c:v>
                </c:pt>
                <c:pt idx="4">
                  <c:v>three64_A</c:v>
                </c:pt>
                <c:pt idx="5">
                  <c:v>one480_A</c:v>
                </c:pt>
                <c:pt idx="6">
                  <c:v>three193_A</c:v>
                </c:pt>
                <c:pt idx="7">
                  <c:v>three409_C</c:v>
                </c:pt>
                <c:pt idx="8">
                  <c:v>one242_B</c:v>
                </c:pt>
                <c:pt idx="9">
                  <c:v>one235_A</c:v>
                </c:pt>
              </c:strCache>
            </c:strRef>
          </c:cat>
          <c:val>
            <c:numRef>
              <c:f>ChartData!$Q$2:$Q$11</c:f>
              <c:numCache>
                <c:formatCode>#,##0.0</c:formatCode>
                <c:ptCount val="10"/>
                <c:pt idx="0">
                  <c:v>27.57</c:v>
                </c:pt>
                <c:pt idx="1">
                  <c:v>27.32</c:v>
                </c:pt>
                <c:pt idx="2">
                  <c:v>26.02</c:v>
                </c:pt>
                <c:pt idx="3">
                  <c:v>25.93</c:v>
                </c:pt>
                <c:pt idx="4">
                  <c:v>25.91</c:v>
                </c:pt>
                <c:pt idx="5">
                  <c:v>25.4</c:v>
                </c:pt>
                <c:pt idx="6">
                  <c:v>25.35</c:v>
                </c:pt>
                <c:pt idx="7">
                  <c:v>25.07</c:v>
                </c:pt>
                <c:pt idx="8">
                  <c:v>24.98</c:v>
                </c:pt>
                <c:pt idx="9">
                  <c:v>24.86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AB8C-4E0D-876D-01773D247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Self-Consumption vs Self-Sufficiency by Prosumer (%)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Prosumer</c:v>
          </c:tx>
          <c:xVal>
            <c:numLit>
              <c:ptCount val="0"/>
            </c:numLit>
          </c:xVal>
          <c:yVal>
            <c:numRef>
              <c:f>ChartData!$M$2:$M$47</c:f>
              <c:numCache>
                <c:formatCode>0.0</c:formatCode>
                <c:ptCount val="4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74.5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94.2</c:v>
                </c:pt>
                <c:pt idx="20">
                  <c:v>82.7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98.4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84.7</c:v>
                </c:pt>
                <c:pt idx="33">
                  <c:v>85.2</c:v>
                </c:pt>
                <c:pt idx="34">
                  <c:v>80.8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95.4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99.9</c:v>
                </c:pt>
                <c:pt idx="44">
                  <c:v>100</c:v>
                </c:pt>
                <c:pt idx="45">
                  <c:v>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2F-458C-9CE7-1649A0FC4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/>
              <a:t>Fleet-average prosumer profile -  TR4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0.21448885507246374</c:v>
                </c:pt>
                <c:pt idx="1">
                  <c:v>0.19292378985507233</c:v>
                </c:pt>
                <c:pt idx="2">
                  <c:v>0.12976925362318839</c:v>
                </c:pt>
                <c:pt idx="3">
                  <c:v>0.1441979275362319</c:v>
                </c:pt>
                <c:pt idx="4">
                  <c:v>0.13008457246376812</c:v>
                </c:pt>
                <c:pt idx="5">
                  <c:v>0.1368114130434783</c:v>
                </c:pt>
                <c:pt idx="6">
                  <c:v>0.14601992028985505</c:v>
                </c:pt>
                <c:pt idx="7">
                  <c:v>0.14897438115942033</c:v>
                </c:pt>
                <c:pt idx="8">
                  <c:v>0.11271969565217388</c:v>
                </c:pt>
                <c:pt idx="9">
                  <c:v>0.13013576811594199</c:v>
                </c:pt>
                <c:pt idx="10">
                  <c:v>0.12538938550724635</c:v>
                </c:pt>
                <c:pt idx="11">
                  <c:v>0.14318600362318837</c:v>
                </c:pt>
                <c:pt idx="12">
                  <c:v>0.1601343108695652</c:v>
                </c:pt>
                <c:pt idx="13">
                  <c:v>0.21931695797101461</c:v>
                </c:pt>
                <c:pt idx="14">
                  <c:v>0.28569331884057975</c:v>
                </c:pt>
                <c:pt idx="15">
                  <c:v>0.2777691369565215</c:v>
                </c:pt>
                <c:pt idx="16">
                  <c:v>0.26974430724637682</c:v>
                </c:pt>
                <c:pt idx="17">
                  <c:v>0.34997221666666672</c:v>
                </c:pt>
                <c:pt idx="18">
                  <c:v>0.36487536739130477</c:v>
                </c:pt>
                <c:pt idx="19">
                  <c:v>0.31273148478260848</c:v>
                </c:pt>
                <c:pt idx="20">
                  <c:v>0.39183757608695652</c:v>
                </c:pt>
                <c:pt idx="21">
                  <c:v>0.26979317826086968</c:v>
                </c:pt>
                <c:pt idx="22">
                  <c:v>0.36461873115942012</c:v>
                </c:pt>
                <c:pt idx="23">
                  <c:v>0.41573286521739128</c:v>
                </c:pt>
                <c:pt idx="24">
                  <c:v>0.24871455797101447</c:v>
                </c:pt>
                <c:pt idx="25">
                  <c:v>0.29813913550724663</c:v>
                </c:pt>
                <c:pt idx="26">
                  <c:v>0.3462196326086957</c:v>
                </c:pt>
                <c:pt idx="27">
                  <c:v>0.38798157536231903</c:v>
                </c:pt>
                <c:pt idx="28">
                  <c:v>0.31858088840579685</c:v>
                </c:pt>
                <c:pt idx="29">
                  <c:v>0.31092222971014505</c:v>
                </c:pt>
                <c:pt idx="30">
                  <c:v>0.34229660362318826</c:v>
                </c:pt>
                <c:pt idx="31">
                  <c:v>0.30779848695652151</c:v>
                </c:pt>
                <c:pt idx="32">
                  <c:v>0.36788155217391288</c:v>
                </c:pt>
                <c:pt idx="33">
                  <c:v>0.35186747391304346</c:v>
                </c:pt>
                <c:pt idx="34">
                  <c:v>0.38569457753623199</c:v>
                </c:pt>
                <c:pt idx="35">
                  <c:v>0.43298272391304338</c:v>
                </c:pt>
                <c:pt idx="36">
                  <c:v>0.44075992028985489</c:v>
                </c:pt>
                <c:pt idx="37">
                  <c:v>0.45052164130434774</c:v>
                </c:pt>
                <c:pt idx="38">
                  <c:v>0.33338675434782594</c:v>
                </c:pt>
                <c:pt idx="39">
                  <c:v>0.4306040014492753</c:v>
                </c:pt>
                <c:pt idx="40">
                  <c:v>0.49386517898550747</c:v>
                </c:pt>
                <c:pt idx="41">
                  <c:v>0.51547871014492752</c:v>
                </c:pt>
                <c:pt idx="42">
                  <c:v>0.55162682608695679</c:v>
                </c:pt>
                <c:pt idx="43">
                  <c:v>0.46422213768115955</c:v>
                </c:pt>
                <c:pt idx="44">
                  <c:v>0.48840197101449301</c:v>
                </c:pt>
                <c:pt idx="45">
                  <c:v>0.48415688478260871</c:v>
                </c:pt>
                <c:pt idx="46">
                  <c:v>0.44280923550724649</c:v>
                </c:pt>
                <c:pt idx="47">
                  <c:v>0.29912049275362318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9F-4059-B1ED-CC7B555FEE32}"/>
            </c:ext>
          </c:extLst>
        </c:ser>
        <c:ser>
          <c:idx val="1"/>
          <c:order val="1"/>
          <c:tx>
            <c:v>PV generation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2.6928027130434799E-3</c:v>
                </c:pt>
                <c:pt idx="8">
                  <c:v>3.8922646330434678E-2</c:v>
                </c:pt>
                <c:pt idx="9">
                  <c:v>0.18201408824347834</c:v>
                </c:pt>
                <c:pt idx="10">
                  <c:v>0.36104892125217491</c:v>
                </c:pt>
                <c:pt idx="11">
                  <c:v>0.58058450337391199</c:v>
                </c:pt>
                <c:pt idx="12">
                  <c:v>0.82011020295652304</c:v>
                </c:pt>
                <c:pt idx="13">
                  <c:v>1.062580044313042</c:v>
                </c:pt>
                <c:pt idx="14">
                  <c:v>1.3037943559304352</c:v>
                </c:pt>
                <c:pt idx="15">
                  <c:v>1.5453595486956524</c:v>
                </c:pt>
                <c:pt idx="16">
                  <c:v>1.7720838769043492</c:v>
                </c:pt>
                <c:pt idx="17">
                  <c:v>1.9852050784695652</c:v>
                </c:pt>
                <c:pt idx="18">
                  <c:v>2.1667111533913057</c:v>
                </c:pt>
                <c:pt idx="19">
                  <c:v>2.3215174482782599</c:v>
                </c:pt>
                <c:pt idx="20">
                  <c:v>2.4573983032695645</c:v>
                </c:pt>
                <c:pt idx="21">
                  <c:v>2.5695431383304355</c:v>
                </c:pt>
                <c:pt idx="22">
                  <c:v>2.6491131584347842</c:v>
                </c:pt>
                <c:pt idx="23">
                  <c:v>2.684008728626087</c:v>
                </c:pt>
                <c:pt idx="24">
                  <c:v>2.6941158227478268</c:v>
                </c:pt>
                <c:pt idx="25">
                  <c:v>2.6752082650434792</c:v>
                </c:pt>
                <c:pt idx="26">
                  <c:v>2.6116892467826101</c:v>
                </c:pt>
                <c:pt idx="27">
                  <c:v>2.5147833867130451</c:v>
                </c:pt>
                <c:pt idx="28">
                  <c:v>2.3990931338086963</c:v>
                </c:pt>
                <c:pt idx="29">
                  <c:v>2.2524966571826104</c:v>
                </c:pt>
                <c:pt idx="30">
                  <c:v>2.0967092567999996</c:v>
                </c:pt>
                <c:pt idx="31">
                  <c:v>1.9092395378086964</c:v>
                </c:pt>
                <c:pt idx="32">
                  <c:v>1.6981043926956512</c:v>
                </c:pt>
                <c:pt idx="33">
                  <c:v>1.4431862135999993</c:v>
                </c:pt>
                <c:pt idx="34">
                  <c:v>1.2046004822608685</c:v>
                </c:pt>
                <c:pt idx="35">
                  <c:v>0.95943883398260899</c:v>
                </c:pt>
                <c:pt idx="36">
                  <c:v>0.72228281843478326</c:v>
                </c:pt>
                <c:pt idx="37">
                  <c:v>0.49363100295652174</c:v>
                </c:pt>
                <c:pt idx="38">
                  <c:v>0.28825101996521724</c:v>
                </c:pt>
                <c:pt idx="39">
                  <c:v>8.3864307443478281E-2</c:v>
                </c:pt>
                <c:pt idx="40">
                  <c:v>1.5467303165217406E-2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9F-4059-B1ED-CC7B555FEE32}"/>
            </c:ext>
          </c:extLst>
        </c:ser>
        <c:ser>
          <c:idx val="2"/>
          <c:order val="2"/>
          <c:tx>
            <c:v>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5.6521739130434778E-4</c:v>
                </c:pt>
                <c:pt idx="9">
                  <c:v>7.1086956521739131E-2</c:v>
                </c:pt>
                <c:pt idx="10">
                  <c:v>0.23558695652173914</c:v>
                </c:pt>
                <c:pt idx="11">
                  <c:v>0.43876086956521754</c:v>
                </c:pt>
                <c:pt idx="12">
                  <c:v>0.66</c:v>
                </c:pt>
                <c:pt idx="13">
                  <c:v>0.88632608695652193</c:v>
                </c:pt>
                <c:pt idx="14">
                  <c:v>1.0421304347826088</c:v>
                </c:pt>
                <c:pt idx="15">
                  <c:v>1.2376521739130435</c:v>
                </c:pt>
                <c:pt idx="16">
                  <c:v>0.82628260869565218</c:v>
                </c:pt>
                <c:pt idx="17">
                  <c:v>0.56358695652173918</c:v>
                </c:pt>
                <c:pt idx="18">
                  <c:v>0.29802173913043473</c:v>
                </c:pt>
                <c:pt idx="19">
                  <c:v>0.19726086956521738</c:v>
                </c:pt>
                <c:pt idx="20">
                  <c:v>9.6521739130434797E-2</c:v>
                </c:pt>
                <c:pt idx="21">
                  <c:v>0.1406304347826087</c:v>
                </c:pt>
                <c:pt idx="22">
                  <c:v>0.12015217391304346</c:v>
                </c:pt>
                <c:pt idx="23">
                  <c:v>6.7565217391304347E-2</c:v>
                </c:pt>
                <c:pt idx="24">
                  <c:v>6.6391304347826099E-2</c:v>
                </c:pt>
                <c:pt idx="25">
                  <c:v>2.8130434782608696E-2</c:v>
                </c:pt>
                <c:pt idx="26">
                  <c:v>1.2304347826086956E-2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6.3260869565217384E-3</c:v>
                </c:pt>
                <c:pt idx="31">
                  <c:v>1.0608695652173913E-2</c:v>
                </c:pt>
                <c:pt idx="32">
                  <c:v>0</c:v>
                </c:pt>
                <c:pt idx="33">
                  <c:v>2.4130434782608694E-3</c:v>
                </c:pt>
                <c:pt idx="34">
                  <c:v>9.5434782608695649E-3</c:v>
                </c:pt>
                <c:pt idx="35">
                  <c:v>7.0652173913043478E-3</c:v>
                </c:pt>
                <c:pt idx="36">
                  <c:v>1.8043478260869566E-3</c:v>
                </c:pt>
                <c:pt idx="37">
                  <c:v>9.717391304347827E-3</c:v>
                </c:pt>
                <c:pt idx="38">
                  <c:v>1.9086956521739133E-2</c:v>
                </c:pt>
                <c:pt idx="39">
                  <c:v>4.565217391304348E-4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9F-4059-B1ED-CC7B555FEE32}"/>
            </c:ext>
          </c:extLst>
        </c:ser>
        <c:ser>
          <c:idx val="3"/>
          <c:order val="3"/>
          <c:tx>
            <c:v>discharging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0.21452173913043479</c:v>
                </c:pt>
                <c:pt idx="1">
                  <c:v>0.19295652173913042</c:v>
                </c:pt>
                <c:pt idx="2">
                  <c:v>0.1297826086956522</c:v>
                </c:pt>
                <c:pt idx="3">
                  <c:v>0.14423913043478259</c:v>
                </c:pt>
                <c:pt idx="4">
                  <c:v>0.124</c:v>
                </c:pt>
                <c:pt idx="5">
                  <c:v>0.13543478260869568</c:v>
                </c:pt>
                <c:pt idx="6">
                  <c:v>0.14106521739130437</c:v>
                </c:pt>
                <c:pt idx="7">
                  <c:v>0.13139130434782606</c:v>
                </c:pt>
                <c:pt idx="8">
                  <c:v>7.2070989408695635E-2</c:v>
                </c:pt>
                <c:pt idx="9">
                  <c:v>1.5760869565217394E-2</c:v>
                </c:pt>
                <c:pt idx="10">
                  <c:v>0</c:v>
                </c:pt>
                <c:pt idx="11">
                  <c:v>1.3695652173913043E-3</c:v>
                </c:pt>
                <c:pt idx="12">
                  <c:v>0</c:v>
                </c:pt>
                <c:pt idx="13">
                  <c:v>4.3065217391304353E-2</c:v>
                </c:pt>
                <c:pt idx="14">
                  <c:v>2.4086956521739134E-2</c:v>
                </c:pt>
                <c:pt idx="15">
                  <c:v>3.0673913043478263E-2</c:v>
                </c:pt>
                <c:pt idx="16">
                  <c:v>6.5217391304347823E-3</c:v>
                </c:pt>
                <c:pt idx="17">
                  <c:v>1.6695652173913045E-2</c:v>
                </c:pt>
                <c:pt idx="18">
                  <c:v>1.4630434782608696E-2</c:v>
                </c:pt>
                <c:pt idx="19">
                  <c:v>1.1586956521739132E-2</c:v>
                </c:pt>
                <c:pt idx="20">
                  <c:v>3.7304347826086957E-2</c:v>
                </c:pt>
                <c:pt idx="21">
                  <c:v>7.8913043478260874E-3</c:v>
                </c:pt>
                <c:pt idx="22">
                  <c:v>0</c:v>
                </c:pt>
                <c:pt idx="23">
                  <c:v>1.4021739130434781E-2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5.6956521739130435E-3</c:v>
                </c:pt>
                <c:pt idx="30">
                  <c:v>9.5434782608695649E-3</c:v>
                </c:pt>
                <c:pt idx="31">
                  <c:v>0</c:v>
                </c:pt>
                <c:pt idx="32">
                  <c:v>6.7608695652173912E-3</c:v>
                </c:pt>
                <c:pt idx="33">
                  <c:v>4.2173913043478265E-3</c:v>
                </c:pt>
                <c:pt idx="34">
                  <c:v>3.1217391304347825E-2</c:v>
                </c:pt>
                <c:pt idx="35">
                  <c:v>0.14110869565217393</c:v>
                </c:pt>
                <c:pt idx="36">
                  <c:v>0.15804347826086956</c:v>
                </c:pt>
                <c:pt idx="37">
                  <c:v>0.18371739130434783</c:v>
                </c:pt>
                <c:pt idx="38">
                  <c:v>0.13106521739130433</c:v>
                </c:pt>
                <c:pt idx="39">
                  <c:v>0.34986956521739132</c:v>
                </c:pt>
                <c:pt idx="40">
                  <c:v>0.47832608695652185</c:v>
                </c:pt>
                <c:pt idx="41">
                  <c:v>0.46108695652173914</c:v>
                </c:pt>
                <c:pt idx="42">
                  <c:v>0.46539130434782611</c:v>
                </c:pt>
                <c:pt idx="43">
                  <c:v>0.4139782608695653</c:v>
                </c:pt>
                <c:pt idx="44">
                  <c:v>0.42456521739130443</c:v>
                </c:pt>
                <c:pt idx="45">
                  <c:v>0.43391304347826087</c:v>
                </c:pt>
                <c:pt idx="46">
                  <c:v>0.3213478260869565</c:v>
                </c:pt>
                <c:pt idx="47">
                  <c:v>0.22439130434782611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9F-4059-B1ED-CC7B555FEE32}"/>
            </c:ext>
          </c:extLst>
        </c:ser>
        <c:ser>
          <c:idx val="4"/>
          <c:order val="4"/>
          <c:tx>
            <c:v>net exchange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ChartData!$Y$2:$Y$49</c:f>
              <c:numCache>
                <c:formatCode>#,##0.000</c:formatCode>
                <c:ptCount val="48"/>
                <c:pt idx="0">
                  <c:v>-3.2884057971055425E-5</c:v>
                </c:pt>
                <c:pt idx="1">
                  <c:v>-3.2731884058084804E-5</c:v>
                </c:pt>
                <c:pt idx="2">
                  <c:v>-1.3355072463805406E-5</c:v>
                </c:pt>
                <c:pt idx="3">
                  <c:v>-4.1202898550696254E-5</c:v>
                </c:pt>
                <c:pt idx="4">
                  <c:v>6.0845724637681176E-3</c:v>
                </c:pt>
                <c:pt idx="5">
                  <c:v>1.3766304347826164E-3</c:v>
                </c:pt>
                <c:pt idx="6">
                  <c:v>4.9547028985506836E-3</c:v>
                </c:pt>
                <c:pt idx="7">
                  <c:v>1.4890274098550788E-2</c:v>
                </c:pt>
                <c:pt idx="8">
                  <c:v>2.2912773043479023E-3</c:v>
                </c:pt>
                <c:pt idx="9">
                  <c:v>3.4477668289853887E-3</c:v>
                </c:pt>
                <c:pt idx="10">
                  <c:v>-7.2579223189428443E-5</c:v>
                </c:pt>
                <c:pt idx="11">
                  <c:v>-7.1954028974131196E-6</c:v>
                </c:pt>
                <c:pt idx="12">
                  <c:v>2.4107913042192841E-5</c:v>
                </c:pt>
                <c:pt idx="13">
                  <c:v>-2.2167768098241281E-6</c:v>
                </c:pt>
                <c:pt idx="14">
                  <c:v>-5.7558828985882632E-5</c:v>
                </c:pt>
                <c:pt idx="15">
                  <c:v>-6.061215086956577E-2</c:v>
                </c:pt>
                <c:pt idx="16">
                  <c:v>-0.68257870009275501</c:v>
                </c:pt>
                <c:pt idx="17">
                  <c:v>-1.0883415574550721</c:v>
                </c:pt>
                <c:pt idx="18">
                  <c:v>-1.5184444816521749</c:v>
                </c:pt>
                <c:pt idx="19">
                  <c:v>-1.8231120504521729</c:v>
                </c:pt>
                <c:pt idx="20">
                  <c:v>-2.0063433358782601</c:v>
                </c:pt>
                <c:pt idx="21">
                  <c:v>-2.167010829634783</c:v>
                </c:pt>
                <c:pt idx="22">
                  <c:v>-2.1643422533623204</c:v>
                </c:pt>
                <c:pt idx="23">
                  <c:v>-2.2147323851478262</c:v>
                </c:pt>
                <c:pt idx="24">
                  <c:v>-2.3790099604289865</c:v>
                </c:pt>
                <c:pt idx="25">
                  <c:v>-2.3489386947536239</c:v>
                </c:pt>
                <c:pt idx="26">
                  <c:v>-2.2531652663478274</c:v>
                </c:pt>
                <c:pt idx="27">
                  <c:v>-2.1268018113507261</c:v>
                </c:pt>
                <c:pt idx="28">
                  <c:v>-2.0805122454028995</c:v>
                </c:pt>
                <c:pt idx="29">
                  <c:v>-1.9472700796463784</c:v>
                </c:pt>
                <c:pt idx="30">
                  <c:v>-1.7576300444811592</c:v>
                </c:pt>
                <c:pt idx="31">
                  <c:v>-1.590832355200001</c:v>
                </c:pt>
                <c:pt idx="32">
                  <c:v>-1.3369837100869557</c:v>
                </c:pt>
                <c:pt idx="33">
                  <c:v>-1.0931230875130429</c:v>
                </c:pt>
                <c:pt idx="34">
                  <c:v>-0.84057981776811486</c:v>
                </c:pt>
                <c:pt idx="35">
                  <c:v>-0.66049958833043521</c:v>
                </c:pt>
                <c:pt idx="36">
                  <c:v>-0.43776202857971097</c:v>
                </c:pt>
                <c:pt idx="37">
                  <c:v>-0.21710936165217398</c:v>
                </c:pt>
                <c:pt idx="38">
                  <c:v>-6.6842526486956488E-2</c:v>
                </c:pt>
                <c:pt idx="39">
                  <c:v>-2.6733494724638929E-3</c:v>
                </c:pt>
                <c:pt idx="40">
                  <c:v>7.1788863768240674E-5</c:v>
                </c:pt>
                <c:pt idx="41">
                  <c:v>5.4391753623188377E-2</c:v>
                </c:pt>
                <c:pt idx="42">
                  <c:v>8.6235521739130683E-2</c:v>
                </c:pt>
                <c:pt idx="43">
                  <c:v>5.0243876811594257E-2</c:v>
                </c:pt>
                <c:pt idx="44">
                  <c:v>6.383675362318858E-2</c:v>
                </c:pt>
                <c:pt idx="45">
                  <c:v>5.0243841304347836E-2</c:v>
                </c:pt>
                <c:pt idx="46">
                  <c:v>0.12146140942028999</c:v>
                </c:pt>
                <c:pt idx="47">
                  <c:v>7.4729188405797065E-2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9F-4059-B1ED-CC7B555FE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1"/>
          <c:min val="-2.8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Average per prosumer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Self-consumption residual per prosumer -  TR4
net is driven to zero except when storage saturates  (SCR 31%, SSR 96%)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BES_TR4_one195_C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-3.0233333333301582E-4</c:v>
                </c:pt>
                <c:pt idx="1">
                  <c:v>0</c:v>
                </c:pt>
                <c:pt idx="2">
                  <c:v>-3.5666666666700492E-4</c:v>
                </c:pt>
                <c:pt idx="3">
                  <c:v>-3.5866666666697911E-4</c:v>
                </c:pt>
                <c:pt idx="4">
                  <c:v>-3.5600000000009241E-4</c:v>
                </c:pt>
                <c:pt idx="5">
                  <c:v>-3.5933333333298961E-4</c:v>
                </c:pt>
                <c:pt idx="6">
                  <c:v>2.8799999999999659E-4</c:v>
                </c:pt>
                <c:pt idx="7">
                  <c:v>-1.1003636666631619E-4</c:v>
                </c:pt>
                <c:pt idx="8">
                  <c:v>4.9631903333342831E-4</c:v>
                </c:pt>
                <c:pt idx="9">
                  <c:v>-4.2352921666698179E-4</c:v>
                </c:pt>
                <c:pt idx="10">
                  <c:v>1.6358109999853321E-4</c:v>
                </c:pt>
                <c:pt idx="11">
                  <c:v>-3.7172946666552692E-4</c:v>
                </c:pt>
                <c:pt idx="12">
                  <c:v>2.4589808333241869E-4</c:v>
                </c:pt>
                <c:pt idx="13">
                  <c:v>-2.6258843333182291E-4</c:v>
                </c:pt>
                <c:pt idx="14">
                  <c:v>-4.4192294999989562E-4</c:v>
                </c:pt>
                <c:pt idx="15">
                  <c:v>-2.8287500000168109E-6</c:v>
                </c:pt>
                <c:pt idx="16">
                  <c:v>1.5864318333180799E-4</c:v>
                </c:pt>
                <c:pt idx="17">
                  <c:v>1.3043309999988259E-4</c:v>
                </c:pt>
                <c:pt idx="18">
                  <c:v>4.2989100000484498E-4</c:v>
                </c:pt>
                <c:pt idx="19">
                  <c:v>-0.1122921470333349</c:v>
                </c:pt>
                <c:pt idx="20">
                  <c:v>-1.4138444918500039</c:v>
                </c:pt>
                <c:pt idx="21">
                  <c:v>-2.6241728477166668</c:v>
                </c:pt>
                <c:pt idx="22">
                  <c:v>-2.7936496840833338</c:v>
                </c:pt>
                <c:pt idx="23">
                  <c:v>-2.8529702035333329</c:v>
                </c:pt>
                <c:pt idx="24">
                  <c:v>-2.6063626962666682</c:v>
                </c:pt>
                <c:pt idx="25">
                  <c:v>-2.9163218629999998</c:v>
                </c:pt>
                <c:pt idx="26">
                  <c:v>-2.6194463384166671</c:v>
                </c:pt>
                <c:pt idx="27">
                  <c:v>-1.557787869866665</c:v>
                </c:pt>
                <c:pt idx="28">
                  <c:v>-2.5163978065500001</c:v>
                </c:pt>
                <c:pt idx="29">
                  <c:v>-2.3939550014333348</c:v>
                </c:pt>
                <c:pt idx="30">
                  <c:v>-2.135968966283333</c:v>
                </c:pt>
                <c:pt idx="31">
                  <c:v>-1.122469738800004</c:v>
                </c:pt>
                <c:pt idx="32">
                  <c:v>-1.6922037168333319</c:v>
                </c:pt>
                <c:pt idx="33">
                  <c:v>-1.077109563816665</c:v>
                </c:pt>
                <c:pt idx="34">
                  <c:v>-0.100416394749995</c:v>
                </c:pt>
                <c:pt idx="35">
                  <c:v>-1.010401251883333</c:v>
                </c:pt>
                <c:pt idx="36">
                  <c:v>-0.48483378450000147</c:v>
                </c:pt>
                <c:pt idx="37">
                  <c:v>-0.18938348525000001</c:v>
                </c:pt>
                <c:pt idx="38">
                  <c:v>-0.2237851875999998</c:v>
                </c:pt>
                <c:pt idx="39">
                  <c:v>3.5378483333042832E-5</c:v>
                </c:pt>
                <c:pt idx="40">
                  <c:v>4.4722909999966859E-4</c:v>
                </c:pt>
                <c:pt idx="41">
                  <c:v>-3.3366666666700961E-4</c:v>
                </c:pt>
                <c:pt idx="42">
                  <c:v>-3.5733333333301531E-4</c:v>
                </c:pt>
                <c:pt idx="43">
                  <c:v>2.9400000000012749E-4</c:v>
                </c:pt>
                <c:pt idx="44">
                  <c:v>1.366666666702265E-5</c:v>
                </c:pt>
                <c:pt idx="45">
                  <c:v>-2.1533333333301211E-4</c:v>
                </c:pt>
                <c:pt idx="46">
                  <c:v>2.8666666667009899E-5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B-4901-A5EC-1DAB6992060C}"/>
            </c:ext>
          </c:extLst>
        </c:ser>
        <c:ser>
          <c:idx val="1"/>
          <c:order val="1"/>
          <c:tx>
            <c:v>BES_TR4_one223_B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-4.2533333333399931E-4</c:v>
                </c:pt>
                <c:pt idx="1">
                  <c:v>0</c:v>
                </c:pt>
                <c:pt idx="2">
                  <c:v>0</c:v>
                </c:pt>
                <c:pt idx="3">
                  <c:v>-3.3733333333299531E-4</c:v>
                </c:pt>
                <c:pt idx="4">
                  <c:v>2.0000000000020002E-6</c:v>
                </c:pt>
                <c:pt idx="5">
                  <c:v>0</c:v>
                </c:pt>
                <c:pt idx="6">
                  <c:v>2.190000000000247E-4</c:v>
                </c:pt>
                <c:pt idx="7">
                  <c:v>-1.3493593333299689E-4</c:v>
                </c:pt>
                <c:pt idx="8">
                  <c:v>4.9513060000008768E-4</c:v>
                </c:pt>
                <c:pt idx="9">
                  <c:v>-4.5283456666657401E-4</c:v>
                </c:pt>
                <c:pt idx="10">
                  <c:v>1.934504666659814E-4</c:v>
                </c:pt>
                <c:pt idx="11">
                  <c:v>7.2517600001043014E-5</c:v>
                </c:pt>
                <c:pt idx="12">
                  <c:v>3.9305549999890671E-4</c:v>
                </c:pt>
                <c:pt idx="13">
                  <c:v>2.6790866667902868E-5</c:v>
                </c:pt>
                <c:pt idx="14">
                  <c:v>-4.6959110000011067E-4</c:v>
                </c:pt>
                <c:pt idx="15">
                  <c:v>-1.9623416666703089E-4</c:v>
                </c:pt>
                <c:pt idx="16">
                  <c:v>-3.5571536666778591E-4</c:v>
                </c:pt>
                <c:pt idx="17">
                  <c:v>-1.366578866866667</c:v>
                </c:pt>
                <c:pt idx="18">
                  <c:v>-1.768093188666668</c:v>
                </c:pt>
                <c:pt idx="19">
                  <c:v>-2.159120554599999</c:v>
                </c:pt>
                <c:pt idx="20">
                  <c:v>-2.2012333739666681</c:v>
                </c:pt>
                <c:pt idx="21">
                  <c:v>-2.4009948409000001</c:v>
                </c:pt>
                <c:pt idx="22">
                  <c:v>-2.035105910166668</c:v>
                </c:pt>
                <c:pt idx="23">
                  <c:v>-2.5181899649333328</c:v>
                </c:pt>
                <c:pt idx="24">
                  <c:v>-2.537860996800001</c:v>
                </c:pt>
                <c:pt idx="25">
                  <c:v>-2.4099679206666669</c:v>
                </c:pt>
                <c:pt idx="26">
                  <c:v>-2.1963601948333329</c:v>
                </c:pt>
                <c:pt idx="27">
                  <c:v>-2.274465745600001</c:v>
                </c:pt>
                <c:pt idx="28">
                  <c:v>-2.230143453233334</c:v>
                </c:pt>
                <c:pt idx="29">
                  <c:v>-1.982871963133334</c:v>
                </c:pt>
                <c:pt idx="30">
                  <c:v>3.7496223333027817E-4</c:v>
                </c:pt>
                <c:pt idx="31">
                  <c:v>-1.159534723733334</c:v>
                </c:pt>
                <c:pt idx="32">
                  <c:v>-0.217194842999999</c:v>
                </c:pt>
                <c:pt idx="33">
                  <c:v>-9.4066721366669048E-2</c:v>
                </c:pt>
                <c:pt idx="34">
                  <c:v>-1.0692922621666661</c:v>
                </c:pt>
                <c:pt idx="35">
                  <c:v>-0.48140088256666708</c:v>
                </c:pt>
                <c:pt idx="36">
                  <c:v>-0.30495903433333399</c:v>
                </c:pt>
                <c:pt idx="37">
                  <c:v>1.1028883333019659E-4</c:v>
                </c:pt>
                <c:pt idx="38">
                  <c:v>-4.3069413333290951E-4</c:v>
                </c:pt>
                <c:pt idx="39">
                  <c:v>-3.842946333330044E-4</c:v>
                </c:pt>
                <c:pt idx="40">
                  <c:v>-4.549886666704861E-5</c:v>
                </c:pt>
                <c:pt idx="41">
                  <c:v>-9.6666666666966883E-5</c:v>
                </c:pt>
                <c:pt idx="42">
                  <c:v>5.6999999999973738E-5</c:v>
                </c:pt>
                <c:pt idx="43">
                  <c:v>-1.163333333329408E-4</c:v>
                </c:pt>
                <c:pt idx="44">
                  <c:v>-3.1333333332994602E-5</c:v>
                </c:pt>
                <c:pt idx="45">
                  <c:v>-3.5299999999999221E-4</c:v>
                </c:pt>
                <c:pt idx="46">
                  <c:v>1.4186666666698991E-4</c:v>
                </c:pt>
                <c:pt idx="47">
                  <c:v>2.8333333332991591E-5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B-4901-A5EC-1DAB6992060C}"/>
            </c:ext>
          </c:extLst>
        </c:ser>
        <c:ser>
          <c:idx val="2"/>
          <c:order val="2"/>
          <c:tx>
            <c:v>BES_TR4_one235_A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-3.8666666666992138E-5</c:v>
                </c:pt>
                <c:pt idx="1">
                  <c:v>0</c:v>
                </c:pt>
                <c:pt idx="2">
                  <c:v>-4.8933333333300855E-4</c:v>
                </c:pt>
                <c:pt idx="3">
                  <c:v>0</c:v>
                </c:pt>
                <c:pt idx="4">
                  <c:v>3.0466666666698061E-4</c:v>
                </c:pt>
                <c:pt idx="5">
                  <c:v>2.0599999999999791E-4</c:v>
                </c:pt>
                <c:pt idx="6">
                  <c:v>2.7466666666670081E-4</c:v>
                </c:pt>
                <c:pt idx="7">
                  <c:v>-2.048034666666809E-4</c:v>
                </c:pt>
                <c:pt idx="8">
                  <c:v>-5.3333331993918494E-9</c:v>
                </c:pt>
                <c:pt idx="9">
                  <c:v>4.2644279999998203E-4</c:v>
                </c:pt>
                <c:pt idx="10">
                  <c:v>-1.342882666680589E-4</c:v>
                </c:pt>
                <c:pt idx="11">
                  <c:v>4.4669013333509261E-4</c:v>
                </c:pt>
                <c:pt idx="12">
                  <c:v>8.1407333331950937E-5</c:v>
                </c:pt>
                <c:pt idx="13">
                  <c:v>-2.3050106666500089E-4</c:v>
                </c:pt>
                <c:pt idx="14">
                  <c:v>4.0545200000074999E-5</c:v>
                </c:pt>
                <c:pt idx="15">
                  <c:v>-0.21787075666666689</c:v>
                </c:pt>
                <c:pt idx="16">
                  <c:v>-2.1163300649333352</c:v>
                </c:pt>
                <c:pt idx="17">
                  <c:v>-2.4866509336</c:v>
                </c:pt>
                <c:pt idx="18">
                  <c:v>-2.5410646960000012</c:v>
                </c:pt>
                <c:pt idx="19">
                  <c:v>-2.687987072799999</c:v>
                </c:pt>
                <c:pt idx="20">
                  <c:v>-2.9689789430666682</c:v>
                </c:pt>
                <c:pt idx="21">
                  <c:v>-3.1577754545333332</c:v>
                </c:pt>
                <c:pt idx="22">
                  <c:v>-3.322977924666668</c:v>
                </c:pt>
                <c:pt idx="23">
                  <c:v>-2.0453000421333298</c:v>
                </c:pt>
                <c:pt idx="24">
                  <c:v>-3.2402329957333351</c:v>
                </c:pt>
                <c:pt idx="25">
                  <c:v>-1.90013700533333</c:v>
                </c:pt>
                <c:pt idx="26">
                  <c:v>-2.961631482</c:v>
                </c:pt>
                <c:pt idx="27">
                  <c:v>-2.7532696608000009</c:v>
                </c:pt>
                <c:pt idx="28">
                  <c:v>-2.7506316931999999</c:v>
                </c:pt>
                <c:pt idx="29">
                  <c:v>-2.7009477730666678</c:v>
                </c:pt>
                <c:pt idx="30">
                  <c:v>-2.5598190281333331</c:v>
                </c:pt>
                <c:pt idx="31">
                  <c:v>-2.373446520533335</c:v>
                </c:pt>
                <c:pt idx="32">
                  <c:v>-1.9584267239999991</c:v>
                </c:pt>
                <c:pt idx="33">
                  <c:v>-1.7940712729333319</c:v>
                </c:pt>
                <c:pt idx="34">
                  <c:v>-1.1030010606666649</c:v>
                </c:pt>
                <c:pt idx="35">
                  <c:v>-1.1441832878666669</c:v>
                </c:pt>
                <c:pt idx="36">
                  <c:v>-0.36776160133333502</c:v>
                </c:pt>
                <c:pt idx="37">
                  <c:v>-0.31151672600000002</c:v>
                </c:pt>
                <c:pt idx="38">
                  <c:v>-0.24832074773333321</c:v>
                </c:pt>
                <c:pt idx="39">
                  <c:v>4.8138493333299559E-4</c:v>
                </c:pt>
                <c:pt idx="40">
                  <c:v>-3.8044293333372448E-4</c:v>
                </c:pt>
                <c:pt idx="41">
                  <c:v>-4.3333333330508586E-6</c:v>
                </c:pt>
                <c:pt idx="42">
                  <c:v>2.9966666666603192E-4</c:v>
                </c:pt>
                <c:pt idx="43">
                  <c:v>4.4133333333301611E-4</c:v>
                </c:pt>
                <c:pt idx="44">
                  <c:v>-3.8700000000002621E-4</c:v>
                </c:pt>
                <c:pt idx="45">
                  <c:v>2.6066666666701988E-4</c:v>
                </c:pt>
                <c:pt idx="46">
                  <c:v>-1.0733333333298729E-4</c:v>
                </c:pt>
                <c:pt idx="47">
                  <c:v>-3.8200000000000728E-4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7B-4901-A5EC-1DAB6992060C}"/>
            </c:ext>
          </c:extLst>
        </c:ser>
        <c:ser>
          <c:idx val="3"/>
          <c:order val="3"/>
          <c:tx>
            <c:v>BES_TR4_one242_B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-4.8333333333300249E-4</c:v>
                </c:pt>
                <c:pt idx="2">
                  <c:v>-2.6666666669838972E-6</c:v>
                </c:pt>
                <c:pt idx="3">
                  <c:v>0</c:v>
                </c:pt>
                <c:pt idx="4">
                  <c:v>-2.05999999999984E-4</c:v>
                </c:pt>
                <c:pt idx="5">
                  <c:v>-2.7999999999997471E-4</c:v>
                </c:pt>
                <c:pt idx="6">
                  <c:v>0</c:v>
                </c:pt>
                <c:pt idx="7">
                  <c:v>-4.0647013333366949E-4</c:v>
                </c:pt>
                <c:pt idx="8">
                  <c:v>-2.5482586666619728E-4</c:v>
                </c:pt>
                <c:pt idx="9">
                  <c:v>2.7977613333299289E-4</c:v>
                </c:pt>
                <c:pt idx="10">
                  <c:v>-3.402882666680429E-4</c:v>
                </c:pt>
                <c:pt idx="11">
                  <c:v>6.7356800001028283E-5</c:v>
                </c:pt>
                <c:pt idx="12">
                  <c:v>-8.55926666680773E-5</c:v>
                </c:pt>
                <c:pt idx="13">
                  <c:v>1.183226666778836E-5</c:v>
                </c:pt>
                <c:pt idx="14">
                  <c:v>-1.03454800000069E-4</c:v>
                </c:pt>
                <c:pt idx="15">
                  <c:v>-1.0942333333296971E-4</c:v>
                </c:pt>
                <c:pt idx="16">
                  <c:v>-1.7543320649333349</c:v>
                </c:pt>
                <c:pt idx="17">
                  <c:v>-2.3621032669333331</c:v>
                </c:pt>
                <c:pt idx="18">
                  <c:v>-2.5516090293333349</c:v>
                </c:pt>
                <c:pt idx="19">
                  <c:v>-2.908383406133332</c:v>
                </c:pt>
                <c:pt idx="20">
                  <c:v>-2.6945149430666682</c:v>
                </c:pt>
                <c:pt idx="21">
                  <c:v>-2.8848964545333331</c:v>
                </c:pt>
                <c:pt idx="22">
                  <c:v>-2.855957258000001</c:v>
                </c:pt>
                <c:pt idx="23">
                  <c:v>-3.158361375466666</c:v>
                </c:pt>
                <c:pt idx="24">
                  <c:v>-3.1583446624000011</c:v>
                </c:pt>
                <c:pt idx="25">
                  <c:v>-2.329200005333329</c:v>
                </c:pt>
                <c:pt idx="26">
                  <c:v>-2.906494448666666</c:v>
                </c:pt>
                <c:pt idx="27">
                  <c:v>-2.9465053274666682</c:v>
                </c:pt>
                <c:pt idx="28">
                  <c:v>-2.6908148931999998</c:v>
                </c:pt>
                <c:pt idx="29">
                  <c:v>-2.7380608397333348</c:v>
                </c:pt>
                <c:pt idx="30">
                  <c:v>-2.2999118281333328</c:v>
                </c:pt>
                <c:pt idx="31">
                  <c:v>-2.2032375205333352</c:v>
                </c:pt>
                <c:pt idx="32">
                  <c:v>-2.111800057333332</c:v>
                </c:pt>
                <c:pt idx="33">
                  <c:v>-1.6518162729333321</c:v>
                </c:pt>
                <c:pt idx="34">
                  <c:v>-1.339952727333332</c:v>
                </c:pt>
                <c:pt idx="35">
                  <c:v>-1.1002376212</c:v>
                </c:pt>
                <c:pt idx="36">
                  <c:v>-0.65711493466666804</c:v>
                </c:pt>
                <c:pt idx="37">
                  <c:v>-0.55582272600000004</c:v>
                </c:pt>
                <c:pt idx="38">
                  <c:v>-7.3915747733333204E-2</c:v>
                </c:pt>
                <c:pt idx="39">
                  <c:v>-2.6978948399999991E-2</c:v>
                </c:pt>
                <c:pt idx="40">
                  <c:v>-3.6057626666669012E-4</c:v>
                </c:pt>
                <c:pt idx="41">
                  <c:v>1.869999999999927E-4</c:v>
                </c:pt>
                <c:pt idx="42">
                  <c:v>4.4333333332979841E-5</c:v>
                </c:pt>
                <c:pt idx="43">
                  <c:v>3.7999999999999151E-4</c:v>
                </c:pt>
                <c:pt idx="44">
                  <c:v>6.6666666666992391E-5</c:v>
                </c:pt>
                <c:pt idx="45">
                  <c:v>4.2333333333288698E-4</c:v>
                </c:pt>
                <c:pt idx="46">
                  <c:v>-1.6866666666603969E-4</c:v>
                </c:pt>
                <c:pt idx="47">
                  <c:v>-1.1166666666706521E-4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7B-4901-A5EC-1DAB6992060C}"/>
            </c:ext>
          </c:extLst>
        </c:ser>
        <c:ser>
          <c:idx val="4"/>
          <c:order val="4"/>
          <c:tx>
            <c:v>BES_TR4_one252_C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-4.4666666666698379E-4</c:v>
                </c:pt>
                <c:pt idx="1">
                  <c:v>-3.97333333332972E-4</c:v>
                </c:pt>
                <c:pt idx="2">
                  <c:v>5.8666666666984391E-5</c:v>
                </c:pt>
                <c:pt idx="3">
                  <c:v>3.0099999999999572E-4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-3.0086939999990348E-4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2.6412420000099251E-4</c:v>
                </c:pt>
                <c:pt idx="14">
                  <c:v>-2.319244333330861E-4</c:v>
                </c:pt>
                <c:pt idx="15">
                  <c:v>4.9909916666690535E-4</c:v>
                </c:pt>
                <c:pt idx="16">
                  <c:v>-2.7971536666693281E-4</c:v>
                </c:pt>
                <c:pt idx="17">
                  <c:v>-4.0629533533333977E-2</c:v>
                </c:pt>
                <c:pt idx="18">
                  <c:v>-1.865790855333334</c:v>
                </c:pt>
                <c:pt idx="19">
                  <c:v>-2.0577842212666662</c:v>
                </c:pt>
                <c:pt idx="20">
                  <c:v>-2.1443660406333338</c:v>
                </c:pt>
                <c:pt idx="21">
                  <c:v>-2.2737728409</c:v>
                </c:pt>
                <c:pt idx="22">
                  <c:v>-2.2095621101666678</c:v>
                </c:pt>
                <c:pt idx="23">
                  <c:v>-1.4434676982666701</c:v>
                </c:pt>
                <c:pt idx="24">
                  <c:v>-2.4476609968000012</c:v>
                </c:pt>
                <c:pt idx="25">
                  <c:v>-2.433674587333333</c:v>
                </c:pt>
                <c:pt idx="26">
                  <c:v>-2.432382194833334</c:v>
                </c:pt>
                <c:pt idx="27">
                  <c:v>-2.339514078933334</c:v>
                </c:pt>
                <c:pt idx="28">
                  <c:v>-2.2441309198999999</c:v>
                </c:pt>
                <c:pt idx="29">
                  <c:v>-2.1036426298000008</c:v>
                </c:pt>
                <c:pt idx="30">
                  <c:v>-1.9543463711</c:v>
                </c:pt>
                <c:pt idx="31">
                  <c:v>-1.774687890400001</c:v>
                </c:pt>
                <c:pt idx="32">
                  <c:v>-1.572350042999999</c:v>
                </c:pt>
                <c:pt idx="33">
                  <c:v>-1.3280534546999989</c:v>
                </c:pt>
                <c:pt idx="34">
                  <c:v>-0.87170606216666613</c:v>
                </c:pt>
                <c:pt idx="35">
                  <c:v>-0.7709080825666671</c:v>
                </c:pt>
                <c:pt idx="36">
                  <c:v>-0.6166836676666676</c:v>
                </c:pt>
                <c:pt idx="37">
                  <c:v>-0.30207384450000002</c:v>
                </c:pt>
                <c:pt idx="38">
                  <c:v>-0.14464516079999989</c:v>
                </c:pt>
                <c:pt idx="39">
                  <c:v>-1.613613000000097E-4</c:v>
                </c:pt>
                <c:pt idx="40">
                  <c:v>2.3383446666697119E-4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7B-4901-A5EC-1DAB6992060C}"/>
            </c:ext>
          </c:extLst>
        </c:ser>
        <c:ser>
          <c:idx val="5"/>
          <c:order val="5"/>
          <c:tx>
            <c:v>BES_TR4_one260_C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-2.113333333329942E-4</c:v>
                </c:pt>
                <c:pt idx="1">
                  <c:v>6.9388939039072284E-18</c:v>
                </c:pt>
                <c:pt idx="2">
                  <c:v>6.9388939039072284E-18</c:v>
                </c:pt>
                <c:pt idx="3">
                  <c:v>9.8666666667024394E-5</c:v>
                </c:pt>
                <c:pt idx="4">
                  <c:v>-4.7999999999989718E-4</c:v>
                </c:pt>
                <c:pt idx="5">
                  <c:v>1.3833333333339301E-4</c:v>
                </c:pt>
                <c:pt idx="6">
                  <c:v>4.8033333333299949E-4</c:v>
                </c:pt>
                <c:pt idx="7">
                  <c:v>-4.4080346666666709E-4</c:v>
                </c:pt>
                <c:pt idx="8">
                  <c:v>2.6550746666680232E-4</c:v>
                </c:pt>
                <c:pt idx="9">
                  <c:v>4.2644279999998203E-4</c:v>
                </c:pt>
                <c:pt idx="10">
                  <c:v>-3.5928826666797859E-4</c:v>
                </c:pt>
                <c:pt idx="11">
                  <c:v>-2.2030986666499161E-4</c:v>
                </c:pt>
                <c:pt idx="12">
                  <c:v>8.1407333331728893E-5</c:v>
                </c:pt>
                <c:pt idx="13">
                  <c:v>-1.925010666650184E-4</c:v>
                </c:pt>
                <c:pt idx="14">
                  <c:v>1.105451999998674E-4</c:v>
                </c:pt>
                <c:pt idx="15">
                  <c:v>-0.38868075666666679</c:v>
                </c:pt>
                <c:pt idx="16">
                  <c:v>-1.1240490649333379</c:v>
                </c:pt>
                <c:pt idx="17">
                  <c:v>-2.3434109336</c:v>
                </c:pt>
                <c:pt idx="18">
                  <c:v>-2.455646696000001</c:v>
                </c:pt>
                <c:pt idx="19">
                  <c:v>-2.6718347394666648</c:v>
                </c:pt>
                <c:pt idx="20">
                  <c:v>-2.9906429430666681</c:v>
                </c:pt>
                <c:pt idx="21">
                  <c:v>-3.1201671212000002</c:v>
                </c:pt>
                <c:pt idx="22">
                  <c:v>-3.3296445913333339</c:v>
                </c:pt>
                <c:pt idx="23">
                  <c:v>-3.231158042133333</c:v>
                </c:pt>
                <c:pt idx="24">
                  <c:v>-3.4074813290666679</c:v>
                </c:pt>
                <c:pt idx="25">
                  <c:v>-3.2517836720000002</c:v>
                </c:pt>
                <c:pt idx="26">
                  <c:v>-3.2229816819999999</c:v>
                </c:pt>
                <c:pt idx="27">
                  <c:v>-2.7361100608000011</c:v>
                </c:pt>
                <c:pt idx="28">
                  <c:v>-2.7010292932</c:v>
                </c:pt>
                <c:pt idx="29">
                  <c:v>-2.7364858397333349</c:v>
                </c:pt>
                <c:pt idx="30">
                  <c:v>-1.2535124948</c:v>
                </c:pt>
                <c:pt idx="31">
                  <c:v>-1.4084545205333381</c:v>
                </c:pt>
                <c:pt idx="32">
                  <c:v>-1.968046390666665</c:v>
                </c:pt>
                <c:pt idx="33">
                  <c:v>-1.7522062729333321</c:v>
                </c:pt>
                <c:pt idx="34">
                  <c:v>-1.3779413939999989</c:v>
                </c:pt>
                <c:pt idx="35">
                  <c:v>-1.150330187866667</c:v>
                </c:pt>
                <c:pt idx="36">
                  <c:v>-0.42048270133333498</c:v>
                </c:pt>
                <c:pt idx="37">
                  <c:v>-0.40380182599999997</c:v>
                </c:pt>
                <c:pt idx="38">
                  <c:v>-0.1484083477333332</c:v>
                </c:pt>
                <c:pt idx="39">
                  <c:v>-3.2817333329715481E-6</c:v>
                </c:pt>
                <c:pt idx="40">
                  <c:v>1.205570666663047E-4</c:v>
                </c:pt>
                <c:pt idx="41">
                  <c:v>-2.1333333333040109E-5</c:v>
                </c:pt>
                <c:pt idx="42">
                  <c:v>6.9388939039072284E-18</c:v>
                </c:pt>
                <c:pt idx="43">
                  <c:v>-4.8399999999999832E-4</c:v>
                </c:pt>
                <c:pt idx="44">
                  <c:v>-6.7666666667021147E-5</c:v>
                </c:pt>
                <c:pt idx="45">
                  <c:v>2.6666666666699812E-4</c:v>
                </c:pt>
                <c:pt idx="46">
                  <c:v>-1.2666666666993899E-5</c:v>
                </c:pt>
                <c:pt idx="47">
                  <c:v>-3.6866666666698911E-4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7B-4901-A5EC-1DAB6992060C}"/>
            </c:ext>
          </c:extLst>
        </c:ser>
        <c:ser>
          <c:idx val="6"/>
          <c:order val="6"/>
          <c:tx>
            <c:v>BES_TR4_one299_B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-8.5333333332993089E-5</c:v>
                </c:pt>
                <c:pt idx="1">
                  <c:v>0</c:v>
                </c:pt>
                <c:pt idx="2">
                  <c:v>4.0000000000039997E-5</c:v>
                </c:pt>
                <c:pt idx="3">
                  <c:v>-2.8399999999999259E-4</c:v>
                </c:pt>
                <c:pt idx="4">
                  <c:v>-3.8399999999999551E-4</c:v>
                </c:pt>
                <c:pt idx="5">
                  <c:v>8.9333333332997089E-5</c:v>
                </c:pt>
                <c:pt idx="6">
                  <c:v>4.4000000000002371E-5</c:v>
                </c:pt>
                <c:pt idx="7">
                  <c:v>-3.3547013333365411E-4</c:v>
                </c:pt>
                <c:pt idx="8">
                  <c:v>-8.7492533333205502E-5</c:v>
                </c:pt>
                <c:pt idx="9">
                  <c:v>4.2644280000000978E-4</c:v>
                </c:pt>
                <c:pt idx="10">
                  <c:v>3.7771173333198132E-4</c:v>
                </c:pt>
                <c:pt idx="11">
                  <c:v>1.7635680000116499E-4</c:v>
                </c:pt>
                <c:pt idx="12">
                  <c:v>-3.7859266666817598E-4</c:v>
                </c:pt>
                <c:pt idx="13">
                  <c:v>-2.218343999988992E-4</c:v>
                </c:pt>
                <c:pt idx="14">
                  <c:v>-3.7245480000014369E-4</c:v>
                </c:pt>
                <c:pt idx="15">
                  <c:v>-1.517566666666692E-4</c:v>
                </c:pt>
                <c:pt idx="16">
                  <c:v>-0.59004873160000115</c:v>
                </c:pt>
                <c:pt idx="17">
                  <c:v>-2.3049509335999998</c:v>
                </c:pt>
                <c:pt idx="18">
                  <c:v>-2.4457570293333348</c:v>
                </c:pt>
                <c:pt idx="19">
                  <c:v>-2.6527700727999992</c:v>
                </c:pt>
                <c:pt idx="20">
                  <c:v>-2.976648843066668</c:v>
                </c:pt>
                <c:pt idx="21">
                  <c:v>-2.3778397878666668</c:v>
                </c:pt>
                <c:pt idx="22">
                  <c:v>-2.7315965913333349</c:v>
                </c:pt>
                <c:pt idx="23">
                  <c:v>-2.5580653754666671</c:v>
                </c:pt>
                <c:pt idx="24">
                  <c:v>-2.530355995733335</c:v>
                </c:pt>
                <c:pt idx="25">
                  <c:v>-3.2261700053333331</c:v>
                </c:pt>
                <c:pt idx="26">
                  <c:v>-3.1119158153333331</c:v>
                </c:pt>
                <c:pt idx="27">
                  <c:v>-3.1339716608000008</c:v>
                </c:pt>
                <c:pt idx="28">
                  <c:v>-3.0135078931999999</c:v>
                </c:pt>
                <c:pt idx="29">
                  <c:v>-2.670254173066668</c:v>
                </c:pt>
                <c:pt idx="30">
                  <c:v>-2.579243828133333</c:v>
                </c:pt>
                <c:pt idx="31">
                  <c:v>-2.2986551872000009</c:v>
                </c:pt>
                <c:pt idx="32">
                  <c:v>-1.9760400573333321</c:v>
                </c:pt>
                <c:pt idx="33">
                  <c:v>-1.6410812729333319</c:v>
                </c:pt>
                <c:pt idx="34">
                  <c:v>-1.4872117273333321</c:v>
                </c:pt>
                <c:pt idx="35">
                  <c:v>-1.0576582878666669</c:v>
                </c:pt>
                <c:pt idx="36">
                  <c:v>-0.85039493466666805</c:v>
                </c:pt>
                <c:pt idx="37">
                  <c:v>-2.2747260000000051E-3</c:v>
                </c:pt>
                <c:pt idx="38">
                  <c:v>-4.8208106666325362E-4</c:v>
                </c:pt>
                <c:pt idx="39">
                  <c:v>3.9771826666701321E-4</c:v>
                </c:pt>
                <c:pt idx="40">
                  <c:v>3.2390400000331658E-5</c:v>
                </c:pt>
                <c:pt idx="41">
                  <c:v>5.6000000000028249E-5</c:v>
                </c:pt>
                <c:pt idx="42">
                  <c:v>-4.3400000000000377E-4</c:v>
                </c:pt>
                <c:pt idx="43">
                  <c:v>2.4733333333298862E-4</c:v>
                </c:pt>
                <c:pt idx="44">
                  <c:v>-6.3999999999980739E-5</c:v>
                </c:pt>
                <c:pt idx="45">
                  <c:v>-4.3400000000000377E-4</c:v>
                </c:pt>
                <c:pt idx="46">
                  <c:v>2.4733333333298862E-4</c:v>
                </c:pt>
                <c:pt idx="47">
                  <c:v>1.6499999999999851E-4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7B-4901-A5EC-1DAB6992060C}"/>
            </c:ext>
          </c:extLst>
        </c:ser>
        <c:ser>
          <c:idx val="7"/>
          <c:order val="7"/>
          <c:tx>
            <c:v>BES_TR4_one320_B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-4.2533333333300011E-4</c:v>
                </c:pt>
                <c:pt idx="1">
                  <c:v>0</c:v>
                </c:pt>
                <c:pt idx="2">
                  <c:v>-2.7066666666697442E-4</c:v>
                </c:pt>
                <c:pt idx="3">
                  <c:v>-1.5466666666701101E-4</c:v>
                </c:pt>
                <c:pt idx="4">
                  <c:v>0</c:v>
                </c:pt>
                <c:pt idx="5">
                  <c:v>-2.3200000000001E-4</c:v>
                </c:pt>
                <c:pt idx="6">
                  <c:v>-1.933333333330178E-4</c:v>
                </c:pt>
                <c:pt idx="7">
                  <c:v>-1.5050216666666341E-4</c:v>
                </c:pt>
                <c:pt idx="8">
                  <c:v>-3.5472450000023642E-4</c:v>
                </c:pt>
                <c:pt idx="9">
                  <c:v>4.868600833329885E-4</c:v>
                </c:pt>
                <c:pt idx="10">
                  <c:v>-3.3768016666749218E-4</c:v>
                </c:pt>
                <c:pt idx="11">
                  <c:v>3.1943133333423018E-4</c:v>
                </c:pt>
                <c:pt idx="12">
                  <c:v>-3.5512041666757588E-4</c:v>
                </c:pt>
                <c:pt idx="13">
                  <c:v>4.1177016666749111E-4</c:v>
                </c:pt>
                <c:pt idx="14">
                  <c:v>-2.2465925000003659E-4</c:v>
                </c:pt>
                <c:pt idx="15">
                  <c:v>-2.959729166671643E-4</c:v>
                </c:pt>
                <c:pt idx="16">
                  <c:v>-4.7654058333490568E-4</c:v>
                </c:pt>
                <c:pt idx="17">
                  <c:v>-0.21340683350000009</c:v>
                </c:pt>
                <c:pt idx="18">
                  <c:v>-1.275033268333335</c:v>
                </c:pt>
                <c:pt idx="19">
                  <c:v>-1.3206969621666651</c:v>
                </c:pt>
                <c:pt idx="20">
                  <c:v>-1.65576792275</c:v>
                </c:pt>
                <c:pt idx="21">
                  <c:v>-1.6513830340833331</c:v>
                </c:pt>
                <c:pt idx="22">
                  <c:v>-1.894739202916667</c:v>
                </c:pt>
                <c:pt idx="23">
                  <c:v>-1.647981859666666</c:v>
                </c:pt>
                <c:pt idx="24">
                  <c:v>-1.664086497333334</c:v>
                </c:pt>
                <c:pt idx="25">
                  <c:v>-1.900416378333333</c:v>
                </c:pt>
                <c:pt idx="26">
                  <c:v>-1.829216717916667</c:v>
                </c:pt>
                <c:pt idx="27">
                  <c:v>-1.694277088</c:v>
                </c:pt>
                <c:pt idx="28">
                  <c:v>-1.8329594332500001</c:v>
                </c:pt>
                <c:pt idx="29">
                  <c:v>-1.5577241248333351</c:v>
                </c:pt>
                <c:pt idx="30">
                  <c:v>-1.600192375916667</c:v>
                </c:pt>
                <c:pt idx="31">
                  <c:v>-1.298743308666668</c:v>
                </c:pt>
                <c:pt idx="32">
                  <c:v>-0.76652850249999915</c:v>
                </c:pt>
                <c:pt idx="33">
                  <c:v>-0.47473267891666687</c:v>
                </c:pt>
                <c:pt idx="34">
                  <c:v>-4.1066291666247418E-4</c:v>
                </c:pt>
                <c:pt idx="35">
                  <c:v>-2.2517991666015649E-4</c:v>
                </c:pt>
                <c:pt idx="36">
                  <c:v>-4.577508333376556E-4</c:v>
                </c:pt>
                <c:pt idx="37">
                  <c:v>-6.5303750000016147E-5</c:v>
                </c:pt>
                <c:pt idx="38">
                  <c:v>4.7953266666680983E-4</c:v>
                </c:pt>
                <c:pt idx="39">
                  <c:v>3.930322500000083E-4</c:v>
                </c:pt>
                <c:pt idx="40">
                  <c:v>3.4030650000327339E-4</c:v>
                </c:pt>
                <c:pt idx="41">
                  <c:v>2.4736833333333301</c:v>
                </c:pt>
                <c:pt idx="42">
                  <c:v>2.4752606666666699</c:v>
                </c:pt>
                <c:pt idx="43">
                  <c:v>0.41860166666666698</c:v>
                </c:pt>
                <c:pt idx="44">
                  <c:v>0.441732666666667</c:v>
                </c:pt>
                <c:pt idx="45">
                  <c:v>0.17060819999999999</c:v>
                </c:pt>
                <c:pt idx="46">
                  <c:v>5.6000000000000001E-2</c:v>
                </c:pt>
                <c:pt idx="47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7B-4901-A5EC-1DAB6992060C}"/>
            </c:ext>
          </c:extLst>
        </c:ser>
        <c:ser>
          <c:idx val="8"/>
          <c:order val="8"/>
          <c:tx>
            <c:v>BES_TR4_one321_C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-8.7333333332995089E-5</c:v>
                </c:pt>
                <c:pt idx="1">
                  <c:v>2.6100000000001122E-4</c:v>
                </c:pt>
                <c:pt idx="2">
                  <c:v>0</c:v>
                </c:pt>
                <c:pt idx="3">
                  <c:v>-1.873333333330118E-4</c:v>
                </c:pt>
                <c:pt idx="4">
                  <c:v>0</c:v>
                </c:pt>
                <c:pt idx="5">
                  <c:v>0</c:v>
                </c:pt>
                <c:pt idx="6">
                  <c:v>-4.8999999999993493E-5</c:v>
                </c:pt>
                <c:pt idx="7">
                  <c:v>-2.8883549999995928E-4</c:v>
                </c:pt>
                <c:pt idx="8">
                  <c:v>-8.4057833333251591E-5</c:v>
                </c:pt>
                <c:pt idx="9">
                  <c:v>4.5419341666698421E-4</c:v>
                </c:pt>
                <c:pt idx="10">
                  <c:v>-3.3768016666751999E-4</c:v>
                </c:pt>
                <c:pt idx="11">
                  <c:v>-1.6556866666544989E-4</c:v>
                </c:pt>
                <c:pt idx="12">
                  <c:v>3.6787958333250881E-4</c:v>
                </c:pt>
                <c:pt idx="13">
                  <c:v>4.1177016666760208E-4</c:v>
                </c:pt>
                <c:pt idx="14">
                  <c:v>-2.2465925000014761E-4</c:v>
                </c:pt>
                <c:pt idx="15">
                  <c:v>-3.2863958333284588E-4</c:v>
                </c:pt>
                <c:pt idx="16">
                  <c:v>-2.0587391666793131E-4</c:v>
                </c:pt>
                <c:pt idx="17">
                  <c:v>-9.0455833500000082E-2</c:v>
                </c:pt>
                <c:pt idx="18">
                  <c:v>-1.5049879350000011</c:v>
                </c:pt>
                <c:pt idx="19">
                  <c:v>-1.798989628833332</c:v>
                </c:pt>
                <c:pt idx="20">
                  <c:v>-1.860871589416667</c:v>
                </c:pt>
                <c:pt idx="21">
                  <c:v>-1.9348870340833331</c:v>
                </c:pt>
                <c:pt idx="22">
                  <c:v>-2.0606112029166672</c:v>
                </c:pt>
                <c:pt idx="23">
                  <c:v>-1.935829859666667</c:v>
                </c:pt>
                <c:pt idx="24">
                  <c:v>-1.9650408306666669</c:v>
                </c:pt>
                <c:pt idx="25">
                  <c:v>-1.939876378333333</c:v>
                </c:pt>
                <c:pt idx="26">
                  <c:v>-0.61738905125000021</c:v>
                </c:pt>
                <c:pt idx="27">
                  <c:v>-1.2474674546666671</c:v>
                </c:pt>
                <c:pt idx="28">
                  <c:v>-1.627580099916667</c:v>
                </c:pt>
                <c:pt idx="29">
                  <c:v>-1.7050071915000009</c:v>
                </c:pt>
                <c:pt idx="30">
                  <c:v>-1.6194553092499999</c:v>
                </c:pt>
                <c:pt idx="31">
                  <c:v>-1.2365509086666679</c:v>
                </c:pt>
                <c:pt idx="32">
                  <c:v>-0.92340903583333211</c:v>
                </c:pt>
                <c:pt idx="33">
                  <c:v>-0.76829921224999898</c:v>
                </c:pt>
                <c:pt idx="34">
                  <c:v>-0.55608899624999952</c:v>
                </c:pt>
                <c:pt idx="35">
                  <c:v>-0.50681517991666702</c:v>
                </c:pt>
                <c:pt idx="36">
                  <c:v>-3.4266417500000479E-2</c:v>
                </c:pt>
                <c:pt idx="37">
                  <c:v>-0.125333537083333</c:v>
                </c:pt>
                <c:pt idx="38">
                  <c:v>-1.6111467333333181E-2</c:v>
                </c:pt>
                <c:pt idx="39">
                  <c:v>-2.4663441666600278E-4</c:v>
                </c:pt>
                <c:pt idx="40">
                  <c:v>-4.0693499999577831E-5</c:v>
                </c:pt>
                <c:pt idx="41">
                  <c:v>-6.6666666670434083E-6</c:v>
                </c:pt>
                <c:pt idx="42">
                  <c:v>2.7566666666600792E-4</c:v>
                </c:pt>
                <c:pt idx="43">
                  <c:v>1.506666666669654E-4</c:v>
                </c:pt>
                <c:pt idx="44">
                  <c:v>8.3333333333990289E-5</c:v>
                </c:pt>
                <c:pt idx="45">
                  <c:v>1.076666666669501E-4</c:v>
                </c:pt>
                <c:pt idx="46">
                  <c:v>-2.2766666666669541E-4</c:v>
                </c:pt>
                <c:pt idx="47">
                  <c:v>4.0333333333003603E-5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7B-4901-A5EC-1DAB6992060C}"/>
            </c:ext>
          </c:extLst>
        </c:ser>
        <c:ser>
          <c:idx val="9"/>
          <c:order val="9"/>
          <c:tx>
            <c:v>BES_TR4_one328_A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-2.033333333301135E-5</c:v>
                </c:pt>
                <c:pt idx="1">
                  <c:v>-1.4666666666601769E-4</c:v>
                </c:pt>
                <c:pt idx="2">
                  <c:v>-2.226666666670096E-4</c:v>
                </c:pt>
                <c:pt idx="3">
                  <c:v>0</c:v>
                </c:pt>
                <c:pt idx="4">
                  <c:v>-3.4000000000006247E-5</c:v>
                </c:pt>
                <c:pt idx="5">
                  <c:v>-2.226666666670096E-4</c:v>
                </c:pt>
                <c:pt idx="6">
                  <c:v>-4.210000000000047E-4</c:v>
                </c:pt>
                <c:pt idx="7">
                  <c:v>4.76196533333334E-4</c:v>
                </c:pt>
                <c:pt idx="8">
                  <c:v>-4.5615920000020849E-4</c:v>
                </c:pt>
                <c:pt idx="9">
                  <c:v>3.6144280000000029E-4</c:v>
                </c:pt>
                <c:pt idx="10">
                  <c:v>4.3704506666497611E-4</c:v>
                </c:pt>
                <c:pt idx="11">
                  <c:v>1.080234666680502E-4</c:v>
                </c:pt>
                <c:pt idx="12">
                  <c:v>-4.9459266666807E-4</c:v>
                </c:pt>
                <c:pt idx="13">
                  <c:v>-3.878343999990097E-4</c:v>
                </c:pt>
                <c:pt idx="14">
                  <c:v>4.0545199999852948E-5</c:v>
                </c:pt>
                <c:pt idx="15">
                  <c:v>-4.140900000000336E-4</c:v>
                </c:pt>
                <c:pt idx="16">
                  <c:v>-1.284798064933335</c:v>
                </c:pt>
                <c:pt idx="17">
                  <c:v>-2.4826509336</c:v>
                </c:pt>
                <c:pt idx="18">
                  <c:v>-2.5115410293333351</c:v>
                </c:pt>
                <c:pt idx="19">
                  <c:v>-2.8816744061333321</c:v>
                </c:pt>
                <c:pt idx="20">
                  <c:v>-3.086008943066668</c:v>
                </c:pt>
                <c:pt idx="21">
                  <c:v>-3.016667787866667</c:v>
                </c:pt>
                <c:pt idx="22">
                  <c:v>-3.3098719246666679</c:v>
                </c:pt>
                <c:pt idx="23">
                  <c:v>-3.2665593754666671</c:v>
                </c:pt>
                <c:pt idx="24">
                  <c:v>-3.2637453290666678</c:v>
                </c:pt>
                <c:pt idx="25">
                  <c:v>-3.0982068053333331</c:v>
                </c:pt>
                <c:pt idx="26">
                  <c:v>-3.0924561486666668</c:v>
                </c:pt>
                <c:pt idx="27">
                  <c:v>-3.1373993274666678</c:v>
                </c:pt>
                <c:pt idx="28">
                  <c:v>-2.9341192265333329</c:v>
                </c:pt>
                <c:pt idx="29">
                  <c:v>-2.729253506400001</c:v>
                </c:pt>
                <c:pt idx="30">
                  <c:v>-2.555779428133333</c:v>
                </c:pt>
                <c:pt idx="31">
                  <c:v>-2.2609571872000012</c:v>
                </c:pt>
                <c:pt idx="32">
                  <c:v>-1.9497617239999989</c:v>
                </c:pt>
                <c:pt idx="33">
                  <c:v>-1.7285912729333319</c:v>
                </c:pt>
                <c:pt idx="34">
                  <c:v>-1.0497737273333321</c:v>
                </c:pt>
                <c:pt idx="35">
                  <c:v>-0.91440262120000004</c:v>
                </c:pt>
                <c:pt idx="36">
                  <c:v>-0.83732693466666808</c:v>
                </c:pt>
                <c:pt idx="37">
                  <c:v>-0.44246772600000012</c:v>
                </c:pt>
                <c:pt idx="38">
                  <c:v>-0.17241774773333321</c:v>
                </c:pt>
                <c:pt idx="39">
                  <c:v>-2.5018615066666691E-2</c:v>
                </c:pt>
                <c:pt idx="40">
                  <c:v>2.6322373333331761E-4</c:v>
                </c:pt>
                <c:pt idx="41">
                  <c:v>9.2666666667018394E-5</c:v>
                </c:pt>
                <c:pt idx="42">
                  <c:v>2.1333333332998469E-5</c:v>
                </c:pt>
                <c:pt idx="43">
                  <c:v>3.6866666666698911E-4</c:v>
                </c:pt>
                <c:pt idx="44">
                  <c:v>-3.9933333333300181E-4</c:v>
                </c:pt>
                <c:pt idx="45">
                  <c:v>-4.5200000000000801E-4</c:v>
                </c:pt>
                <c:pt idx="46">
                  <c:v>5.3999999999998487E-5</c:v>
                </c:pt>
                <c:pt idx="47">
                  <c:v>1.4133333333329889E-4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7B-4901-A5EC-1DAB6992060C}"/>
            </c:ext>
          </c:extLst>
        </c:ser>
        <c:ser>
          <c:idx val="10"/>
          <c:order val="10"/>
          <c:tx>
            <c:v>BES_TR4_one345_A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-3.4933333333297961E-4</c:v>
                </c:pt>
                <c:pt idx="1">
                  <c:v>-4.1066666666700341E-4</c:v>
                </c:pt>
                <c:pt idx="2">
                  <c:v>0</c:v>
                </c:pt>
                <c:pt idx="3">
                  <c:v>0</c:v>
                </c:pt>
                <c:pt idx="4">
                  <c:v>-3.5466666666697511E-4</c:v>
                </c:pt>
                <c:pt idx="5">
                  <c:v>-5.6000000000000487E-5</c:v>
                </c:pt>
                <c:pt idx="6">
                  <c:v>-7.4666666666695081E-5</c:v>
                </c:pt>
                <c:pt idx="7">
                  <c:v>8.3397399999990407E-5</c:v>
                </c:pt>
                <c:pt idx="8">
                  <c:v>-3.0086939999990348E-4</c:v>
                </c:pt>
                <c:pt idx="9">
                  <c:v>-3.2883456666700511E-4</c:v>
                </c:pt>
                <c:pt idx="10">
                  <c:v>-1.1721620000104679E-4</c:v>
                </c:pt>
                <c:pt idx="11">
                  <c:v>-3.9348239999892343E-4</c:v>
                </c:pt>
                <c:pt idx="12">
                  <c:v>-3.4961116666809572E-4</c:v>
                </c:pt>
                <c:pt idx="13">
                  <c:v>-3.0587579999896702E-4</c:v>
                </c:pt>
                <c:pt idx="14">
                  <c:v>-4.7049110000019212E-4</c:v>
                </c:pt>
                <c:pt idx="15">
                  <c:v>3.0443249999989602E-4</c:v>
                </c:pt>
                <c:pt idx="16">
                  <c:v>-1.2271536666785821E-4</c:v>
                </c:pt>
                <c:pt idx="17">
                  <c:v>-0.47321820019999999</c:v>
                </c:pt>
                <c:pt idx="18">
                  <c:v>-1.7968305220000009</c:v>
                </c:pt>
                <c:pt idx="19">
                  <c:v>-0.77902522126666884</c:v>
                </c:pt>
                <c:pt idx="20">
                  <c:v>-2.1428953739666681</c:v>
                </c:pt>
                <c:pt idx="21">
                  <c:v>-1.9768361742333329</c:v>
                </c:pt>
                <c:pt idx="22">
                  <c:v>-2.1690804435000008</c:v>
                </c:pt>
                <c:pt idx="23">
                  <c:v>-2.0137136982666668</c:v>
                </c:pt>
                <c:pt idx="24">
                  <c:v>-2.3309693301333341</c:v>
                </c:pt>
                <c:pt idx="25">
                  <c:v>-2.2097059206666669</c:v>
                </c:pt>
                <c:pt idx="26">
                  <c:v>-1.512689194833333</c:v>
                </c:pt>
                <c:pt idx="27">
                  <c:v>-1.0645674122666711</c:v>
                </c:pt>
                <c:pt idx="28">
                  <c:v>-0.87588558656667015</c:v>
                </c:pt>
                <c:pt idx="29">
                  <c:v>-2.019462296466668</c:v>
                </c:pt>
                <c:pt idx="30">
                  <c:v>-1.7543257044333329</c:v>
                </c:pt>
                <c:pt idx="31">
                  <c:v>-1.720799890400001</c:v>
                </c:pt>
                <c:pt idx="32">
                  <c:v>-1.5274433763333319</c:v>
                </c:pt>
                <c:pt idx="33">
                  <c:v>-1.1753707880333319</c:v>
                </c:pt>
                <c:pt idx="34">
                  <c:v>-1.0994087954999989</c:v>
                </c:pt>
                <c:pt idx="35">
                  <c:v>-0.53829021590000004</c:v>
                </c:pt>
                <c:pt idx="36">
                  <c:v>-3.7803433333116748E-4</c:v>
                </c:pt>
                <c:pt idx="37">
                  <c:v>4.8028883333334221E-4</c:v>
                </c:pt>
                <c:pt idx="38">
                  <c:v>-7.1316560799999928E-2</c:v>
                </c:pt>
                <c:pt idx="39">
                  <c:v>-9.9294633333024684E-5</c:v>
                </c:pt>
                <c:pt idx="40">
                  <c:v>-4.3549886666693899E-4</c:v>
                </c:pt>
                <c:pt idx="41">
                  <c:v>4.176666666669826E-4</c:v>
                </c:pt>
                <c:pt idx="42">
                  <c:v>4.359999999999919E-4</c:v>
                </c:pt>
                <c:pt idx="43">
                  <c:v>-9.2666666665963682E-5</c:v>
                </c:pt>
                <c:pt idx="44">
                  <c:v>-3.666666667068164E-6</c:v>
                </c:pt>
                <c:pt idx="45">
                  <c:v>-3.0733333333310409E-4</c:v>
                </c:pt>
                <c:pt idx="46">
                  <c:v>1.073333333330151E-4</c:v>
                </c:pt>
                <c:pt idx="47">
                  <c:v>-1.3066666666698701E-4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7B-4901-A5EC-1DAB6992060C}"/>
            </c:ext>
          </c:extLst>
        </c:ser>
        <c:ser>
          <c:idx val="11"/>
          <c:order val="11"/>
          <c:tx>
            <c:v>BES_TR4_one366_B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3.1299999999998002E-4</c:v>
                </c:pt>
                <c:pt idx="1">
                  <c:v>4.2333333333299811E-4</c:v>
                </c:pt>
                <c:pt idx="2">
                  <c:v>-1.656666666669804E-4</c:v>
                </c:pt>
                <c:pt idx="3">
                  <c:v>1.05999999999995E-4</c:v>
                </c:pt>
                <c:pt idx="4">
                  <c:v>4.6800000000002401E-4</c:v>
                </c:pt>
                <c:pt idx="5">
                  <c:v>3.7466666666699511E-4</c:v>
                </c:pt>
                <c:pt idx="6">
                  <c:v>4.679999999999962E-4</c:v>
                </c:pt>
                <c:pt idx="7">
                  <c:v>-1.638034666666677E-4</c:v>
                </c:pt>
                <c:pt idx="8">
                  <c:v>2.9917413333349798E-4</c:v>
                </c:pt>
                <c:pt idx="9">
                  <c:v>1.5977613333299781E-4</c:v>
                </c:pt>
                <c:pt idx="10">
                  <c:v>3.0104506666500658E-4</c:v>
                </c:pt>
                <c:pt idx="11">
                  <c:v>-2.3864319999900019E-4</c:v>
                </c:pt>
                <c:pt idx="12">
                  <c:v>-4.3092600000105291E-4</c:v>
                </c:pt>
                <c:pt idx="13">
                  <c:v>-3.0350106666499071E-4</c:v>
                </c:pt>
                <c:pt idx="14">
                  <c:v>4.2587853333309061E-4</c:v>
                </c:pt>
                <c:pt idx="15">
                  <c:v>-4.0775666666670318E-4</c:v>
                </c:pt>
                <c:pt idx="16">
                  <c:v>-1.379026398266668</c:v>
                </c:pt>
                <c:pt idx="17">
                  <c:v>-2.3499176002666671</c:v>
                </c:pt>
                <c:pt idx="18">
                  <c:v>-2.626402029333335</c:v>
                </c:pt>
                <c:pt idx="19">
                  <c:v>-2.6832460727999989</c:v>
                </c:pt>
                <c:pt idx="20">
                  <c:v>-3.0139029430666682</c:v>
                </c:pt>
                <c:pt idx="21">
                  <c:v>-3.1533364545333331</c:v>
                </c:pt>
                <c:pt idx="22">
                  <c:v>-3.089635924666668</c:v>
                </c:pt>
                <c:pt idx="23">
                  <c:v>-3.358728042133333</c:v>
                </c:pt>
                <c:pt idx="24">
                  <c:v>-3.220371995733335</c:v>
                </c:pt>
                <c:pt idx="25">
                  <c:v>-3.2151203386666669</c:v>
                </c:pt>
                <c:pt idx="26">
                  <c:v>-1.25019514866667</c:v>
                </c:pt>
                <c:pt idx="27">
                  <c:v>-2.7397039941333352</c:v>
                </c:pt>
                <c:pt idx="28">
                  <c:v>-2.9283672265333331</c:v>
                </c:pt>
                <c:pt idx="29">
                  <c:v>-2.6831842064000009</c:v>
                </c:pt>
                <c:pt idx="30">
                  <c:v>-2.5200551614666669</c:v>
                </c:pt>
                <c:pt idx="31">
                  <c:v>-2.0351311872000011</c:v>
                </c:pt>
                <c:pt idx="32">
                  <c:v>-1.5783487239999989</c:v>
                </c:pt>
                <c:pt idx="33">
                  <c:v>-1.6381086062666661</c:v>
                </c:pt>
                <c:pt idx="34">
                  <c:v>-1.073158193999999</c:v>
                </c:pt>
                <c:pt idx="35">
                  <c:v>-1.0344346212</c:v>
                </c:pt>
                <c:pt idx="36">
                  <c:v>-0.74900960133333505</c:v>
                </c:pt>
                <c:pt idx="37">
                  <c:v>-0.39581539266666699</c:v>
                </c:pt>
                <c:pt idx="38">
                  <c:v>-0.24221474773333321</c:v>
                </c:pt>
                <c:pt idx="39">
                  <c:v>-2.8794840000000849E-4</c:v>
                </c:pt>
                <c:pt idx="40">
                  <c:v>2.5489040000031832E-4</c:v>
                </c:pt>
                <c:pt idx="41">
                  <c:v>4.200000000000037E-4</c:v>
                </c:pt>
                <c:pt idx="42">
                  <c:v>-1.6200000000002321E-4</c:v>
                </c:pt>
                <c:pt idx="43">
                  <c:v>4.7266666666698209E-4</c:v>
                </c:pt>
                <c:pt idx="44">
                  <c:v>1.0100000000000391E-4</c:v>
                </c:pt>
                <c:pt idx="45">
                  <c:v>-1.5700000000001821E-4</c:v>
                </c:pt>
                <c:pt idx="46">
                  <c:v>-4.4656666666700873E-4</c:v>
                </c:pt>
                <c:pt idx="47">
                  <c:v>1.166666666670146E-4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07B-4901-A5EC-1DAB6992060C}"/>
            </c:ext>
          </c:extLst>
        </c:ser>
        <c:ser>
          <c:idx val="12"/>
          <c:order val="12"/>
          <c:tx>
            <c:v>BES_TR4_one410_B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3.8166666666700211E-4</c:v>
                </c:pt>
                <c:pt idx="1">
                  <c:v>-9.9999999999988987E-5</c:v>
                </c:pt>
                <c:pt idx="2">
                  <c:v>0</c:v>
                </c:pt>
                <c:pt idx="3">
                  <c:v>-4.800000000000082E-4</c:v>
                </c:pt>
                <c:pt idx="4">
                  <c:v>3.1099999999997801E-4</c:v>
                </c:pt>
                <c:pt idx="5">
                  <c:v>0</c:v>
                </c:pt>
                <c:pt idx="6">
                  <c:v>-3.4333333332997602E-5</c:v>
                </c:pt>
                <c:pt idx="7">
                  <c:v>-4.2763463333300722E-4</c:v>
                </c:pt>
                <c:pt idx="8">
                  <c:v>3.4956530000004871E-4</c:v>
                </c:pt>
                <c:pt idx="9">
                  <c:v>3.9324938333300252E-4</c:v>
                </c:pt>
                <c:pt idx="10">
                  <c:v>9.4791899999493653E-5</c:v>
                </c:pt>
                <c:pt idx="11">
                  <c:v>-8.7741199999463726E-5</c:v>
                </c:pt>
                <c:pt idx="12">
                  <c:v>-2.9213891666762798E-4</c:v>
                </c:pt>
                <c:pt idx="13">
                  <c:v>-1.52937899999539E-4</c:v>
                </c:pt>
                <c:pt idx="14">
                  <c:v>1.652044500000116E-4</c:v>
                </c:pt>
                <c:pt idx="15">
                  <c:v>4.8088291666703592E-4</c:v>
                </c:pt>
                <c:pt idx="16">
                  <c:v>-4.4785768333366338E-4</c:v>
                </c:pt>
                <c:pt idx="17">
                  <c:v>-3.3886676666650128E-4</c:v>
                </c:pt>
                <c:pt idx="18">
                  <c:v>-2.559610000000268E-4</c:v>
                </c:pt>
                <c:pt idx="19">
                  <c:v>-3.7017729999899718E-4</c:v>
                </c:pt>
                <c:pt idx="20">
                  <c:v>-1.068698333295259E-5</c:v>
                </c:pt>
                <c:pt idx="21">
                  <c:v>-1.6042044999986521E-4</c:v>
                </c:pt>
                <c:pt idx="22">
                  <c:v>-0.1127140550833331</c:v>
                </c:pt>
                <c:pt idx="23">
                  <c:v>-0.62225384913333304</c:v>
                </c:pt>
                <c:pt idx="24">
                  <c:v>-1.121589098400001</c:v>
                </c:pt>
                <c:pt idx="25">
                  <c:v>-1.0582854603333329</c:v>
                </c:pt>
                <c:pt idx="26">
                  <c:v>-1.112443864083333</c:v>
                </c:pt>
                <c:pt idx="27">
                  <c:v>-0.98235490613333298</c:v>
                </c:pt>
                <c:pt idx="28">
                  <c:v>-0.97643019328333303</c:v>
                </c:pt>
                <c:pt idx="29">
                  <c:v>-1.0081645815666671</c:v>
                </c:pt>
                <c:pt idx="30">
                  <c:v>-0.59110551888333396</c:v>
                </c:pt>
                <c:pt idx="31">
                  <c:v>-0.72300027853333348</c:v>
                </c:pt>
                <c:pt idx="32">
                  <c:v>-0.4678941881666655</c:v>
                </c:pt>
                <c:pt idx="33">
                  <c:v>-0.2187910606833324</c:v>
                </c:pt>
                <c:pt idx="34">
                  <c:v>-0.42595673108333237</c:v>
                </c:pt>
                <c:pt idx="35">
                  <c:v>-0.16375310795000009</c:v>
                </c:pt>
                <c:pt idx="36">
                  <c:v>-0.1231978505000005</c:v>
                </c:pt>
                <c:pt idx="37">
                  <c:v>-6.6661522249999994E-2</c:v>
                </c:pt>
                <c:pt idx="38">
                  <c:v>-3.3961373333285533E-4</c:v>
                </c:pt>
                <c:pt idx="39">
                  <c:v>-9.3313983332954376E-5</c:v>
                </c:pt>
                <c:pt idx="40">
                  <c:v>3.5858389999998691E-4</c:v>
                </c:pt>
                <c:pt idx="41">
                  <c:v>1.3399999999996751E-4</c:v>
                </c:pt>
                <c:pt idx="42">
                  <c:v>1.253333333329221E-4</c:v>
                </c:pt>
                <c:pt idx="43">
                  <c:v>1.6633333333399E-4</c:v>
                </c:pt>
                <c:pt idx="44">
                  <c:v>-4.7699999999994969E-4</c:v>
                </c:pt>
                <c:pt idx="45">
                  <c:v>4.3466666666702741E-4</c:v>
                </c:pt>
                <c:pt idx="46">
                  <c:v>3.9933333333300181E-4</c:v>
                </c:pt>
                <c:pt idx="47">
                  <c:v>1.5999999999999351E-4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7B-4901-A5EC-1DAB6992060C}"/>
            </c:ext>
          </c:extLst>
        </c:ser>
        <c:ser>
          <c:idx val="13"/>
          <c:order val="13"/>
          <c:tx>
            <c:v>BES_TR4_one50_A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-4.9599999999999644E-4</c:v>
                </c:pt>
                <c:pt idx="1">
                  <c:v>-1.653333333329898E-4</c:v>
                </c:pt>
                <c:pt idx="2">
                  <c:v>-1.7866666666702111E-4</c:v>
                </c:pt>
                <c:pt idx="3">
                  <c:v>4.800000000000082E-4</c:v>
                </c:pt>
                <c:pt idx="4">
                  <c:v>9.6000000000012742E-5</c:v>
                </c:pt>
                <c:pt idx="5">
                  <c:v>-2.8266666666698642E-4</c:v>
                </c:pt>
                <c:pt idx="6">
                  <c:v>3.386666666667093E-4</c:v>
                </c:pt>
                <c:pt idx="7">
                  <c:v>-7.2401733333310458E-5</c:v>
                </c:pt>
                <c:pt idx="8">
                  <c:v>-3.2579599999901787E-5</c:v>
                </c:pt>
                <c:pt idx="9">
                  <c:v>3.9055473333299631E-4</c:v>
                </c:pt>
                <c:pt idx="10">
                  <c:v>-3.0014413333399881E-4</c:v>
                </c:pt>
                <c:pt idx="11">
                  <c:v>3.254506666699325E-5</c:v>
                </c:pt>
                <c:pt idx="12">
                  <c:v>4.6417033333262531E-4</c:v>
                </c:pt>
                <c:pt idx="13">
                  <c:v>-3.1645053333301249E-4</c:v>
                </c:pt>
                <c:pt idx="14">
                  <c:v>-1.4559406667005731E-4</c:v>
                </c:pt>
                <c:pt idx="15">
                  <c:v>-6.1911666669800525E-5</c:v>
                </c:pt>
                <c:pt idx="16">
                  <c:v>-1.680324666641364E-4</c:v>
                </c:pt>
                <c:pt idx="17">
                  <c:v>1.491998666669492E-4</c:v>
                </c:pt>
                <c:pt idx="18">
                  <c:v>1.596519999988999E-4</c:v>
                </c:pt>
                <c:pt idx="19">
                  <c:v>-3.0036973333258388E-4</c:v>
                </c:pt>
                <c:pt idx="20">
                  <c:v>-6.3138200000922851E-5</c:v>
                </c:pt>
                <c:pt idx="21">
                  <c:v>2.1943939999991E-4</c:v>
                </c:pt>
                <c:pt idx="22">
                  <c:v>-1.205488962333334</c:v>
                </c:pt>
                <c:pt idx="23">
                  <c:v>-1.550308687733333</c:v>
                </c:pt>
                <c:pt idx="24">
                  <c:v>-1.5231539978666671</c:v>
                </c:pt>
                <c:pt idx="25">
                  <c:v>-1.5708225026666669</c:v>
                </c:pt>
                <c:pt idx="26">
                  <c:v>-1.4850478743333331</c:v>
                </c:pt>
                <c:pt idx="27">
                  <c:v>-1.372083397066667</c:v>
                </c:pt>
                <c:pt idx="28">
                  <c:v>-1.3672256465999999</c:v>
                </c:pt>
                <c:pt idx="29">
                  <c:v>-1.2449224198666671</c:v>
                </c:pt>
                <c:pt idx="30">
                  <c:v>-1.1525409140666669</c:v>
                </c:pt>
                <c:pt idx="31">
                  <c:v>-1.0671785936000009</c:v>
                </c:pt>
                <c:pt idx="32">
                  <c:v>-0.85540002866666587</c:v>
                </c:pt>
                <c:pt idx="33">
                  <c:v>-0.86090963646666596</c:v>
                </c:pt>
                <c:pt idx="34">
                  <c:v>-0.41689019699999902</c:v>
                </c:pt>
                <c:pt idx="35">
                  <c:v>-0.48294147726666697</c:v>
                </c:pt>
                <c:pt idx="36">
                  <c:v>-0.31603180066666697</c:v>
                </c:pt>
                <c:pt idx="37">
                  <c:v>-0.132245363</c:v>
                </c:pt>
                <c:pt idx="38">
                  <c:v>-7.0610405333335902E-3</c:v>
                </c:pt>
                <c:pt idx="39">
                  <c:v>1.026924666669982E-4</c:v>
                </c:pt>
                <c:pt idx="40">
                  <c:v>-2.6322146666632462E-4</c:v>
                </c:pt>
                <c:pt idx="41">
                  <c:v>-1.03999999999993E-4</c:v>
                </c:pt>
                <c:pt idx="42">
                  <c:v>-1.046666666670026E-4</c:v>
                </c:pt>
                <c:pt idx="43">
                  <c:v>2.199999999999425E-5</c:v>
                </c:pt>
                <c:pt idx="44">
                  <c:v>2.9666666666700042E-4</c:v>
                </c:pt>
                <c:pt idx="45">
                  <c:v>7.5666666666029947E-5</c:v>
                </c:pt>
                <c:pt idx="46">
                  <c:v>4.2533333333320822E-4</c:v>
                </c:pt>
                <c:pt idx="47">
                  <c:v>-2.0799999999999991E-4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07B-4901-A5EC-1DAB6992060C}"/>
            </c:ext>
          </c:extLst>
        </c:ser>
        <c:ser>
          <c:idx val="14"/>
          <c:order val="14"/>
          <c:tx>
            <c:v>BES_TR4_one416_C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2.5883226666811859E-4</c:v>
                </c:pt>
                <c:pt idx="14">
                  <c:v>-3.294548000001285E-4</c:v>
                </c:pt>
                <c:pt idx="15">
                  <c:v>-1.2886260899999999</c:v>
                </c:pt>
                <c:pt idx="16">
                  <c:v>-2.2123293982666681</c:v>
                </c:pt>
                <c:pt idx="17">
                  <c:v>-2.3713662669333329</c:v>
                </c:pt>
                <c:pt idx="18">
                  <c:v>-2.637500362666668</c:v>
                </c:pt>
                <c:pt idx="19">
                  <c:v>-2.8703414061333321</c:v>
                </c:pt>
                <c:pt idx="20">
                  <c:v>-3.0880089430666682</c:v>
                </c:pt>
                <c:pt idx="21">
                  <c:v>-3.2313051212000001</c:v>
                </c:pt>
                <c:pt idx="22">
                  <c:v>-3.3329779246666682</c:v>
                </c:pt>
                <c:pt idx="23">
                  <c:v>-3.3655667087999999</c:v>
                </c:pt>
                <c:pt idx="24">
                  <c:v>-3.3027413290666678</c:v>
                </c:pt>
                <c:pt idx="25">
                  <c:v>-3.2591183386666671</c:v>
                </c:pt>
                <c:pt idx="26">
                  <c:v>-3.2831584820000002</c:v>
                </c:pt>
                <c:pt idx="27">
                  <c:v>-2.7698143274666678</c:v>
                </c:pt>
                <c:pt idx="28">
                  <c:v>-3.0108412265333331</c:v>
                </c:pt>
                <c:pt idx="29">
                  <c:v>-2.8161901730666679</c:v>
                </c:pt>
                <c:pt idx="30">
                  <c:v>-2.5801108281333329</c:v>
                </c:pt>
                <c:pt idx="31">
                  <c:v>-2.245679853866668</c:v>
                </c:pt>
                <c:pt idx="32">
                  <c:v>-1.8995324573333321</c:v>
                </c:pt>
                <c:pt idx="33">
                  <c:v>-1.6956732729333319</c:v>
                </c:pt>
                <c:pt idx="34">
                  <c:v>-1.447760793999999</c:v>
                </c:pt>
                <c:pt idx="35">
                  <c:v>-0.95718962120000006</c:v>
                </c:pt>
                <c:pt idx="36">
                  <c:v>-0.79991693466666802</c:v>
                </c:pt>
                <c:pt idx="37">
                  <c:v>-0.52020472600000001</c:v>
                </c:pt>
                <c:pt idx="38">
                  <c:v>-0.14892408106666619</c:v>
                </c:pt>
                <c:pt idx="39">
                  <c:v>1.0938493333301209E-4</c:v>
                </c:pt>
                <c:pt idx="40">
                  <c:v>2.245570666673524E-4</c:v>
                </c:pt>
                <c:pt idx="41">
                  <c:v>6.6666666667047902E-5</c:v>
                </c:pt>
                <c:pt idx="42">
                  <c:v>-2.8999999999890219E-4</c:v>
                </c:pt>
                <c:pt idx="43">
                  <c:v>1.8466666666705489E-4</c:v>
                </c:pt>
                <c:pt idx="44">
                  <c:v>-1.1633333333305181E-4</c:v>
                </c:pt>
                <c:pt idx="45">
                  <c:v>-1.4333333333005349E-5</c:v>
                </c:pt>
                <c:pt idx="46">
                  <c:v>3.2666666666703042E-4</c:v>
                </c:pt>
                <c:pt idx="47">
                  <c:v>4.170000000000007E-4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7B-4901-A5EC-1DAB6992060C}"/>
            </c:ext>
          </c:extLst>
        </c:ser>
        <c:ser>
          <c:idx val="15"/>
          <c:order val="15"/>
          <c:tx>
            <c:v>BES_TR4_one423_B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4.1133333333301381E-4</c:v>
                </c:pt>
                <c:pt idx="1">
                  <c:v>4.5000000000000601E-4</c:v>
                </c:pt>
                <c:pt idx="2">
                  <c:v>2.3499999999998519E-4</c:v>
                </c:pt>
                <c:pt idx="3">
                  <c:v>-2.403333333330093E-4</c:v>
                </c:pt>
                <c:pt idx="4">
                  <c:v>4.2999999999987493E-5</c:v>
                </c:pt>
                <c:pt idx="5">
                  <c:v>-3.3166666666697991E-4</c:v>
                </c:pt>
                <c:pt idx="6">
                  <c:v>1.666666666698402E-5</c:v>
                </c:pt>
                <c:pt idx="7">
                  <c:v>-1.550216666670878E-5</c:v>
                </c:pt>
                <c:pt idx="8">
                  <c:v>-3.5905783333324559E-4</c:v>
                </c:pt>
                <c:pt idx="9">
                  <c:v>1.068600833330005E-4</c:v>
                </c:pt>
                <c:pt idx="10">
                  <c:v>5.5319833332491408E-5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-3.6765925000015193E-4</c:v>
                </c:pt>
                <c:pt idx="15">
                  <c:v>-1.4130625000019489E-4</c:v>
                </c:pt>
                <c:pt idx="16">
                  <c:v>-1.8054058333483169E-4</c:v>
                </c:pt>
                <c:pt idx="17">
                  <c:v>4.264998333329828E-4</c:v>
                </c:pt>
                <c:pt idx="18">
                  <c:v>-1.317909601666668</c:v>
                </c:pt>
                <c:pt idx="19">
                  <c:v>-1.7783426288333319</c:v>
                </c:pt>
                <c:pt idx="20">
                  <c:v>-1.7227255894166671</c:v>
                </c:pt>
                <c:pt idx="21">
                  <c:v>-1.9816323674166669</c:v>
                </c:pt>
                <c:pt idx="22">
                  <c:v>-1.8750012029166669</c:v>
                </c:pt>
                <c:pt idx="23">
                  <c:v>-2.0532338596666668</c:v>
                </c:pt>
                <c:pt idx="24">
                  <c:v>-2.0425341640000001</c:v>
                </c:pt>
                <c:pt idx="25">
                  <c:v>-1.962782711666667</c:v>
                </c:pt>
                <c:pt idx="26">
                  <c:v>-1.9825477179166671</c:v>
                </c:pt>
                <c:pt idx="27">
                  <c:v>-1.883883954666667</c:v>
                </c:pt>
                <c:pt idx="28">
                  <c:v>-1.7095310999166671</c:v>
                </c:pt>
                <c:pt idx="29">
                  <c:v>-1.7438688581666679</c:v>
                </c:pt>
                <c:pt idx="30">
                  <c:v>-1.5500053092499999</c:v>
                </c:pt>
                <c:pt idx="31">
                  <c:v>-1.3183285753333349</c:v>
                </c:pt>
                <c:pt idx="32">
                  <c:v>-1.3011250358333319</c:v>
                </c:pt>
                <c:pt idx="33">
                  <c:v>-0.945509545583333</c:v>
                </c:pt>
                <c:pt idx="34">
                  <c:v>-0.83818399624999951</c:v>
                </c:pt>
                <c:pt idx="35">
                  <c:v>-0.71121851324999996</c:v>
                </c:pt>
                <c:pt idx="36">
                  <c:v>-0.51796475083333415</c:v>
                </c:pt>
                <c:pt idx="37">
                  <c:v>-0.218568870416667</c:v>
                </c:pt>
                <c:pt idx="38">
                  <c:v>-5.180066666626848E-5</c:v>
                </c:pt>
                <c:pt idx="39">
                  <c:v>-6.6967749999979898E-5</c:v>
                </c:pt>
                <c:pt idx="40">
                  <c:v>-3.3269349999964781E-4</c:v>
                </c:pt>
                <c:pt idx="41">
                  <c:v>1.749999999999807E-4</c:v>
                </c:pt>
                <c:pt idx="42">
                  <c:v>5.1000000000023249E-5</c:v>
                </c:pt>
                <c:pt idx="43">
                  <c:v>-2.8933333333303057E-4</c:v>
                </c:pt>
                <c:pt idx="44">
                  <c:v>4.6066666666699779E-4</c:v>
                </c:pt>
                <c:pt idx="45">
                  <c:v>-4.8333333329875223E-5</c:v>
                </c:pt>
                <c:pt idx="46">
                  <c:v>-1.836666666669706E-4</c:v>
                </c:pt>
                <c:pt idx="47">
                  <c:v>-3.9966666666702011E-4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07B-4901-A5EC-1DAB6992060C}"/>
            </c:ext>
          </c:extLst>
        </c:ser>
        <c:ser>
          <c:idx val="16"/>
          <c:order val="16"/>
          <c:tx>
            <c:v>BES_TR4_one446_B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1.6933333333402081E-4</c:v>
                </c:pt>
                <c:pt idx="1">
                  <c:v>0</c:v>
                </c:pt>
                <c:pt idx="2">
                  <c:v>-4.4466666666698179E-4</c:v>
                </c:pt>
                <c:pt idx="3">
                  <c:v>-3.860000000000946E-4</c:v>
                </c:pt>
                <c:pt idx="4">
                  <c:v>-2.9333333332992592E-5</c:v>
                </c:pt>
                <c:pt idx="5">
                  <c:v>1.986666666669856E-4</c:v>
                </c:pt>
                <c:pt idx="6">
                  <c:v>-2.5733333333330388E-4</c:v>
                </c:pt>
                <c:pt idx="7">
                  <c:v>1.363653666670295E-4</c:v>
                </c:pt>
                <c:pt idx="8">
                  <c:v>3.4956530000005559E-4</c:v>
                </c:pt>
                <c:pt idx="9">
                  <c:v>-4.5750616665979349E-5</c:v>
                </c:pt>
                <c:pt idx="10">
                  <c:v>-2.6081000005090389E-6</c:v>
                </c:pt>
                <c:pt idx="11">
                  <c:v>-1.967411999994895E-4</c:v>
                </c:pt>
                <c:pt idx="12">
                  <c:v>1.005277499993851E-4</c:v>
                </c:pt>
                <c:pt idx="13">
                  <c:v>2.257287666704855E-4</c:v>
                </c:pt>
                <c:pt idx="14">
                  <c:v>3.2920445000000909E-4</c:v>
                </c:pt>
                <c:pt idx="15">
                  <c:v>-2.8611708333292629E-4</c:v>
                </c:pt>
                <c:pt idx="16">
                  <c:v>-7.6857683333653171E-5</c:v>
                </c:pt>
                <c:pt idx="17">
                  <c:v>-3.7276676666592179E-4</c:v>
                </c:pt>
                <c:pt idx="18">
                  <c:v>2.0223900000004849E-4</c:v>
                </c:pt>
                <c:pt idx="19">
                  <c:v>-4.9744396666606683E-4</c:v>
                </c:pt>
                <c:pt idx="20">
                  <c:v>4.316463500002587E-4</c:v>
                </c:pt>
                <c:pt idx="21">
                  <c:v>2.202462166701058E-4</c:v>
                </c:pt>
                <c:pt idx="22">
                  <c:v>4.4127825000001009E-4</c:v>
                </c:pt>
                <c:pt idx="23">
                  <c:v>4.2048420000007081E-4</c:v>
                </c:pt>
                <c:pt idx="24">
                  <c:v>-4.2583173333399232E-4</c:v>
                </c:pt>
                <c:pt idx="25">
                  <c:v>3.1637299999998092E-4</c:v>
                </c:pt>
                <c:pt idx="26">
                  <c:v>-0.54770109741666706</c:v>
                </c:pt>
                <c:pt idx="27">
                  <c:v>-1.0415443728</c:v>
                </c:pt>
                <c:pt idx="28">
                  <c:v>-1.0038521266166669</c:v>
                </c:pt>
                <c:pt idx="29">
                  <c:v>-1.0223213149000001</c:v>
                </c:pt>
                <c:pt idx="30">
                  <c:v>-0.77911785221666696</c:v>
                </c:pt>
                <c:pt idx="31">
                  <c:v>-0.8312299452000006</c:v>
                </c:pt>
                <c:pt idx="32">
                  <c:v>-0.75667502149999943</c:v>
                </c:pt>
                <c:pt idx="33">
                  <c:v>-0.48371406068333239</c:v>
                </c:pt>
                <c:pt idx="34">
                  <c:v>-0.35080873108333238</c:v>
                </c:pt>
                <c:pt idx="35">
                  <c:v>-0.26550110795000009</c:v>
                </c:pt>
                <c:pt idx="36">
                  <c:v>2.041494999994869E-4</c:v>
                </c:pt>
                <c:pt idx="37">
                  <c:v>-3.1188916665925159E-5</c:v>
                </c:pt>
                <c:pt idx="38">
                  <c:v>2.1338626666708721E-4</c:v>
                </c:pt>
                <c:pt idx="39">
                  <c:v>3.9686016667039858E-5</c:v>
                </c:pt>
                <c:pt idx="40">
                  <c:v>3.1325056666697831E-4</c:v>
                </c:pt>
                <c:pt idx="41">
                  <c:v>-2.549999999998942E-4</c:v>
                </c:pt>
                <c:pt idx="42">
                  <c:v>3.8566666666700611E-4</c:v>
                </c:pt>
                <c:pt idx="43">
                  <c:v>-2.6666666660402072E-6</c:v>
                </c:pt>
                <c:pt idx="44">
                  <c:v>9.1000000000063253E-5</c:v>
                </c:pt>
                <c:pt idx="45">
                  <c:v>3.4333333333913529E-5</c:v>
                </c:pt>
                <c:pt idx="46">
                  <c:v>-1.180000000000625E-4</c:v>
                </c:pt>
                <c:pt idx="47">
                  <c:v>-1.7466666666698941E-4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07B-4901-A5EC-1DAB6992060C}"/>
            </c:ext>
          </c:extLst>
        </c:ser>
        <c:ser>
          <c:idx val="17"/>
          <c:order val="17"/>
          <c:tx>
            <c:v>BES_TR4_one480_A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-3.6166666666700992E-4</c:v>
                </c:pt>
                <c:pt idx="1">
                  <c:v>-2.8233333333405047E-4</c:v>
                </c:pt>
                <c:pt idx="2">
                  <c:v>0</c:v>
                </c:pt>
                <c:pt idx="3">
                  <c:v>2.8533333333297112E-4</c:v>
                </c:pt>
                <c:pt idx="4">
                  <c:v>7.0000000000000617E-5</c:v>
                </c:pt>
                <c:pt idx="5">
                  <c:v>-3.1833333333330938E-4</c:v>
                </c:pt>
                <c:pt idx="6">
                  <c:v>1.15000000000004E-4</c:v>
                </c:pt>
                <c:pt idx="7">
                  <c:v>-4.4080346666666709E-4</c:v>
                </c:pt>
                <c:pt idx="8">
                  <c:v>-4.4182586666620388E-4</c:v>
                </c:pt>
                <c:pt idx="9">
                  <c:v>1.077761333330013E-4</c:v>
                </c:pt>
                <c:pt idx="10">
                  <c:v>1.6771173333202111E-4</c:v>
                </c:pt>
                <c:pt idx="11">
                  <c:v>9.435680000102753E-5</c:v>
                </c:pt>
                <c:pt idx="12">
                  <c:v>3.5774066666494081E-4</c:v>
                </c:pt>
                <c:pt idx="13">
                  <c:v>2.588322666678966E-4</c:v>
                </c:pt>
                <c:pt idx="14">
                  <c:v>3.5154519999980321E-4</c:v>
                </c:pt>
                <c:pt idx="15">
                  <c:v>-4.7175666666698918E-4</c:v>
                </c:pt>
                <c:pt idx="16">
                  <c:v>-1.9009930649333351</c:v>
                </c:pt>
                <c:pt idx="17">
                  <c:v>-2.2807239336</c:v>
                </c:pt>
                <c:pt idx="18">
                  <c:v>-2.6291293626666681</c:v>
                </c:pt>
                <c:pt idx="19">
                  <c:v>-2.8146130727999989</c:v>
                </c:pt>
                <c:pt idx="20">
                  <c:v>-2.8482137097333351</c:v>
                </c:pt>
                <c:pt idx="21">
                  <c:v>-3.1588967545333331</c:v>
                </c:pt>
                <c:pt idx="22">
                  <c:v>-3.2182512580000009</c:v>
                </c:pt>
                <c:pt idx="23">
                  <c:v>-3.283008042133333</c:v>
                </c:pt>
                <c:pt idx="24">
                  <c:v>-3.2747206624000009</c:v>
                </c:pt>
                <c:pt idx="25">
                  <c:v>-3.256617672</c:v>
                </c:pt>
                <c:pt idx="26">
                  <c:v>-3.2362678153333331</c:v>
                </c:pt>
                <c:pt idx="27">
                  <c:v>-2.951537660800001</c:v>
                </c:pt>
                <c:pt idx="28">
                  <c:v>-2.0107298932000002</c:v>
                </c:pt>
                <c:pt idx="29">
                  <c:v>-2.7359085064000008</c:v>
                </c:pt>
                <c:pt idx="30">
                  <c:v>-2.614730928133334</c:v>
                </c:pt>
                <c:pt idx="31">
                  <c:v>-2.1350081205333349</c:v>
                </c:pt>
                <c:pt idx="32">
                  <c:v>-2.0536467239999991</c:v>
                </c:pt>
                <c:pt idx="33">
                  <c:v>-1.6767299395999991</c:v>
                </c:pt>
                <c:pt idx="34">
                  <c:v>-1.0637653939999989</c:v>
                </c:pt>
                <c:pt idx="35">
                  <c:v>-0.90183628786666703</c:v>
                </c:pt>
                <c:pt idx="36">
                  <c:v>-0.62075880133333494</c:v>
                </c:pt>
                <c:pt idx="37">
                  <c:v>-0.123268326</c:v>
                </c:pt>
                <c:pt idx="38">
                  <c:v>2.4678559999979921E-4</c:v>
                </c:pt>
                <c:pt idx="39">
                  <c:v>2.9718266667033699E-5</c:v>
                </c:pt>
                <c:pt idx="40">
                  <c:v>2.9422373333332091E-4</c:v>
                </c:pt>
                <c:pt idx="41">
                  <c:v>-4.7999999999992493E-5</c:v>
                </c:pt>
                <c:pt idx="42">
                  <c:v>2.9066666666699442E-4</c:v>
                </c:pt>
                <c:pt idx="43">
                  <c:v>-3.4400000000001102E-4</c:v>
                </c:pt>
                <c:pt idx="44">
                  <c:v>4.379999999999939E-4</c:v>
                </c:pt>
                <c:pt idx="45">
                  <c:v>2.699999999999925E-5</c:v>
                </c:pt>
                <c:pt idx="46">
                  <c:v>-3.6700000000000621E-4</c:v>
                </c:pt>
                <c:pt idx="47">
                  <c:v>3.903333333329928E-4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07B-4901-A5EC-1DAB6992060C}"/>
            </c:ext>
          </c:extLst>
        </c:ser>
        <c:ser>
          <c:idx val="18"/>
          <c:order val="18"/>
          <c:tx>
            <c:v>BES_TR4_one61_A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8.53333333330486E-5</c:v>
                </c:pt>
                <c:pt idx="1">
                  <c:v>-3.1233333333330338E-4</c:v>
                </c:pt>
                <c:pt idx="2">
                  <c:v>-1.2333333333300331E-4</c:v>
                </c:pt>
                <c:pt idx="3">
                  <c:v>2.5200000000000222E-4</c:v>
                </c:pt>
                <c:pt idx="4">
                  <c:v>6.2999999999993617E-5</c:v>
                </c:pt>
                <c:pt idx="5">
                  <c:v>6.5666666667019147E-5</c:v>
                </c:pt>
                <c:pt idx="6">
                  <c:v>0</c:v>
                </c:pt>
                <c:pt idx="7">
                  <c:v>-3.1213679999966831E-4</c:v>
                </c:pt>
                <c:pt idx="8">
                  <c:v>2.6550746666680058E-4</c:v>
                </c:pt>
                <c:pt idx="9">
                  <c:v>1.7977613333298309E-4</c:v>
                </c:pt>
                <c:pt idx="10">
                  <c:v>3.5045066665406743E-5</c:v>
                </c:pt>
                <c:pt idx="11">
                  <c:v>-4.826431999986891E-4</c:v>
                </c:pt>
                <c:pt idx="12">
                  <c:v>-1.652593333349994E-4</c:v>
                </c:pt>
                <c:pt idx="13">
                  <c:v>-2.9783439999864209E-4</c:v>
                </c:pt>
                <c:pt idx="14">
                  <c:v>3.1421186666680262E-4</c:v>
                </c:pt>
                <c:pt idx="15">
                  <c:v>-1.5008999999999159E-4</c:v>
                </c:pt>
                <c:pt idx="16">
                  <c:v>-1.7034573982666681</c:v>
                </c:pt>
                <c:pt idx="17">
                  <c:v>-2.3001556002666672</c:v>
                </c:pt>
                <c:pt idx="18">
                  <c:v>-2.479493362666668</c:v>
                </c:pt>
                <c:pt idx="19">
                  <c:v>-1.5766500728000019</c:v>
                </c:pt>
                <c:pt idx="20">
                  <c:v>-3.0205076097333352</c:v>
                </c:pt>
                <c:pt idx="21">
                  <c:v>-3.117677787866667</c:v>
                </c:pt>
                <c:pt idx="22">
                  <c:v>-3.2859274246666681</c:v>
                </c:pt>
                <c:pt idx="23">
                  <c:v>-3.120783375466667</c:v>
                </c:pt>
                <c:pt idx="24">
                  <c:v>-3.2691683290666682</c:v>
                </c:pt>
                <c:pt idx="25">
                  <c:v>-3.0705220053333329</c:v>
                </c:pt>
                <c:pt idx="26">
                  <c:v>-3.1561558153333329</c:v>
                </c:pt>
                <c:pt idx="27">
                  <c:v>-3.0484349941333351</c:v>
                </c:pt>
                <c:pt idx="28">
                  <c:v>-2.7565342265333328</c:v>
                </c:pt>
                <c:pt idx="29">
                  <c:v>-2.342869173066668</c:v>
                </c:pt>
                <c:pt idx="30">
                  <c:v>-2.4283084948</c:v>
                </c:pt>
                <c:pt idx="31">
                  <c:v>-2.0221425205333352</c:v>
                </c:pt>
                <c:pt idx="32">
                  <c:v>-1.894480057333332</c:v>
                </c:pt>
                <c:pt idx="33">
                  <c:v>-1.376719272933332</c:v>
                </c:pt>
                <c:pt idx="34">
                  <c:v>-1.1225603939999991</c:v>
                </c:pt>
                <c:pt idx="35">
                  <c:v>-0.73207395453333302</c:v>
                </c:pt>
                <c:pt idx="36">
                  <c:v>-0.62459693466666799</c:v>
                </c:pt>
                <c:pt idx="37">
                  <c:v>-0.24477739266666701</c:v>
                </c:pt>
                <c:pt idx="38">
                  <c:v>-6.8858414399999179E-2</c:v>
                </c:pt>
                <c:pt idx="39">
                  <c:v>3.1105160000002852E-4</c:v>
                </c:pt>
                <c:pt idx="40">
                  <c:v>-4.9710960000082238E-4</c:v>
                </c:pt>
                <c:pt idx="41">
                  <c:v>-1.6500000000008169E-4</c:v>
                </c:pt>
                <c:pt idx="42">
                  <c:v>-1.993333333329961E-4</c:v>
                </c:pt>
                <c:pt idx="43">
                  <c:v>1.6666666666886879E-5</c:v>
                </c:pt>
                <c:pt idx="44">
                  <c:v>-1.0266666666602919E-4</c:v>
                </c:pt>
                <c:pt idx="45">
                  <c:v>-2.423333333330113E-4</c:v>
                </c:pt>
                <c:pt idx="46">
                  <c:v>3.036666666669241E-4</c:v>
                </c:pt>
                <c:pt idx="47">
                  <c:v>3.9366666666706962E-4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07B-4901-A5EC-1DAB6992060C}"/>
            </c:ext>
          </c:extLst>
        </c:ser>
        <c:ser>
          <c:idx val="19"/>
          <c:order val="19"/>
          <c:tx>
            <c:v>BES_TR4_one544_A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-1.2666666666699691E-4</c:v>
                </c:pt>
                <c:pt idx="1">
                  <c:v>3.879999999999717E-4</c:v>
                </c:pt>
                <c:pt idx="2">
                  <c:v>1.906666666669915E-4</c:v>
                </c:pt>
                <c:pt idx="3">
                  <c:v>-4.7333333333010603E-5</c:v>
                </c:pt>
                <c:pt idx="4">
                  <c:v>3.5399999999999321E-4</c:v>
                </c:pt>
                <c:pt idx="5">
                  <c:v>4.3000000000004151E-4</c:v>
                </c:pt>
                <c:pt idx="6">
                  <c:v>-7.6666666670166528E-6</c:v>
                </c:pt>
                <c:pt idx="7">
                  <c:v>4.9449783333330166E-4</c:v>
                </c:pt>
                <c:pt idx="8">
                  <c:v>-3.3572450000024512E-4</c:v>
                </c:pt>
                <c:pt idx="9">
                  <c:v>4.6086008333298678E-4</c:v>
                </c:pt>
                <c:pt idx="10">
                  <c:v>-9.1013500000514114E-5</c:v>
                </c:pt>
                <c:pt idx="11">
                  <c:v>-3.4568666665790733E-5</c:v>
                </c:pt>
                <c:pt idx="12">
                  <c:v>2.0287958333253811E-4</c:v>
                </c:pt>
                <c:pt idx="13">
                  <c:v>-4.2256316666555721E-4</c:v>
                </c:pt>
                <c:pt idx="14">
                  <c:v>-1.099258333403519E-5</c:v>
                </c:pt>
                <c:pt idx="15">
                  <c:v>2.126937499997705E-4</c:v>
                </c:pt>
                <c:pt idx="16">
                  <c:v>-4.6654058333461812E-4</c:v>
                </c:pt>
                <c:pt idx="17">
                  <c:v>-4.2550016666664797E-4</c:v>
                </c:pt>
                <c:pt idx="18">
                  <c:v>-0.71658093500000108</c:v>
                </c:pt>
                <c:pt idx="19">
                  <c:v>-1.6653889621666651</c:v>
                </c:pt>
                <c:pt idx="20">
                  <c:v>-1.81751492275</c:v>
                </c:pt>
                <c:pt idx="21">
                  <c:v>-2.00727770075</c:v>
                </c:pt>
                <c:pt idx="22">
                  <c:v>-2.0435615362499999</c:v>
                </c:pt>
                <c:pt idx="23">
                  <c:v>-2.000928193</c:v>
                </c:pt>
                <c:pt idx="24">
                  <c:v>-1.9160548306666669</c:v>
                </c:pt>
                <c:pt idx="25">
                  <c:v>-2.0608857116666659</c:v>
                </c:pt>
                <c:pt idx="26">
                  <c:v>-2.0073760512500001</c:v>
                </c:pt>
                <c:pt idx="27">
                  <c:v>-1.619970954666667</c:v>
                </c:pt>
                <c:pt idx="28">
                  <c:v>-1.727686099916667</c:v>
                </c:pt>
                <c:pt idx="29">
                  <c:v>-1.460620524833335</c:v>
                </c:pt>
                <c:pt idx="30">
                  <c:v>-1.506646942583334</c:v>
                </c:pt>
                <c:pt idx="31">
                  <c:v>-1.347564842000001</c:v>
                </c:pt>
                <c:pt idx="32">
                  <c:v>-1.1970010358333321</c:v>
                </c:pt>
                <c:pt idx="33">
                  <c:v>-0.163761545583333</c:v>
                </c:pt>
                <c:pt idx="34">
                  <c:v>-0.32350999624999838</c:v>
                </c:pt>
                <c:pt idx="35">
                  <c:v>-0.57116591324999999</c:v>
                </c:pt>
                <c:pt idx="36">
                  <c:v>-0.3967496841666675</c:v>
                </c:pt>
                <c:pt idx="37">
                  <c:v>4.0012958333296428E-4</c:v>
                </c:pt>
                <c:pt idx="38">
                  <c:v>-5.3200467333333168E-2</c:v>
                </c:pt>
                <c:pt idx="39">
                  <c:v>1.140322500000068E-4</c:v>
                </c:pt>
                <c:pt idx="40">
                  <c:v>-3.5569349999964311E-4</c:v>
                </c:pt>
                <c:pt idx="41">
                  <c:v>4.1433333333407152E-4</c:v>
                </c:pt>
                <c:pt idx="42">
                  <c:v>3.2000000000009798E-4</c:v>
                </c:pt>
                <c:pt idx="43">
                  <c:v>4.8866666666702585E-4</c:v>
                </c:pt>
                <c:pt idx="44">
                  <c:v>-3.9633333333011223E-4</c:v>
                </c:pt>
                <c:pt idx="45">
                  <c:v>-2.8300000000003322E-4</c:v>
                </c:pt>
                <c:pt idx="46">
                  <c:v>0.2738736666666659</c:v>
                </c:pt>
                <c:pt idx="47">
                  <c:v>0.67526633333333297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07B-4901-A5EC-1DAB6992060C}"/>
            </c:ext>
          </c:extLst>
        </c:ser>
        <c:ser>
          <c:idx val="20"/>
          <c:order val="20"/>
          <c:tx>
            <c:v>BES_TR4_one560_C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7.0333333332978087E-5</c:v>
                </c:pt>
                <c:pt idx="1">
                  <c:v>-2.5899999999999529E-4</c:v>
                </c:pt>
                <c:pt idx="2">
                  <c:v>0</c:v>
                </c:pt>
                <c:pt idx="3">
                  <c:v>-1.886666666669756E-4</c:v>
                </c:pt>
                <c:pt idx="4">
                  <c:v>0</c:v>
                </c:pt>
                <c:pt idx="5">
                  <c:v>2.35000000000013E-4</c:v>
                </c:pt>
                <c:pt idx="6">
                  <c:v>-4.2366666666669722E-4</c:v>
                </c:pt>
                <c:pt idx="7">
                  <c:v>-1.0703033333329949E-5</c:v>
                </c:pt>
                <c:pt idx="8">
                  <c:v>4.7031903333343011E-4</c:v>
                </c:pt>
                <c:pt idx="9">
                  <c:v>3.2147078333299989E-4</c:v>
                </c:pt>
                <c:pt idx="10">
                  <c:v>3.2724776666548378E-4</c:v>
                </c:pt>
                <c:pt idx="11">
                  <c:v>-5.5396133332497037E-5</c:v>
                </c:pt>
                <c:pt idx="12">
                  <c:v>-1.8776858333457991E-4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-4.8049541666705942E-4</c:v>
                </c:pt>
                <c:pt idx="16">
                  <c:v>-1.388794223483335</c:v>
                </c:pt>
                <c:pt idx="17">
                  <c:v>-2.099746233566667</c:v>
                </c:pt>
                <c:pt idx="18">
                  <c:v>-2.243630309000002</c:v>
                </c:pt>
                <c:pt idx="19">
                  <c:v>-2.5062694803666652</c:v>
                </c:pt>
                <c:pt idx="20">
                  <c:v>-2.5323808918500008</c:v>
                </c:pt>
                <c:pt idx="21">
                  <c:v>-2.8238919810500001</c:v>
                </c:pt>
                <c:pt idx="22">
                  <c:v>-2.905773350750001</c:v>
                </c:pt>
                <c:pt idx="23">
                  <c:v>-2.8031418702000002</c:v>
                </c:pt>
                <c:pt idx="24">
                  <c:v>-2.9631711629333348</c:v>
                </c:pt>
                <c:pt idx="25">
                  <c:v>-2.9420314630000002</c:v>
                </c:pt>
                <c:pt idx="26">
                  <c:v>-2.7152023384166668</c:v>
                </c:pt>
                <c:pt idx="27">
                  <c:v>-2.7345342032000022</c:v>
                </c:pt>
                <c:pt idx="28">
                  <c:v>-2.5998573398833331</c:v>
                </c:pt>
                <c:pt idx="29">
                  <c:v>-2.2820710681000018</c:v>
                </c:pt>
                <c:pt idx="30">
                  <c:v>-2.0373364329500001</c:v>
                </c:pt>
                <c:pt idx="31">
                  <c:v>-1.6988245388000009</c:v>
                </c:pt>
                <c:pt idx="32">
                  <c:v>-1.5092817168333319</c:v>
                </c:pt>
                <c:pt idx="33">
                  <c:v>-1.170211697149999</c:v>
                </c:pt>
                <c:pt idx="34">
                  <c:v>-1.0034539280833319</c:v>
                </c:pt>
                <c:pt idx="35">
                  <c:v>-0.60151891855000006</c:v>
                </c:pt>
                <c:pt idx="36">
                  <c:v>-0.46782065116666849</c:v>
                </c:pt>
                <c:pt idx="37">
                  <c:v>-0.50290688524999994</c:v>
                </c:pt>
                <c:pt idx="38">
                  <c:v>-8.6135654266666528E-2</c:v>
                </c:pt>
                <c:pt idx="39">
                  <c:v>4.5304514999999768E-4</c:v>
                </c:pt>
                <c:pt idx="40">
                  <c:v>3.2469576666671612E-4</c:v>
                </c:pt>
                <c:pt idx="41">
                  <c:v>-2.5366666666704058E-4</c:v>
                </c:pt>
                <c:pt idx="42">
                  <c:v>-4.8499999999995769E-4</c:v>
                </c:pt>
                <c:pt idx="43">
                  <c:v>-2.8633333333394351E-4</c:v>
                </c:pt>
                <c:pt idx="44">
                  <c:v>2.07999999999986E-4</c:v>
                </c:pt>
                <c:pt idx="45">
                  <c:v>4.8266666666996189E-4</c:v>
                </c:pt>
                <c:pt idx="46">
                  <c:v>2.3641126666666699</c:v>
                </c:pt>
                <c:pt idx="47">
                  <c:v>0.489638666666666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07B-4901-A5EC-1DAB6992060C}"/>
            </c:ext>
          </c:extLst>
        </c:ser>
        <c:ser>
          <c:idx val="21"/>
          <c:order val="21"/>
          <c:tx>
            <c:v>BES_TR4_one570_B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-1.5999999999999351E-4</c:v>
                </c:pt>
                <c:pt idx="1">
                  <c:v>3.5033333333300831E-4</c:v>
                </c:pt>
                <c:pt idx="2">
                  <c:v>0</c:v>
                </c:pt>
                <c:pt idx="3">
                  <c:v>3.1999999999998702E-4</c:v>
                </c:pt>
                <c:pt idx="4">
                  <c:v>0</c:v>
                </c:pt>
                <c:pt idx="5">
                  <c:v>1.5333333333300561E-4</c:v>
                </c:pt>
                <c:pt idx="6">
                  <c:v>3.3999999999999309E-4</c:v>
                </c:pt>
                <c:pt idx="7">
                  <c:v>3.9616450000003189E-4</c:v>
                </c:pt>
                <c:pt idx="8">
                  <c:v>-3.1072450000024793E-4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-7.7901999999491212E-5</c:v>
                </c:pt>
                <c:pt idx="12">
                  <c:v>4.0287958333246049E-4</c:v>
                </c:pt>
                <c:pt idx="13">
                  <c:v>2.9043683333451748E-4</c:v>
                </c:pt>
                <c:pt idx="14">
                  <c:v>-1.5465925000013309E-4</c:v>
                </c:pt>
                <c:pt idx="15">
                  <c:v>3.8676041666707572E-4</c:v>
                </c:pt>
                <c:pt idx="16">
                  <c:v>8.9692749998704357E-5</c:v>
                </c:pt>
                <c:pt idx="17">
                  <c:v>-3.1350016666675812E-4</c:v>
                </c:pt>
                <c:pt idx="18">
                  <c:v>-0.10880216833333491</c:v>
                </c:pt>
                <c:pt idx="19">
                  <c:v>-1.7130096288333321</c:v>
                </c:pt>
                <c:pt idx="20">
                  <c:v>-1.7283042894166669</c:v>
                </c:pt>
                <c:pt idx="21">
                  <c:v>-1.78631820075</c:v>
                </c:pt>
                <c:pt idx="22">
                  <c:v>-1.799291202916667</c:v>
                </c:pt>
                <c:pt idx="23">
                  <c:v>-2.092479193</c:v>
                </c:pt>
                <c:pt idx="24">
                  <c:v>-1.8712608306666669</c:v>
                </c:pt>
                <c:pt idx="25">
                  <c:v>-1.584772711666667</c:v>
                </c:pt>
                <c:pt idx="26">
                  <c:v>-2.0088333845833328</c:v>
                </c:pt>
                <c:pt idx="27">
                  <c:v>-1.7489206213333339</c:v>
                </c:pt>
                <c:pt idx="28">
                  <c:v>-1.7855653332500001</c:v>
                </c:pt>
                <c:pt idx="29">
                  <c:v>-1.6066030581666679</c:v>
                </c:pt>
                <c:pt idx="30">
                  <c:v>-1.4075134425833331</c:v>
                </c:pt>
                <c:pt idx="31">
                  <c:v>-1.413549675333335</c:v>
                </c:pt>
                <c:pt idx="32">
                  <c:v>-1.2201757024999991</c:v>
                </c:pt>
                <c:pt idx="33">
                  <c:v>-0.92916321224999898</c:v>
                </c:pt>
                <c:pt idx="34">
                  <c:v>-0.86156526291666546</c:v>
                </c:pt>
                <c:pt idx="35">
                  <c:v>-0.55204731325</c:v>
                </c:pt>
                <c:pt idx="36">
                  <c:v>-0.39071648416666749</c:v>
                </c:pt>
                <c:pt idx="37">
                  <c:v>-0.22279987041666699</c:v>
                </c:pt>
                <c:pt idx="38">
                  <c:v>4.9953266666678819E-4</c:v>
                </c:pt>
                <c:pt idx="39">
                  <c:v>-3.7634416666987303E-5</c:v>
                </c:pt>
                <c:pt idx="40">
                  <c:v>-3.0902683333366992E-4</c:v>
                </c:pt>
                <c:pt idx="41">
                  <c:v>-2.233333333329923E-4</c:v>
                </c:pt>
                <c:pt idx="42">
                  <c:v>-2.8333333332963839E-5</c:v>
                </c:pt>
                <c:pt idx="43">
                  <c:v>2.120000000000177E-4</c:v>
                </c:pt>
                <c:pt idx="44">
                  <c:v>-3.7333333333000602E-5</c:v>
                </c:pt>
                <c:pt idx="45">
                  <c:v>-3.9726666666700661E-4</c:v>
                </c:pt>
                <c:pt idx="46">
                  <c:v>-1.2990000000001609E-4</c:v>
                </c:pt>
                <c:pt idx="47">
                  <c:v>-1.743333333329988E-4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07B-4901-A5EC-1DAB6992060C}"/>
            </c:ext>
          </c:extLst>
        </c:ser>
        <c:ser>
          <c:idx val="22"/>
          <c:order val="22"/>
          <c:tx>
            <c:v>BES_TR4_one585_A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4.9899999999999944E-4</c:v>
                </c:pt>
                <c:pt idx="1">
                  <c:v>-3.903333333329928E-4</c:v>
                </c:pt>
                <c:pt idx="2">
                  <c:v>0</c:v>
                </c:pt>
                <c:pt idx="3">
                  <c:v>-3.903333333329928E-4</c:v>
                </c:pt>
                <c:pt idx="4">
                  <c:v>4.9899999999999944E-4</c:v>
                </c:pt>
                <c:pt idx="5">
                  <c:v>0</c:v>
                </c:pt>
                <c:pt idx="6">
                  <c:v>4.9899999999999944E-4</c:v>
                </c:pt>
                <c:pt idx="7">
                  <c:v>1.6886320000031321E-4</c:v>
                </c:pt>
                <c:pt idx="8">
                  <c:v>2.6550746666679619E-4</c:v>
                </c:pt>
                <c:pt idx="9">
                  <c:v>2.5944279999998149E-4</c:v>
                </c:pt>
                <c:pt idx="10">
                  <c:v>-6.4621600000980273E-5</c:v>
                </c:pt>
                <c:pt idx="11">
                  <c:v>1.420234666681397E-4</c:v>
                </c:pt>
                <c:pt idx="12">
                  <c:v>-8.55926666680773E-5</c:v>
                </c:pt>
                <c:pt idx="13">
                  <c:v>-4.6550106666498609E-4</c:v>
                </c:pt>
                <c:pt idx="14">
                  <c:v>4.0545199999852948E-5</c:v>
                </c:pt>
                <c:pt idx="15">
                  <c:v>-0.47362608999999978</c:v>
                </c:pt>
                <c:pt idx="16">
                  <c:v>-2.1021643982666678</c:v>
                </c:pt>
                <c:pt idx="17">
                  <c:v>-2.4327072669333329</c:v>
                </c:pt>
                <c:pt idx="18">
                  <c:v>-2.6573540293333351</c:v>
                </c:pt>
                <c:pt idx="19">
                  <c:v>-2.8114960727999989</c:v>
                </c:pt>
                <c:pt idx="20">
                  <c:v>-3.0870089430666678</c:v>
                </c:pt>
                <c:pt idx="21">
                  <c:v>-3.0701964545333329</c:v>
                </c:pt>
                <c:pt idx="22">
                  <c:v>-3.3319779246666679</c:v>
                </c:pt>
                <c:pt idx="23">
                  <c:v>-3.2164580421333331</c:v>
                </c:pt>
                <c:pt idx="24">
                  <c:v>-3.3894813290666681</c:v>
                </c:pt>
                <c:pt idx="25">
                  <c:v>-3.3653216719999999</c:v>
                </c:pt>
                <c:pt idx="26">
                  <c:v>-3.2623254820000001</c:v>
                </c:pt>
                <c:pt idx="27">
                  <c:v>-3.0220586608000009</c:v>
                </c:pt>
                <c:pt idx="28">
                  <c:v>-3.0125078932</c:v>
                </c:pt>
                <c:pt idx="29">
                  <c:v>-2.8251901730666682</c:v>
                </c:pt>
                <c:pt idx="30">
                  <c:v>-2.4805751614666671</c:v>
                </c:pt>
                <c:pt idx="31">
                  <c:v>-2.372028520533334</c:v>
                </c:pt>
                <c:pt idx="32">
                  <c:v>-2.084877823999999</c:v>
                </c:pt>
                <c:pt idx="33">
                  <c:v>-1.5253432729333321</c:v>
                </c:pt>
                <c:pt idx="34">
                  <c:v>-1.4772117273333321</c:v>
                </c:pt>
                <c:pt idx="35">
                  <c:v>-1.143838954533333</c:v>
                </c:pt>
                <c:pt idx="36">
                  <c:v>-0.71355860133333504</c:v>
                </c:pt>
                <c:pt idx="37">
                  <c:v>-0.57775072599999999</c:v>
                </c:pt>
                <c:pt idx="38">
                  <c:v>-0.19447941440000019</c:v>
                </c:pt>
                <c:pt idx="39">
                  <c:v>1.207182666669304E-4</c:v>
                </c:pt>
                <c:pt idx="40">
                  <c:v>3.7322373333326109E-4</c:v>
                </c:pt>
                <c:pt idx="41">
                  <c:v>-2.8866666666704788E-4</c:v>
                </c:pt>
                <c:pt idx="42">
                  <c:v>-1.019999999999355E-4</c:v>
                </c:pt>
                <c:pt idx="43">
                  <c:v>9.6666666667022394E-5</c:v>
                </c:pt>
                <c:pt idx="44">
                  <c:v>1.186666666669889E-4</c:v>
                </c:pt>
                <c:pt idx="45">
                  <c:v>0</c:v>
                </c:pt>
                <c:pt idx="46">
                  <c:v>1.6499999999999851E-4</c:v>
                </c:pt>
                <c:pt idx="47">
                  <c:v>-5.6333333332991842E-5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07B-4901-A5EC-1DAB6992060C}"/>
            </c:ext>
          </c:extLst>
        </c:ser>
        <c:ser>
          <c:idx val="23"/>
          <c:order val="23"/>
          <c:tx>
            <c:v>BES_TR4_one590_A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2.1333333333328761E-4</c:v>
                </c:pt>
                <c:pt idx="1">
                  <c:v>2.6533333333300663E-4</c:v>
                </c:pt>
                <c:pt idx="2">
                  <c:v>1.7000000000017002E-5</c:v>
                </c:pt>
                <c:pt idx="3">
                  <c:v>4.9599999999999644E-4</c:v>
                </c:pt>
                <c:pt idx="4">
                  <c:v>-2.25000000000003E-4</c:v>
                </c:pt>
                <c:pt idx="5">
                  <c:v>-1.9100000000001061E-4</c:v>
                </c:pt>
                <c:pt idx="6">
                  <c:v>0</c:v>
                </c:pt>
                <c:pt idx="7">
                  <c:v>-3.7596883333365638E-4</c:v>
                </c:pt>
                <c:pt idx="8">
                  <c:v>6.2608833333699376E-5</c:v>
                </c:pt>
                <c:pt idx="9">
                  <c:v>3.0352675000000501E-4</c:v>
                </c:pt>
                <c:pt idx="10">
                  <c:v>-4.0534683333451338E-4</c:v>
                </c:pt>
                <c:pt idx="11">
                  <c:v>-7.4901999999460456E-5</c:v>
                </c:pt>
                <c:pt idx="12">
                  <c:v>-9.5120416667537899E-5</c:v>
                </c:pt>
                <c:pt idx="13">
                  <c:v>4.6043683333452101E-4</c:v>
                </c:pt>
                <c:pt idx="14">
                  <c:v>-4.8399258333298167E-4</c:v>
                </c:pt>
                <c:pt idx="15">
                  <c:v>1.600270833330697E-4</c:v>
                </c:pt>
                <c:pt idx="16">
                  <c:v>2.5582608333207801E-4</c:v>
                </c:pt>
                <c:pt idx="17">
                  <c:v>4.511664999999887E-4</c:v>
                </c:pt>
                <c:pt idx="18">
                  <c:v>-1.463893500000113E-2</c:v>
                </c:pt>
                <c:pt idx="19">
                  <c:v>-1.5555206288333321</c:v>
                </c:pt>
                <c:pt idx="20">
                  <c:v>-1.7391409227500001</c:v>
                </c:pt>
                <c:pt idx="21">
                  <c:v>-1.9605920340833329</c:v>
                </c:pt>
                <c:pt idx="22">
                  <c:v>-1.764024869583334</c:v>
                </c:pt>
                <c:pt idx="23">
                  <c:v>-1.8611061929999999</c:v>
                </c:pt>
                <c:pt idx="24">
                  <c:v>-1.9863914973333341</c:v>
                </c:pt>
                <c:pt idx="25">
                  <c:v>-1.789294378333333</c:v>
                </c:pt>
                <c:pt idx="26">
                  <c:v>-0.87900871791667012</c:v>
                </c:pt>
                <c:pt idx="27">
                  <c:v>-0.79307295466666705</c:v>
                </c:pt>
                <c:pt idx="28">
                  <c:v>-1.3236700999166671</c:v>
                </c:pt>
                <c:pt idx="29">
                  <c:v>-1.070389858166668</c:v>
                </c:pt>
                <c:pt idx="30">
                  <c:v>-0.9914463092500001</c:v>
                </c:pt>
                <c:pt idx="31">
                  <c:v>-1.142608575333335</c:v>
                </c:pt>
                <c:pt idx="32">
                  <c:v>-1.051750702499999</c:v>
                </c:pt>
                <c:pt idx="33">
                  <c:v>-0.65134321224999991</c:v>
                </c:pt>
                <c:pt idx="34">
                  <c:v>-0.44962559624999843</c:v>
                </c:pt>
                <c:pt idx="35">
                  <c:v>-0.58873657991666706</c:v>
                </c:pt>
                <c:pt idx="36">
                  <c:v>-9.1953084166667476E-2</c:v>
                </c:pt>
                <c:pt idx="37">
                  <c:v>-1.193708333296906E-5</c:v>
                </c:pt>
                <c:pt idx="38">
                  <c:v>4.4903266666680009E-4</c:v>
                </c:pt>
                <c:pt idx="39">
                  <c:v>1.240989166669815E-4</c:v>
                </c:pt>
                <c:pt idx="40">
                  <c:v>-2.8269349999970878E-4</c:v>
                </c:pt>
                <c:pt idx="41">
                  <c:v>-1.7500000000003621E-4</c:v>
                </c:pt>
                <c:pt idx="42">
                  <c:v>-5.5333333334073309E-5</c:v>
                </c:pt>
                <c:pt idx="43">
                  <c:v>-4.6866666666700579E-4</c:v>
                </c:pt>
                <c:pt idx="44">
                  <c:v>-3.0499999999999972E-4</c:v>
                </c:pt>
                <c:pt idx="45">
                  <c:v>3.8666666666589689E-5</c:v>
                </c:pt>
                <c:pt idx="46">
                  <c:v>-2.386666666669979E-4</c:v>
                </c:pt>
                <c:pt idx="47">
                  <c:v>2.216666666670086E-4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07B-4901-A5EC-1DAB6992060C}"/>
            </c:ext>
          </c:extLst>
        </c:ser>
        <c:ser>
          <c:idx val="24"/>
          <c:order val="24"/>
          <c:tx>
            <c:v>BES_TR4_one617_A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-5.3999999999998487E-5</c:v>
                </c:pt>
                <c:pt idx="3">
                  <c:v>0</c:v>
                </c:pt>
                <c:pt idx="4">
                  <c:v>0</c:v>
                </c:pt>
                <c:pt idx="5">
                  <c:v>-3.599999999999437E-5</c:v>
                </c:pt>
                <c:pt idx="6">
                  <c:v>1.976666666669846E-4</c:v>
                </c:pt>
                <c:pt idx="7">
                  <c:v>-4.9470303333332133E-4</c:v>
                </c:pt>
                <c:pt idx="8">
                  <c:v>-2.3534763333354911E-4</c:v>
                </c:pt>
                <c:pt idx="9">
                  <c:v>4.9813745000001908E-4</c:v>
                </c:pt>
                <c:pt idx="10">
                  <c:v>2.9124776666550328E-4</c:v>
                </c:pt>
                <c:pt idx="11">
                  <c:v>-1.4372946666552089E-4</c:v>
                </c:pt>
                <c:pt idx="12">
                  <c:v>-3.1010191666758219E-4</c:v>
                </c:pt>
                <c:pt idx="13">
                  <c:v>3.0381156666847708E-4</c:v>
                </c:pt>
                <c:pt idx="14">
                  <c:v>2.8547705000003809E-4</c:v>
                </c:pt>
                <c:pt idx="15">
                  <c:v>2.0217124999999389E-4</c:v>
                </c:pt>
                <c:pt idx="16">
                  <c:v>-1.354969890150002</c:v>
                </c:pt>
                <c:pt idx="17">
                  <c:v>-2.127941900233334</c:v>
                </c:pt>
                <c:pt idx="18">
                  <c:v>-2.3785034423333351</c:v>
                </c:pt>
                <c:pt idx="19">
                  <c:v>-2.5515854803666649</c:v>
                </c:pt>
                <c:pt idx="20">
                  <c:v>-2.4021024918500009</c:v>
                </c:pt>
                <c:pt idx="21">
                  <c:v>-2.296013314383333</c:v>
                </c:pt>
                <c:pt idx="22">
                  <c:v>-0.35291568408333379</c:v>
                </c:pt>
                <c:pt idx="23">
                  <c:v>-0.29157753686666998</c:v>
                </c:pt>
                <c:pt idx="24">
                  <c:v>-2.3487094962666681</c:v>
                </c:pt>
                <c:pt idx="25">
                  <c:v>-2.815715796333333</c:v>
                </c:pt>
                <c:pt idx="26">
                  <c:v>-2.7733983384166669</c:v>
                </c:pt>
                <c:pt idx="27">
                  <c:v>-2.7510008698666679</c:v>
                </c:pt>
                <c:pt idx="28">
                  <c:v>-2.63831940655</c:v>
                </c:pt>
                <c:pt idx="29">
                  <c:v>-2.4377797347666679</c:v>
                </c:pt>
                <c:pt idx="30">
                  <c:v>-2.270928099616667</c:v>
                </c:pt>
                <c:pt idx="31">
                  <c:v>-2.0833085387999999</c:v>
                </c:pt>
                <c:pt idx="32">
                  <c:v>-1.7959563834999981</c:v>
                </c:pt>
                <c:pt idx="33">
                  <c:v>-1.5695623638166649</c:v>
                </c:pt>
                <c:pt idx="34">
                  <c:v>-1.2368642614166649</c:v>
                </c:pt>
                <c:pt idx="35">
                  <c:v>-1.02870591855</c:v>
                </c:pt>
                <c:pt idx="36">
                  <c:v>-0.71958831783333443</c:v>
                </c:pt>
                <c:pt idx="37">
                  <c:v>-0.48592488524999999</c:v>
                </c:pt>
                <c:pt idx="38">
                  <c:v>-0.27828065426666648</c:v>
                </c:pt>
                <c:pt idx="39">
                  <c:v>-4.24376215166666E-2</c:v>
                </c:pt>
                <c:pt idx="40">
                  <c:v>3.2536243333365628E-4</c:v>
                </c:pt>
                <c:pt idx="41">
                  <c:v>3.2733333333340159E-4</c:v>
                </c:pt>
                <c:pt idx="42">
                  <c:v>-3.8133333333299768E-4</c:v>
                </c:pt>
                <c:pt idx="43">
                  <c:v>2.9266666666699642E-4</c:v>
                </c:pt>
                <c:pt idx="44">
                  <c:v>0</c:v>
                </c:pt>
                <c:pt idx="45">
                  <c:v>0</c:v>
                </c:pt>
                <c:pt idx="46">
                  <c:v>-2.133333333330101E-4</c:v>
                </c:pt>
                <c:pt idx="47">
                  <c:v>4.8166666666699109E-4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07B-4901-A5EC-1DAB6992060C}"/>
            </c:ext>
          </c:extLst>
        </c:ser>
        <c:ser>
          <c:idx val="25"/>
          <c:order val="25"/>
          <c:tx>
            <c:v>BES_TR4_one76_A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-2.6400000000000029E-4</c:v>
                </c:pt>
                <c:pt idx="1">
                  <c:v>-3.746666666666898E-4</c:v>
                </c:pt>
                <c:pt idx="2">
                  <c:v>1.01999999999991E-4</c:v>
                </c:pt>
                <c:pt idx="3">
                  <c:v>0</c:v>
                </c:pt>
                <c:pt idx="4">
                  <c:v>4.703333333330173E-4</c:v>
                </c:pt>
                <c:pt idx="5">
                  <c:v>-3.1000000000100392E-5</c:v>
                </c:pt>
                <c:pt idx="6">
                  <c:v>0</c:v>
                </c:pt>
                <c:pt idx="7">
                  <c:v>-3.9216883333270669E-4</c:v>
                </c:pt>
                <c:pt idx="8">
                  <c:v>-1.150578333333485E-4</c:v>
                </c:pt>
                <c:pt idx="9">
                  <c:v>-3.584732500000049E-4</c:v>
                </c:pt>
                <c:pt idx="10">
                  <c:v>-4.968016666749564E-5</c:v>
                </c:pt>
                <c:pt idx="11">
                  <c:v>2.3339800000082839E-4</c:v>
                </c:pt>
                <c:pt idx="12">
                  <c:v>1.8104624999903951E-4</c:v>
                </c:pt>
                <c:pt idx="13">
                  <c:v>-3.9556316666644609E-4</c:v>
                </c:pt>
                <c:pt idx="14">
                  <c:v>-2.2465925000003659E-4</c:v>
                </c:pt>
                <c:pt idx="15">
                  <c:v>-1.4639583332920481E-5</c:v>
                </c:pt>
                <c:pt idx="16">
                  <c:v>3.947927499989845E-4</c:v>
                </c:pt>
                <c:pt idx="17">
                  <c:v>-4.0683350000003671E-4</c:v>
                </c:pt>
                <c:pt idx="18">
                  <c:v>-0.80963226833333501</c:v>
                </c:pt>
                <c:pt idx="19">
                  <c:v>-1.804989628833332</c:v>
                </c:pt>
                <c:pt idx="20">
                  <c:v>-1.886229589416667</c:v>
                </c:pt>
                <c:pt idx="21">
                  <c:v>-1.9030537007499999</c:v>
                </c:pt>
                <c:pt idx="22">
                  <c:v>-1.876171869583334</c:v>
                </c:pt>
                <c:pt idx="23">
                  <c:v>-2.076295193</c:v>
                </c:pt>
                <c:pt idx="24">
                  <c:v>-1.854945497333333</c:v>
                </c:pt>
                <c:pt idx="25">
                  <c:v>-2.0355130450000001</c:v>
                </c:pt>
                <c:pt idx="26">
                  <c:v>-1.9058443179166671</c:v>
                </c:pt>
                <c:pt idx="27">
                  <c:v>-1.680259954666667</c:v>
                </c:pt>
                <c:pt idx="28">
                  <c:v>-1.8622010332500001</c:v>
                </c:pt>
                <c:pt idx="29">
                  <c:v>-1.2716108581666681</c:v>
                </c:pt>
                <c:pt idx="30">
                  <c:v>-1.0127306425833329</c:v>
                </c:pt>
                <c:pt idx="31">
                  <c:v>-1.008221242000001</c:v>
                </c:pt>
                <c:pt idx="32">
                  <c:v>-0.1191343691666622</c:v>
                </c:pt>
                <c:pt idx="33">
                  <c:v>-0.66317354558333297</c:v>
                </c:pt>
                <c:pt idx="34">
                  <c:v>-0.78631332958333244</c:v>
                </c:pt>
                <c:pt idx="35">
                  <c:v>-0.39015517991666698</c:v>
                </c:pt>
                <c:pt idx="36">
                  <c:v>-0.35033508416666748</c:v>
                </c:pt>
                <c:pt idx="37">
                  <c:v>-0.20134320375</c:v>
                </c:pt>
                <c:pt idx="38">
                  <c:v>-1.031380066666618E-2</c:v>
                </c:pt>
                <c:pt idx="39">
                  <c:v>-4.2663441666990209E-4</c:v>
                </c:pt>
                <c:pt idx="40">
                  <c:v>2.4497316666727281E-4</c:v>
                </c:pt>
                <c:pt idx="41">
                  <c:v>-2.7966666666701112E-4</c:v>
                </c:pt>
                <c:pt idx="42">
                  <c:v>2.9999999999996701E-4</c:v>
                </c:pt>
                <c:pt idx="43">
                  <c:v>7.0000000000014495E-5</c:v>
                </c:pt>
                <c:pt idx="44">
                  <c:v>-1.376666666669801E-4</c:v>
                </c:pt>
                <c:pt idx="45">
                  <c:v>1.2666666666699691E-4</c:v>
                </c:pt>
                <c:pt idx="46">
                  <c:v>-3.9933333333300181E-4</c:v>
                </c:pt>
                <c:pt idx="47">
                  <c:v>-4.0566666666699841E-4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07B-4901-A5EC-1DAB6992060C}"/>
            </c:ext>
          </c:extLst>
        </c:ser>
        <c:ser>
          <c:idx val="26"/>
          <c:order val="26"/>
          <c:tx>
            <c:v>BES_TR4_one133_A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-2.666666666698014E-5</c:v>
                </c:pt>
                <c:pt idx="1">
                  <c:v>2.0799999999990271E-4</c:v>
                </c:pt>
                <c:pt idx="2">
                  <c:v>0</c:v>
                </c:pt>
                <c:pt idx="3">
                  <c:v>4.0600000000000358E-4</c:v>
                </c:pt>
                <c:pt idx="4">
                  <c:v>-1.8800000000000761E-4</c:v>
                </c:pt>
                <c:pt idx="5">
                  <c:v>1.0000000000009999E-5</c:v>
                </c:pt>
                <c:pt idx="6">
                  <c:v>2.0799999999990271E-4</c:v>
                </c:pt>
                <c:pt idx="7">
                  <c:v>-4.4080346666666709E-4</c:v>
                </c:pt>
                <c:pt idx="8">
                  <c:v>4.8350746666681038E-4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4.9240733333200115E-4</c:v>
                </c:pt>
                <c:pt idx="13">
                  <c:v>6.5832266667786854E-5</c:v>
                </c:pt>
                <c:pt idx="14">
                  <c:v>1.3021186666684059E-4</c:v>
                </c:pt>
                <c:pt idx="15">
                  <c:v>-5.001308999999976E-2</c:v>
                </c:pt>
                <c:pt idx="16">
                  <c:v>-2.0456140649333352</c:v>
                </c:pt>
                <c:pt idx="17">
                  <c:v>-2.0777632669333328</c:v>
                </c:pt>
                <c:pt idx="18">
                  <c:v>-2.5355293626666682</c:v>
                </c:pt>
                <c:pt idx="19">
                  <c:v>-2.3306927394666652</c:v>
                </c:pt>
                <c:pt idx="20">
                  <c:v>-1.889096943066668</c:v>
                </c:pt>
                <c:pt idx="21">
                  <c:v>-2.403478454533333</c:v>
                </c:pt>
                <c:pt idx="22">
                  <c:v>-1.235024591333338</c:v>
                </c:pt>
                <c:pt idx="23">
                  <c:v>-1.9886920421333301</c:v>
                </c:pt>
                <c:pt idx="24">
                  <c:v>-3.3404713290666681</c:v>
                </c:pt>
                <c:pt idx="25">
                  <c:v>-3.360321672</c:v>
                </c:pt>
                <c:pt idx="26">
                  <c:v>-3.235148482</c:v>
                </c:pt>
                <c:pt idx="27">
                  <c:v>-3.120126327466668</c:v>
                </c:pt>
                <c:pt idx="28">
                  <c:v>-2.9147145598666668</c:v>
                </c:pt>
                <c:pt idx="29">
                  <c:v>-2.4623591730666679</c:v>
                </c:pt>
                <c:pt idx="30">
                  <c:v>-2.3791584948</c:v>
                </c:pt>
                <c:pt idx="31">
                  <c:v>-1.8562775205333351</c:v>
                </c:pt>
                <c:pt idx="32">
                  <c:v>-1.149045057333332</c:v>
                </c:pt>
                <c:pt idx="33">
                  <c:v>-1.6458346062666649</c:v>
                </c:pt>
                <c:pt idx="34">
                  <c:v>-1.297791527333332</c:v>
                </c:pt>
                <c:pt idx="35">
                  <c:v>-1.1121979211999999</c:v>
                </c:pt>
                <c:pt idx="36">
                  <c:v>-0.56115480133333495</c:v>
                </c:pt>
                <c:pt idx="37">
                  <c:v>-1.740593333301454E-4</c:v>
                </c:pt>
                <c:pt idx="38">
                  <c:v>-2.5674773333320128E-4</c:v>
                </c:pt>
                <c:pt idx="39">
                  <c:v>2.410516000000418E-4</c:v>
                </c:pt>
                <c:pt idx="40">
                  <c:v>4.8822373333323732E-4</c:v>
                </c:pt>
                <c:pt idx="41">
                  <c:v>3.763333333329788E-4</c:v>
                </c:pt>
                <c:pt idx="42">
                  <c:v>3.8999999999900232E-5</c:v>
                </c:pt>
                <c:pt idx="43">
                  <c:v>2.1199999999999E-4</c:v>
                </c:pt>
                <c:pt idx="44">
                  <c:v>-3.8366666666711508E-4</c:v>
                </c:pt>
                <c:pt idx="45">
                  <c:v>-3.4666666669735953E-5</c:v>
                </c:pt>
                <c:pt idx="46">
                  <c:v>2.7533333333296112E-4</c:v>
                </c:pt>
                <c:pt idx="47">
                  <c:v>0.34007266666666991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07B-4901-A5EC-1DAB6992060C}"/>
            </c:ext>
          </c:extLst>
        </c:ser>
        <c:ser>
          <c:idx val="27"/>
          <c:order val="27"/>
          <c:tx>
            <c:v>BES_TR4_one137_A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2.9133333333297712E-4</c:v>
                </c:pt>
                <c:pt idx="1">
                  <c:v>-4.720000000000002E-4</c:v>
                </c:pt>
                <c:pt idx="2">
                  <c:v>0</c:v>
                </c:pt>
                <c:pt idx="3">
                  <c:v>0</c:v>
                </c:pt>
                <c:pt idx="4">
                  <c:v>-4.119999999999957E-4</c:v>
                </c:pt>
                <c:pt idx="5">
                  <c:v>3.4800000000001502E-4</c:v>
                </c:pt>
                <c:pt idx="6">
                  <c:v>0</c:v>
                </c:pt>
                <c:pt idx="7">
                  <c:v>2.1559826666667231E-4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1.4985586666599329E-4</c:v>
                </c:pt>
                <c:pt idx="11">
                  <c:v>1.870117333340193E-4</c:v>
                </c:pt>
                <c:pt idx="12">
                  <c:v>4.0703666665919958E-5</c:v>
                </c:pt>
                <c:pt idx="13">
                  <c:v>-2.8658386666602359E-4</c:v>
                </c:pt>
                <c:pt idx="14">
                  <c:v>3.7227259999994539E-4</c:v>
                </c:pt>
                <c:pt idx="15">
                  <c:v>2.9550000000266859E-6</c:v>
                </c:pt>
                <c:pt idx="16">
                  <c:v>-4.0469913333407442E-4</c:v>
                </c:pt>
                <c:pt idx="17">
                  <c:v>-5.5466799999903671E-5</c:v>
                </c:pt>
                <c:pt idx="18">
                  <c:v>3.2778533333607812E-4</c:v>
                </c:pt>
                <c:pt idx="19">
                  <c:v>1.202969333341519E-4</c:v>
                </c:pt>
                <c:pt idx="20">
                  <c:v>-2.8807153333376689E-4</c:v>
                </c:pt>
                <c:pt idx="21">
                  <c:v>3.4743939999981599E-4</c:v>
                </c:pt>
                <c:pt idx="22">
                  <c:v>-1.090548962333334</c:v>
                </c:pt>
                <c:pt idx="23">
                  <c:v>-1.5297873544</c:v>
                </c:pt>
                <c:pt idx="24">
                  <c:v>-1.665240664533334</c:v>
                </c:pt>
                <c:pt idx="25">
                  <c:v>-1.6455728359999999</c:v>
                </c:pt>
                <c:pt idx="26">
                  <c:v>-1.4532312409999999</c:v>
                </c:pt>
                <c:pt idx="27">
                  <c:v>-1.550667163733334</c:v>
                </c:pt>
                <c:pt idx="28">
                  <c:v>-1.4767539465999999</c:v>
                </c:pt>
                <c:pt idx="29">
                  <c:v>-1.216159086533334</c:v>
                </c:pt>
                <c:pt idx="30">
                  <c:v>-1.2835642474</c:v>
                </c:pt>
                <c:pt idx="31">
                  <c:v>-1.1637919269333341</c:v>
                </c:pt>
                <c:pt idx="32">
                  <c:v>-0.82782022866666582</c:v>
                </c:pt>
                <c:pt idx="33">
                  <c:v>-0.73026616979999903</c:v>
                </c:pt>
                <c:pt idx="34">
                  <c:v>-0.58583023033333292</c:v>
                </c:pt>
                <c:pt idx="35">
                  <c:v>-0.31055747726666699</c:v>
                </c:pt>
                <c:pt idx="36">
                  <c:v>-0.25618946733333398</c:v>
                </c:pt>
                <c:pt idx="37">
                  <c:v>1.4063700000000601E-4</c:v>
                </c:pt>
                <c:pt idx="38">
                  <c:v>4.0435946666641381E-4</c:v>
                </c:pt>
                <c:pt idx="39">
                  <c:v>-1.075742000000712E-4</c:v>
                </c:pt>
                <c:pt idx="40">
                  <c:v>3.8445200000736257E-5</c:v>
                </c:pt>
                <c:pt idx="41">
                  <c:v>2.7833333333293631E-4</c:v>
                </c:pt>
                <c:pt idx="42">
                  <c:v>2.6999999999988139E-4</c:v>
                </c:pt>
                <c:pt idx="43">
                  <c:v>-4.9633333333298779E-4</c:v>
                </c:pt>
                <c:pt idx="44">
                  <c:v>-3.2999999999999702E-4</c:v>
                </c:pt>
                <c:pt idx="45">
                  <c:v>3.5999999999980492E-5</c:v>
                </c:pt>
                <c:pt idx="46">
                  <c:v>-4.8333333332983841E-5</c:v>
                </c:pt>
                <c:pt idx="47">
                  <c:v>2.4799999999991501E-4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07B-4901-A5EC-1DAB6992060C}"/>
            </c:ext>
          </c:extLst>
        </c:ser>
        <c:ser>
          <c:idx val="28"/>
          <c:order val="28"/>
          <c:tx>
            <c:v>BES_TR4_one176_A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-3.4694469519536142E-18</c:v>
                </c:pt>
                <c:pt idx="1">
                  <c:v>9.5999999999984986E-5</c:v>
                </c:pt>
                <c:pt idx="2">
                  <c:v>-3.4694469519536142E-18</c:v>
                </c:pt>
                <c:pt idx="3">
                  <c:v>2.0000000000006121E-5</c:v>
                </c:pt>
                <c:pt idx="4">
                  <c:v>7.599999999999274E-5</c:v>
                </c:pt>
                <c:pt idx="5">
                  <c:v>-3.4694469519536142E-18</c:v>
                </c:pt>
                <c:pt idx="6">
                  <c:v>9.5999999999984986E-5</c:v>
                </c:pt>
                <c:pt idx="7">
                  <c:v>-1.505021666666703E-4</c:v>
                </c:pt>
                <c:pt idx="8">
                  <c:v>-4.6005783333326328E-4</c:v>
                </c:pt>
                <c:pt idx="9">
                  <c:v>1.135267499999815E-4</c:v>
                </c:pt>
                <c:pt idx="10">
                  <c:v>-3.3768016666746448E-4</c:v>
                </c:pt>
                <c:pt idx="11">
                  <c:v>-3.0123533333248348E-4</c:v>
                </c:pt>
                <c:pt idx="12">
                  <c:v>-2.1312041666743389E-4</c:v>
                </c:pt>
                <c:pt idx="13">
                  <c:v>4.1177016666749111E-4</c:v>
                </c:pt>
                <c:pt idx="14">
                  <c:v>-2.2465925000014761E-4</c:v>
                </c:pt>
                <c:pt idx="15">
                  <c:v>3.3069375000005508E-4</c:v>
                </c:pt>
                <c:pt idx="16">
                  <c:v>4.1812608333202661E-4</c:v>
                </c:pt>
                <c:pt idx="17">
                  <c:v>-1.0024068335</c:v>
                </c:pt>
                <c:pt idx="18">
                  <c:v>-1.5712636016666679</c:v>
                </c:pt>
                <c:pt idx="19">
                  <c:v>-1.819690962166665</c:v>
                </c:pt>
                <c:pt idx="20">
                  <c:v>-1.897297589416667</c:v>
                </c:pt>
                <c:pt idx="21">
                  <c:v>-1.9281777007500001</c:v>
                </c:pt>
                <c:pt idx="22">
                  <c:v>-2.0856112029166671</c:v>
                </c:pt>
                <c:pt idx="23">
                  <c:v>-2.0841391929999999</c:v>
                </c:pt>
                <c:pt idx="24">
                  <c:v>-2.0217948306666669</c:v>
                </c:pt>
                <c:pt idx="25">
                  <c:v>-2.106451045</c:v>
                </c:pt>
                <c:pt idx="26">
                  <c:v>-1.9970440512500001</c:v>
                </c:pt>
                <c:pt idx="27">
                  <c:v>-1.9079179546666669</c:v>
                </c:pt>
                <c:pt idx="28">
                  <c:v>-1.8859424332500001</c:v>
                </c:pt>
                <c:pt idx="29">
                  <c:v>-1.7688688581666681</c:v>
                </c:pt>
                <c:pt idx="30">
                  <c:v>-1.51535930925</c:v>
                </c:pt>
                <c:pt idx="31">
                  <c:v>-1.4947399086666679</c:v>
                </c:pt>
                <c:pt idx="32">
                  <c:v>-1.3261250358333321</c:v>
                </c:pt>
                <c:pt idx="33">
                  <c:v>-0.96814854558333296</c:v>
                </c:pt>
                <c:pt idx="34">
                  <c:v>-0.59885732958333249</c:v>
                </c:pt>
                <c:pt idx="35">
                  <c:v>-0.68987484658333331</c:v>
                </c:pt>
                <c:pt idx="36">
                  <c:v>-0.42965708416666748</c:v>
                </c:pt>
                <c:pt idx="37">
                  <c:v>-0.265126537083333</c:v>
                </c:pt>
                <c:pt idx="38">
                  <c:v>-0.13386713399999989</c:v>
                </c:pt>
                <c:pt idx="39">
                  <c:v>4.9369891666695143E-4</c:v>
                </c:pt>
                <c:pt idx="40">
                  <c:v>-1.5236016666669849E-4</c:v>
                </c:pt>
                <c:pt idx="41">
                  <c:v>4.4933333333296849E-4</c:v>
                </c:pt>
                <c:pt idx="42">
                  <c:v>2.5433333333302333E-4</c:v>
                </c:pt>
                <c:pt idx="43">
                  <c:v>-3.3333333333401832E-4</c:v>
                </c:pt>
                <c:pt idx="44">
                  <c:v>9.5999999999984986E-5</c:v>
                </c:pt>
                <c:pt idx="45">
                  <c:v>-3.4694469519536142E-18</c:v>
                </c:pt>
                <c:pt idx="46">
                  <c:v>9.5999999999984986E-5</c:v>
                </c:pt>
                <c:pt idx="47">
                  <c:v>-3.4694469519536142E-18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07B-4901-A5EC-1DAB6992060C}"/>
            </c:ext>
          </c:extLst>
        </c:ser>
        <c:ser>
          <c:idx val="29"/>
          <c:order val="29"/>
          <c:tx>
            <c:v>BES_TR4_three64_A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4.8333333333329398E-4</c:v>
                </c:pt>
                <c:pt idx="1">
                  <c:v>-1.666666666669814E-4</c:v>
                </c:pt>
                <c:pt idx="2">
                  <c:v>0</c:v>
                </c:pt>
                <c:pt idx="3">
                  <c:v>3.833333333329858E-4</c:v>
                </c:pt>
                <c:pt idx="4">
                  <c:v>-6.6666666666992391E-5</c:v>
                </c:pt>
                <c:pt idx="5">
                  <c:v>0</c:v>
                </c:pt>
                <c:pt idx="6">
                  <c:v>3.1666666666699261E-4</c:v>
                </c:pt>
                <c:pt idx="7">
                  <c:v>-4.4080346666667408E-4</c:v>
                </c:pt>
                <c:pt idx="8">
                  <c:v>-9.2825866666187973E-5</c:v>
                </c:pt>
                <c:pt idx="9">
                  <c:v>1.014428000000039E-4</c:v>
                </c:pt>
                <c:pt idx="10">
                  <c:v>-3.402882666680429E-4</c:v>
                </c:pt>
                <c:pt idx="11">
                  <c:v>-2.4964319999887241E-4</c:v>
                </c:pt>
                <c:pt idx="12">
                  <c:v>-2.1025933333473909E-4</c:v>
                </c:pt>
                <c:pt idx="13">
                  <c:v>2.588322666678966E-4</c:v>
                </c:pt>
                <c:pt idx="14">
                  <c:v>-2.8445480000005569E-4</c:v>
                </c:pt>
                <c:pt idx="15">
                  <c:v>-0.27198442333333261</c:v>
                </c:pt>
                <c:pt idx="16">
                  <c:v>-2.213329398266668</c:v>
                </c:pt>
                <c:pt idx="17">
                  <c:v>-2.446942600266667</c:v>
                </c:pt>
                <c:pt idx="18">
                  <c:v>-2.585967029333335</c:v>
                </c:pt>
                <c:pt idx="19">
                  <c:v>-2.9153834061333321</c:v>
                </c:pt>
                <c:pt idx="20">
                  <c:v>-2.7263922764000008</c:v>
                </c:pt>
                <c:pt idx="21">
                  <c:v>-3.2323051212</c:v>
                </c:pt>
                <c:pt idx="22">
                  <c:v>-3.1427709246666682</c:v>
                </c:pt>
                <c:pt idx="23">
                  <c:v>-3.0593850421333331</c:v>
                </c:pt>
                <c:pt idx="24">
                  <c:v>-3.3000983957333352</c:v>
                </c:pt>
                <c:pt idx="25">
                  <c:v>-3.1373066719999998</c:v>
                </c:pt>
                <c:pt idx="26">
                  <c:v>-1.9150698153333301</c:v>
                </c:pt>
                <c:pt idx="27">
                  <c:v>-3.162334327466668</c:v>
                </c:pt>
                <c:pt idx="28">
                  <c:v>-3.0145078931999998</c:v>
                </c:pt>
                <c:pt idx="29">
                  <c:v>-2.6568735064000011</c:v>
                </c:pt>
                <c:pt idx="30">
                  <c:v>-2.6281284947999999</c:v>
                </c:pt>
                <c:pt idx="31">
                  <c:v>-2.2802005205333349</c:v>
                </c:pt>
                <c:pt idx="32">
                  <c:v>-2.0568667239999989</c:v>
                </c:pt>
                <c:pt idx="33">
                  <c:v>-1.793071272933332</c:v>
                </c:pt>
                <c:pt idx="34">
                  <c:v>-1.237674393999999</c:v>
                </c:pt>
                <c:pt idx="35">
                  <c:v>-1.0650796212</c:v>
                </c:pt>
                <c:pt idx="36">
                  <c:v>-0.65863026800000102</c:v>
                </c:pt>
                <c:pt idx="37">
                  <c:v>-0.32589905933333302</c:v>
                </c:pt>
                <c:pt idx="38">
                  <c:v>3.1258559999886032E-4</c:v>
                </c:pt>
                <c:pt idx="39">
                  <c:v>-4.5161506666990808E-4</c:v>
                </c:pt>
                <c:pt idx="40">
                  <c:v>6.8904000002367738E-6</c:v>
                </c:pt>
                <c:pt idx="41">
                  <c:v>2.6666666669838972E-6</c:v>
                </c:pt>
                <c:pt idx="42">
                  <c:v>2.5266666666690091E-4</c:v>
                </c:pt>
                <c:pt idx="43">
                  <c:v>-3.3333333333296361E-4</c:v>
                </c:pt>
                <c:pt idx="44">
                  <c:v>-3.1266666666707188E-4</c:v>
                </c:pt>
                <c:pt idx="45">
                  <c:v>-1.6866666666703889E-4</c:v>
                </c:pt>
                <c:pt idx="46">
                  <c:v>-3.5700000000005172E-4</c:v>
                </c:pt>
                <c:pt idx="47">
                  <c:v>1.4000000000014E-5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07B-4901-A5EC-1DAB6992060C}"/>
            </c:ext>
          </c:extLst>
        </c:ser>
        <c:ser>
          <c:idx val="30"/>
          <c:order val="30"/>
          <c:tx>
            <c:v>BES_TR4_three193_A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1.056666666670036E-4</c:v>
                </c:pt>
                <c:pt idx="1">
                  <c:v>3.0900000000000372E-4</c:v>
                </c:pt>
                <c:pt idx="2">
                  <c:v>1.15000000000004E-4</c:v>
                </c:pt>
                <c:pt idx="3">
                  <c:v>4.9933333333299079E-4</c:v>
                </c:pt>
                <c:pt idx="4">
                  <c:v>3.843333333329868E-4</c:v>
                </c:pt>
                <c:pt idx="5">
                  <c:v>2.30000000000008E-4</c:v>
                </c:pt>
                <c:pt idx="6">
                  <c:v>1.5866666666700111E-4</c:v>
                </c:pt>
                <c:pt idx="7">
                  <c:v>-1.8480346666666089E-4</c:v>
                </c:pt>
                <c:pt idx="8">
                  <c:v>-3.8949253333318829E-4</c:v>
                </c:pt>
                <c:pt idx="9">
                  <c:v>4.961094666669991E-4</c:v>
                </c:pt>
                <c:pt idx="10">
                  <c:v>2.4371173333204149E-4</c:v>
                </c:pt>
                <c:pt idx="11">
                  <c:v>1.5435680000108751E-4</c:v>
                </c:pt>
                <c:pt idx="12">
                  <c:v>-1.002593333347956E-4</c:v>
                </c:pt>
                <c:pt idx="13">
                  <c:v>-6.0167733332061601E-5</c:v>
                </c:pt>
                <c:pt idx="14">
                  <c:v>-3.7695480000010662E-4</c:v>
                </c:pt>
                <c:pt idx="15">
                  <c:v>2.1034333333314059E-4</c:v>
                </c:pt>
                <c:pt idx="16">
                  <c:v>-1.023745398266668</c:v>
                </c:pt>
                <c:pt idx="17">
                  <c:v>-2.3986026002666669</c:v>
                </c:pt>
                <c:pt idx="18">
                  <c:v>-2.530727896000001</c:v>
                </c:pt>
                <c:pt idx="19">
                  <c:v>-2.8454957061333319</c:v>
                </c:pt>
                <c:pt idx="20">
                  <c:v>-2.892672643066668</c:v>
                </c:pt>
                <c:pt idx="21">
                  <c:v>-3.1594424545333331</c:v>
                </c:pt>
                <c:pt idx="22">
                  <c:v>-2.3919425580000011</c:v>
                </c:pt>
                <c:pt idx="23">
                  <c:v>-2.7261067088000002</c:v>
                </c:pt>
                <c:pt idx="24">
                  <c:v>-3.170395995733335</c:v>
                </c:pt>
                <c:pt idx="25">
                  <c:v>-3.104263705333334</c:v>
                </c:pt>
                <c:pt idx="26">
                  <c:v>-2.9125327153333331</c:v>
                </c:pt>
                <c:pt idx="27">
                  <c:v>-3.1390967274666681</c:v>
                </c:pt>
                <c:pt idx="28">
                  <c:v>-2.8452116932</c:v>
                </c:pt>
                <c:pt idx="29">
                  <c:v>-2.8241901730666679</c:v>
                </c:pt>
                <c:pt idx="30">
                  <c:v>-2.488168828133333</c:v>
                </c:pt>
                <c:pt idx="31">
                  <c:v>-2.2781288538666682</c:v>
                </c:pt>
                <c:pt idx="32">
                  <c:v>-2.028986057333332</c:v>
                </c:pt>
                <c:pt idx="33">
                  <c:v>-1.7900712729333319</c:v>
                </c:pt>
                <c:pt idx="34">
                  <c:v>-1.377756727333332</c:v>
                </c:pt>
                <c:pt idx="35">
                  <c:v>-1.034989954533333</c:v>
                </c:pt>
                <c:pt idx="36">
                  <c:v>-0.86891693466666797</c:v>
                </c:pt>
                <c:pt idx="37">
                  <c:v>-0.57675072599999999</c:v>
                </c:pt>
                <c:pt idx="38">
                  <c:v>-0.29020574773333319</c:v>
                </c:pt>
                <c:pt idx="39">
                  <c:v>-4.6094839999999941E-4</c:v>
                </c:pt>
                <c:pt idx="40">
                  <c:v>-2.727762666666772E-4</c:v>
                </c:pt>
                <c:pt idx="41">
                  <c:v>-7.6333333333011844E-5</c:v>
                </c:pt>
                <c:pt idx="42">
                  <c:v>0</c:v>
                </c:pt>
                <c:pt idx="43">
                  <c:v>4.1466666666700741E-4</c:v>
                </c:pt>
                <c:pt idx="44">
                  <c:v>0</c:v>
                </c:pt>
                <c:pt idx="45">
                  <c:v>1.096666666670076E-4</c:v>
                </c:pt>
                <c:pt idx="46">
                  <c:v>3.0499999999999972E-4</c:v>
                </c:pt>
                <c:pt idx="47">
                  <c:v>1.4566666666700201E-4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07B-4901-A5EC-1DAB6992060C}"/>
            </c:ext>
          </c:extLst>
        </c:ser>
        <c:ser>
          <c:idx val="31"/>
          <c:order val="31"/>
          <c:tx>
            <c:v>BES_TR4_three232_C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3.2933333333329262E-4</c:v>
                </c:pt>
                <c:pt idx="1">
                  <c:v>-4.696666666670346E-4</c:v>
                </c:pt>
                <c:pt idx="2">
                  <c:v>-2.699999999999925E-5</c:v>
                </c:pt>
                <c:pt idx="3">
                  <c:v>0</c:v>
                </c:pt>
                <c:pt idx="4">
                  <c:v>-3.2399999999999102E-4</c:v>
                </c:pt>
                <c:pt idx="5">
                  <c:v>5.8999999999975739E-5</c:v>
                </c:pt>
                <c:pt idx="6">
                  <c:v>9.9999999999988987E-5</c:v>
                </c:pt>
                <c:pt idx="7">
                  <c:v>-1.0703033333329949E-5</c:v>
                </c:pt>
                <c:pt idx="8">
                  <c:v>-3.9734763333357242E-4</c:v>
                </c:pt>
                <c:pt idx="9">
                  <c:v>-3.5152921666699999E-4</c:v>
                </c:pt>
                <c:pt idx="10">
                  <c:v>-1.1075223333451011E-4</c:v>
                </c:pt>
                <c:pt idx="11">
                  <c:v>3.1493720000147501E-4</c:v>
                </c:pt>
                <c:pt idx="12">
                  <c:v>4.6323141666537731E-4</c:v>
                </c:pt>
                <c:pt idx="13">
                  <c:v>-4.9188433332014718E-5</c:v>
                </c:pt>
                <c:pt idx="14">
                  <c:v>-4.1318961666703119E-4</c:v>
                </c:pt>
                <c:pt idx="15">
                  <c:v>2.6017124999988539E-4</c:v>
                </c:pt>
                <c:pt idx="16">
                  <c:v>-2.6689015000203042E-4</c:v>
                </c:pt>
                <c:pt idx="17">
                  <c:v>-0.56738556690000008</c:v>
                </c:pt>
                <c:pt idx="18">
                  <c:v>-2.0009264423333351</c:v>
                </c:pt>
                <c:pt idx="19">
                  <c:v>-2.3064214803666649</c:v>
                </c:pt>
                <c:pt idx="20">
                  <c:v>-2.2842708251833339</c:v>
                </c:pt>
                <c:pt idx="21">
                  <c:v>-2.3922419810500002</c:v>
                </c:pt>
                <c:pt idx="22">
                  <c:v>-2.6488563507500009</c:v>
                </c:pt>
                <c:pt idx="23">
                  <c:v>-2.8838855368666669</c:v>
                </c:pt>
                <c:pt idx="24">
                  <c:v>-2.6844551629333351</c:v>
                </c:pt>
                <c:pt idx="25">
                  <c:v>-2.688380796333333</c:v>
                </c:pt>
                <c:pt idx="26">
                  <c:v>-2.619746005083333</c:v>
                </c:pt>
                <c:pt idx="27">
                  <c:v>-2.6032165365333348</c:v>
                </c:pt>
                <c:pt idx="28">
                  <c:v>-2.3376447398833329</c:v>
                </c:pt>
                <c:pt idx="29">
                  <c:v>-2.2311010681000019</c:v>
                </c:pt>
                <c:pt idx="30">
                  <c:v>-2.2068984329500001</c:v>
                </c:pt>
                <c:pt idx="31">
                  <c:v>-1.848762205466667</c:v>
                </c:pt>
                <c:pt idx="32">
                  <c:v>-1.4050643834999981</c:v>
                </c:pt>
                <c:pt idx="33">
                  <c:v>-1.323695697149998</c:v>
                </c:pt>
                <c:pt idx="34">
                  <c:v>-1.058153594749998</c:v>
                </c:pt>
                <c:pt idx="35">
                  <c:v>-0.67827625188333307</c:v>
                </c:pt>
                <c:pt idx="36">
                  <c:v>-0.58491898450000146</c:v>
                </c:pt>
                <c:pt idx="37">
                  <c:v>3.9211475000005408E-4</c:v>
                </c:pt>
                <c:pt idx="38">
                  <c:v>-7.7823187599999538E-2</c:v>
                </c:pt>
                <c:pt idx="39">
                  <c:v>4.7304514999996222E-4</c:v>
                </c:pt>
                <c:pt idx="40">
                  <c:v>-3.5230423333332261E-4</c:v>
                </c:pt>
                <c:pt idx="41">
                  <c:v>0</c:v>
                </c:pt>
                <c:pt idx="42">
                  <c:v>-2.05999999999984E-4</c:v>
                </c:pt>
                <c:pt idx="43">
                  <c:v>3.8666666666992138E-5</c:v>
                </c:pt>
                <c:pt idx="44">
                  <c:v>-1.209999999999961E-4</c:v>
                </c:pt>
                <c:pt idx="45">
                  <c:v>-2.1900000000009409E-4</c:v>
                </c:pt>
                <c:pt idx="46">
                  <c:v>1.5266666666699511E-4</c:v>
                </c:pt>
                <c:pt idx="47">
                  <c:v>-1.4000000000002899E-4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07B-4901-A5EC-1DAB6992060C}"/>
            </c:ext>
          </c:extLst>
        </c:ser>
        <c:ser>
          <c:idx val="32"/>
          <c:order val="32"/>
          <c:tx>
            <c:v>BES_TR4_three233_A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-3.6200000000002902E-4</c:v>
                </c:pt>
                <c:pt idx="1">
                  <c:v>-1.759999999999956E-4</c:v>
                </c:pt>
                <c:pt idx="2">
                  <c:v>4.6666666670136534E-6</c:v>
                </c:pt>
                <c:pt idx="3">
                  <c:v>-1.7800000000001151E-4</c:v>
                </c:pt>
                <c:pt idx="4">
                  <c:v>-2.260000000000317E-4</c:v>
                </c:pt>
                <c:pt idx="5">
                  <c:v>6.6666666700965216E-7</c:v>
                </c:pt>
                <c:pt idx="6">
                  <c:v>-3.4400000000001102E-4</c:v>
                </c:pt>
                <c:pt idx="7">
                  <c:v>-2.963463333297001E-5</c:v>
                </c:pt>
                <c:pt idx="8">
                  <c:v>-3.1043469999994522E-4</c:v>
                </c:pt>
                <c:pt idx="9">
                  <c:v>-2.150839499999932E-4</c:v>
                </c:pt>
                <c:pt idx="10">
                  <c:v>3.2572523333247901E-4</c:v>
                </c:pt>
                <c:pt idx="11">
                  <c:v>8.3592133333504348E-5</c:v>
                </c:pt>
                <c:pt idx="12">
                  <c:v>2.7852774999939661E-4</c:v>
                </c:pt>
                <c:pt idx="13">
                  <c:v>-4.6027123333247649E-4</c:v>
                </c:pt>
                <c:pt idx="14">
                  <c:v>-8.2795550000014373E-5</c:v>
                </c:pt>
                <c:pt idx="15">
                  <c:v>4.5921625000011618E-4</c:v>
                </c:pt>
                <c:pt idx="16">
                  <c:v>-2.2552435000061649E-4</c:v>
                </c:pt>
                <c:pt idx="17">
                  <c:v>3.0089990000009559E-4</c:v>
                </c:pt>
                <c:pt idx="18">
                  <c:v>2.4390566666998139E-4</c:v>
                </c:pt>
                <c:pt idx="19">
                  <c:v>4.025560333340561E-4</c:v>
                </c:pt>
                <c:pt idx="20">
                  <c:v>1.6231301666708159E-4</c:v>
                </c:pt>
                <c:pt idx="21">
                  <c:v>-2.380871166667298E-4</c:v>
                </c:pt>
                <c:pt idx="22">
                  <c:v>-4.2721750000085379E-5</c:v>
                </c:pt>
                <c:pt idx="23">
                  <c:v>2.9315086666681372E-4</c:v>
                </c:pt>
                <c:pt idx="24">
                  <c:v>-1.6883173333404061E-4</c:v>
                </c:pt>
                <c:pt idx="25">
                  <c:v>-0.83592696033333302</c:v>
                </c:pt>
                <c:pt idx="26">
                  <c:v>-0.94471009741666712</c:v>
                </c:pt>
                <c:pt idx="27">
                  <c:v>-0.67659037280000001</c:v>
                </c:pt>
                <c:pt idx="28">
                  <c:v>-0.918187793283333</c:v>
                </c:pt>
                <c:pt idx="29">
                  <c:v>-4.7444823333009373E-4</c:v>
                </c:pt>
                <c:pt idx="30">
                  <c:v>-0.340898518883333</c:v>
                </c:pt>
                <c:pt idx="31">
                  <c:v>-0.61823621186666644</c:v>
                </c:pt>
                <c:pt idx="32">
                  <c:v>-4.5502149999948621E-4</c:v>
                </c:pt>
                <c:pt idx="33">
                  <c:v>-2.2072734999943611E-4</c:v>
                </c:pt>
                <c:pt idx="34">
                  <c:v>2.2293558333355559E-4</c:v>
                </c:pt>
                <c:pt idx="35">
                  <c:v>2.2955871666974209E-4</c:v>
                </c:pt>
                <c:pt idx="36">
                  <c:v>-1.9418383333352771E-4</c:v>
                </c:pt>
                <c:pt idx="37">
                  <c:v>-4.3818891666980159E-4</c:v>
                </c:pt>
                <c:pt idx="38">
                  <c:v>-5.0613733332871558E-5</c:v>
                </c:pt>
                <c:pt idx="39">
                  <c:v>-1.2331398333298441E-4</c:v>
                </c:pt>
                <c:pt idx="40">
                  <c:v>-3.1416099999903579E-5</c:v>
                </c:pt>
                <c:pt idx="41">
                  <c:v>1.7799999999978941E-4</c:v>
                </c:pt>
                <c:pt idx="42">
                  <c:v>0.1943689999999999</c:v>
                </c:pt>
                <c:pt idx="43">
                  <c:v>0.69443100000000002</c:v>
                </c:pt>
                <c:pt idx="44">
                  <c:v>0.94588499999999998</c:v>
                </c:pt>
                <c:pt idx="45">
                  <c:v>0.58516500000000005</c:v>
                </c:pt>
                <c:pt idx="46">
                  <c:v>0.88541433333333297</c:v>
                </c:pt>
                <c:pt idx="47">
                  <c:v>0.55756666666666699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07B-4901-A5EC-1DAB6992060C}"/>
            </c:ext>
          </c:extLst>
        </c:ser>
        <c:ser>
          <c:idx val="33"/>
          <c:order val="33"/>
          <c:tx>
            <c:v>BES_TR4_three248_C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7.3333333332981088E-5</c:v>
                </c:pt>
                <c:pt idx="3">
                  <c:v>0</c:v>
                </c:pt>
                <c:pt idx="4">
                  <c:v>0</c:v>
                </c:pt>
                <c:pt idx="5">
                  <c:v>-4.45000000000001E-4</c:v>
                </c:pt>
                <c:pt idx="6">
                  <c:v>-4.8166666666660252E-4</c:v>
                </c:pt>
                <c:pt idx="7">
                  <c:v>4.1939739999999679E-4</c:v>
                </c:pt>
                <c:pt idx="8">
                  <c:v>-3.0086939999990348E-4</c:v>
                </c:pt>
                <c:pt idx="9">
                  <c:v>-3.5683456666698801E-4</c:v>
                </c:pt>
                <c:pt idx="10">
                  <c:v>-5.2162000009903231E-6</c:v>
                </c:pt>
                <c:pt idx="11">
                  <c:v>1.2485093333447489E-4</c:v>
                </c:pt>
                <c:pt idx="12">
                  <c:v>-3.8394450000112101E-4</c:v>
                </c:pt>
                <c:pt idx="13">
                  <c:v>3.6079086666751531E-4</c:v>
                </c:pt>
                <c:pt idx="14">
                  <c:v>1.4940889999981441E-4</c:v>
                </c:pt>
                <c:pt idx="15">
                  <c:v>2.9643249999988802E-4</c:v>
                </c:pt>
                <c:pt idx="16">
                  <c:v>-0.77643971536666767</c:v>
                </c:pt>
                <c:pt idx="17">
                  <c:v>-1.7541582002</c:v>
                </c:pt>
                <c:pt idx="18">
                  <c:v>-1.9281015220000011</c:v>
                </c:pt>
                <c:pt idx="19">
                  <c:v>-2.075248887933332</c:v>
                </c:pt>
                <c:pt idx="20">
                  <c:v>-1.150056707300001</c:v>
                </c:pt>
                <c:pt idx="21">
                  <c:v>-2.0850268408999999</c:v>
                </c:pt>
                <c:pt idx="22">
                  <c:v>-2.320785443500001</c:v>
                </c:pt>
                <c:pt idx="23">
                  <c:v>-2.2731240316000001</c:v>
                </c:pt>
                <c:pt idx="24">
                  <c:v>-2.3763289968000012</c:v>
                </c:pt>
                <c:pt idx="25">
                  <c:v>-2.3217932540000001</c:v>
                </c:pt>
                <c:pt idx="26">
                  <c:v>-2.0658385281666671</c:v>
                </c:pt>
                <c:pt idx="27">
                  <c:v>-0.67857707893333097</c:v>
                </c:pt>
                <c:pt idx="28">
                  <c:v>-1.6990232532333329</c:v>
                </c:pt>
                <c:pt idx="29">
                  <c:v>-1.830661296466668</c:v>
                </c:pt>
                <c:pt idx="30">
                  <c:v>-1.1544517044333329</c:v>
                </c:pt>
                <c:pt idx="31">
                  <c:v>-1.3854828904000009</c:v>
                </c:pt>
                <c:pt idx="32">
                  <c:v>-1.4767573763333319</c:v>
                </c:pt>
                <c:pt idx="33">
                  <c:v>-0.97412678803333208</c:v>
                </c:pt>
                <c:pt idx="34">
                  <c:v>-0.64058679549999908</c:v>
                </c:pt>
                <c:pt idx="35">
                  <c:v>3.2111743332974291E-4</c:v>
                </c:pt>
                <c:pt idx="36">
                  <c:v>3.632333329228743E-6</c:v>
                </c:pt>
                <c:pt idx="37">
                  <c:v>-2.283778333329739E-4</c:v>
                </c:pt>
                <c:pt idx="38">
                  <c:v>3.6277253333308329E-4</c:v>
                </c:pt>
                <c:pt idx="39">
                  <c:v>-3.7696130000003381E-4</c:v>
                </c:pt>
                <c:pt idx="40">
                  <c:v>4.3050113333298329E-4</c:v>
                </c:pt>
                <c:pt idx="41">
                  <c:v>5.8000000000002487E-5</c:v>
                </c:pt>
                <c:pt idx="42">
                  <c:v>0.54755933333333395</c:v>
                </c:pt>
                <c:pt idx="43">
                  <c:v>0.68441366666666703</c:v>
                </c:pt>
                <c:pt idx="44">
                  <c:v>0.57078233333333295</c:v>
                </c:pt>
                <c:pt idx="45">
                  <c:v>0.56262900000000005</c:v>
                </c:pt>
                <c:pt idx="46">
                  <c:v>0.32549333333333302</c:v>
                </c:pt>
                <c:pt idx="47">
                  <c:v>0.66861333333333395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07B-4901-A5EC-1DAB6992060C}"/>
            </c:ext>
          </c:extLst>
        </c:ser>
        <c:ser>
          <c:idx val="34"/>
          <c:order val="34"/>
          <c:tx>
            <c:v>BES_TR4_three253_C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3.5266666666700092E-4</c:v>
                </c:pt>
                <c:pt idx="1">
                  <c:v>4.946666666670041E-4</c:v>
                </c:pt>
                <c:pt idx="2">
                  <c:v>8.2666666666952882E-5</c:v>
                </c:pt>
                <c:pt idx="3">
                  <c:v>-4.5733333333303211E-4</c:v>
                </c:pt>
                <c:pt idx="4">
                  <c:v>-3.3266666666603722E-4</c:v>
                </c:pt>
                <c:pt idx="5">
                  <c:v>-4.5333333333297249E-4</c:v>
                </c:pt>
                <c:pt idx="6">
                  <c:v>6.0832000000000053E-2</c:v>
                </c:pt>
                <c:pt idx="7">
                  <c:v>0.41221526493333371</c:v>
                </c:pt>
                <c:pt idx="8">
                  <c:v>9.8049753733333397E-2</c:v>
                </c:pt>
                <c:pt idx="9">
                  <c:v>-2.8677860000000249E-4</c:v>
                </c:pt>
                <c:pt idx="10">
                  <c:v>-3.1747746666700721E-4</c:v>
                </c:pt>
                <c:pt idx="11">
                  <c:v>7.1011733334014338E-5</c:v>
                </c:pt>
                <c:pt idx="12">
                  <c:v>4.0703666665919958E-5</c:v>
                </c:pt>
                <c:pt idx="13">
                  <c:v>4.8208280000100467E-4</c:v>
                </c:pt>
                <c:pt idx="14">
                  <c:v>2.02726000000375E-5</c:v>
                </c:pt>
                <c:pt idx="15">
                  <c:v>-4.3337833333334519E-4</c:v>
                </c:pt>
                <c:pt idx="16">
                  <c:v>3.0830086666588929E-4</c:v>
                </c:pt>
                <c:pt idx="17">
                  <c:v>-3.2546680000011818E-4</c:v>
                </c:pt>
                <c:pt idx="18">
                  <c:v>-4.74014666664066E-4</c:v>
                </c:pt>
                <c:pt idx="19">
                  <c:v>-4.3170306666595598E-4</c:v>
                </c:pt>
                <c:pt idx="20">
                  <c:v>2.7152846666611552E-4</c:v>
                </c:pt>
                <c:pt idx="21">
                  <c:v>1.4010606666592371E-4</c:v>
                </c:pt>
                <c:pt idx="22">
                  <c:v>2.9470433333322887E-4</c:v>
                </c:pt>
                <c:pt idx="23">
                  <c:v>-0.4450483543999999</c:v>
                </c:pt>
                <c:pt idx="24">
                  <c:v>-1.2181916645333339</c:v>
                </c:pt>
                <c:pt idx="25">
                  <c:v>-5.0362835999999911E-2</c:v>
                </c:pt>
                <c:pt idx="26">
                  <c:v>-1.354079241</c:v>
                </c:pt>
                <c:pt idx="27">
                  <c:v>-1.394314497066667</c:v>
                </c:pt>
                <c:pt idx="28">
                  <c:v>-1.4717539466</c:v>
                </c:pt>
                <c:pt idx="29">
                  <c:v>-1.3780950865333339</c:v>
                </c:pt>
                <c:pt idx="30">
                  <c:v>-1.1272115807333329</c:v>
                </c:pt>
                <c:pt idx="31">
                  <c:v>-0.9570585936000009</c:v>
                </c:pt>
                <c:pt idx="32">
                  <c:v>-0.70932169533333289</c:v>
                </c:pt>
                <c:pt idx="33">
                  <c:v>-0.53998563646666597</c:v>
                </c:pt>
                <c:pt idx="34">
                  <c:v>-0.5028415303333329</c:v>
                </c:pt>
                <c:pt idx="35">
                  <c:v>-0.35853081060000003</c:v>
                </c:pt>
                <c:pt idx="36">
                  <c:v>-0.308163467333334</c:v>
                </c:pt>
                <c:pt idx="37">
                  <c:v>1.1763699999978169E-4</c:v>
                </c:pt>
                <c:pt idx="38">
                  <c:v>3.3495946666350918E-4</c:v>
                </c:pt>
                <c:pt idx="39">
                  <c:v>4.2769246667040411E-4</c:v>
                </c:pt>
                <c:pt idx="40">
                  <c:v>4.2744519999970981E-4</c:v>
                </c:pt>
                <c:pt idx="41">
                  <c:v>2.700199999999997E-2</c:v>
                </c:pt>
                <c:pt idx="42">
                  <c:v>0.74897066666666701</c:v>
                </c:pt>
                <c:pt idx="43">
                  <c:v>0.51106733333333298</c:v>
                </c:pt>
                <c:pt idx="44">
                  <c:v>0.72182866666666701</c:v>
                </c:pt>
                <c:pt idx="45">
                  <c:v>0.66106433333333403</c:v>
                </c:pt>
                <c:pt idx="46">
                  <c:v>1.4864646666666701</c:v>
                </c:pt>
                <c:pt idx="47">
                  <c:v>0.47833933333333301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07B-4901-A5EC-1DAB6992060C}"/>
            </c:ext>
          </c:extLst>
        </c:ser>
        <c:ser>
          <c:idx val="35"/>
          <c:order val="35"/>
          <c:tx>
            <c:v>BES_TR4_three66_C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2.8533333333329719E-4</c:v>
                </c:pt>
                <c:pt idx="1">
                  <c:v>-2.030000000000087E-4</c:v>
                </c:pt>
                <c:pt idx="2">
                  <c:v>0</c:v>
                </c:pt>
                <c:pt idx="3">
                  <c:v>-4.8399999999999832E-4</c:v>
                </c:pt>
                <c:pt idx="4">
                  <c:v>1.6066666666700311E-4</c:v>
                </c:pt>
                <c:pt idx="5">
                  <c:v>2.6266666666702188E-4</c:v>
                </c:pt>
                <c:pt idx="6">
                  <c:v>-2.286666666670156E-4</c:v>
                </c:pt>
                <c:pt idx="7">
                  <c:v>2.1093159999968641E-4</c:v>
                </c:pt>
                <c:pt idx="8">
                  <c:v>-5.9912933333600149E-5</c:v>
                </c:pt>
                <c:pt idx="9">
                  <c:v>-4.1111193333300678E-4</c:v>
                </c:pt>
                <c:pt idx="10">
                  <c:v>-1.7914413333398879E-4</c:v>
                </c:pt>
                <c:pt idx="11">
                  <c:v>-7.5654933332974794E-5</c:v>
                </c:pt>
                <c:pt idx="12">
                  <c:v>2.0603699999893749E-4</c:v>
                </c:pt>
                <c:pt idx="13">
                  <c:v>-4.5125053333294751E-4</c:v>
                </c:pt>
                <c:pt idx="14">
                  <c:v>-3.2394066666996402E-5</c:v>
                </c:pt>
                <c:pt idx="15">
                  <c:v>-6.671166666694095E-5</c:v>
                </c:pt>
                <c:pt idx="16">
                  <c:v>3.396341999989394E-4</c:v>
                </c:pt>
                <c:pt idx="17">
                  <c:v>8.3533199999985541E-5</c:v>
                </c:pt>
                <c:pt idx="18">
                  <c:v>-2.5014666666933749E-5</c:v>
                </c:pt>
                <c:pt idx="19">
                  <c:v>-0.61111503639999909</c:v>
                </c:pt>
                <c:pt idx="20">
                  <c:v>-1.2971264715333339</c:v>
                </c:pt>
                <c:pt idx="21">
                  <c:v>-1.5514130272666671</c:v>
                </c:pt>
                <c:pt idx="22">
                  <c:v>-1.4871676290000011</c:v>
                </c:pt>
                <c:pt idx="23">
                  <c:v>-1.5012127544</c:v>
                </c:pt>
                <c:pt idx="24">
                  <c:v>-1.4197828312000009</c:v>
                </c:pt>
                <c:pt idx="25">
                  <c:v>-1.4356331693333331</c:v>
                </c:pt>
                <c:pt idx="26">
                  <c:v>-1.5502285743333331</c:v>
                </c:pt>
                <c:pt idx="27">
                  <c:v>-1.397230830400001</c:v>
                </c:pt>
                <c:pt idx="28">
                  <c:v>-1.1929282799333329</c:v>
                </c:pt>
                <c:pt idx="29">
                  <c:v>-1.186688086533334</c:v>
                </c:pt>
                <c:pt idx="30">
                  <c:v>-1.0768532474000001</c:v>
                </c:pt>
                <c:pt idx="31">
                  <c:v>-1.151449926933334</c:v>
                </c:pt>
                <c:pt idx="32">
                  <c:v>-0.70433069533333292</c:v>
                </c:pt>
                <c:pt idx="33">
                  <c:v>-0.57177963646666596</c:v>
                </c:pt>
                <c:pt idx="34">
                  <c:v>-0.19096386366666601</c:v>
                </c:pt>
                <c:pt idx="35">
                  <c:v>-0.19587747726666699</c:v>
                </c:pt>
                <c:pt idx="36">
                  <c:v>-0.101841800666667</c:v>
                </c:pt>
                <c:pt idx="37">
                  <c:v>2.0463699999997981E-4</c:v>
                </c:pt>
                <c:pt idx="38">
                  <c:v>-2.8037386666657921E-4</c:v>
                </c:pt>
                <c:pt idx="39">
                  <c:v>2.6602580000001369E-4</c:v>
                </c:pt>
                <c:pt idx="40">
                  <c:v>-1.3022146666673279E-4</c:v>
                </c:pt>
                <c:pt idx="41">
                  <c:v>1.1699999999997821E-4</c:v>
                </c:pt>
                <c:pt idx="42">
                  <c:v>2.8266666666701412E-4</c:v>
                </c:pt>
                <c:pt idx="43">
                  <c:v>3.8433333333340308E-4</c:v>
                </c:pt>
                <c:pt idx="44">
                  <c:v>2.4499999999993971E-4</c:v>
                </c:pt>
                <c:pt idx="45">
                  <c:v>-1.740000000001185E-4</c:v>
                </c:pt>
                <c:pt idx="46">
                  <c:v>4.5566666666696509E-4</c:v>
                </c:pt>
                <c:pt idx="47">
                  <c:v>3.2033333333303382E-4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07B-4901-A5EC-1DAB6992060C}"/>
            </c:ext>
          </c:extLst>
        </c:ser>
        <c:ser>
          <c:idx val="36"/>
          <c:order val="36"/>
          <c:tx>
            <c:v>BES_TR4_three312_A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-2.8199999999997671E-4</c:v>
                </c:pt>
                <c:pt idx="1">
                  <c:v>3.3333333332996602E-5</c:v>
                </c:pt>
                <c:pt idx="2">
                  <c:v>0</c:v>
                </c:pt>
                <c:pt idx="3">
                  <c:v>-2.5300000000000322E-4</c:v>
                </c:pt>
                <c:pt idx="4">
                  <c:v>0</c:v>
                </c:pt>
                <c:pt idx="5">
                  <c:v>-3.6833333333299861E-4</c:v>
                </c:pt>
                <c:pt idx="6">
                  <c:v>1.196666666669899E-4</c:v>
                </c:pt>
                <c:pt idx="7">
                  <c:v>3.6252986666672482E-4</c:v>
                </c:pt>
                <c:pt idx="8">
                  <c:v>4.9550746666679468E-4</c:v>
                </c:pt>
                <c:pt idx="9">
                  <c:v>1.4444280000000531E-4</c:v>
                </c:pt>
                <c:pt idx="10">
                  <c:v>-3.5595493333462352E-4</c:v>
                </c:pt>
                <c:pt idx="11">
                  <c:v>-1.2430986666500671E-4</c:v>
                </c:pt>
                <c:pt idx="12">
                  <c:v>2.6474066666493101E-4</c:v>
                </c:pt>
                <c:pt idx="13">
                  <c:v>-2.7550106666496271E-4</c:v>
                </c:pt>
                <c:pt idx="14">
                  <c:v>-3.2278813332997652E-4</c:v>
                </c:pt>
                <c:pt idx="15">
                  <c:v>4.7243333330282411E-5</c:v>
                </c:pt>
                <c:pt idx="16">
                  <c:v>3.2726840000185659E-4</c:v>
                </c:pt>
                <c:pt idx="17">
                  <c:v>3.4246640000001882E-4</c:v>
                </c:pt>
                <c:pt idx="18">
                  <c:v>2.9023733333177759E-4</c:v>
                </c:pt>
                <c:pt idx="19">
                  <c:v>-2.0399567394666649</c:v>
                </c:pt>
                <c:pt idx="20">
                  <c:v>-3.0700677097333342</c:v>
                </c:pt>
                <c:pt idx="21">
                  <c:v>-3.0183094545333331</c:v>
                </c:pt>
                <c:pt idx="22">
                  <c:v>-3.3171648246666678</c:v>
                </c:pt>
                <c:pt idx="23">
                  <c:v>-2.3052383754666699</c:v>
                </c:pt>
                <c:pt idx="24">
                  <c:v>-2.2260953290666681</c:v>
                </c:pt>
                <c:pt idx="25">
                  <c:v>-3.129581672</c:v>
                </c:pt>
                <c:pt idx="26">
                  <c:v>-3.2046359820000001</c:v>
                </c:pt>
                <c:pt idx="27">
                  <c:v>-1.085718327466668</c:v>
                </c:pt>
                <c:pt idx="28">
                  <c:v>-7.5764559866669856E-2</c:v>
                </c:pt>
                <c:pt idx="29">
                  <c:v>-1.9857418397333351</c:v>
                </c:pt>
                <c:pt idx="30">
                  <c:v>-2.2368751614666671</c:v>
                </c:pt>
                <c:pt idx="31">
                  <c:v>-1.131074853866668</c:v>
                </c:pt>
                <c:pt idx="32">
                  <c:v>-0.43082172400000179</c:v>
                </c:pt>
                <c:pt idx="33">
                  <c:v>-1.6290479395999991</c:v>
                </c:pt>
                <c:pt idx="34">
                  <c:v>-1.2315623939999989</c:v>
                </c:pt>
                <c:pt idx="35">
                  <c:v>-1.0803346212</c:v>
                </c:pt>
                <c:pt idx="36">
                  <c:v>-0.58585193466666796</c:v>
                </c:pt>
                <c:pt idx="37">
                  <c:v>-0.43247605933333311</c:v>
                </c:pt>
                <c:pt idx="38">
                  <c:v>2.5725226666684092E-4</c:v>
                </c:pt>
                <c:pt idx="39">
                  <c:v>-2.216150666659589E-4</c:v>
                </c:pt>
                <c:pt idx="40">
                  <c:v>4.7089040000025673E-4</c:v>
                </c:pt>
                <c:pt idx="41">
                  <c:v>-4.9933333333296304E-4</c:v>
                </c:pt>
                <c:pt idx="42">
                  <c:v>-2.15999999999994E-4</c:v>
                </c:pt>
                <c:pt idx="43">
                  <c:v>-6.3333333332971087E-5</c:v>
                </c:pt>
                <c:pt idx="44">
                  <c:v>3.56333333333958E-4</c:v>
                </c:pt>
                <c:pt idx="45">
                  <c:v>2.0533333333006001E-4</c:v>
                </c:pt>
                <c:pt idx="46">
                  <c:v>-7.0000000000014495E-5</c:v>
                </c:pt>
                <c:pt idx="47">
                  <c:v>-1.799999999999996E-4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07B-4901-A5EC-1DAB6992060C}"/>
            </c:ext>
          </c:extLst>
        </c:ser>
        <c:ser>
          <c:idx val="37"/>
          <c:order val="37"/>
          <c:tx>
            <c:v>BES_TR4_three321_B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-2.406666666669999E-4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-2.406666666669999E-4</c:v>
                </c:pt>
                <c:pt idx="6">
                  <c:v>4.4666666666692827E-5</c:v>
                </c:pt>
                <c:pt idx="7">
                  <c:v>2.7386320000033487E-4</c:v>
                </c:pt>
                <c:pt idx="8">
                  <c:v>3.5484080000019839E-4</c:v>
                </c:pt>
                <c:pt idx="9">
                  <c:v>-4.4689053333298728E-4</c:v>
                </c:pt>
                <c:pt idx="10">
                  <c:v>3.971173333201794E-5</c:v>
                </c:pt>
                <c:pt idx="11">
                  <c:v>-2.2597653333199241E-4</c:v>
                </c:pt>
                <c:pt idx="12">
                  <c:v>1.480739999989433E-4</c:v>
                </c:pt>
                <c:pt idx="13">
                  <c:v>3.8832266668009652E-5</c:v>
                </c:pt>
                <c:pt idx="14">
                  <c:v>-4.59454800000203E-4</c:v>
                </c:pt>
                <c:pt idx="15">
                  <c:v>3.2057666666607249E-4</c:v>
                </c:pt>
                <c:pt idx="16">
                  <c:v>2.7935066665207842E-5</c:v>
                </c:pt>
                <c:pt idx="17">
                  <c:v>-2.5093359999983628E-4</c:v>
                </c:pt>
                <c:pt idx="18">
                  <c:v>-0.90057536266666793</c:v>
                </c:pt>
                <c:pt idx="19">
                  <c:v>-2.6911200727999991</c:v>
                </c:pt>
                <c:pt idx="20">
                  <c:v>-3.0167242764000011</c:v>
                </c:pt>
                <c:pt idx="21">
                  <c:v>-3.2070817878666671</c:v>
                </c:pt>
                <c:pt idx="22">
                  <c:v>-3.098948724666668</c:v>
                </c:pt>
                <c:pt idx="23">
                  <c:v>-3.2615933754666671</c:v>
                </c:pt>
                <c:pt idx="24">
                  <c:v>-3.2888169957333351</c:v>
                </c:pt>
                <c:pt idx="25">
                  <c:v>-2.9818983386666669</c:v>
                </c:pt>
                <c:pt idx="26">
                  <c:v>-2.8367431486666659</c:v>
                </c:pt>
                <c:pt idx="27">
                  <c:v>-2.6280876608000008</c:v>
                </c:pt>
                <c:pt idx="28">
                  <c:v>-2.569723559866667</c:v>
                </c:pt>
                <c:pt idx="29">
                  <c:v>-2.4149325064000009</c:v>
                </c:pt>
                <c:pt idx="30">
                  <c:v>-2.2232431614666659</c:v>
                </c:pt>
                <c:pt idx="31">
                  <c:v>-1.897686187200001</c:v>
                </c:pt>
                <c:pt idx="32">
                  <c:v>-1.8357900573333319</c:v>
                </c:pt>
                <c:pt idx="33">
                  <c:v>-9.6939600001955117E-5</c:v>
                </c:pt>
                <c:pt idx="34">
                  <c:v>-0.63108872733333188</c:v>
                </c:pt>
                <c:pt idx="35">
                  <c:v>-0.66420662120000007</c:v>
                </c:pt>
                <c:pt idx="36">
                  <c:v>-0.35303960133333401</c:v>
                </c:pt>
                <c:pt idx="37">
                  <c:v>-0.32460572599999998</c:v>
                </c:pt>
                <c:pt idx="38">
                  <c:v>-0.17748208106666619</c:v>
                </c:pt>
                <c:pt idx="39">
                  <c:v>1.623849333330096E-4</c:v>
                </c:pt>
                <c:pt idx="40">
                  <c:v>3.3189040000025649E-4</c:v>
                </c:pt>
                <c:pt idx="41">
                  <c:v>-3.7533333333306112E-4</c:v>
                </c:pt>
                <c:pt idx="42">
                  <c:v>5.7333333333020597E-5</c:v>
                </c:pt>
                <c:pt idx="43">
                  <c:v>4.0400000000007102E-4</c:v>
                </c:pt>
                <c:pt idx="44">
                  <c:v>6.2000000000006494E-5</c:v>
                </c:pt>
                <c:pt idx="45">
                  <c:v>2.09999999999988E-4</c:v>
                </c:pt>
                <c:pt idx="46">
                  <c:v>-4.0466666666705292E-4</c:v>
                </c:pt>
                <c:pt idx="47">
                  <c:v>-1.6866666666698341E-4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07B-4901-A5EC-1DAB6992060C}"/>
            </c:ext>
          </c:extLst>
        </c:ser>
        <c:ser>
          <c:idx val="38"/>
          <c:order val="38"/>
          <c:tx>
            <c:v>BES_TR4_three368_A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-4.0866666666700141E-4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-4.0866666666700141E-4</c:v>
                </c:pt>
                <c:pt idx="5">
                  <c:v>-6.9388939039072284E-18</c:v>
                </c:pt>
                <c:pt idx="6">
                  <c:v>-4.0866666666700141E-4</c:v>
                </c:pt>
                <c:pt idx="7">
                  <c:v>-2.9030129999999682E-4</c:v>
                </c:pt>
                <c:pt idx="8">
                  <c:v>3.4956530000004518E-4</c:v>
                </c:pt>
                <c:pt idx="9">
                  <c:v>1.259160500000078E-4</c:v>
                </c:pt>
                <c:pt idx="10">
                  <c:v>2.4772523333249988E-4</c:v>
                </c:pt>
                <c:pt idx="11">
                  <c:v>-1.967411999995172E-4</c:v>
                </c:pt>
                <c:pt idx="12">
                  <c:v>-3.7813891666760302E-4</c:v>
                </c:pt>
                <c:pt idx="13">
                  <c:v>-1.52937899999539E-4</c:v>
                </c:pt>
                <c:pt idx="14">
                  <c:v>-5.2795549999928859E-5</c:v>
                </c:pt>
                <c:pt idx="15">
                  <c:v>4.2454958333304482E-4</c:v>
                </c:pt>
                <c:pt idx="16">
                  <c:v>-1.2352435000062559E-4</c:v>
                </c:pt>
                <c:pt idx="17">
                  <c:v>3.4723323333307737E-4</c:v>
                </c:pt>
                <c:pt idx="18">
                  <c:v>-2.15760999999981E-4</c:v>
                </c:pt>
                <c:pt idx="19">
                  <c:v>-1.4344396666599041E-4</c:v>
                </c:pt>
                <c:pt idx="20">
                  <c:v>-0.63416235364999984</c:v>
                </c:pt>
                <c:pt idx="21">
                  <c:v>-1.18823942045</c:v>
                </c:pt>
                <c:pt idx="22">
                  <c:v>-1.2263667217500001</c:v>
                </c:pt>
                <c:pt idx="23">
                  <c:v>-1.2430875158000001</c:v>
                </c:pt>
                <c:pt idx="24">
                  <c:v>-1.247930498400001</c:v>
                </c:pt>
                <c:pt idx="25">
                  <c:v>-1.1112792936666669</c:v>
                </c:pt>
                <c:pt idx="26">
                  <c:v>-1.2084344307499999</c:v>
                </c:pt>
                <c:pt idx="27">
                  <c:v>-1.0799773727999999</c:v>
                </c:pt>
                <c:pt idx="28">
                  <c:v>-1.0609971266166669</c:v>
                </c:pt>
                <c:pt idx="29">
                  <c:v>-0.86521131490000003</c:v>
                </c:pt>
                <c:pt idx="30">
                  <c:v>-0.71421601888333297</c:v>
                </c:pt>
                <c:pt idx="31">
                  <c:v>-0.61213344520000046</c:v>
                </c:pt>
                <c:pt idx="32">
                  <c:v>-0.73593002149999953</c:v>
                </c:pt>
                <c:pt idx="33">
                  <c:v>-0.59871539401666607</c:v>
                </c:pt>
                <c:pt idx="34">
                  <c:v>-0.43921439774999937</c:v>
                </c:pt>
                <c:pt idx="35">
                  <c:v>-0.40406577461666682</c:v>
                </c:pt>
                <c:pt idx="36">
                  <c:v>-0.16589665050000049</c:v>
                </c:pt>
                <c:pt idx="37">
                  <c:v>-0.1757910889166667</c:v>
                </c:pt>
                <c:pt idx="38">
                  <c:v>-1.743094706666691E-2</c:v>
                </c:pt>
                <c:pt idx="39">
                  <c:v>-3.893139833330006E-4</c:v>
                </c:pt>
                <c:pt idx="40">
                  <c:v>-4.11416100000013E-4</c:v>
                </c:pt>
                <c:pt idx="41">
                  <c:v>-6.9388939039072284E-18</c:v>
                </c:pt>
                <c:pt idx="42">
                  <c:v>-4.0866666666700141E-4</c:v>
                </c:pt>
                <c:pt idx="43">
                  <c:v>-6.9388939039072284E-18</c:v>
                </c:pt>
                <c:pt idx="44">
                  <c:v>-6.9388939039072284E-18</c:v>
                </c:pt>
                <c:pt idx="45">
                  <c:v>-4.0866666666700141E-4</c:v>
                </c:pt>
                <c:pt idx="46">
                  <c:v>-6.9388939039072284E-18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07B-4901-A5EC-1DAB6992060C}"/>
            </c:ext>
          </c:extLst>
        </c:ser>
        <c:ser>
          <c:idx val="39"/>
          <c:order val="39"/>
          <c:tx>
            <c:v>BES_TR4_three388_A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2.8000000000027999E-5</c:v>
                </c:pt>
                <c:pt idx="1">
                  <c:v>3.3500000000000202E-4</c:v>
                </c:pt>
                <c:pt idx="2">
                  <c:v>2.6199999999999829E-4</c:v>
                </c:pt>
                <c:pt idx="3">
                  <c:v>1.053333333330131E-4</c:v>
                </c:pt>
                <c:pt idx="4">
                  <c:v>0</c:v>
                </c:pt>
                <c:pt idx="5">
                  <c:v>4.0166666666702211E-4</c:v>
                </c:pt>
                <c:pt idx="6">
                  <c:v>-3.8666666666700711E-5</c:v>
                </c:pt>
                <c:pt idx="7">
                  <c:v>2.9969869999998949E-4</c:v>
                </c:pt>
                <c:pt idx="8">
                  <c:v>-8.3768033332931591E-5</c:v>
                </c:pt>
                <c:pt idx="9">
                  <c:v>-2.417283332993569E-6</c:v>
                </c:pt>
                <c:pt idx="10">
                  <c:v>-8.460810000050778E-5</c:v>
                </c:pt>
                <c:pt idx="11">
                  <c:v>4.1759213333354001E-4</c:v>
                </c:pt>
                <c:pt idx="12">
                  <c:v>-1.3480558333389681E-4</c:v>
                </c:pt>
                <c:pt idx="13">
                  <c:v>4.7706210000053589E-4</c:v>
                </c:pt>
                <c:pt idx="14">
                  <c:v>-1.9146221666666019E-4</c:v>
                </c:pt>
                <c:pt idx="15">
                  <c:v>-4.2783749999886211E-5</c:v>
                </c:pt>
                <c:pt idx="16">
                  <c:v>-1.965243500005043E-4</c:v>
                </c:pt>
                <c:pt idx="17">
                  <c:v>1.5923323333300041E-4</c:v>
                </c:pt>
                <c:pt idx="18">
                  <c:v>-5.0943333299025007E-6</c:v>
                </c:pt>
                <c:pt idx="19">
                  <c:v>1.8155603333402939E-4</c:v>
                </c:pt>
                <c:pt idx="20">
                  <c:v>-1.5368698332979269E-4</c:v>
                </c:pt>
                <c:pt idx="21">
                  <c:v>-2.0608711666980639E-4</c:v>
                </c:pt>
                <c:pt idx="22">
                  <c:v>-3.5472174999884309E-4</c:v>
                </c:pt>
                <c:pt idx="23">
                  <c:v>8.5817533332921414E-5</c:v>
                </c:pt>
                <c:pt idx="24">
                  <c:v>6.9501599998966768E-5</c:v>
                </c:pt>
                <c:pt idx="25">
                  <c:v>-0.51550796033333302</c:v>
                </c:pt>
                <c:pt idx="26">
                  <c:v>-1.20143443075</c:v>
                </c:pt>
                <c:pt idx="27">
                  <c:v>-1.1550003728</c:v>
                </c:pt>
                <c:pt idx="28">
                  <c:v>-0.89962345995000004</c:v>
                </c:pt>
                <c:pt idx="29">
                  <c:v>-4.9013149000001199E-3</c:v>
                </c:pt>
                <c:pt idx="30">
                  <c:v>-0.57582018555000003</c:v>
                </c:pt>
                <c:pt idx="31">
                  <c:v>-0.33925261186666639</c:v>
                </c:pt>
                <c:pt idx="32">
                  <c:v>-0.43892202149999948</c:v>
                </c:pt>
                <c:pt idx="33">
                  <c:v>-0.37960306068333238</c:v>
                </c:pt>
                <c:pt idx="34">
                  <c:v>-0.28071073108333239</c:v>
                </c:pt>
                <c:pt idx="35">
                  <c:v>-2.9577461667007482E-4</c:v>
                </c:pt>
                <c:pt idx="36">
                  <c:v>-2.4517166670623421E-5</c:v>
                </c:pt>
                <c:pt idx="37">
                  <c:v>-1.195222500010029E-4</c:v>
                </c:pt>
                <c:pt idx="38">
                  <c:v>-4.1361373333290152E-4</c:v>
                </c:pt>
                <c:pt idx="39">
                  <c:v>1.700193500000502E-4</c:v>
                </c:pt>
                <c:pt idx="40">
                  <c:v>3.795838999999801E-4</c:v>
                </c:pt>
                <c:pt idx="41">
                  <c:v>5.8000000000113523E-5</c:v>
                </c:pt>
                <c:pt idx="42">
                  <c:v>-2.9399999999979443E-4</c:v>
                </c:pt>
                <c:pt idx="43">
                  <c:v>-1.9333333333038109E-5</c:v>
                </c:pt>
                <c:pt idx="44">
                  <c:v>0.25662966666666698</c:v>
                </c:pt>
                <c:pt idx="45">
                  <c:v>0.33354866666666699</c:v>
                </c:pt>
                <c:pt idx="46">
                  <c:v>0.19580766666666699</c:v>
                </c:pt>
                <c:pt idx="47">
                  <c:v>0.17055500000000001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07B-4901-A5EC-1DAB6992060C}"/>
            </c:ext>
          </c:extLst>
        </c:ser>
        <c:ser>
          <c:idx val="40"/>
          <c:order val="40"/>
          <c:tx>
            <c:v>BES_TR4_three409_C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-3.8333333334028552E-5</c:v>
                </c:pt>
                <c:pt idx="1">
                  <c:v>6.9388939039072284E-18</c:v>
                </c:pt>
                <c:pt idx="2">
                  <c:v>3.6600000000000521E-4</c:v>
                </c:pt>
                <c:pt idx="3">
                  <c:v>-2.5800000000000128E-4</c:v>
                </c:pt>
                <c:pt idx="4">
                  <c:v>6.9388939039072284E-18</c:v>
                </c:pt>
                <c:pt idx="5">
                  <c:v>-3.7599999999998751E-4</c:v>
                </c:pt>
                <c:pt idx="6">
                  <c:v>4.8399999999999832E-4</c:v>
                </c:pt>
                <c:pt idx="7">
                  <c:v>-4.4080346666666709E-4</c:v>
                </c:pt>
                <c:pt idx="8">
                  <c:v>3.735074666668114E-4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2.5002346666802572E-4</c:v>
                </c:pt>
                <c:pt idx="12">
                  <c:v>8.1407333331950937E-5</c:v>
                </c:pt>
                <c:pt idx="13">
                  <c:v>-1.171677333318133E-4</c:v>
                </c:pt>
                <c:pt idx="14">
                  <c:v>4.6654519999989041E-4</c:v>
                </c:pt>
                <c:pt idx="15">
                  <c:v>-4.814342333333288E-2</c:v>
                </c:pt>
                <c:pt idx="16">
                  <c:v>-2.0001213982666681</c:v>
                </c:pt>
                <c:pt idx="17">
                  <c:v>-2.4946509336</c:v>
                </c:pt>
                <c:pt idx="18">
                  <c:v>-2.6319513626666682</c:v>
                </c:pt>
                <c:pt idx="19">
                  <c:v>-2.8888994061333322</c:v>
                </c:pt>
                <c:pt idx="20">
                  <c:v>-3.098008943066668</c:v>
                </c:pt>
                <c:pt idx="21">
                  <c:v>-3.2176491212</c:v>
                </c:pt>
                <c:pt idx="22">
                  <c:v>-3.236525924666668</c:v>
                </c:pt>
                <c:pt idx="23">
                  <c:v>-3.3875667088000001</c:v>
                </c:pt>
                <c:pt idx="24">
                  <c:v>-3.3058573290666682</c:v>
                </c:pt>
                <c:pt idx="25">
                  <c:v>-3.3408376720000001</c:v>
                </c:pt>
                <c:pt idx="26">
                  <c:v>-2.8867301486666661</c:v>
                </c:pt>
                <c:pt idx="27">
                  <c:v>-2.527252994133335</c:v>
                </c:pt>
                <c:pt idx="28">
                  <c:v>-2.2356472265333331</c:v>
                </c:pt>
                <c:pt idx="29">
                  <c:v>-1.2164735063999981</c:v>
                </c:pt>
                <c:pt idx="30">
                  <c:v>-2.2688704947999998</c:v>
                </c:pt>
                <c:pt idx="31">
                  <c:v>-2.2622138538666681</c:v>
                </c:pt>
                <c:pt idx="32">
                  <c:v>-1.9939000573333321</c:v>
                </c:pt>
                <c:pt idx="33">
                  <c:v>-1.598059606266665</c:v>
                </c:pt>
                <c:pt idx="34">
                  <c:v>-1.4149997273333319</c:v>
                </c:pt>
                <c:pt idx="35">
                  <c:v>-1.0297996212</c:v>
                </c:pt>
                <c:pt idx="36">
                  <c:v>-0.74276693466666799</c:v>
                </c:pt>
                <c:pt idx="37">
                  <c:v>-0.26113872599999999</c:v>
                </c:pt>
                <c:pt idx="38">
                  <c:v>-4.3987414400000202E-2</c:v>
                </c:pt>
                <c:pt idx="39">
                  <c:v>2.433849333330074E-4</c:v>
                </c:pt>
                <c:pt idx="40">
                  <c:v>-5.3776266666680228E-5</c:v>
                </c:pt>
                <c:pt idx="41">
                  <c:v>3.9799999999989838E-4</c:v>
                </c:pt>
                <c:pt idx="42">
                  <c:v>6.9388939039072284E-18</c:v>
                </c:pt>
                <c:pt idx="43">
                  <c:v>1.07999999999997E-4</c:v>
                </c:pt>
                <c:pt idx="44">
                  <c:v>6.9388939039072284E-18</c:v>
                </c:pt>
                <c:pt idx="45">
                  <c:v>1.3999999999998741E-4</c:v>
                </c:pt>
                <c:pt idx="46">
                  <c:v>-3.1999999999990369E-5</c:v>
                </c:pt>
                <c:pt idx="47">
                  <c:v>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07B-4901-A5EC-1DAB6992060C}"/>
            </c:ext>
          </c:extLst>
        </c:ser>
        <c:ser>
          <c:idx val="41"/>
          <c:order val="41"/>
          <c:tx>
            <c:v>BES_TR4_three76_A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-3.3333333333107618E-5</c:v>
                </c:pt>
                <c:pt idx="1">
                  <c:v>8.8000000000032497E-5</c:v>
                </c:pt>
                <c:pt idx="2">
                  <c:v>1.387778780781446E-17</c:v>
                </c:pt>
                <c:pt idx="3">
                  <c:v>-2.5733333333299862E-4</c:v>
                </c:pt>
                <c:pt idx="4">
                  <c:v>1.199999999999812E-5</c:v>
                </c:pt>
                <c:pt idx="5">
                  <c:v>0</c:v>
                </c:pt>
                <c:pt idx="6">
                  <c:v>-3.0533333333299112E-4</c:v>
                </c:pt>
                <c:pt idx="7">
                  <c:v>-3.8080346666666259E-4</c:v>
                </c:pt>
                <c:pt idx="8">
                  <c:v>-6.3825866666500711E-5</c:v>
                </c:pt>
                <c:pt idx="9">
                  <c:v>-4.8955720000001118E-4</c:v>
                </c:pt>
                <c:pt idx="10">
                  <c:v>-3.4028826666798739E-4</c:v>
                </c:pt>
                <c:pt idx="11">
                  <c:v>-1.393098666649939E-4</c:v>
                </c:pt>
                <c:pt idx="12">
                  <c:v>1.174073333318759E-4</c:v>
                </c:pt>
                <c:pt idx="13">
                  <c:v>2.5883226666811859E-4</c:v>
                </c:pt>
                <c:pt idx="14">
                  <c:v>2.8521186666718989E-4</c:v>
                </c:pt>
                <c:pt idx="15">
                  <c:v>-3.1942333333367928E-4</c:v>
                </c:pt>
                <c:pt idx="16">
                  <c:v>-1.0062731600001479E-2</c:v>
                </c:pt>
                <c:pt idx="17">
                  <c:v>-1.2159462669333301</c:v>
                </c:pt>
                <c:pt idx="18">
                  <c:v>-2.720575362666668</c:v>
                </c:pt>
                <c:pt idx="19">
                  <c:v>-2.8953714061333322</c:v>
                </c:pt>
                <c:pt idx="20">
                  <c:v>-2.9462662764000012</c:v>
                </c:pt>
                <c:pt idx="21">
                  <c:v>-3.2353051212000001</c:v>
                </c:pt>
                <c:pt idx="22">
                  <c:v>-3.2679419246666681</c:v>
                </c:pt>
                <c:pt idx="23">
                  <c:v>-3.2818480421333329</c:v>
                </c:pt>
                <c:pt idx="24">
                  <c:v>-3.3868106624000012</c:v>
                </c:pt>
                <c:pt idx="25">
                  <c:v>-3.209237672</c:v>
                </c:pt>
                <c:pt idx="26">
                  <c:v>-3.2891584819999999</c:v>
                </c:pt>
                <c:pt idx="27">
                  <c:v>-2.996579660800001</c:v>
                </c:pt>
                <c:pt idx="28">
                  <c:v>-3.0175078931999999</c:v>
                </c:pt>
                <c:pt idx="29">
                  <c:v>-2.0980301730666691</c:v>
                </c:pt>
                <c:pt idx="30">
                  <c:v>-2.4510376281333328</c:v>
                </c:pt>
                <c:pt idx="31">
                  <c:v>-2.177369953866668</c:v>
                </c:pt>
                <c:pt idx="32">
                  <c:v>-2.0357411906666649</c:v>
                </c:pt>
                <c:pt idx="33">
                  <c:v>-1.671435672933332</c:v>
                </c:pt>
                <c:pt idx="34">
                  <c:v>-0.98123539399999893</c:v>
                </c:pt>
                <c:pt idx="35">
                  <c:v>9.9378799999841338E-5</c:v>
                </c:pt>
                <c:pt idx="36">
                  <c:v>-0.56197860133333499</c:v>
                </c:pt>
                <c:pt idx="37">
                  <c:v>-0.33237939266666711</c:v>
                </c:pt>
                <c:pt idx="38">
                  <c:v>-1.4491747733333169E-2</c:v>
                </c:pt>
                <c:pt idx="39">
                  <c:v>-3.1794839999998992E-4</c:v>
                </c:pt>
                <c:pt idx="40">
                  <c:v>1.898904000003365E-4</c:v>
                </c:pt>
                <c:pt idx="41">
                  <c:v>-7.3333333333036599E-5</c:v>
                </c:pt>
                <c:pt idx="42">
                  <c:v>-8.1666666666979637E-5</c:v>
                </c:pt>
                <c:pt idx="43">
                  <c:v>4.1266666666694979E-4</c:v>
                </c:pt>
                <c:pt idx="44">
                  <c:v>3.3666666666698491E-4</c:v>
                </c:pt>
                <c:pt idx="45">
                  <c:v>-4.256666666669906E-4</c:v>
                </c:pt>
                <c:pt idx="46">
                  <c:v>-2.6933333333301063E-4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07B-4901-A5EC-1DAB6992060C}"/>
            </c:ext>
          </c:extLst>
        </c:ser>
        <c:ser>
          <c:idx val="42"/>
          <c:order val="42"/>
          <c:tx>
            <c:v>BES_TR4_three81_A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-1.7200000000000551E-4</c:v>
                </c:pt>
                <c:pt idx="1">
                  <c:v>3.8000000000010248E-5</c:v>
                </c:pt>
                <c:pt idx="2">
                  <c:v>2.0000000000020002E-6</c:v>
                </c:pt>
                <c:pt idx="3">
                  <c:v>2.280000000000337E-4</c:v>
                </c:pt>
                <c:pt idx="4">
                  <c:v>0</c:v>
                </c:pt>
                <c:pt idx="5">
                  <c:v>0</c:v>
                </c:pt>
                <c:pt idx="6">
                  <c:v>4.6300000000001901E-4</c:v>
                </c:pt>
                <c:pt idx="7">
                  <c:v>3.2619653333332282E-4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-1.102882666680349E-4</c:v>
                </c:pt>
                <c:pt idx="11">
                  <c:v>1.8002346666801119E-4</c:v>
                </c:pt>
                <c:pt idx="12">
                  <c:v>2.714073333318634E-4</c:v>
                </c:pt>
                <c:pt idx="13">
                  <c:v>4.4083226666802311E-4</c:v>
                </c:pt>
                <c:pt idx="14">
                  <c:v>8.8545200000123003E-5</c:v>
                </c:pt>
                <c:pt idx="15">
                  <c:v>-4.8626089999999733E-2</c:v>
                </c:pt>
                <c:pt idx="16">
                  <c:v>-1.8222367316000021</c:v>
                </c:pt>
                <c:pt idx="17">
                  <c:v>-2.2948666002666669</c:v>
                </c:pt>
                <c:pt idx="18">
                  <c:v>-2.5637486960000011</c:v>
                </c:pt>
                <c:pt idx="19">
                  <c:v>-2.7664367394666649</c:v>
                </c:pt>
                <c:pt idx="20">
                  <c:v>-2.7144589430666679</c:v>
                </c:pt>
                <c:pt idx="21">
                  <c:v>-3.1500911212</c:v>
                </c:pt>
                <c:pt idx="22">
                  <c:v>-3.1303529913333352</c:v>
                </c:pt>
                <c:pt idx="23">
                  <c:v>-3.2603959088000001</c:v>
                </c:pt>
                <c:pt idx="24">
                  <c:v>-2.8074749290666681</c:v>
                </c:pt>
                <c:pt idx="25">
                  <c:v>-3.0157526720000001</c:v>
                </c:pt>
                <c:pt idx="26">
                  <c:v>-3.165728482</c:v>
                </c:pt>
                <c:pt idx="27">
                  <c:v>-2.8265483274666678</c:v>
                </c:pt>
                <c:pt idx="28">
                  <c:v>-2.5735492265333328</c:v>
                </c:pt>
                <c:pt idx="29">
                  <c:v>-2.5340725064000011</c:v>
                </c:pt>
                <c:pt idx="30">
                  <c:v>-2.3859038281333329</c:v>
                </c:pt>
                <c:pt idx="31">
                  <c:v>-2.3875838538666678</c:v>
                </c:pt>
                <c:pt idx="32">
                  <c:v>-0.86402005733333187</c:v>
                </c:pt>
                <c:pt idx="33">
                  <c:v>-0.79225060626666188</c:v>
                </c:pt>
                <c:pt idx="34">
                  <c:v>2.239393333381412E-4</c:v>
                </c:pt>
                <c:pt idx="35">
                  <c:v>-0.48352198786666711</c:v>
                </c:pt>
                <c:pt idx="36">
                  <c:v>-0.53959493466666797</c:v>
                </c:pt>
                <c:pt idx="37">
                  <c:v>-6.2990392666666062E-2</c:v>
                </c:pt>
                <c:pt idx="38">
                  <c:v>4.4425226666680579E-4</c:v>
                </c:pt>
                <c:pt idx="39">
                  <c:v>-1.98281733333E-4</c:v>
                </c:pt>
                <c:pt idx="40">
                  <c:v>4.5089040000034769E-4</c:v>
                </c:pt>
                <c:pt idx="41">
                  <c:v>3.2200000000004453E-4</c:v>
                </c:pt>
                <c:pt idx="42">
                  <c:v>6.0333333332995842E-5</c:v>
                </c:pt>
                <c:pt idx="43">
                  <c:v>-1.586666666670844E-4</c:v>
                </c:pt>
                <c:pt idx="44">
                  <c:v>-4.3866666666603221E-4</c:v>
                </c:pt>
                <c:pt idx="45">
                  <c:v>-1.449999999999507E-4</c:v>
                </c:pt>
                <c:pt idx="46">
                  <c:v>1.006000000000062E-4</c:v>
                </c:pt>
                <c:pt idx="47">
                  <c:v>4.550000000001081E-4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07B-4901-A5EC-1DAB6992060C}"/>
            </c:ext>
          </c:extLst>
        </c:ser>
        <c:ser>
          <c:idx val="43"/>
          <c:order val="43"/>
          <c:tx>
            <c:v>BES_TR4_three90_C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-3.3333333333329662E-4</c:v>
                </c:pt>
                <c:pt idx="1">
                  <c:v>-9.2000000000008741E-5</c:v>
                </c:pt>
                <c:pt idx="2">
                  <c:v>2.4799999999999822E-4</c:v>
                </c:pt>
                <c:pt idx="3">
                  <c:v>0</c:v>
                </c:pt>
                <c:pt idx="4">
                  <c:v>-6.266666666693288E-5</c:v>
                </c:pt>
                <c:pt idx="5">
                  <c:v>2.179999999998988E-4</c:v>
                </c:pt>
                <c:pt idx="6">
                  <c:v>0</c:v>
                </c:pt>
                <c:pt idx="7">
                  <c:v>3.1549783333331688E-4</c:v>
                </c:pt>
                <c:pt idx="8">
                  <c:v>-3.9405783333322508E-4</c:v>
                </c:pt>
                <c:pt idx="9">
                  <c:v>-3.1473250000010888E-5</c:v>
                </c:pt>
                <c:pt idx="10">
                  <c:v>-2.368016666749739E-5</c:v>
                </c:pt>
                <c:pt idx="11">
                  <c:v>-1.462353333324673E-4</c:v>
                </c:pt>
                <c:pt idx="12">
                  <c:v>5.0879583332497091E-5</c:v>
                </c:pt>
                <c:pt idx="13">
                  <c:v>-3.6589649999940738E-4</c:v>
                </c:pt>
                <c:pt idx="14">
                  <c:v>-2.9565925000007992E-4</c:v>
                </c:pt>
                <c:pt idx="15">
                  <c:v>-1.413062499999729E-4</c:v>
                </c:pt>
                <c:pt idx="16">
                  <c:v>4.8412608333214807E-4</c:v>
                </c:pt>
                <c:pt idx="17">
                  <c:v>-1.907983349999998E-2</c:v>
                </c:pt>
                <c:pt idx="18">
                  <c:v>-1.486530601666668</c:v>
                </c:pt>
                <c:pt idx="19">
                  <c:v>-1.8199896288333319</c:v>
                </c:pt>
                <c:pt idx="20">
                  <c:v>-1.759039589416667</c:v>
                </c:pt>
                <c:pt idx="21">
                  <c:v>-1.90837570075</c:v>
                </c:pt>
                <c:pt idx="22">
                  <c:v>-2.0816112029166671</c:v>
                </c:pt>
                <c:pt idx="23">
                  <c:v>-1.8930048596666671</c:v>
                </c:pt>
                <c:pt idx="24">
                  <c:v>-2.0548708306666672</c:v>
                </c:pt>
                <c:pt idx="25">
                  <c:v>-2.102451045</c:v>
                </c:pt>
                <c:pt idx="26">
                  <c:v>-1.7725727179166659</c:v>
                </c:pt>
                <c:pt idx="27">
                  <c:v>-1.9743339546666669</c:v>
                </c:pt>
                <c:pt idx="28">
                  <c:v>-1.81142743325</c:v>
                </c:pt>
                <c:pt idx="29">
                  <c:v>-1.571633858166668</c:v>
                </c:pt>
                <c:pt idx="30">
                  <c:v>-1.62504930925</c:v>
                </c:pt>
                <c:pt idx="31">
                  <c:v>-1.4907399086666679</c:v>
                </c:pt>
                <c:pt idx="32">
                  <c:v>-1.152659035833332</c:v>
                </c:pt>
                <c:pt idx="33">
                  <c:v>-1.0088545455833331</c:v>
                </c:pt>
                <c:pt idx="34">
                  <c:v>-0.80475932958333241</c:v>
                </c:pt>
                <c:pt idx="35">
                  <c:v>-0.65466051324999996</c:v>
                </c:pt>
                <c:pt idx="36">
                  <c:v>-0.40284908416666748</c:v>
                </c:pt>
                <c:pt idx="37">
                  <c:v>-0.25237720375000011</c:v>
                </c:pt>
                <c:pt idx="38">
                  <c:v>-8.6510467333333174E-2</c:v>
                </c:pt>
                <c:pt idx="39">
                  <c:v>-1.6344166670623219E-6</c:v>
                </c:pt>
                <c:pt idx="40">
                  <c:v>4.746398333333457E-4</c:v>
                </c:pt>
                <c:pt idx="41">
                  <c:v>4.8833333333297979E-4</c:v>
                </c:pt>
                <c:pt idx="42">
                  <c:v>3.2700000000000779E-4</c:v>
                </c:pt>
                <c:pt idx="43">
                  <c:v>4.7899999999997939E-4</c:v>
                </c:pt>
                <c:pt idx="44">
                  <c:v>3.5000000000000309E-4</c:v>
                </c:pt>
                <c:pt idx="45">
                  <c:v>4.0809999999996682E-4</c:v>
                </c:pt>
                <c:pt idx="46">
                  <c:v>3.8949999999998708E-4</c:v>
                </c:pt>
                <c:pt idx="47">
                  <c:v>2.8799999999995501E-4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07B-4901-A5EC-1DAB6992060C}"/>
            </c:ext>
          </c:extLst>
        </c:ser>
        <c:ser>
          <c:idx val="44"/>
          <c:order val="44"/>
          <c:tx>
            <c:v>BES_TR4_three97_B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7.1666666666997392E-5</c:v>
                </c:pt>
                <c:pt idx="1">
                  <c:v>-3.9300000000000451E-4</c:v>
                </c:pt>
                <c:pt idx="2">
                  <c:v>0</c:v>
                </c:pt>
                <c:pt idx="3">
                  <c:v>-4.5933333333297849E-4</c:v>
                </c:pt>
                <c:pt idx="4">
                  <c:v>1.3799999999999921E-4</c:v>
                </c:pt>
                <c:pt idx="5">
                  <c:v>-3.9800000000000951E-4</c:v>
                </c:pt>
                <c:pt idx="6">
                  <c:v>7.6666666667002392E-5</c:v>
                </c:pt>
                <c:pt idx="7">
                  <c:v>-4.4080346666666709E-4</c:v>
                </c:pt>
                <c:pt idx="8">
                  <c:v>2.6550746666679798E-4</c:v>
                </c:pt>
                <c:pt idx="9">
                  <c:v>1.0510946666701659E-4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-2.4525933333496841E-4</c:v>
                </c:pt>
                <c:pt idx="13">
                  <c:v>1.721656000013283E-4</c:v>
                </c:pt>
                <c:pt idx="14">
                  <c:v>4.0287853333298429E-4</c:v>
                </c:pt>
                <c:pt idx="15">
                  <c:v>-3.5575666666698419E-4</c:v>
                </c:pt>
                <c:pt idx="16">
                  <c:v>-2.1095553982666679</c:v>
                </c:pt>
                <c:pt idx="17">
                  <c:v>-1.18554426693333</c:v>
                </c:pt>
                <c:pt idx="18">
                  <c:v>-2.4357663626666679</c:v>
                </c:pt>
                <c:pt idx="19">
                  <c:v>-2.8254644061333321</c:v>
                </c:pt>
                <c:pt idx="20">
                  <c:v>-2.8116786097333351</c:v>
                </c:pt>
                <c:pt idx="21">
                  <c:v>-3.0620851212</c:v>
                </c:pt>
                <c:pt idx="22">
                  <c:v>-3.249217591333335</c:v>
                </c:pt>
                <c:pt idx="23">
                  <c:v>-3.2336483754666672</c:v>
                </c:pt>
                <c:pt idx="24">
                  <c:v>-3.3721173290666679</c:v>
                </c:pt>
                <c:pt idx="25">
                  <c:v>-3.157007005333333</c:v>
                </c:pt>
                <c:pt idx="26">
                  <c:v>-3.2821584819999998</c:v>
                </c:pt>
                <c:pt idx="27">
                  <c:v>-3.0612629941333349</c:v>
                </c:pt>
                <c:pt idx="28">
                  <c:v>-2.9550385598666669</c:v>
                </c:pt>
                <c:pt idx="29">
                  <c:v>-2.7540521730666678</c:v>
                </c:pt>
                <c:pt idx="30">
                  <c:v>-2.471587828133333</c:v>
                </c:pt>
                <c:pt idx="31">
                  <c:v>-2.3845838538666682</c:v>
                </c:pt>
                <c:pt idx="32">
                  <c:v>-1.983259057333332</c:v>
                </c:pt>
                <c:pt idx="33">
                  <c:v>-1.6989336062666649</c:v>
                </c:pt>
                <c:pt idx="34">
                  <c:v>-1.415073727333332</c:v>
                </c:pt>
                <c:pt idx="35">
                  <c:v>-1.1709496211999999</c:v>
                </c:pt>
                <c:pt idx="36">
                  <c:v>-0.80570653466666797</c:v>
                </c:pt>
                <c:pt idx="37">
                  <c:v>-0.37958039266666699</c:v>
                </c:pt>
                <c:pt idx="38">
                  <c:v>-4.6558414400000192E-2</c:v>
                </c:pt>
                <c:pt idx="39">
                  <c:v>-1.116150666669868E-4</c:v>
                </c:pt>
                <c:pt idx="40">
                  <c:v>-6.7109599996673097E-5</c:v>
                </c:pt>
                <c:pt idx="41">
                  <c:v>-1.9999999999964491E-5</c:v>
                </c:pt>
                <c:pt idx="42">
                  <c:v>3.3600000000000302E-4</c:v>
                </c:pt>
                <c:pt idx="43">
                  <c:v>-3.2666666666697491E-4</c:v>
                </c:pt>
                <c:pt idx="44">
                  <c:v>-2.9999999999974492E-5</c:v>
                </c:pt>
                <c:pt idx="45">
                  <c:v>-3.8000000000004702E-4</c:v>
                </c:pt>
                <c:pt idx="46">
                  <c:v>-5.9333333332967093E-5</c:v>
                </c:pt>
                <c:pt idx="47">
                  <c:v>3.6400000000000321E-4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07B-4901-A5EC-1DAB6992060C}"/>
            </c:ext>
          </c:extLst>
        </c:ser>
        <c:ser>
          <c:idx val="45"/>
          <c:order val="45"/>
          <c:tx>
            <c:v>BES_TR4_three160_C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-3.1466666666699061E-4</c:v>
                </c:pt>
                <c:pt idx="1">
                  <c:v>4.5733333332997889E-4</c:v>
                </c:pt>
                <c:pt idx="2">
                  <c:v>-7.6000000000020496E-5</c:v>
                </c:pt>
                <c:pt idx="3">
                  <c:v>-4.746666666670118E-4</c:v>
                </c:pt>
                <c:pt idx="4">
                  <c:v>0.280528</c:v>
                </c:pt>
                <c:pt idx="5">
                  <c:v>6.4526E-2</c:v>
                </c:pt>
                <c:pt idx="6">
                  <c:v>0.16500400000000001</c:v>
                </c:pt>
                <c:pt idx="7">
                  <c:v>0.27616719653333338</c:v>
                </c:pt>
                <c:pt idx="8">
                  <c:v>7.2655074666667999E-3</c:v>
                </c:pt>
                <c:pt idx="9">
                  <c:v>0.15503844280000001</c:v>
                </c:pt>
                <c:pt idx="10">
                  <c:v>-3.4028826666798739E-4</c:v>
                </c:pt>
                <c:pt idx="11">
                  <c:v>-1.759765333319008E-4</c:v>
                </c:pt>
                <c:pt idx="12">
                  <c:v>4.7740733333190288E-4</c:v>
                </c:pt>
                <c:pt idx="13">
                  <c:v>-2.0716773333195879E-4</c:v>
                </c:pt>
                <c:pt idx="14">
                  <c:v>4.0545199999852948E-5</c:v>
                </c:pt>
                <c:pt idx="15">
                  <c:v>-3.1408999999982262E-4</c:v>
                </c:pt>
                <c:pt idx="16">
                  <c:v>-0.48502939826666819</c:v>
                </c:pt>
                <c:pt idx="17">
                  <c:v>-2.4796509335999999</c:v>
                </c:pt>
                <c:pt idx="18">
                  <c:v>-2.621529362666668</c:v>
                </c:pt>
                <c:pt idx="19">
                  <c:v>-2.6688174061333321</c:v>
                </c:pt>
                <c:pt idx="20">
                  <c:v>-3.0830089430666678</c:v>
                </c:pt>
                <c:pt idx="21">
                  <c:v>-3.0340131212000001</c:v>
                </c:pt>
                <c:pt idx="22">
                  <c:v>-1.642734591333338</c:v>
                </c:pt>
                <c:pt idx="23">
                  <c:v>-3.1532587088000001</c:v>
                </c:pt>
                <c:pt idx="24">
                  <c:v>-3.3107633624000008</c:v>
                </c:pt>
                <c:pt idx="25">
                  <c:v>-3.1996657053333331</c:v>
                </c:pt>
                <c:pt idx="26">
                  <c:v>-2.641907482000001</c:v>
                </c:pt>
                <c:pt idx="27">
                  <c:v>-2.8435383274666681</c:v>
                </c:pt>
                <c:pt idx="28">
                  <c:v>-2.6170965598666669</c:v>
                </c:pt>
                <c:pt idx="29">
                  <c:v>-2.684543839733335</c:v>
                </c:pt>
                <c:pt idx="30">
                  <c:v>-1.46235316146667</c:v>
                </c:pt>
                <c:pt idx="31">
                  <c:v>-1.160178853866668</c:v>
                </c:pt>
                <c:pt idx="32">
                  <c:v>-1.896950723999999</c:v>
                </c:pt>
                <c:pt idx="33">
                  <c:v>-1.515351272933332</c:v>
                </c:pt>
                <c:pt idx="34">
                  <c:v>-1.045185727333332</c:v>
                </c:pt>
                <c:pt idx="35">
                  <c:v>-0.65044195453333309</c:v>
                </c:pt>
                <c:pt idx="36">
                  <c:v>-0.75302693466666804</c:v>
                </c:pt>
                <c:pt idx="37">
                  <c:v>-0.57375072599999999</c:v>
                </c:pt>
                <c:pt idx="38">
                  <c:v>2.9125226666683671E-4</c:v>
                </c:pt>
                <c:pt idx="39">
                  <c:v>-2.91599484E-2</c:v>
                </c:pt>
                <c:pt idx="40">
                  <c:v>2.362237333333253E-4</c:v>
                </c:pt>
                <c:pt idx="41">
                  <c:v>-3.8199999999999351E-4</c:v>
                </c:pt>
                <c:pt idx="42">
                  <c:v>-6.0000000000060014E-6</c:v>
                </c:pt>
                <c:pt idx="43">
                  <c:v>1.6199999999999551E-4</c:v>
                </c:pt>
                <c:pt idx="44">
                  <c:v>4.5000000000000601E-4</c:v>
                </c:pt>
                <c:pt idx="45">
                  <c:v>-3.2599999999999302E-4</c:v>
                </c:pt>
                <c:pt idx="46">
                  <c:v>-6.2000000000006494E-5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07B-4901-A5EC-1DAB6992060C}"/>
            </c:ext>
          </c:extLst>
        </c:ser>
        <c:ser>
          <c:idx val="46"/>
          <c:order val="46"/>
          <c:tx>
            <c:v>self-consumption target (net = 0)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07B-4901-A5EC-1DAB6992060C}"/>
            </c:ext>
          </c:extLst>
        </c:ser>
        <c:ser>
          <c:idx val="47"/>
          <c:order val="47"/>
          <c:tx>
            <c:v>fleet average net</c:v>
          </c:tx>
          <c:spPr>
            <a:ln w="28575">
              <a:solidFill>
                <a:srgbClr val="111827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-3.2884057971055425E-5</c:v>
                </c:pt>
                <c:pt idx="1">
                  <c:v>-3.2731884058084804E-5</c:v>
                </c:pt>
                <c:pt idx="2">
                  <c:v>-1.3355072463805406E-5</c:v>
                </c:pt>
                <c:pt idx="3">
                  <c:v>-4.1202898550696254E-5</c:v>
                </c:pt>
                <c:pt idx="4">
                  <c:v>6.0845724637681176E-3</c:v>
                </c:pt>
                <c:pt idx="5">
                  <c:v>1.3766304347826164E-3</c:v>
                </c:pt>
                <c:pt idx="6">
                  <c:v>4.9547028985506836E-3</c:v>
                </c:pt>
                <c:pt idx="7">
                  <c:v>1.4890274098550788E-2</c:v>
                </c:pt>
                <c:pt idx="8">
                  <c:v>2.2912773043479023E-3</c:v>
                </c:pt>
                <c:pt idx="9">
                  <c:v>3.4477668289853887E-3</c:v>
                </c:pt>
                <c:pt idx="10">
                  <c:v>-7.2579223189428443E-5</c:v>
                </c:pt>
                <c:pt idx="11">
                  <c:v>-7.1954028974131196E-6</c:v>
                </c:pt>
                <c:pt idx="12">
                  <c:v>2.4107913042192841E-5</c:v>
                </c:pt>
                <c:pt idx="13">
                  <c:v>-2.2167768098241281E-6</c:v>
                </c:pt>
                <c:pt idx="14">
                  <c:v>-5.7558828985882632E-5</c:v>
                </c:pt>
                <c:pt idx="15">
                  <c:v>-6.061215086956577E-2</c:v>
                </c:pt>
                <c:pt idx="16">
                  <c:v>-0.68257870009275501</c:v>
                </c:pt>
                <c:pt idx="17">
                  <c:v>-1.0883415574550721</c:v>
                </c:pt>
                <c:pt idx="18">
                  <c:v>-1.5184444816521749</c:v>
                </c:pt>
                <c:pt idx="19">
                  <c:v>-1.8231120504521729</c:v>
                </c:pt>
                <c:pt idx="20">
                  <c:v>-2.0063433358782601</c:v>
                </c:pt>
                <c:pt idx="21">
                  <c:v>-2.167010829634783</c:v>
                </c:pt>
                <c:pt idx="22">
                  <c:v>-2.1643422533623204</c:v>
                </c:pt>
                <c:pt idx="23">
                  <c:v>-2.2147323851478262</c:v>
                </c:pt>
                <c:pt idx="24">
                  <c:v>-2.3790099604289865</c:v>
                </c:pt>
                <c:pt idx="25">
                  <c:v>-2.3489386947536239</c:v>
                </c:pt>
                <c:pt idx="26">
                  <c:v>-2.2531652663478274</c:v>
                </c:pt>
                <c:pt idx="27">
                  <c:v>-2.1268018113507261</c:v>
                </c:pt>
                <c:pt idx="28">
                  <c:v>-2.0805122454028995</c:v>
                </c:pt>
                <c:pt idx="29">
                  <c:v>-1.9472700796463784</c:v>
                </c:pt>
                <c:pt idx="30">
                  <c:v>-1.7576300444811592</c:v>
                </c:pt>
                <c:pt idx="31">
                  <c:v>-1.590832355200001</c:v>
                </c:pt>
                <c:pt idx="32">
                  <c:v>-1.3369837100869557</c:v>
                </c:pt>
                <c:pt idx="33">
                  <c:v>-1.0931230875130429</c:v>
                </c:pt>
                <c:pt idx="34">
                  <c:v>-0.84057981776811486</c:v>
                </c:pt>
                <c:pt idx="35">
                  <c:v>-0.66049958833043521</c:v>
                </c:pt>
                <c:pt idx="36">
                  <c:v>-0.43776202857971097</c:v>
                </c:pt>
                <c:pt idx="37">
                  <c:v>-0.21710936165217398</c:v>
                </c:pt>
                <c:pt idx="38">
                  <c:v>-6.6842526486956488E-2</c:v>
                </c:pt>
                <c:pt idx="39">
                  <c:v>-2.6733494724638929E-3</c:v>
                </c:pt>
                <c:pt idx="40">
                  <c:v>7.1788863768240674E-5</c:v>
                </c:pt>
                <c:pt idx="41">
                  <c:v>5.4391753623188377E-2</c:v>
                </c:pt>
                <c:pt idx="42">
                  <c:v>8.6235521739130683E-2</c:v>
                </c:pt>
                <c:pt idx="43">
                  <c:v>5.0243876811594257E-2</c:v>
                </c:pt>
                <c:pt idx="44">
                  <c:v>6.383675362318858E-2</c:v>
                </c:pt>
                <c:pt idx="45">
                  <c:v>5.0243841304347836E-2</c:v>
                </c:pt>
                <c:pt idx="46">
                  <c:v>0.12146140942028999</c:v>
                </c:pt>
                <c:pt idx="47">
                  <c:v>7.4729188405797065E-2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F07B-4901-A5EC-1DAB69920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BES_TR4_one195_C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SOC_pct!$C$2:$C$49</c:f>
              <c:numCache>
                <c:formatCode>0.0</c:formatCode>
                <c:ptCount val="48"/>
                <c:pt idx="0">
                  <c:v>40</c:v>
                </c:pt>
                <c:pt idx="1">
                  <c:v>35.360799999999998</c:v>
                </c:pt>
                <c:pt idx="2">
                  <c:v>34.746000000000002</c:v>
                </c:pt>
                <c:pt idx="3">
                  <c:v>33.244600000000013</c:v>
                </c:pt>
                <c:pt idx="4">
                  <c:v>31.015499999999999</c:v>
                </c:pt>
                <c:pt idx="5">
                  <c:v>29.9282</c:v>
                </c:pt>
                <c:pt idx="6">
                  <c:v>27.285</c:v>
                </c:pt>
                <c:pt idx="7">
                  <c:v>25.7254</c:v>
                </c:pt>
                <c:pt idx="8">
                  <c:v>23.9072</c:v>
                </c:pt>
                <c:pt idx="9">
                  <c:v>22.9724</c:v>
                </c:pt>
                <c:pt idx="10">
                  <c:v>23.8581</c:v>
                </c:pt>
                <c:pt idx="11">
                  <c:v>26.826599999999999</c:v>
                </c:pt>
                <c:pt idx="12">
                  <c:v>32.116399999999999</c:v>
                </c:pt>
                <c:pt idx="13">
                  <c:v>40.731000000000002</c:v>
                </c:pt>
                <c:pt idx="14">
                  <c:v>53.586599999999997</c:v>
                </c:pt>
                <c:pt idx="15">
                  <c:v>57.284799999999997</c:v>
                </c:pt>
                <c:pt idx="16">
                  <c:v>73.582099999999997</c:v>
                </c:pt>
                <c:pt idx="17">
                  <c:v>93.254499999999993</c:v>
                </c:pt>
                <c:pt idx="18">
                  <c:v>87.794300000000007</c:v>
                </c:pt>
                <c:pt idx="19">
                  <c:v>84.036900000000003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97.89139999999999</c:v>
                </c:pt>
                <c:pt idx="41">
                  <c:v>94.246700000000004</c:v>
                </c:pt>
                <c:pt idx="42">
                  <c:v>90.411100000000005</c:v>
                </c:pt>
                <c:pt idx="43">
                  <c:v>88.144300000000001</c:v>
                </c:pt>
                <c:pt idx="44">
                  <c:v>81.389499999999998</c:v>
                </c:pt>
                <c:pt idx="45">
                  <c:v>74.023399999999995</c:v>
                </c:pt>
                <c:pt idx="46">
                  <c:v>67.927499999999995</c:v>
                </c:pt>
                <c:pt idx="47">
                  <c:v>59.732999999999997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0-45F4-9B40-490D97C0B076}"/>
            </c:ext>
          </c:extLst>
        </c:ser>
        <c:ser>
          <c:idx val="1"/>
          <c:order val="1"/>
          <c:tx>
            <c:v>BES_TR4_one223_B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SOC_pct!$D$2:$D$49</c:f>
              <c:numCache>
                <c:formatCode>0.0</c:formatCode>
                <c:ptCount val="48"/>
                <c:pt idx="0">
                  <c:v>40</c:v>
                </c:pt>
                <c:pt idx="1">
                  <c:v>37.4831</c:v>
                </c:pt>
                <c:pt idx="2">
                  <c:v>36.930999999999997</c:v>
                </c:pt>
                <c:pt idx="3">
                  <c:v>36.378799999999998</c:v>
                </c:pt>
                <c:pt idx="4">
                  <c:v>34.0867</c:v>
                </c:pt>
                <c:pt idx="5">
                  <c:v>31.903199999999998</c:v>
                </c:pt>
                <c:pt idx="6">
                  <c:v>31.351099999999999</c:v>
                </c:pt>
                <c:pt idx="7">
                  <c:v>28.424499999999998</c:v>
                </c:pt>
                <c:pt idx="8">
                  <c:v>26.907900000000001</c:v>
                </c:pt>
                <c:pt idx="9">
                  <c:v>25.584</c:v>
                </c:pt>
                <c:pt idx="10">
                  <c:v>26.933199999999999</c:v>
                </c:pt>
                <c:pt idx="11">
                  <c:v>27.495699999999999</c:v>
                </c:pt>
                <c:pt idx="12">
                  <c:v>33.096699999999998</c:v>
                </c:pt>
                <c:pt idx="13">
                  <c:v>39.078099999999999</c:v>
                </c:pt>
                <c:pt idx="14">
                  <c:v>49.445700000000002</c:v>
                </c:pt>
                <c:pt idx="15">
                  <c:v>63.060400000000008</c:v>
                </c:pt>
                <c:pt idx="16">
                  <c:v>78.049800000000005</c:v>
                </c:pt>
                <c:pt idx="17">
                  <c:v>94.938400000000001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94.486499999999992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75.165099999999995</c:v>
                </c:pt>
                <c:pt idx="39">
                  <c:v>77.1126</c:v>
                </c:pt>
                <c:pt idx="40">
                  <c:v>72.562300000000008</c:v>
                </c:pt>
                <c:pt idx="41">
                  <c:v>68.948900000000009</c:v>
                </c:pt>
                <c:pt idx="42">
                  <c:v>63.805199999999992</c:v>
                </c:pt>
                <c:pt idx="43">
                  <c:v>59.174100000000003</c:v>
                </c:pt>
                <c:pt idx="44">
                  <c:v>55.774900000000002</c:v>
                </c:pt>
                <c:pt idx="45">
                  <c:v>53.5291</c:v>
                </c:pt>
                <c:pt idx="46">
                  <c:v>48.162799999999997</c:v>
                </c:pt>
                <c:pt idx="47">
                  <c:v>43.392599999999987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00-45F4-9B40-490D97C0B076}"/>
            </c:ext>
          </c:extLst>
        </c:ser>
        <c:ser>
          <c:idx val="2"/>
          <c:order val="2"/>
          <c:tx>
            <c:v>BES_TR4_one235_A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SOC_pct!$E$2:$E$49</c:f>
              <c:numCache>
                <c:formatCode>0.0</c:formatCode>
                <c:ptCount val="48"/>
                <c:pt idx="0">
                  <c:v>40</c:v>
                </c:pt>
                <c:pt idx="1">
                  <c:v>37.955100000000002</c:v>
                </c:pt>
                <c:pt idx="2">
                  <c:v>37.3277</c:v>
                </c:pt>
                <c:pt idx="3">
                  <c:v>34.472700000000003</c:v>
                </c:pt>
                <c:pt idx="4">
                  <c:v>33.845300000000002</c:v>
                </c:pt>
                <c:pt idx="5">
                  <c:v>31.2941</c:v>
                </c:pt>
                <c:pt idx="6">
                  <c:v>30.363</c:v>
                </c:pt>
                <c:pt idx="7">
                  <c:v>29.330500000000001</c:v>
                </c:pt>
                <c:pt idx="8">
                  <c:v>26.9238</c:v>
                </c:pt>
                <c:pt idx="9">
                  <c:v>26.920500000000001</c:v>
                </c:pt>
                <c:pt idx="10">
                  <c:v>28.982500000000002</c:v>
                </c:pt>
                <c:pt idx="11">
                  <c:v>33.354799999999997</c:v>
                </c:pt>
                <c:pt idx="12">
                  <c:v>39.437199999999997</c:v>
                </c:pt>
                <c:pt idx="13">
                  <c:v>50.707800000000013</c:v>
                </c:pt>
                <c:pt idx="14">
                  <c:v>63.4726</c:v>
                </c:pt>
                <c:pt idx="15">
                  <c:v>81.723399999999998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96.38</c:v>
                </c:pt>
                <c:pt idx="41">
                  <c:v>92.005300000000005</c:v>
                </c:pt>
                <c:pt idx="42">
                  <c:v>84.764899999999997</c:v>
                </c:pt>
                <c:pt idx="43">
                  <c:v>75.927000000000007</c:v>
                </c:pt>
                <c:pt idx="44">
                  <c:v>71.178100000000001</c:v>
                </c:pt>
                <c:pt idx="45">
                  <c:v>63.992699999999999</c:v>
                </c:pt>
                <c:pt idx="46">
                  <c:v>61.893799999999999</c:v>
                </c:pt>
                <c:pt idx="47">
                  <c:v>59.950200000000002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00-45F4-9B40-490D97C0B076}"/>
            </c:ext>
          </c:extLst>
        </c:ser>
        <c:ser>
          <c:idx val="3"/>
          <c:order val="3"/>
          <c:tx>
            <c:v>BES_TR4_one242_B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SOC_pct!$F$2:$F$49</c:f>
              <c:numCache>
                <c:formatCode>0.0</c:formatCode>
                <c:ptCount val="48"/>
                <c:pt idx="0">
                  <c:v>40</c:v>
                </c:pt>
                <c:pt idx="1">
                  <c:v>39.272199999999998</c:v>
                </c:pt>
                <c:pt idx="2">
                  <c:v>36.078400000000002</c:v>
                </c:pt>
                <c:pt idx="3">
                  <c:v>34.359299999999998</c:v>
                </c:pt>
                <c:pt idx="4">
                  <c:v>33.631500000000003</c:v>
                </c:pt>
                <c:pt idx="5">
                  <c:v>30.471800000000002</c:v>
                </c:pt>
                <c:pt idx="6">
                  <c:v>28.718499999999999</c:v>
                </c:pt>
                <c:pt idx="7">
                  <c:v>27.9907</c:v>
                </c:pt>
                <c:pt idx="8">
                  <c:v>25.611599999999999</c:v>
                </c:pt>
                <c:pt idx="9">
                  <c:v>23.745100000000001</c:v>
                </c:pt>
                <c:pt idx="10">
                  <c:v>24.4422</c:v>
                </c:pt>
                <c:pt idx="11">
                  <c:v>28.997499999999999</c:v>
                </c:pt>
                <c:pt idx="12">
                  <c:v>35.637600000000013</c:v>
                </c:pt>
                <c:pt idx="13">
                  <c:v>45.374099999999999</c:v>
                </c:pt>
                <c:pt idx="14">
                  <c:v>58.576700000000002</c:v>
                </c:pt>
                <c:pt idx="15">
                  <c:v>76.354699999999994</c:v>
                </c:pt>
                <c:pt idx="16">
                  <c:v>95.781700000000001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94.633800000000008</c:v>
                </c:pt>
                <c:pt idx="42">
                  <c:v>91.531899999999993</c:v>
                </c:pt>
                <c:pt idx="43">
                  <c:v>83.588200000000001</c:v>
                </c:pt>
                <c:pt idx="44">
                  <c:v>80.157700000000006</c:v>
                </c:pt>
                <c:pt idx="45">
                  <c:v>73.656700000000001</c:v>
                </c:pt>
                <c:pt idx="46">
                  <c:v>66.348200000000006</c:v>
                </c:pt>
                <c:pt idx="47">
                  <c:v>57.4283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00-45F4-9B40-490D97C0B076}"/>
            </c:ext>
          </c:extLst>
        </c:ser>
        <c:ser>
          <c:idx val="4"/>
          <c:order val="4"/>
          <c:tx>
            <c:v>BES_TR4_one252_C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SOC_pct!$G$2:$G$49</c:f>
              <c:numCache>
                <c:formatCode>0.0</c:formatCode>
                <c:ptCount val="48"/>
                <c:pt idx="0">
                  <c:v>40</c:v>
                </c:pt>
                <c:pt idx="1">
                  <c:v>36.956299999999999</c:v>
                </c:pt>
                <c:pt idx="2">
                  <c:v>32.832799999999999</c:v>
                </c:pt>
                <c:pt idx="3">
                  <c:v>28.716200000000001</c:v>
                </c:pt>
                <c:pt idx="4">
                  <c:v>25.813700000000001</c:v>
                </c:pt>
                <c:pt idx="5">
                  <c:v>25.1236</c:v>
                </c:pt>
                <c:pt idx="6">
                  <c:v>24.433399999999999</c:v>
                </c:pt>
                <c:pt idx="7">
                  <c:v>23.743200000000002</c:v>
                </c:pt>
                <c:pt idx="8">
                  <c:v>23.0854</c:v>
                </c:pt>
                <c:pt idx="9">
                  <c:v>22.863299999999999</c:v>
                </c:pt>
                <c:pt idx="10">
                  <c:v>24.212199999999999</c:v>
                </c:pt>
                <c:pt idx="11">
                  <c:v>27.498799999999999</c:v>
                </c:pt>
                <c:pt idx="12">
                  <c:v>33.1616</c:v>
                </c:pt>
                <c:pt idx="13">
                  <c:v>41.416799999999988</c:v>
                </c:pt>
                <c:pt idx="14">
                  <c:v>50.833099999999988</c:v>
                </c:pt>
                <c:pt idx="15">
                  <c:v>61.745800000000003</c:v>
                </c:pt>
                <c:pt idx="16">
                  <c:v>76.411100000000005</c:v>
                </c:pt>
                <c:pt idx="17">
                  <c:v>87.7761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98.684400000000011</c:v>
                </c:pt>
                <c:pt idx="41">
                  <c:v>97.087800000000001</c:v>
                </c:pt>
                <c:pt idx="42">
                  <c:v>96.3977</c:v>
                </c:pt>
                <c:pt idx="43">
                  <c:v>95.707499999999996</c:v>
                </c:pt>
                <c:pt idx="44">
                  <c:v>95.017300000000006</c:v>
                </c:pt>
                <c:pt idx="45">
                  <c:v>94.327200000000005</c:v>
                </c:pt>
                <c:pt idx="46">
                  <c:v>93.637</c:v>
                </c:pt>
                <c:pt idx="47">
                  <c:v>92.946799999999996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00-45F4-9B40-490D97C0B076}"/>
            </c:ext>
          </c:extLst>
        </c:ser>
        <c:ser>
          <c:idx val="5"/>
          <c:order val="5"/>
          <c:tx>
            <c:v>BES_TR4_one260_C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SOC_pct!$H$2:$H$49</c:f>
              <c:numCache>
                <c:formatCode>0.0</c:formatCode>
                <c:ptCount val="48"/>
                <c:pt idx="0">
                  <c:v>40</c:v>
                </c:pt>
                <c:pt idx="1">
                  <c:v>38.446599999999997</c:v>
                </c:pt>
                <c:pt idx="2">
                  <c:v>38.007399999999997</c:v>
                </c:pt>
                <c:pt idx="3">
                  <c:v>37.568199999999997</c:v>
                </c:pt>
                <c:pt idx="4">
                  <c:v>34.994599999999998</c:v>
                </c:pt>
                <c:pt idx="5">
                  <c:v>33.883799999999987</c:v>
                </c:pt>
                <c:pt idx="6">
                  <c:v>32.978499999999997</c:v>
                </c:pt>
                <c:pt idx="7">
                  <c:v>30.199300000000001</c:v>
                </c:pt>
                <c:pt idx="8">
                  <c:v>29.8033</c:v>
                </c:pt>
                <c:pt idx="9">
                  <c:v>29.9697</c:v>
                </c:pt>
                <c:pt idx="10">
                  <c:v>32.201099999999997</c:v>
                </c:pt>
                <c:pt idx="11">
                  <c:v>35.2545</c:v>
                </c:pt>
                <c:pt idx="12">
                  <c:v>42.4739</c:v>
                </c:pt>
                <c:pt idx="13">
                  <c:v>53.913900000000012</c:v>
                </c:pt>
                <c:pt idx="14">
                  <c:v>66.554100000000005</c:v>
                </c:pt>
                <c:pt idx="15">
                  <c:v>84.747500000000002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96.235500000000002</c:v>
                </c:pt>
                <c:pt idx="41">
                  <c:v>91.97999999999999</c:v>
                </c:pt>
                <c:pt idx="42">
                  <c:v>87.073800000000006</c:v>
                </c:pt>
                <c:pt idx="43">
                  <c:v>86.634599999999992</c:v>
                </c:pt>
                <c:pt idx="44">
                  <c:v>85.197599999999994</c:v>
                </c:pt>
                <c:pt idx="45">
                  <c:v>79.513999999999996</c:v>
                </c:pt>
                <c:pt idx="46">
                  <c:v>77.515500000000003</c:v>
                </c:pt>
                <c:pt idx="47">
                  <c:v>75.7714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00-45F4-9B40-490D97C0B076}"/>
            </c:ext>
          </c:extLst>
        </c:ser>
        <c:ser>
          <c:idx val="6"/>
          <c:order val="6"/>
          <c:tx>
            <c:v>BES_TR4_one299_B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SOC_pct!$I$2:$I$49</c:f>
              <c:numCache>
                <c:formatCode>0.0</c:formatCode>
                <c:ptCount val="48"/>
                <c:pt idx="0">
                  <c:v>40</c:v>
                </c:pt>
                <c:pt idx="1">
                  <c:v>35.759700000000002</c:v>
                </c:pt>
                <c:pt idx="2">
                  <c:v>35.107199999999999</c:v>
                </c:pt>
                <c:pt idx="3">
                  <c:v>31.4801</c:v>
                </c:pt>
                <c:pt idx="4">
                  <c:v>30.128499999999999</c:v>
                </c:pt>
                <c:pt idx="5">
                  <c:v>28.853300000000001</c:v>
                </c:pt>
                <c:pt idx="6">
                  <c:v>25.664899999999999</c:v>
                </c:pt>
                <c:pt idx="7">
                  <c:v>24.497299999999999</c:v>
                </c:pt>
                <c:pt idx="8">
                  <c:v>22.594200000000001</c:v>
                </c:pt>
                <c:pt idx="9">
                  <c:v>20.186</c:v>
                </c:pt>
                <c:pt idx="10">
                  <c:v>22.2254</c:v>
                </c:pt>
                <c:pt idx="11">
                  <c:v>24.863900000000001</c:v>
                </c:pt>
                <c:pt idx="12">
                  <c:v>31.333400000000001</c:v>
                </c:pt>
                <c:pt idx="13">
                  <c:v>40.4407</c:v>
                </c:pt>
                <c:pt idx="14">
                  <c:v>52.674600000000012</c:v>
                </c:pt>
                <c:pt idx="15">
                  <c:v>67.745100000000008</c:v>
                </c:pt>
                <c:pt idx="16">
                  <c:v>84.744399999999999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91.523299999999992</c:v>
                </c:pt>
                <c:pt idx="40">
                  <c:v>88.355999999999995</c:v>
                </c:pt>
                <c:pt idx="41">
                  <c:v>85.9589</c:v>
                </c:pt>
                <c:pt idx="42">
                  <c:v>84.239000000000004</c:v>
                </c:pt>
                <c:pt idx="43">
                  <c:v>82.81389999999999</c:v>
                </c:pt>
                <c:pt idx="44">
                  <c:v>81.217200000000005</c:v>
                </c:pt>
                <c:pt idx="45">
                  <c:v>78.607900000000001</c:v>
                </c:pt>
                <c:pt idx="46">
                  <c:v>77.1828</c:v>
                </c:pt>
                <c:pt idx="47">
                  <c:v>75.585999999999999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00-45F4-9B40-490D97C0B076}"/>
            </c:ext>
          </c:extLst>
        </c:ser>
        <c:ser>
          <c:idx val="7"/>
          <c:order val="7"/>
          <c:tx>
            <c:v>BES_TR4_one320_B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SOC_pct!$J$2:$J$49</c:f>
              <c:numCache>
                <c:formatCode>0.0</c:formatCode>
                <c:ptCount val="48"/>
                <c:pt idx="0">
                  <c:v>40</c:v>
                </c:pt>
                <c:pt idx="1">
                  <c:v>37.094099999999997</c:v>
                </c:pt>
                <c:pt idx="2">
                  <c:v>36.391399999999997</c:v>
                </c:pt>
                <c:pt idx="3">
                  <c:v>34.2866</c:v>
                </c:pt>
                <c:pt idx="4">
                  <c:v>32.782699999999998</c:v>
                </c:pt>
                <c:pt idx="5">
                  <c:v>32.08</c:v>
                </c:pt>
                <c:pt idx="6">
                  <c:v>30.175599999999999</c:v>
                </c:pt>
                <c:pt idx="7">
                  <c:v>28.471399999999999</c:v>
                </c:pt>
                <c:pt idx="8">
                  <c:v>27.7957</c:v>
                </c:pt>
                <c:pt idx="9">
                  <c:v>26.081</c:v>
                </c:pt>
                <c:pt idx="10">
                  <c:v>26.3691</c:v>
                </c:pt>
                <c:pt idx="11">
                  <c:v>28.993099999999998</c:v>
                </c:pt>
                <c:pt idx="12">
                  <c:v>33.507199999999997</c:v>
                </c:pt>
                <c:pt idx="13">
                  <c:v>38.378900000000002</c:v>
                </c:pt>
                <c:pt idx="14">
                  <c:v>47.330399999999997</c:v>
                </c:pt>
                <c:pt idx="15">
                  <c:v>58.457599999999999</c:v>
                </c:pt>
                <c:pt idx="16">
                  <c:v>71.042500000000004</c:v>
                </c:pt>
                <c:pt idx="17">
                  <c:v>85.131599999999992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85.649699999999996</c:v>
                </c:pt>
                <c:pt idx="36">
                  <c:v>56.401899999999998</c:v>
                </c:pt>
                <c:pt idx="37">
                  <c:v>30.733499999999999</c:v>
                </c:pt>
                <c:pt idx="38">
                  <c:v>31.366700000000002</c:v>
                </c:pt>
                <c:pt idx="39">
                  <c:v>32.0276</c:v>
                </c:pt>
                <c:pt idx="40">
                  <c:v>30.152899999999999</c:v>
                </c:pt>
                <c:pt idx="41">
                  <c:v>17.6755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00-45F4-9B40-490D97C0B076}"/>
            </c:ext>
          </c:extLst>
        </c:ser>
        <c:ser>
          <c:idx val="8"/>
          <c:order val="8"/>
          <c:tx>
            <c:v>BES_TR4_one321_C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SOC_pct!$K$2:$K$49</c:f>
              <c:numCache>
                <c:formatCode>0.0</c:formatCode>
                <c:ptCount val="48"/>
                <c:pt idx="0">
                  <c:v>40</c:v>
                </c:pt>
                <c:pt idx="1">
                  <c:v>37.3157</c:v>
                </c:pt>
                <c:pt idx="2">
                  <c:v>31.552700000000002</c:v>
                </c:pt>
                <c:pt idx="3">
                  <c:v>30.862500000000001</c:v>
                </c:pt>
                <c:pt idx="4">
                  <c:v>28.806899999999999</c:v>
                </c:pt>
                <c:pt idx="5">
                  <c:v>28.116700000000002</c:v>
                </c:pt>
                <c:pt idx="6">
                  <c:v>27.426600000000001</c:v>
                </c:pt>
                <c:pt idx="7">
                  <c:v>25.858599999999999</c:v>
                </c:pt>
                <c:pt idx="8">
                  <c:v>24.707799999999999</c:v>
                </c:pt>
                <c:pt idx="9">
                  <c:v>24.407699999999998</c:v>
                </c:pt>
                <c:pt idx="10">
                  <c:v>24.176100000000002</c:v>
                </c:pt>
                <c:pt idx="11">
                  <c:v>26.811399999999999</c:v>
                </c:pt>
                <c:pt idx="12">
                  <c:v>30.461300000000001</c:v>
                </c:pt>
                <c:pt idx="13">
                  <c:v>36.973799999999997</c:v>
                </c:pt>
                <c:pt idx="14">
                  <c:v>45.936599999999999</c:v>
                </c:pt>
                <c:pt idx="15">
                  <c:v>57.075099999999999</c:v>
                </c:pt>
                <c:pt idx="16">
                  <c:v>69.163399999999996</c:v>
                </c:pt>
                <c:pt idx="17">
                  <c:v>84.525599999999997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94.180599999999998</c:v>
                </c:pt>
                <c:pt idx="41">
                  <c:v>82.084299999999999</c:v>
                </c:pt>
                <c:pt idx="42">
                  <c:v>70.615099999999998</c:v>
                </c:pt>
                <c:pt idx="43">
                  <c:v>60.761099999999999</c:v>
                </c:pt>
                <c:pt idx="44">
                  <c:v>51.021500000000003</c:v>
                </c:pt>
                <c:pt idx="45">
                  <c:v>41.0946</c:v>
                </c:pt>
                <c:pt idx="46">
                  <c:v>32.472499999999997</c:v>
                </c:pt>
                <c:pt idx="47">
                  <c:v>31.684799999999999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00-45F4-9B40-490D97C0B076}"/>
            </c:ext>
          </c:extLst>
        </c:ser>
        <c:ser>
          <c:idx val="9"/>
          <c:order val="9"/>
          <c:tx>
            <c:v>BES_TR4_one328_A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SOC_pct!$L$2:$L$49</c:f>
              <c:numCache>
                <c:formatCode>0.0</c:formatCode>
                <c:ptCount val="48"/>
                <c:pt idx="0">
                  <c:v>40</c:v>
                </c:pt>
                <c:pt idx="1">
                  <c:v>33.876600000000003</c:v>
                </c:pt>
                <c:pt idx="2">
                  <c:v>29.185300000000002</c:v>
                </c:pt>
                <c:pt idx="3">
                  <c:v>26.5654</c:v>
                </c:pt>
                <c:pt idx="4">
                  <c:v>25.887799999999999</c:v>
                </c:pt>
                <c:pt idx="5">
                  <c:v>24.2193</c:v>
                </c:pt>
                <c:pt idx="6">
                  <c:v>21.599499999999999</c:v>
                </c:pt>
                <c:pt idx="7">
                  <c:v>19.986000000000001</c:v>
                </c:pt>
                <c:pt idx="8">
                  <c:v>17.972300000000001</c:v>
                </c:pt>
                <c:pt idx="9">
                  <c:v>16.585100000000001</c:v>
                </c:pt>
                <c:pt idx="10">
                  <c:v>18.354199999999999</c:v>
                </c:pt>
                <c:pt idx="11">
                  <c:v>21.206600000000002</c:v>
                </c:pt>
                <c:pt idx="12">
                  <c:v>28.083500000000001</c:v>
                </c:pt>
                <c:pt idx="13">
                  <c:v>38.355400000000003</c:v>
                </c:pt>
                <c:pt idx="14">
                  <c:v>52.285299999999999</c:v>
                </c:pt>
                <c:pt idx="15">
                  <c:v>70.490799999999993</c:v>
                </c:pt>
                <c:pt idx="16">
                  <c:v>91.705700000000007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96.646200000000007</c:v>
                </c:pt>
                <c:pt idx="42">
                  <c:v>91.236699999999999</c:v>
                </c:pt>
                <c:pt idx="43">
                  <c:v>89.831000000000003</c:v>
                </c:pt>
                <c:pt idx="44">
                  <c:v>87.831099999999992</c:v>
                </c:pt>
                <c:pt idx="45">
                  <c:v>85.65270000000001</c:v>
                </c:pt>
                <c:pt idx="46">
                  <c:v>84.754900000000006</c:v>
                </c:pt>
                <c:pt idx="47">
                  <c:v>81.717500000000001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00-45F4-9B40-490D97C0B076}"/>
            </c:ext>
          </c:extLst>
        </c:ser>
        <c:ser>
          <c:idx val="10"/>
          <c:order val="10"/>
          <c:tx>
            <c:v>BES_TR4_one345_A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SOC_pct!$M$2:$M$49</c:f>
              <c:numCache>
                <c:formatCode>0.0</c:formatCode>
                <c:ptCount val="48"/>
                <c:pt idx="0">
                  <c:v>40</c:v>
                </c:pt>
                <c:pt idx="1">
                  <c:v>36.089300000000001</c:v>
                </c:pt>
                <c:pt idx="2">
                  <c:v>32.919600000000003</c:v>
                </c:pt>
                <c:pt idx="3">
                  <c:v>32.229500000000002</c:v>
                </c:pt>
                <c:pt idx="4">
                  <c:v>31.539300000000001</c:v>
                </c:pt>
                <c:pt idx="5">
                  <c:v>28.707799999999999</c:v>
                </c:pt>
                <c:pt idx="6">
                  <c:v>27.679500000000001</c:v>
                </c:pt>
                <c:pt idx="7">
                  <c:v>26.538499999999999</c:v>
                </c:pt>
                <c:pt idx="8">
                  <c:v>23.8521</c:v>
                </c:pt>
                <c:pt idx="9">
                  <c:v>23.63</c:v>
                </c:pt>
                <c:pt idx="10">
                  <c:v>22.2789</c:v>
                </c:pt>
                <c:pt idx="11">
                  <c:v>24.956900000000001</c:v>
                </c:pt>
                <c:pt idx="12">
                  <c:v>30.619700000000002</c:v>
                </c:pt>
                <c:pt idx="13">
                  <c:v>36.6434</c:v>
                </c:pt>
                <c:pt idx="14">
                  <c:v>47.523000000000003</c:v>
                </c:pt>
                <c:pt idx="15">
                  <c:v>60.426100000000012</c:v>
                </c:pt>
                <c:pt idx="16">
                  <c:v>74.641900000000007</c:v>
                </c:pt>
                <c:pt idx="17">
                  <c:v>87.0441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95.01039999999999</c:v>
                </c:pt>
                <c:pt idx="38">
                  <c:v>99.421000000000006</c:v>
                </c:pt>
                <c:pt idx="39">
                  <c:v>100</c:v>
                </c:pt>
                <c:pt idx="40">
                  <c:v>95.408499999999989</c:v>
                </c:pt>
                <c:pt idx="41">
                  <c:v>86.567300000000003</c:v>
                </c:pt>
                <c:pt idx="42">
                  <c:v>76.686399999999992</c:v>
                </c:pt>
                <c:pt idx="43">
                  <c:v>66.780100000000004</c:v>
                </c:pt>
                <c:pt idx="44">
                  <c:v>55.813899999999997</c:v>
                </c:pt>
                <c:pt idx="45">
                  <c:v>48.686399999999999</c:v>
                </c:pt>
                <c:pt idx="46">
                  <c:v>36.869600000000013</c:v>
                </c:pt>
                <c:pt idx="47">
                  <c:v>29.251300000000001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00-45F4-9B40-490D97C0B076}"/>
            </c:ext>
          </c:extLst>
        </c:ser>
        <c:ser>
          <c:idx val="11"/>
          <c:order val="11"/>
          <c:tx>
            <c:v>BES_TR4_one366_B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SOC_pct!$N$2:$N$49</c:f>
              <c:numCache>
                <c:formatCode>0.0</c:formatCode>
                <c:ptCount val="48"/>
                <c:pt idx="0">
                  <c:v>40</c:v>
                </c:pt>
                <c:pt idx="1">
                  <c:v>37.360900000000001</c:v>
                </c:pt>
                <c:pt idx="2">
                  <c:v>35.134500000000003</c:v>
                </c:pt>
                <c:pt idx="3">
                  <c:v>32.488799999999998</c:v>
                </c:pt>
                <c:pt idx="4">
                  <c:v>30.906400000000001</c:v>
                </c:pt>
                <c:pt idx="5">
                  <c:v>27.2364</c:v>
                </c:pt>
                <c:pt idx="6">
                  <c:v>25.776</c:v>
                </c:pt>
                <c:pt idx="7">
                  <c:v>24.916899999999998</c:v>
                </c:pt>
                <c:pt idx="8">
                  <c:v>20.3764</c:v>
                </c:pt>
                <c:pt idx="9">
                  <c:v>20.2471</c:v>
                </c:pt>
                <c:pt idx="10">
                  <c:v>20.764800000000001</c:v>
                </c:pt>
                <c:pt idx="11">
                  <c:v>23.652699999999999</c:v>
                </c:pt>
                <c:pt idx="12">
                  <c:v>30.691600000000001</c:v>
                </c:pt>
                <c:pt idx="13">
                  <c:v>39.6188</c:v>
                </c:pt>
                <c:pt idx="14">
                  <c:v>53.717199999999998</c:v>
                </c:pt>
                <c:pt idx="15">
                  <c:v>71.285899999999998</c:v>
                </c:pt>
                <c:pt idx="16">
                  <c:v>91.405199999999994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99.275800000000004</c:v>
                </c:pt>
                <c:pt idx="41">
                  <c:v>96.762900000000002</c:v>
                </c:pt>
                <c:pt idx="42">
                  <c:v>95.603200000000001</c:v>
                </c:pt>
                <c:pt idx="43">
                  <c:v>92.693899999999999</c:v>
                </c:pt>
                <c:pt idx="44">
                  <c:v>90.266199999999998</c:v>
                </c:pt>
                <c:pt idx="45">
                  <c:v>89.311199999999999</c:v>
                </c:pt>
                <c:pt idx="46">
                  <c:v>85.774500000000003</c:v>
                </c:pt>
                <c:pt idx="47">
                  <c:v>83.998199999999997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00-45F4-9B40-490D97C0B076}"/>
            </c:ext>
          </c:extLst>
        </c:ser>
        <c:ser>
          <c:idx val="12"/>
          <c:order val="12"/>
          <c:tx>
            <c:v>BES_TR4_one410_B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SOC_pct!$O$2:$O$49</c:f>
              <c:numCache>
                <c:formatCode>0.0</c:formatCode>
                <c:ptCount val="48"/>
                <c:pt idx="0">
                  <c:v>40</c:v>
                </c:pt>
                <c:pt idx="1">
                  <c:v>36.029899999999998</c:v>
                </c:pt>
                <c:pt idx="2">
                  <c:v>34.173999999999999</c:v>
                </c:pt>
                <c:pt idx="3">
                  <c:v>33.596699999999998</c:v>
                </c:pt>
                <c:pt idx="4">
                  <c:v>31.996500000000001</c:v>
                </c:pt>
                <c:pt idx="5">
                  <c:v>29.081399999999999</c:v>
                </c:pt>
                <c:pt idx="6">
                  <c:v>28.504200000000001</c:v>
                </c:pt>
                <c:pt idx="7">
                  <c:v>26.8858</c:v>
                </c:pt>
                <c:pt idx="8">
                  <c:v>24.004999999999999</c:v>
                </c:pt>
                <c:pt idx="9">
                  <c:v>23.661799999999999</c:v>
                </c:pt>
                <c:pt idx="10">
                  <c:v>22.263999999999999</c:v>
                </c:pt>
                <c:pt idx="11">
                  <c:v>22.375900000000001</c:v>
                </c:pt>
                <c:pt idx="12">
                  <c:v>23.9694</c:v>
                </c:pt>
                <c:pt idx="13">
                  <c:v>26.525099999999998</c:v>
                </c:pt>
                <c:pt idx="14">
                  <c:v>31.756</c:v>
                </c:pt>
                <c:pt idx="15">
                  <c:v>37.141399999999997</c:v>
                </c:pt>
                <c:pt idx="16">
                  <c:v>44.047899999999998</c:v>
                </c:pt>
                <c:pt idx="17">
                  <c:v>51.145600000000002</c:v>
                </c:pt>
                <c:pt idx="18">
                  <c:v>61.167299999999997</c:v>
                </c:pt>
                <c:pt idx="19">
                  <c:v>70.996000000000009</c:v>
                </c:pt>
                <c:pt idx="20">
                  <c:v>76.839199999999991</c:v>
                </c:pt>
                <c:pt idx="21">
                  <c:v>83.220400000000012</c:v>
                </c:pt>
                <c:pt idx="22">
                  <c:v>92.110699999999994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94.69619999999999</c:v>
                </c:pt>
                <c:pt idx="40">
                  <c:v>91.346999999999994</c:v>
                </c:pt>
                <c:pt idx="41">
                  <c:v>86.47359999999999</c:v>
                </c:pt>
                <c:pt idx="42">
                  <c:v>80.749800000000008</c:v>
                </c:pt>
                <c:pt idx="43">
                  <c:v>75.27709999999999</c:v>
                </c:pt>
                <c:pt idx="44">
                  <c:v>70.745000000000005</c:v>
                </c:pt>
                <c:pt idx="45">
                  <c:v>63.196800000000003</c:v>
                </c:pt>
                <c:pt idx="46">
                  <c:v>58.134300000000003</c:v>
                </c:pt>
                <c:pt idx="47">
                  <c:v>55.368600000000001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00-45F4-9B40-490D97C0B076}"/>
            </c:ext>
          </c:extLst>
        </c:ser>
        <c:ser>
          <c:idx val="13"/>
          <c:order val="13"/>
          <c:tx>
            <c:v>BES_TR4_one50_A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SOC_pct!$P$2:$P$49</c:f>
              <c:numCache>
                <c:formatCode>0.0</c:formatCode>
                <c:ptCount val="48"/>
                <c:pt idx="0">
                  <c:v>40</c:v>
                </c:pt>
                <c:pt idx="1">
                  <c:v>39.2408</c:v>
                </c:pt>
                <c:pt idx="2">
                  <c:v>36.921399999999998</c:v>
                </c:pt>
                <c:pt idx="3">
                  <c:v>35.229599999999998</c:v>
                </c:pt>
                <c:pt idx="4">
                  <c:v>33.203200000000002</c:v>
                </c:pt>
                <c:pt idx="5">
                  <c:v>31.3323</c:v>
                </c:pt>
                <c:pt idx="6">
                  <c:v>28.487300000000001</c:v>
                </c:pt>
                <c:pt idx="7">
                  <c:v>27.6172</c:v>
                </c:pt>
                <c:pt idx="8">
                  <c:v>25.020600000000002</c:v>
                </c:pt>
                <c:pt idx="9">
                  <c:v>24.795100000000001</c:v>
                </c:pt>
                <c:pt idx="10">
                  <c:v>24.926300000000001</c:v>
                </c:pt>
                <c:pt idx="11">
                  <c:v>26.3188</c:v>
                </c:pt>
                <c:pt idx="12">
                  <c:v>25.6282</c:v>
                </c:pt>
                <c:pt idx="13">
                  <c:v>30.750499999999999</c:v>
                </c:pt>
                <c:pt idx="14">
                  <c:v>36.209099999999999</c:v>
                </c:pt>
                <c:pt idx="15">
                  <c:v>33.625899999999987</c:v>
                </c:pt>
                <c:pt idx="16">
                  <c:v>24.8553</c:v>
                </c:pt>
                <c:pt idx="17">
                  <c:v>21.0929</c:v>
                </c:pt>
                <c:pt idx="18">
                  <c:v>33.559800000000003</c:v>
                </c:pt>
                <c:pt idx="19">
                  <c:v>46.546199999999999</c:v>
                </c:pt>
                <c:pt idx="20">
                  <c:v>62.858199999999997</c:v>
                </c:pt>
                <c:pt idx="21">
                  <c:v>77.620199999999997</c:v>
                </c:pt>
                <c:pt idx="22">
                  <c:v>94.886300000000006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98.831699999999998</c:v>
                </c:pt>
                <c:pt idx="41">
                  <c:v>97.07820000000001</c:v>
                </c:pt>
                <c:pt idx="42">
                  <c:v>95.799599999999998</c:v>
                </c:pt>
                <c:pt idx="43">
                  <c:v>92.914699999999996</c:v>
                </c:pt>
                <c:pt idx="44">
                  <c:v>91.935699999999997</c:v>
                </c:pt>
                <c:pt idx="45">
                  <c:v>88.267799999999994</c:v>
                </c:pt>
                <c:pt idx="46">
                  <c:v>82.055300000000003</c:v>
                </c:pt>
                <c:pt idx="47">
                  <c:v>80.908100000000005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00-45F4-9B40-490D97C0B076}"/>
            </c:ext>
          </c:extLst>
        </c:ser>
        <c:ser>
          <c:idx val="14"/>
          <c:order val="14"/>
          <c:tx>
            <c:v>BES_TR4_one416_C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SOC_pct!$Q$2:$Q$49</c:f>
              <c:numCache>
                <c:formatCode>0.0</c:formatCode>
                <c:ptCount val="48"/>
                <c:pt idx="0">
                  <c:v>40</c:v>
                </c:pt>
                <c:pt idx="1">
                  <c:v>39.347499999999997</c:v>
                </c:pt>
                <c:pt idx="2">
                  <c:v>38.695</c:v>
                </c:pt>
                <c:pt idx="3">
                  <c:v>38.042400000000001</c:v>
                </c:pt>
                <c:pt idx="4">
                  <c:v>37.389899999999997</c:v>
                </c:pt>
                <c:pt idx="5">
                  <c:v>36.737400000000001</c:v>
                </c:pt>
                <c:pt idx="6">
                  <c:v>36.084899999999998</c:v>
                </c:pt>
                <c:pt idx="7">
                  <c:v>35.432299999999998</c:v>
                </c:pt>
                <c:pt idx="8">
                  <c:v>34.823</c:v>
                </c:pt>
                <c:pt idx="9">
                  <c:v>34.794600000000003</c:v>
                </c:pt>
                <c:pt idx="10">
                  <c:v>36.834000000000003</c:v>
                </c:pt>
                <c:pt idx="11">
                  <c:v>41.457099999999997</c:v>
                </c:pt>
                <c:pt idx="12">
                  <c:v>49.248399999999997</c:v>
                </c:pt>
                <c:pt idx="13">
                  <c:v>60.496300000000012</c:v>
                </c:pt>
                <c:pt idx="14">
                  <c:v>75.243400000000008</c:v>
                </c:pt>
                <c:pt idx="15">
                  <c:v>92.843299999999999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95.6066</c:v>
                </c:pt>
                <c:pt idx="41">
                  <c:v>88.275499999999994</c:v>
                </c:pt>
                <c:pt idx="42">
                  <c:v>82.314099999999996</c:v>
                </c:pt>
                <c:pt idx="43">
                  <c:v>73.772199999999998</c:v>
                </c:pt>
                <c:pt idx="44">
                  <c:v>63.367199999999997</c:v>
                </c:pt>
                <c:pt idx="45">
                  <c:v>52.878100000000003</c:v>
                </c:pt>
                <c:pt idx="46">
                  <c:v>45.1233</c:v>
                </c:pt>
                <c:pt idx="47">
                  <c:v>39.3093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00-45F4-9B40-490D97C0B076}"/>
            </c:ext>
          </c:extLst>
        </c:ser>
        <c:ser>
          <c:idx val="15"/>
          <c:order val="15"/>
          <c:tx>
            <c:v>BES_TR4_one423_B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SOC_pct!$R$2:$R$49</c:f>
              <c:numCache>
                <c:formatCode>0.0</c:formatCode>
                <c:ptCount val="48"/>
                <c:pt idx="0">
                  <c:v>40</c:v>
                </c:pt>
                <c:pt idx="1">
                  <c:v>37.409799999999997</c:v>
                </c:pt>
                <c:pt idx="2">
                  <c:v>35.848200000000013</c:v>
                </c:pt>
                <c:pt idx="3">
                  <c:v>33.8626</c:v>
                </c:pt>
                <c:pt idx="4">
                  <c:v>32.0837</c:v>
                </c:pt>
                <c:pt idx="5">
                  <c:v>30.401700000000002</c:v>
                </c:pt>
                <c:pt idx="6">
                  <c:v>28.2224</c:v>
                </c:pt>
                <c:pt idx="7">
                  <c:v>26.854399999999998</c:v>
                </c:pt>
                <c:pt idx="8">
                  <c:v>23.855499999999999</c:v>
                </c:pt>
                <c:pt idx="9">
                  <c:v>23.119599999999998</c:v>
                </c:pt>
                <c:pt idx="10">
                  <c:v>23.6267</c:v>
                </c:pt>
                <c:pt idx="11">
                  <c:v>24.281099999999999</c:v>
                </c:pt>
                <c:pt idx="12">
                  <c:v>28.8965</c:v>
                </c:pt>
                <c:pt idx="13">
                  <c:v>35.672400000000003</c:v>
                </c:pt>
                <c:pt idx="14">
                  <c:v>44.635199999999998</c:v>
                </c:pt>
                <c:pt idx="15">
                  <c:v>53.279299999999999</c:v>
                </c:pt>
                <c:pt idx="16">
                  <c:v>66.596599999999995</c:v>
                </c:pt>
                <c:pt idx="17">
                  <c:v>80.795199999999994</c:v>
                </c:pt>
                <c:pt idx="18">
                  <c:v>96.748900000000006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94.228300000000004</c:v>
                </c:pt>
                <c:pt idx="40">
                  <c:v>89.536000000000001</c:v>
                </c:pt>
                <c:pt idx="41">
                  <c:v>78.359499999999997</c:v>
                </c:pt>
                <c:pt idx="42">
                  <c:v>73.463400000000007</c:v>
                </c:pt>
                <c:pt idx="43">
                  <c:v>66.799499999999995</c:v>
                </c:pt>
                <c:pt idx="44">
                  <c:v>59.311700000000002</c:v>
                </c:pt>
                <c:pt idx="45">
                  <c:v>53.9602</c:v>
                </c:pt>
                <c:pt idx="46">
                  <c:v>40.17</c:v>
                </c:pt>
                <c:pt idx="47">
                  <c:v>34.249400000000001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900-45F4-9B40-490D97C0B076}"/>
            </c:ext>
          </c:extLst>
        </c:ser>
        <c:ser>
          <c:idx val="16"/>
          <c:order val="16"/>
          <c:tx>
            <c:v>BES_TR4_one446_B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SOC_pct!$S$2:$S$49</c:f>
              <c:numCache>
                <c:formatCode>0.0</c:formatCode>
                <c:ptCount val="48"/>
                <c:pt idx="0">
                  <c:v>40</c:v>
                </c:pt>
                <c:pt idx="1">
                  <c:v>36.835700000000003</c:v>
                </c:pt>
                <c:pt idx="2">
                  <c:v>36.120399999999997</c:v>
                </c:pt>
                <c:pt idx="3">
                  <c:v>33.29</c:v>
                </c:pt>
                <c:pt idx="4">
                  <c:v>32.2408</c:v>
                </c:pt>
                <c:pt idx="5">
                  <c:v>30.634899999999998</c:v>
                </c:pt>
                <c:pt idx="6">
                  <c:v>28.3612</c:v>
                </c:pt>
                <c:pt idx="7">
                  <c:v>27.423300000000001</c:v>
                </c:pt>
                <c:pt idx="8">
                  <c:v>24.497699999999998</c:v>
                </c:pt>
                <c:pt idx="9">
                  <c:v>24.016500000000001</c:v>
                </c:pt>
                <c:pt idx="10">
                  <c:v>21.9466</c:v>
                </c:pt>
                <c:pt idx="11">
                  <c:v>23.256699999999999</c:v>
                </c:pt>
                <c:pt idx="12">
                  <c:v>25.754899999999999</c:v>
                </c:pt>
                <c:pt idx="13">
                  <c:v>28.046500000000002</c:v>
                </c:pt>
                <c:pt idx="14">
                  <c:v>19.121700000000001</c:v>
                </c:pt>
                <c:pt idx="15">
                  <c:v>23.5791</c:v>
                </c:pt>
                <c:pt idx="16">
                  <c:v>29.895700000000001</c:v>
                </c:pt>
                <c:pt idx="17">
                  <c:v>38.265500000000003</c:v>
                </c:pt>
                <c:pt idx="18">
                  <c:v>43.16</c:v>
                </c:pt>
                <c:pt idx="19">
                  <c:v>52.904499999999999</c:v>
                </c:pt>
                <c:pt idx="20">
                  <c:v>63.673299999999998</c:v>
                </c:pt>
                <c:pt idx="21">
                  <c:v>76.182299999999998</c:v>
                </c:pt>
                <c:pt idx="22">
                  <c:v>78.257900000000006</c:v>
                </c:pt>
                <c:pt idx="23">
                  <c:v>83.233599999999996</c:v>
                </c:pt>
                <c:pt idx="24">
                  <c:v>75.134500000000003</c:v>
                </c:pt>
                <c:pt idx="25">
                  <c:v>84.942499999999995</c:v>
                </c:pt>
                <c:pt idx="26">
                  <c:v>93.612799999999993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99.119</c:v>
                </c:pt>
                <c:pt idx="38">
                  <c:v>94.037300000000002</c:v>
                </c:pt>
                <c:pt idx="39">
                  <c:v>91.562600000000003</c:v>
                </c:pt>
                <c:pt idx="40">
                  <c:v>87.257900000000006</c:v>
                </c:pt>
                <c:pt idx="41">
                  <c:v>82.585999999999999</c:v>
                </c:pt>
                <c:pt idx="42">
                  <c:v>73.918099999999995</c:v>
                </c:pt>
                <c:pt idx="43">
                  <c:v>68.7684</c:v>
                </c:pt>
                <c:pt idx="44">
                  <c:v>56.320300000000003</c:v>
                </c:pt>
                <c:pt idx="45">
                  <c:v>49.405000000000001</c:v>
                </c:pt>
                <c:pt idx="46">
                  <c:v>39.139899999999997</c:v>
                </c:pt>
                <c:pt idx="47">
                  <c:v>30.809100000000001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900-45F4-9B40-490D97C0B076}"/>
            </c:ext>
          </c:extLst>
        </c:ser>
        <c:ser>
          <c:idx val="17"/>
          <c:order val="17"/>
          <c:tx>
            <c:v>BES_TR4_one480_A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SOC_pct!$T$2:$T$49</c:f>
              <c:numCache>
                <c:formatCode>0.0</c:formatCode>
                <c:ptCount val="48"/>
                <c:pt idx="0">
                  <c:v>40</c:v>
                </c:pt>
                <c:pt idx="1">
                  <c:v>38.686900000000001</c:v>
                </c:pt>
                <c:pt idx="2">
                  <c:v>35.101599999999998</c:v>
                </c:pt>
                <c:pt idx="3">
                  <c:v>34.599699999999999</c:v>
                </c:pt>
                <c:pt idx="4">
                  <c:v>31.170400000000001</c:v>
                </c:pt>
                <c:pt idx="5">
                  <c:v>29.7013</c:v>
                </c:pt>
                <c:pt idx="6">
                  <c:v>28.8018</c:v>
                </c:pt>
                <c:pt idx="7">
                  <c:v>26.1401</c:v>
                </c:pt>
                <c:pt idx="8">
                  <c:v>25.6813</c:v>
                </c:pt>
                <c:pt idx="9">
                  <c:v>24.645299999999999</c:v>
                </c:pt>
                <c:pt idx="10">
                  <c:v>25.502500000000001</c:v>
                </c:pt>
                <c:pt idx="11">
                  <c:v>28.922699999999999</c:v>
                </c:pt>
                <c:pt idx="12">
                  <c:v>35.957799999999999</c:v>
                </c:pt>
                <c:pt idx="13">
                  <c:v>44.921199999999999</c:v>
                </c:pt>
                <c:pt idx="14">
                  <c:v>59.803899999999999</c:v>
                </c:pt>
                <c:pt idx="15">
                  <c:v>77.249200000000002</c:v>
                </c:pt>
                <c:pt idx="16">
                  <c:v>96.420500000000004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97.800899999999999</c:v>
                </c:pt>
                <c:pt idx="40">
                  <c:v>93.446200000000005</c:v>
                </c:pt>
                <c:pt idx="41">
                  <c:v>88.787000000000006</c:v>
                </c:pt>
                <c:pt idx="42">
                  <c:v>83.881200000000007</c:v>
                </c:pt>
                <c:pt idx="43">
                  <c:v>77.615800000000007</c:v>
                </c:pt>
                <c:pt idx="44">
                  <c:v>73.504199999999997</c:v>
                </c:pt>
                <c:pt idx="45">
                  <c:v>70.587500000000006</c:v>
                </c:pt>
                <c:pt idx="46">
                  <c:v>69.369900000000001</c:v>
                </c:pt>
                <c:pt idx="47">
                  <c:v>66.563699999999997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900-45F4-9B40-490D97C0B076}"/>
            </c:ext>
          </c:extLst>
        </c:ser>
        <c:ser>
          <c:idx val="18"/>
          <c:order val="18"/>
          <c:tx>
            <c:v>BES_TR4_one61_A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SOC_pct!$U$2:$U$49</c:f>
              <c:numCache>
                <c:formatCode>0.0</c:formatCode>
                <c:ptCount val="48"/>
                <c:pt idx="0">
                  <c:v>40</c:v>
                </c:pt>
                <c:pt idx="1">
                  <c:v>34.327000000000012</c:v>
                </c:pt>
                <c:pt idx="2">
                  <c:v>33.502699999999997</c:v>
                </c:pt>
                <c:pt idx="3">
                  <c:v>31.810199999999998</c:v>
                </c:pt>
                <c:pt idx="4">
                  <c:v>29.924800000000001</c:v>
                </c:pt>
                <c:pt idx="5">
                  <c:v>28.907599999999999</c:v>
                </c:pt>
                <c:pt idx="6">
                  <c:v>26.346800000000002</c:v>
                </c:pt>
                <c:pt idx="7">
                  <c:v>25.619</c:v>
                </c:pt>
                <c:pt idx="8">
                  <c:v>22.812100000000001</c:v>
                </c:pt>
                <c:pt idx="9">
                  <c:v>22.708400000000001</c:v>
                </c:pt>
                <c:pt idx="10">
                  <c:v>22.9435</c:v>
                </c:pt>
                <c:pt idx="11">
                  <c:v>27.325199999999999</c:v>
                </c:pt>
                <c:pt idx="12">
                  <c:v>34.875100000000003</c:v>
                </c:pt>
                <c:pt idx="13">
                  <c:v>44.318800000000003</c:v>
                </c:pt>
                <c:pt idx="14">
                  <c:v>58.563899999999997</c:v>
                </c:pt>
                <c:pt idx="15">
                  <c:v>73.321700000000007</c:v>
                </c:pt>
                <c:pt idx="16">
                  <c:v>94.793400000000005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97.084800000000001</c:v>
                </c:pt>
                <c:pt idx="41">
                  <c:v>87.830299999999994</c:v>
                </c:pt>
                <c:pt idx="42">
                  <c:v>77.517499999999998</c:v>
                </c:pt>
                <c:pt idx="43">
                  <c:v>66.9542</c:v>
                </c:pt>
                <c:pt idx="44">
                  <c:v>56.639099999999999</c:v>
                </c:pt>
                <c:pt idx="45">
                  <c:v>47.48</c:v>
                </c:pt>
                <c:pt idx="46">
                  <c:v>37.808100000000003</c:v>
                </c:pt>
                <c:pt idx="47">
                  <c:v>26.259699999999999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900-45F4-9B40-490D97C0B076}"/>
            </c:ext>
          </c:extLst>
        </c:ser>
        <c:ser>
          <c:idx val="19"/>
          <c:order val="19"/>
          <c:tx>
            <c:v>BES_TR4_one544_A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SOC_pct!$V$2:$V$49</c:f>
              <c:numCache>
                <c:formatCode>0.0</c:formatCode>
                <c:ptCount val="48"/>
                <c:pt idx="0">
                  <c:v>40</c:v>
                </c:pt>
                <c:pt idx="1">
                  <c:v>37.793100000000003</c:v>
                </c:pt>
                <c:pt idx="2">
                  <c:v>35.8934</c:v>
                </c:pt>
                <c:pt idx="3">
                  <c:v>34.485500000000002</c:v>
                </c:pt>
                <c:pt idx="4">
                  <c:v>32.101900000000001</c:v>
                </c:pt>
                <c:pt idx="5">
                  <c:v>30.830100000000002</c:v>
                </c:pt>
                <c:pt idx="6">
                  <c:v>25.654699999999998</c:v>
                </c:pt>
                <c:pt idx="7">
                  <c:v>20.146000000000001</c:v>
                </c:pt>
                <c:pt idx="8">
                  <c:v>17.266200000000001</c:v>
                </c:pt>
                <c:pt idx="9">
                  <c:v>16.1159</c:v>
                </c:pt>
                <c:pt idx="10">
                  <c:v>15.332100000000001</c:v>
                </c:pt>
                <c:pt idx="11">
                  <c:v>17.3096</c:v>
                </c:pt>
                <c:pt idx="12">
                  <c:v>21.545300000000001</c:v>
                </c:pt>
                <c:pt idx="13">
                  <c:v>27.799900000000001</c:v>
                </c:pt>
                <c:pt idx="14">
                  <c:v>35.992899999999999</c:v>
                </c:pt>
                <c:pt idx="15">
                  <c:v>45.163799999999988</c:v>
                </c:pt>
                <c:pt idx="16">
                  <c:v>57.957500000000003</c:v>
                </c:pt>
                <c:pt idx="17">
                  <c:v>73.548599999999993</c:v>
                </c:pt>
                <c:pt idx="18">
                  <c:v>90.4041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98.464100000000002</c:v>
                </c:pt>
                <c:pt idx="39">
                  <c:v>100</c:v>
                </c:pt>
                <c:pt idx="40">
                  <c:v>95.581499999999991</c:v>
                </c:pt>
                <c:pt idx="41">
                  <c:v>88.194900000000004</c:v>
                </c:pt>
                <c:pt idx="42">
                  <c:v>76.381600000000006</c:v>
                </c:pt>
                <c:pt idx="43">
                  <c:v>57.115600000000001</c:v>
                </c:pt>
                <c:pt idx="44">
                  <c:v>47.309100000000001</c:v>
                </c:pt>
                <c:pt idx="45">
                  <c:v>28.416</c:v>
                </c:pt>
                <c:pt idx="46">
                  <c:v>18.857600000000001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900-45F4-9B40-490D97C0B076}"/>
            </c:ext>
          </c:extLst>
        </c:ser>
        <c:ser>
          <c:idx val="20"/>
          <c:order val="20"/>
          <c:tx>
            <c:v>BES_TR4_one560_C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SOC_pct!$W$2:$W$49</c:f>
              <c:numCache>
                <c:formatCode>0.0</c:formatCode>
                <c:ptCount val="48"/>
                <c:pt idx="0">
                  <c:v>40</c:v>
                </c:pt>
                <c:pt idx="1">
                  <c:v>38.229799999999997</c:v>
                </c:pt>
                <c:pt idx="2">
                  <c:v>36.814999999999998</c:v>
                </c:pt>
                <c:pt idx="3">
                  <c:v>36.200200000000002</c:v>
                </c:pt>
                <c:pt idx="4">
                  <c:v>33.630099999999999</c:v>
                </c:pt>
                <c:pt idx="5">
                  <c:v>33.0152</c:v>
                </c:pt>
                <c:pt idx="6">
                  <c:v>31.067299999999999</c:v>
                </c:pt>
                <c:pt idx="7">
                  <c:v>29.830300000000001</c:v>
                </c:pt>
                <c:pt idx="8">
                  <c:v>29.2532</c:v>
                </c:pt>
                <c:pt idx="9">
                  <c:v>28.117899999999999</c:v>
                </c:pt>
                <c:pt idx="10">
                  <c:v>29.062999999999999</c:v>
                </c:pt>
                <c:pt idx="11">
                  <c:v>33.0687</c:v>
                </c:pt>
                <c:pt idx="12">
                  <c:v>38.806699999999999</c:v>
                </c:pt>
                <c:pt idx="13">
                  <c:v>47.889200000000002</c:v>
                </c:pt>
                <c:pt idx="14">
                  <c:v>60.753399999999999</c:v>
                </c:pt>
                <c:pt idx="15">
                  <c:v>76.663499999999999</c:v>
                </c:pt>
                <c:pt idx="16">
                  <c:v>94.344099999999997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96.455600000000004</c:v>
                </c:pt>
                <c:pt idx="41">
                  <c:v>88.972700000000003</c:v>
                </c:pt>
                <c:pt idx="42">
                  <c:v>78.322199999999995</c:v>
                </c:pt>
                <c:pt idx="43">
                  <c:v>68.377299999999991</c:v>
                </c:pt>
                <c:pt idx="44">
                  <c:v>59.195399999999999</c:v>
                </c:pt>
                <c:pt idx="45">
                  <c:v>40.106499999999997</c:v>
                </c:pt>
                <c:pt idx="46">
                  <c:v>20.462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900-45F4-9B40-490D97C0B076}"/>
            </c:ext>
          </c:extLst>
        </c:ser>
        <c:ser>
          <c:idx val="21"/>
          <c:order val="21"/>
          <c:tx>
            <c:v>BES_TR4_one570_B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SOC_pct!$X$2:$X$49</c:f>
              <c:numCache>
                <c:formatCode>0.0</c:formatCode>
                <c:ptCount val="48"/>
                <c:pt idx="0">
                  <c:v>40</c:v>
                </c:pt>
                <c:pt idx="1">
                  <c:v>36.639000000000003</c:v>
                </c:pt>
                <c:pt idx="2">
                  <c:v>31.728100000000001</c:v>
                </c:pt>
                <c:pt idx="3">
                  <c:v>31.088200000000001</c:v>
                </c:pt>
                <c:pt idx="4">
                  <c:v>27.1188</c:v>
                </c:pt>
                <c:pt idx="5">
                  <c:v>26.478899999999999</c:v>
                </c:pt>
                <c:pt idx="6">
                  <c:v>24.142900000000001</c:v>
                </c:pt>
                <c:pt idx="7">
                  <c:v>23.235199999999999</c:v>
                </c:pt>
                <c:pt idx="8">
                  <c:v>22.427099999999999</c:v>
                </c:pt>
                <c:pt idx="9">
                  <c:v>19.042899999999999</c:v>
                </c:pt>
                <c:pt idx="10">
                  <c:v>20.108599999999999</c:v>
                </c:pt>
                <c:pt idx="11">
                  <c:v>22.789100000000001</c:v>
                </c:pt>
                <c:pt idx="12">
                  <c:v>24.348500000000001</c:v>
                </c:pt>
                <c:pt idx="13">
                  <c:v>28.296900000000001</c:v>
                </c:pt>
                <c:pt idx="14">
                  <c:v>35.386299999999999</c:v>
                </c:pt>
                <c:pt idx="15">
                  <c:v>44.762099999999997</c:v>
                </c:pt>
                <c:pt idx="16">
                  <c:v>55.035299999999999</c:v>
                </c:pt>
                <c:pt idx="17">
                  <c:v>70.190899999999999</c:v>
                </c:pt>
                <c:pt idx="18">
                  <c:v>84.684700000000007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98.864400000000003</c:v>
                </c:pt>
                <c:pt idx="40">
                  <c:v>96.543400000000005</c:v>
                </c:pt>
                <c:pt idx="41">
                  <c:v>94.100300000000004</c:v>
                </c:pt>
                <c:pt idx="42">
                  <c:v>91.68119999999999</c:v>
                </c:pt>
                <c:pt idx="43">
                  <c:v>85.9846</c:v>
                </c:pt>
                <c:pt idx="44">
                  <c:v>83.685500000000005</c:v>
                </c:pt>
                <c:pt idx="45">
                  <c:v>77.035299999999992</c:v>
                </c:pt>
                <c:pt idx="46">
                  <c:v>72.0334</c:v>
                </c:pt>
                <c:pt idx="47">
                  <c:v>69.023399999999995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900-45F4-9B40-490D97C0B076}"/>
            </c:ext>
          </c:extLst>
        </c:ser>
        <c:ser>
          <c:idx val="22"/>
          <c:order val="22"/>
          <c:tx>
            <c:v>BES_TR4_one585_A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SOC_pct!$Y$2:$Y$49</c:f>
              <c:numCache>
                <c:formatCode>0.0</c:formatCode>
                <c:ptCount val="48"/>
                <c:pt idx="0">
                  <c:v>40</c:v>
                </c:pt>
                <c:pt idx="1">
                  <c:v>38.512999999999998</c:v>
                </c:pt>
                <c:pt idx="2">
                  <c:v>36.660699999999999</c:v>
                </c:pt>
                <c:pt idx="3">
                  <c:v>35.995699999999999</c:v>
                </c:pt>
                <c:pt idx="4">
                  <c:v>34.1434</c:v>
                </c:pt>
                <c:pt idx="5">
                  <c:v>32.656399999999998</c:v>
                </c:pt>
                <c:pt idx="6">
                  <c:v>31.991299999999999</c:v>
                </c:pt>
                <c:pt idx="7">
                  <c:v>30.504300000000001</c:v>
                </c:pt>
                <c:pt idx="8">
                  <c:v>28.6952</c:v>
                </c:pt>
                <c:pt idx="9">
                  <c:v>28.654299999999999</c:v>
                </c:pt>
                <c:pt idx="10">
                  <c:v>30.4358</c:v>
                </c:pt>
                <c:pt idx="11">
                  <c:v>33.485900000000001</c:v>
                </c:pt>
                <c:pt idx="12">
                  <c:v>41.265900000000002</c:v>
                </c:pt>
                <c:pt idx="13">
                  <c:v>52.256</c:v>
                </c:pt>
                <c:pt idx="14">
                  <c:v>65.430099999999996</c:v>
                </c:pt>
                <c:pt idx="15">
                  <c:v>83.646900000000002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92.808199999999999</c:v>
                </c:pt>
                <c:pt idx="41">
                  <c:v>86.140299999999996</c:v>
                </c:pt>
                <c:pt idx="42">
                  <c:v>79.631200000000007</c:v>
                </c:pt>
                <c:pt idx="43">
                  <c:v>72.479800000000012</c:v>
                </c:pt>
                <c:pt idx="44">
                  <c:v>67.747799999999998</c:v>
                </c:pt>
                <c:pt idx="45">
                  <c:v>63.542600000000007</c:v>
                </c:pt>
                <c:pt idx="46">
                  <c:v>62.877499999999998</c:v>
                </c:pt>
                <c:pt idx="47">
                  <c:v>60.842599999999997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900-45F4-9B40-490D97C0B076}"/>
            </c:ext>
          </c:extLst>
        </c:ser>
        <c:ser>
          <c:idx val="23"/>
          <c:order val="23"/>
          <c:tx>
            <c:v>BES_TR4_one590_A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SOC_pct!$Z$2:$Z$49</c:f>
              <c:numCache>
                <c:formatCode>0.0</c:formatCode>
                <c:ptCount val="48"/>
                <c:pt idx="0">
                  <c:v>40</c:v>
                </c:pt>
                <c:pt idx="1">
                  <c:v>39.093800000000002</c:v>
                </c:pt>
                <c:pt idx="2">
                  <c:v>35.200499999999998</c:v>
                </c:pt>
                <c:pt idx="3">
                  <c:v>33.330500000000001</c:v>
                </c:pt>
                <c:pt idx="4">
                  <c:v>28.555900000000001</c:v>
                </c:pt>
                <c:pt idx="5">
                  <c:v>26.613700000000001</c:v>
                </c:pt>
                <c:pt idx="6">
                  <c:v>25.298500000000001</c:v>
                </c:pt>
                <c:pt idx="7">
                  <c:v>19.639099999999999</c:v>
                </c:pt>
                <c:pt idx="8">
                  <c:v>18.401499999999999</c:v>
                </c:pt>
                <c:pt idx="9">
                  <c:v>15.313800000000001</c:v>
                </c:pt>
                <c:pt idx="10">
                  <c:v>13.641</c:v>
                </c:pt>
                <c:pt idx="11">
                  <c:v>15.3736</c:v>
                </c:pt>
                <c:pt idx="12">
                  <c:v>17.147600000000001</c:v>
                </c:pt>
                <c:pt idx="13">
                  <c:v>21.948699999999999</c:v>
                </c:pt>
                <c:pt idx="14">
                  <c:v>30.131699999999999</c:v>
                </c:pt>
                <c:pt idx="15">
                  <c:v>39.466000000000001</c:v>
                </c:pt>
                <c:pt idx="16">
                  <c:v>51.661799999999999</c:v>
                </c:pt>
                <c:pt idx="17">
                  <c:v>66.679999999999993</c:v>
                </c:pt>
                <c:pt idx="18">
                  <c:v>82.926999999999992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97.038700000000006</c:v>
                </c:pt>
                <c:pt idx="39">
                  <c:v>97.293399999999991</c:v>
                </c:pt>
                <c:pt idx="40">
                  <c:v>93.175899999999999</c:v>
                </c:pt>
                <c:pt idx="41">
                  <c:v>87.444800000000001</c:v>
                </c:pt>
                <c:pt idx="42">
                  <c:v>78.085800000000006</c:v>
                </c:pt>
                <c:pt idx="43">
                  <c:v>69.327700000000007</c:v>
                </c:pt>
                <c:pt idx="44">
                  <c:v>64.653000000000006</c:v>
                </c:pt>
                <c:pt idx="45">
                  <c:v>57.453899999999997</c:v>
                </c:pt>
                <c:pt idx="46">
                  <c:v>56.223700000000001</c:v>
                </c:pt>
                <c:pt idx="47">
                  <c:v>52.374299999999998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900-45F4-9B40-490D97C0B076}"/>
            </c:ext>
          </c:extLst>
        </c:ser>
        <c:ser>
          <c:idx val="24"/>
          <c:order val="24"/>
          <c:tx>
            <c:v>BES_TR4_one617_A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SOC_pct!$AA$2:$AA$49</c:f>
              <c:numCache>
                <c:formatCode>0.0</c:formatCode>
                <c:ptCount val="48"/>
                <c:pt idx="0">
                  <c:v>40</c:v>
                </c:pt>
                <c:pt idx="1">
                  <c:v>39.447899999999997</c:v>
                </c:pt>
                <c:pt idx="2">
                  <c:v>38.895699999999998</c:v>
                </c:pt>
                <c:pt idx="3">
                  <c:v>37.516100000000002</c:v>
                </c:pt>
                <c:pt idx="4">
                  <c:v>36.963900000000002</c:v>
                </c:pt>
                <c:pt idx="5">
                  <c:v>36.411799999999999</c:v>
                </c:pt>
                <c:pt idx="6">
                  <c:v>35.308</c:v>
                </c:pt>
                <c:pt idx="7">
                  <c:v>28.6799</c:v>
                </c:pt>
                <c:pt idx="8">
                  <c:v>25.448599999999999</c:v>
                </c:pt>
                <c:pt idx="9">
                  <c:v>24.661000000000001</c:v>
                </c:pt>
                <c:pt idx="10">
                  <c:v>26.462399999999999</c:v>
                </c:pt>
                <c:pt idx="11">
                  <c:v>30.027999999999999</c:v>
                </c:pt>
                <c:pt idx="12">
                  <c:v>36.614100000000001</c:v>
                </c:pt>
                <c:pt idx="13">
                  <c:v>45.811</c:v>
                </c:pt>
                <c:pt idx="14">
                  <c:v>58.648899999999998</c:v>
                </c:pt>
                <c:pt idx="15">
                  <c:v>74.615399999999994</c:v>
                </c:pt>
                <c:pt idx="16">
                  <c:v>93.632300000000001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98.929299999999998</c:v>
                </c:pt>
                <c:pt idx="42">
                  <c:v>98.285199999999989</c:v>
                </c:pt>
                <c:pt idx="43">
                  <c:v>96.997500000000002</c:v>
                </c:pt>
                <c:pt idx="44">
                  <c:v>95.387599999999992</c:v>
                </c:pt>
                <c:pt idx="45">
                  <c:v>94.835499999999996</c:v>
                </c:pt>
                <c:pt idx="46">
                  <c:v>94.283299999999997</c:v>
                </c:pt>
                <c:pt idx="47">
                  <c:v>92.692399999999992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900-45F4-9B40-490D97C0B076}"/>
            </c:ext>
          </c:extLst>
        </c:ser>
        <c:ser>
          <c:idx val="25"/>
          <c:order val="25"/>
          <c:tx>
            <c:v>BES_TR4_one76_A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SOC_pct!$AB$2:$AB$49</c:f>
              <c:numCache>
                <c:formatCode>0.0</c:formatCode>
                <c:ptCount val="48"/>
                <c:pt idx="0">
                  <c:v>40</c:v>
                </c:pt>
                <c:pt idx="1">
                  <c:v>38.4724</c:v>
                </c:pt>
                <c:pt idx="2">
                  <c:v>37.423000000000002</c:v>
                </c:pt>
                <c:pt idx="3">
                  <c:v>33.255600000000001</c:v>
                </c:pt>
                <c:pt idx="4">
                  <c:v>32.640799999999999</c:v>
                </c:pt>
                <c:pt idx="5">
                  <c:v>29.962</c:v>
                </c:pt>
                <c:pt idx="6">
                  <c:v>29.0213</c:v>
                </c:pt>
                <c:pt idx="7">
                  <c:v>28.406400000000001</c:v>
                </c:pt>
                <c:pt idx="8">
                  <c:v>24.157399999999999</c:v>
                </c:pt>
                <c:pt idx="9">
                  <c:v>23.6067</c:v>
                </c:pt>
                <c:pt idx="10">
                  <c:v>24.695</c:v>
                </c:pt>
                <c:pt idx="11">
                  <c:v>25.9605</c:v>
                </c:pt>
                <c:pt idx="12">
                  <c:v>30.441600000000001</c:v>
                </c:pt>
                <c:pt idx="13">
                  <c:v>37.024000000000001</c:v>
                </c:pt>
                <c:pt idx="14">
                  <c:v>39.953600000000002</c:v>
                </c:pt>
                <c:pt idx="15">
                  <c:v>51.159799999999997</c:v>
                </c:pt>
                <c:pt idx="16">
                  <c:v>62.589599999999997</c:v>
                </c:pt>
                <c:pt idx="17">
                  <c:v>76.386399999999995</c:v>
                </c:pt>
                <c:pt idx="18">
                  <c:v>93.738699999999994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84.244399999999999</c:v>
                </c:pt>
                <c:pt idx="41">
                  <c:v>77.339699999999993</c:v>
                </c:pt>
                <c:pt idx="42">
                  <c:v>71.796800000000005</c:v>
                </c:pt>
                <c:pt idx="43">
                  <c:v>66.773600000000002</c:v>
                </c:pt>
                <c:pt idx="44">
                  <c:v>56.018700000000003</c:v>
                </c:pt>
                <c:pt idx="45">
                  <c:v>51.415100000000002</c:v>
                </c:pt>
                <c:pt idx="46">
                  <c:v>48.627699999999997</c:v>
                </c:pt>
                <c:pt idx="47">
                  <c:v>46.198300000000003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900-45F4-9B40-490D97C0B076}"/>
            </c:ext>
          </c:extLst>
        </c:ser>
        <c:ser>
          <c:idx val="26"/>
          <c:order val="26"/>
          <c:tx>
            <c:v>BES_TR4_one133_A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SOC_pct!$AC$2:$AC$49</c:f>
              <c:numCache>
                <c:formatCode>0.0</c:formatCode>
                <c:ptCount val="48"/>
                <c:pt idx="0">
                  <c:v>40</c:v>
                </c:pt>
                <c:pt idx="1">
                  <c:v>37.402799999999999</c:v>
                </c:pt>
                <c:pt idx="2">
                  <c:v>36.233199999999997</c:v>
                </c:pt>
                <c:pt idx="3">
                  <c:v>35.505399999999987</c:v>
                </c:pt>
                <c:pt idx="4">
                  <c:v>34.446199999999997</c:v>
                </c:pt>
                <c:pt idx="5">
                  <c:v>33.055700000000002</c:v>
                </c:pt>
                <c:pt idx="6">
                  <c:v>31.775600000000001</c:v>
                </c:pt>
                <c:pt idx="7">
                  <c:v>30.606000000000002</c:v>
                </c:pt>
                <c:pt idx="8">
                  <c:v>29.921299999999999</c:v>
                </c:pt>
                <c:pt idx="9">
                  <c:v>28.823599999999999</c:v>
                </c:pt>
                <c:pt idx="10">
                  <c:v>30.795200000000001</c:v>
                </c:pt>
                <c:pt idx="11">
                  <c:v>35.350499999999997</c:v>
                </c:pt>
                <c:pt idx="12">
                  <c:v>43.074100000000001</c:v>
                </c:pt>
                <c:pt idx="13">
                  <c:v>53.707500000000003</c:v>
                </c:pt>
                <c:pt idx="14">
                  <c:v>68.038899999999998</c:v>
                </c:pt>
                <c:pt idx="15">
                  <c:v>82.2453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91.481700000000004</c:v>
                </c:pt>
                <c:pt idx="39">
                  <c:v>94.116200000000006</c:v>
                </c:pt>
                <c:pt idx="40">
                  <c:v>89.671000000000006</c:v>
                </c:pt>
                <c:pt idx="41">
                  <c:v>82.989000000000004</c:v>
                </c:pt>
                <c:pt idx="42">
                  <c:v>79.571100000000001</c:v>
                </c:pt>
                <c:pt idx="43">
                  <c:v>62.630200000000002</c:v>
                </c:pt>
                <c:pt idx="44">
                  <c:v>56.290500000000002</c:v>
                </c:pt>
                <c:pt idx="45">
                  <c:v>48.829000000000001</c:v>
                </c:pt>
                <c:pt idx="46">
                  <c:v>29.404299999999999</c:v>
                </c:pt>
                <c:pt idx="47">
                  <c:v>19.851500000000001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900-45F4-9B40-490D97C0B076}"/>
            </c:ext>
          </c:extLst>
        </c:ser>
        <c:ser>
          <c:idx val="27"/>
          <c:order val="27"/>
          <c:tx>
            <c:v>BES_TR4_one137_A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SOC_pct!$AD$2:$AD$49</c:f>
              <c:numCache>
                <c:formatCode>0.0</c:formatCode>
                <c:ptCount val="48"/>
                <c:pt idx="0">
                  <c:v>40</c:v>
                </c:pt>
                <c:pt idx="1">
                  <c:v>32.479799999999997</c:v>
                </c:pt>
                <c:pt idx="2">
                  <c:v>31.2058</c:v>
                </c:pt>
                <c:pt idx="3">
                  <c:v>30.5031</c:v>
                </c:pt>
                <c:pt idx="4">
                  <c:v>29.8003</c:v>
                </c:pt>
                <c:pt idx="5">
                  <c:v>29.002400000000002</c:v>
                </c:pt>
                <c:pt idx="6">
                  <c:v>26.3001</c:v>
                </c:pt>
                <c:pt idx="7">
                  <c:v>25.5974</c:v>
                </c:pt>
                <c:pt idx="8">
                  <c:v>22.8215</c:v>
                </c:pt>
                <c:pt idx="9">
                  <c:v>22.430800000000001</c:v>
                </c:pt>
                <c:pt idx="10">
                  <c:v>23.111699999999999</c:v>
                </c:pt>
                <c:pt idx="11">
                  <c:v>23.7989</c:v>
                </c:pt>
                <c:pt idx="12">
                  <c:v>26.7559</c:v>
                </c:pt>
                <c:pt idx="13">
                  <c:v>32.040999999999997</c:v>
                </c:pt>
                <c:pt idx="14">
                  <c:v>37.533200000000001</c:v>
                </c:pt>
                <c:pt idx="15">
                  <c:v>45.965600000000002</c:v>
                </c:pt>
                <c:pt idx="16">
                  <c:v>55.881700000000002</c:v>
                </c:pt>
                <c:pt idx="17">
                  <c:v>66.322000000000003</c:v>
                </c:pt>
                <c:pt idx="18">
                  <c:v>77.752200000000002</c:v>
                </c:pt>
                <c:pt idx="19">
                  <c:v>76.631299999999996</c:v>
                </c:pt>
                <c:pt idx="20">
                  <c:v>69.941400000000002</c:v>
                </c:pt>
                <c:pt idx="21">
                  <c:v>76.359700000000004</c:v>
                </c:pt>
                <c:pt idx="22">
                  <c:v>94.268100000000004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99.897800000000004</c:v>
                </c:pt>
                <c:pt idx="39">
                  <c:v>99.983599999999996</c:v>
                </c:pt>
                <c:pt idx="40">
                  <c:v>92.004099999999994</c:v>
                </c:pt>
                <c:pt idx="41">
                  <c:v>83.683999999999997</c:v>
                </c:pt>
                <c:pt idx="42">
                  <c:v>75.511399999999995</c:v>
                </c:pt>
                <c:pt idx="43">
                  <c:v>66.422899999999998</c:v>
                </c:pt>
                <c:pt idx="44">
                  <c:v>59.326700000000002</c:v>
                </c:pt>
                <c:pt idx="45">
                  <c:v>53.960099999999997</c:v>
                </c:pt>
                <c:pt idx="46">
                  <c:v>48.965299999999999</c:v>
                </c:pt>
                <c:pt idx="47">
                  <c:v>40.144300000000001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900-45F4-9B40-490D97C0B076}"/>
            </c:ext>
          </c:extLst>
        </c:ser>
        <c:ser>
          <c:idx val="28"/>
          <c:order val="28"/>
          <c:tx>
            <c:v>BES_TR4_one176_A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SOC_pct!$AE$2:$AE$49</c:f>
              <c:numCache>
                <c:formatCode>0.0</c:formatCode>
                <c:ptCount val="48"/>
                <c:pt idx="0">
                  <c:v>40</c:v>
                </c:pt>
                <c:pt idx="1">
                  <c:v>39.6235</c:v>
                </c:pt>
                <c:pt idx="2">
                  <c:v>37.627099999999999</c:v>
                </c:pt>
                <c:pt idx="3">
                  <c:v>37.250699999999988</c:v>
                </c:pt>
                <c:pt idx="4">
                  <c:v>35.7697</c:v>
                </c:pt>
                <c:pt idx="5">
                  <c:v>34.877800000000001</c:v>
                </c:pt>
                <c:pt idx="6">
                  <c:v>34.501300000000001</c:v>
                </c:pt>
                <c:pt idx="7">
                  <c:v>32.504899999999999</c:v>
                </c:pt>
                <c:pt idx="8">
                  <c:v>32.155500000000004</c:v>
                </c:pt>
                <c:pt idx="9">
                  <c:v>30.843599999999999</c:v>
                </c:pt>
                <c:pt idx="10">
                  <c:v>31.881399999999999</c:v>
                </c:pt>
                <c:pt idx="11">
                  <c:v>34.799100000000003</c:v>
                </c:pt>
                <c:pt idx="12">
                  <c:v>38.371400000000001</c:v>
                </c:pt>
                <c:pt idx="13">
                  <c:v>45.2971</c:v>
                </c:pt>
                <c:pt idx="14">
                  <c:v>54.542199999999987</c:v>
                </c:pt>
                <c:pt idx="15">
                  <c:v>65.963099999999997</c:v>
                </c:pt>
                <c:pt idx="16">
                  <c:v>79.297600000000003</c:v>
                </c:pt>
                <c:pt idx="17">
                  <c:v>93.749200000000002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93.368200000000002</c:v>
                </c:pt>
                <c:pt idx="41">
                  <c:v>88.087199999999996</c:v>
                </c:pt>
                <c:pt idx="42">
                  <c:v>81.468500000000006</c:v>
                </c:pt>
                <c:pt idx="43">
                  <c:v>74.249899999999997</c:v>
                </c:pt>
                <c:pt idx="44">
                  <c:v>68.720199999999991</c:v>
                </c:pt>
                <c:pt idx="45">
                  <c:v>66.723799999999997</c:v>
                </c:pt>
                <c:pt idx="46">
                  <c:v>66.347300000000004</c:v>
                </c:pt>
                <c:pt idx="47">
                  <c:v>64.350899999999996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900-45F4-9B40-490D97C0B076}"/>
            </c:ext>
          </c:extLst>
        </c:ser>
        <c:ser>
          <c:idx val="29"/>
          <c:order val="29"/>
          <c:tx>
            <c:v>BES_TR4_three64_A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SOC_pct!$AF$2:$AF$49</c:f>
              <c:numCache>
                <c:formatCode>0.0</c:formatCode>
                <c:ptCount val="48"/>
                <c:pt idx="0">
                  <c:v>40</c:v>
                </c:pt>
                <c:pt idx="1">
                  <c:v>39.165700000000001</c:v>
                </c:pt>
                <c:pt idx="2">
                  <c:v>36.582799999999999</c:v>
                </c:pt>
                <c:pt idx="3">
                  <c:v>35.942900000000002</c:v>
                </c:pt>
                <c:pt idx="4">
                  <c:v>33.942799999999998</c:v>
                </c:pt>
                <c:pt idx="5">
                  <c:v>32.525700000000001</c:v>
                </c:pt>
                <c:pt idx="6">
                  <c:v>31.8857</c:v>
                </c:pt>
                <c:pt idx="7">
                  <c:v>29.108499999999999</c:v>
                </c:pt>
                <c:pt idx="8">
                  <c:v>28.511700000000001</c:v>
                </c:pt>
                <c:pt idx="9">
                  <c:v>27.232900000000001</c:v>
                </c:pt>
                <c:pt idx="10">
                  <c:v>28.496700000000001</c:v>
                </c:pt>
                <c:pt idx="11">
                  <c:v>33.131100000000004</c:v>
                </c:pt>
                <c:pt idx="12">
                  <c:v>39.447299999999998</c:v>
                </c:pt>
                <c:pt idx="13">
                  <c:v>50.269399999999997</c:v>
                </c:pt>
                <c:pt idx="14">
                  <c:v>65.027799999999999</c:v>
                </c:pt>
                <c:pt idx="15">
                  <c:v>82.4803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95.302900000000008</c:v>
                </c:pt>
                <c:pt idx="40">
                  <c:v>83.563200000000009</c:v>
                </c:pt>
                <c:pt idx="41">
                  <c:v>71.453800000000001</c:v>
                </c:pt>
                <c:pt idx="42">
                  <c:v>65.719099999999997</c:v>
                </c:pt>
                <c:pt idx="43">
                  <c:v>58.713900000000002</c:v>
                </c:pt>
                <c:pt idx="44">
                  <c:v>50.938000000000002</c:v>
                </c:pt>
                <c:pt idx="45">
                  <c:v>39.058500000000002</c:v>
                </c:pt>
                <c:pt idx="46">
                  <c:v>30.025700000000001</c:v>
                </c:pt>
                <c:pt idx="47">
                  <c:v>22.977900000000002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900-45F4-9B40-490D97C0B076}"/>
            </c:ext>
          </c:extLst>
        </c:ser>
        <c:ser>
          <c:idx val="30"/>
          <c:order val="30"/>
          <c:tx>
            <c:v>BES_TR4_three193_A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SOC_pct!$AG$2:$AG$49</c:f>
              <c:numCache>
                <c:formatCode>0.0</c:formatCode>
                <c:ptCount val="48"/>
                <c:pt idx="0">
                  <c:v>40</c:v>
                </c:pt>
                <c:pt idx="1">
                  <c:v>38.241900000000001</c:v>
                </c:pt>
                <c:pt idx="2">
                  <c:v>35.5777</c:v>
                </c:pt>
                <c:pt idx="3">
                  <c:v>34.597499999999997</c:v>
                </c:pt>
                <c:pt idx="4">
                  <c:v>32.144300000000001</c:v>
                </c:pt>
                <c:pt idx="5">
                  <c:v>29.9937</c:v>
                </c:pt>
                <c:pt idx="6">
                  <c:v>28.710799999999999</c:v>
                </c:pt>
                <c:pt idx="7">
                  <c:v>26.286999999999999</c:v>
                </c:pt>
                <c:pt idx="8">
                  <c:v>24.331700000000001</c:v>
                </c:pt>
                <c:pt idx="9">
                  <c:v>23.3704</c:v>
                </c:pt>
                <c:pt idx="10">
                  <c:v>23.4438</c:v>
                </c:pt>
                <c:pt idx="11">
                  <c:v>27.608599999999999</c:v>
                </c:pt>
                <c:pt idx="12">
                  <c:v>33.4572</c:v>
                </c:pt>
                <c:pt idx="13">
                  <c:v>44.277999999999999</c:v>
                </c:pt>
                <c:pt idx="14">
                  <c:v>58.904500000000013</c:v>
                </c:pt>
                <c:pt idx="15">
                  <c:v>66.995199999999997</c:v>
                </c:pt>
                <c:pt idx="16">
                  <c:v>87.0398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99.880300000000005</c:v>
                </c:pt>
                <c:pt idx="41">
                  <c:v>99.180999999999997</c:v>
                </c:pt>
                <c:pt idx="42">
                  <c:v>95.706000000000003</c:v>
                </c:pt>
                <c:pt idx="43">
                  <c:v>95.028400000000005</c:v>
                </c:pt>
                <c:pt idx="44">
                  <c:v>91.283699999999996</c:v>
                </c:pt>
                <c:pt idx="45">
                  <c:v>90.606099999999998</c:v>
                </c:pt>
                <c:pt idx="46">
                  <c:v>88.220500000000001</c:v>
                </c:pt>
                <c:pt idx="47">
                  <c:v>86.183800000000005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900-45F4-9B40-490D97C0B076}"/>
            </c:ext>
          </c:extLst>
        </c:ser>
        <c:ser>
          <c:idx val="31"/>
          <c:order val="31"/>
          <c:tx>
            <c:v>BES_TR4_three232_C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SOC_pct!$AH$2:$AH$49</c:f>
              <c:numCache>
                <c:formatCode>0.0</c:formatCode>
                <c:ptCount val="48"/>
                <c:pt idx="0">
                  <c:v>40</c:v>
                </c:pt>
                <c:pt idx="1">
                  <c:v>39.104900000000001</c:v>
                </c:pt>
                <c:pt idx="2">
                  <c:v>35.521900000000002</c:v>
                </c:pt>
                <c:pt idx="3">
                  <c:v>33.765500000000003</c:v>
                </c:pt>
                <c:pt idx="4">
                  <c:v>33.250999999999998</c:v>
                </c:pt>
                <c:pt idx="5">
                  <c:v>31.5108</c:v>
                </c:pt>
                <c:pt idx="6">
                  <c:v>28.523499999999999</c:v>
                </c:pt>
                <c:pt idx="7">
                  <c:v>27.016500000000001</c:v>
                </c:pt>
                <c:pt idx="8">
                  <c:v>26.5398</c:v>
                </c:pt>
                <c:pt idx="9">
                  <c:v>24.838200000000001</c:v>
                </c:pt>
                <c:pt idx="10">
                  <c:v>24.7422</c:v>
                </c:pt>
                <c:pt idx="11">
                  <c:v>28.097799999999999</c:v>
                </c:pt>
                <c:pt idx="12">
                  <c:v>32.645699999999998</c:v>
                </c:pt>
                <c:pt idx="13">
                  <c:v>40.636699999999998</c:v>
                </c:pt>
                <c:pt idx="14">
                  <c:v>52.608900000000013</c:v>
                </c:pt>
                <c:pt idx="15">
                  <c:v>66.798900000000003</c:v>
                </c:pt>
                <c:pt idx="16">
                  <c:v>80.416600000000003</c:v>
                </c:pt>
                <c:pt idx="17">
                  <c:v>98.252899999999997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99.355099999999993</c:v>
                </c:pt>
                <c:pt idx="39">
                  <c:v>100</c:v>
                </c:pt>
                <c:pt idx="40">
                  <c:v>96.016199999999998</c:v>
                </c:pt>
                <c:pt idx="41">
                  <c:v>92.506999999999991</c:v>
                </c:pt>
                <c:pt idx="42">
                  <c:v>91.992499999999993</c:v>
                </c:pt>
                <c:pt idx="43">
                  <c:v>89.334800000000001</c:v>
                </c:pt>
                <c:pt idx="44">
                  <c:v>86.272499999999994</c:v>
                </c:pt>
                <c:pt idx="45">
                  <c:v>84.994099999999989</c:v>
                </c:pt>
                <c:pt idx="46">
                  <c:v>84.068299999999994</c:v>
                </c:pt>
                <c:pt idx="47">
                  <c:v>82.221699999999998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900-45F4-9B40-490D97C0B076}"/>
            </c:ext>
          </c:extLst>
        </c:ser>
        <c:ser>
          <c:idx val="32"/>
          <c:order val="32"/>
          <c:tx>
            <c:v>BES_TR4_three233_A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SOC_pct!$AI$2:$AI$49</c:f>
              <c:numCache>
                <c:formatCode>0.0</c:formatCode>
                <c:ptCount val="48"/>
                <c:pt idx="0">
                  <c:v>40</c:v>
                </c:pt>
                <c:pt idx="1">
                  <c:v>34.495800000000003</c:v>
                </c:pt>
                <c:pt idx="2">
                  <c:v>33.732500000000002</c:v>
                </c:pt>
                <c:pt idx="3">
                  <c:v>31.787400000000002</c:v>
                </c:pt>
                <c:pt idx="4">
                  <c:v>29.6313</c:v>
                </c:pt>
                <c:pt idx="5">
                  <c:v>27.7393</c:v>
                </c:pt>
                <c:pt idx="6">
                  <c:v>25.2547</c:v>
                </c:pt>
                <c:pt idx="7">
                  <c:v>23.188500000000001</c:v>
                </c:pt>
                <c:pt idx="8">
                  <c:v>20.942699999999999</c:v>
                </c:pt>
                <c:pt idx="9">
                  <c:v>18.073</c:v>
                </c:pt>
                <c:pt idx="10">
                  <c:v>18.493300000000001</c:v>
                </c:pt>
                <c:pt idx="11">
                  <c:v>18.659099999999999</c:v>
                </c:pt>
                <c:pt idx="12">
                  <c:v>19.731000000000002</c:v>
                </c:pt>
                <c:pt idx="13">
                  <c:v>22.348099999999999</c:v>
                </c:pt>
                <c:pt idx="14">
                  <c:v>25.8996</c:v>
                </c:pt>
                <c:pt idx="15">
                  <c:v>30.610199999999999</c:v>
                </c:pt>
                <c:pt idx="16">
                  <c:v>37.6751</c:v>
                </c:pt>
                <c:pt idx="17">
                  <c:v>43.064900000000002</c:v>
                </c:pt>
                <c:pt idx="18">
                  <c:v>38.8825</c:v>
                </c:pt>
                <c:pt idx="19">
                  <c:v>38.936199999999999</c:v>
                </c:pt>
                <c:pt idx="20">
                  <c:v>46.408299999999997</c:v>
                </c:pt>
                <c:pt idx="21">
                  <c:v>51.1387</c:v>
                </c:pt>
                <c:pt idx="22">
                  <c:v>64.140799999999999</c:v>
                </c:pt>
                <c:pt idx="23">
                  <c:v>76.779299999999992</c:v>
                </c:pt>
                <c:pt idx="24">
                  <c:v>88.465400000000002</c:v>
                </c:pt>
                <c:pt idx="25">
                  <c:v>99.140100000000004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96.718199999999996</c:v>
                </c:pt>
                <c:pt idx="31">
                  <c:v>100</c:v>
                </c:pt>
                <c:pt idx="32">
                  <c:v>100</c:v>
                </c:pt>
                <c:pt idx="33">
                  <c:v>96.103099999999998</c:v>
                </c:pt>
                <c:pt idx="34">
                  <c:v>97.359300000000005</c:v>
                </c:pt>
                <c:pt idx="35">
                  <c:v>99.886600000000001</c:v>
                </c:pt>
                <c:pt idx="36">
                  <c:v>91.300600000000003</c:v>
                </c:pt>
                <c:pt idx="37">
                  <c:v>85.781599999999997</c:v>
                </c:pt>
                <c:pt idx="38">
                  <c:v>53.750799999999998</c:v>
                </c:pt>
                <c:pt idx="39">
                  <c:v>51.505299999999998</c:v>
                </c:pt>
                <c:pt idx="40">
                  <c:v>42.371499999999997</c:v>
                </c:pt>
                <c:pt idx="41">
                  <c:v>32.935400000000001</c:v>
                </c:pt>
                <c:pt idx="42">
                  <c:v>20.0961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900-45F4-9B40-490D97C0B076}"/>
            </c:ext>
          </c:extLst>
        </c:ser>
        <c:ser>
          <c:idx val="33"/>
          <c:order val="33"/>
          <c:tx>
            <c:v>BES_TR4_three248_C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SOC_pct!$AJ$2:$AJ$49</c:f>
              <c:numCache>
                <c:formatCode>0.0</c:formatCode>
                <c:ptCount val="48"/>
                <c:pt idx="0">
                  <c:v>40</c:v>
                </c:pt>
                <c:pt idx="1">
                  <c:v>39.673699999999997</c:v>
                </c:pt>
                <c:pt idx="2">
                  <c:v>39.347499999999997</c:v>
                </c:pt>
                <c:pt idx="3">
                  <c:v>37.5396</c:v>
                </c:pt>
                <c:pt idx="4">
                  <c:v>37.213299999999997</c:v>
                </c:pt>
                <c:pt idx="5">
                  <c:v>36.887099999999997</c:v>
                </c:pt>
                <c:pt idx="6">
                  <c:v>35.449599999999997</c:v>
                </c:pt>
                <c:pt idx="7">
                  <c:v>34.752899999999997</c:v>
                </c:pt>
                <c:pt idx="8">
                  <c:v>34.459000000000003</c:v>
                </c:pt>
                <c:pt idx="9">
                  <c:v>34.586599999999997</c:v>
                </c:pt>
                <c:pt idx="10">
                  <c:v>34.929499999999997</c:v>
                </c:pt>
                <c:pt idx="11">
                  <c:v>38.543599999999998</c:v>
                </c:pt>
                <c:pt idx="12">
                  <c:v>44.200600000000001</c:v>
                </c:pt>
                <c:pt idx="13">
                  <c:v>51.783199999999987</c:v>
                </c:pt>
                <c:pt idx="14">
                  <c:v>62.406799999999997</c:v>
                </c:pt>
                <c:pt idx="15">
                  <c:v>74.7834</c:v>
                </c:pt>
                <c:pt idx="16">
                  <c:v>90.015699999999995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73.1798</c:v>
                </c:pt>
                <c:pt idx="37">
                  <c:v>32.133600000000001</c:v>
                </c:pt>
                <c:pt idx="38">
                  <c:v>31.609500000000001</c:v>
                </c:pt>
                <c:pt idx="39">
                  <c:v>32.746099999999998</c:v>
                </c:pt>
                <c:pt idx="40">
                  <c:v>29.0992</c:v>
                </c:pt>
                <c:pt idx="41">
                  <c:v>20.736499999999999</c:v>
                </c:pt>
                <c:pt idx="42">
                  <c:v>14.3988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900-45F4-9B40-490D97C0B076}"/>
            </c:ext>
          </c:extLst>
        </c:ser>
        <c:ser>
          <c:idx val="34"/>
          <c:order val="34"/>
          <c:tx>
            <c:v>BES_TR4_three253_C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SOC_pct!$AK$2:$AK$49</c:f>
              <c:numCache>
                <c:formatCode>0.0</c:formatCode>
                <c:ptCount val="48"/>
                <c:pt idx="0">
                  <c:v>40</c:v>
                </c:pt>
                <c:pt idx="1">
                  <c:v>37.335299999999997</c:v>
                </c:pt>
                <c:pt idx="2">
                  <c:v>35.572299999999998</c:v>
                </c:pt>
                <c:pt idx="3">
                  <c:v>30.463999999999999</c:v>
                </c:pt>
                <c:pt idx="4">
                  <c:v>24.785299999999999</c:v>
                </c:pt>
                <c:pt idx="5">
                  <c:v>20.6234</c:v>
                </c:pt>
                <c:pt idx="6">
                  <c:v>14.241899999999999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10.6244</c:v>
                </c:pt>
                <c:pt idx="11">
                  <c:v>10.831300000000001</c:v>
                </c:pt>
                <c:pt idx="12">
                  <c:v>14.3316</c:v>
                </c:pt>
                <c:pt idx="13">
                  <c:v>19.560300000000002</c:v>
                </c:pt>
                <c:pt idx="14">
                  <c:v>24.8292</c:v>
                </c:pt>
                <c:pt idx="15">
                  <c:v>33.548000000000002</c:v>
                </c:pt>
                <c:pt idx="16">
                  <c:v>43.932099999999998</c:v>
                </c:pt>
                <c:pt idx="17">
                  <c:v>54.398200000000003</c:v>
                </c:pt>
                <c:pt idx="18">
                  <c:v>68.033799999999999</c:v>
                </c:pt>
                <c:pt idx="19">
                  <c:v>69.349299999999999</c:v>
                </c:pt>
                <c:pt idx="20">
                  <c:v>77.1922</c:v>
                </c:pt>
                <c:pt idx="21">
                  <c:v>59.144100000000002</c:v>
                </c:pt>
                <c:pt idx="22">
                  <c:v>73.056699999999992</c:v>
                </c:pt>
                <c:pt idx="23">
                  <c:v>89.26039999999999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77.361000000000004</c:v>
                </c:pt>
                <c:pt idx="39">
                  <c:v>57.5929</c:v>
                </c:pt>
                <c:pt idx="40">
                  <c:v>29.654599999999999</c:v>
                </c:pt>
                <c:pt idx="41">
                  <c:v>19.096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900-45F4-9B40-490D97C0B076}"/>
            </c:ext>
          </c:extLst>
        </c:ser>
        <c:ser>
          <c:idx val="35"/>
          <c:order val="35"/>
          <c:tx>
            <c:v>BES_TR4_three66_C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SOC_pct!$AL$2:$AL$49</c:f>
              <c:numCache>
                <c:formatCode>0.0</c:formatCode>
                <c:ptCount val="48"/>
                <c:pt idx="0">
                  <c:v>40</c:v>
                </c:pt>
                <c:pt idx="1">
                  <c:v>39.243499999999997</c:v>
                </c:pt>
                <c:pt idx="2">
                  <c:v>36.523000000000003</c:v>
                </c:pt>
                <c:pt idx="3">
                  <c:v>35.908200000000001</c:v>
                </c:pt>
                <c:pt idx="4">
                  <c:v>34.935400000000001</c:v>
                </c:pt>
                <c:pt idx="5">
                  <c:v>32.1477</c:v>
                </c:pt>
                <c:pt idx="6">
                  <c:v>30.400099999999998</c:v>
                </c:pt>
                <c:pt idx="7">
                  <c:v>28.257200000000001</c:v>
                </c:pt>
                <c:pt idx="8">
                  <c:v>25.9331</c:v>
                </c:pt>
                <c:pt idx="9">
                  <c:v>24.942499999999999</c:v>
                </c:pt>
                <c:pt idx="10">
                  <c:v>24.458300000000001</c:v>
                </c:pt>
                <c:pt idx="11">
                  <c:v>24.663599999999999</c:v>
                </c:pt>
                <c:pt idx="12">
                  <c:v>27.024899999999999</c:v>
                </c:pt>
                <c:pt idx="13">
                  <c:v>31.1675</c:v>
                </c:pt>
                <c:pt idx="14">
                  <c:v>37.034199999999998</c:v>
                </c:pt>
                <c:pt idx="15">
                  <c:v>44.2515</c:v>
                </c:pt>
                <c:pt idx="16">
                  <c:v>53.761800000000001</c:v>
                </c:pt>
                <c:pt idx="17">
                  <c:v>64.747100000000003</c:v>
                </c:pt>
                <c:pt idx="18">
                  <c:v>77.124400000000009</c:v>
                </c:pt>
                <c:pt idx="19">
                  <c:v>91.1858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98.090100000000007</c:v>
                </c:pt>
                <c:pt idx="39">
                  <c:v>98.522400000000005</c:v>
                </c:pt>
                <c:pt idx="40">
                  <c:v>96.486199999999997</c:v>
                </c:pt>
                <c:pt idx="41">
                  <c:v>95.370999999999995</c:v>
                </c:pt>
                <c:pt idx="42">
                  <c:v>92.495899999999992</c:v>
                </c:pt>
                <c:pt idx="43">
                  <c:v>90.748199999999997</c:v>
                </c:pt>
                <c:pt idx="44">
                  <c:v>89.538700000000006</c:v>
                </c:pt>
                <c:pt idx="45">
                  <c:v>83.110799999999998</c:v>
                </c:pt>
                <c:pt idx="46">
                  <c:v>68.117499999999993</c:v>
                </c:pt>
                <c:pt idx="47">
                  <c:v>61.812399999999997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900-45F4-9B40-490D97C0B076}"/>
            </c:ext>
          </c:extLst>
        </c:ser>
        <c:ser>
          <c:idx val="36"/>
          <c:order val="36"/>
          <c:tx>
            <c:v>BES_TR4_three312_A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SOC_pct!$AM$2:$AM$49</c:f>
              <c:numCache>
                <c:formatCode>0.0</c:formatCode>
                <c:ptCount val="48"/>
                <c:pt idx="0">
                  <c:v>40</c:v>
                </c:pt>
                <c:pt idx="1">
                  <c:v>38.271799999999999</c:v>
                </c:pt>
                <c:pt idx="2">
                  <c:v>36.062899999999999</c:v>
                </c:pt>
                <c:pt idx="3">
                  <c:v>35.460599999999999</c:v>
                </c:pt>
                <c:pt idx="4">
                  <c:v>32.125799999999998</c:v>
                </c:pt>
                <c:pt idx="5">
                  <c:v>31.523499999999999</c:v>
                </c:pt>
                <c:pt idx="6">
                  <c:v>29.3949</c:v>
                </c:pt>
                <c:pt idx="7">
                  <c:v>27.586400000000001</c:v>
                </c:pt>
                <c:pt idx="8">
                  <c:v>26.866599999999998</c:v>
                </c:pt>
                <c:pt idx="9">
                  <c:v>25.442399999999999</c:v>
                </c:pt>
                <c:pt idx="10">
                  <c:v>26.5137</c:v>
                </c:pt>
                <c:pt idx="11">
                  <c:v>31.125699999999998</c:v>
                </c:pt>
                <c:pt idx="12">
                  <c:v>38.005200000000002</c:v>
                </c:pt>
                <c:pt idx="13">
                  <c:v>39.334899999999998</c:v>
                </c:pt>
                <c:pt idx="14">
                  <c:v>47.898899999999998</c:v>
                </c:pt>
                <c:pt idx="15">
                  <c:v>55.311399999999999</c:v>
                </c:pt>
                <c:pt idx="16">
                  <c:v>46.376300000000001</c:v>
                </c:pt>
                <c:pt idx="17">
                  <c:v>49.365499999999997</c:v>
                </c:pt>
                <c:pt idx="18">
                  <c:v>67.601500000000001</c:v>
                </c:pt>
                <c:pt idx="19">
                  <c:v>91.236699999999999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79.743499999999997</c:v>
                </c:pt>
                <c:pt idx="40">
                  <c:v>75.868800000000007</c:v>
                </c:pt>
                <c:pt idx="41">
                  <c:v>69.287500000000009</c:v>
                </c:pt>
                <c:pt idx="42">
                  <c:v>62.931600000000003</c:v>
                </c:pt>
                <c:pt idx="43">
                  <c:v>55.769199999999998</c:v>
                </c:pt>
                <c:pt idx="44">
                  <c:v>44.576700000000002</c:v>
                </c:pt>
                <c:pt idx="45">
                  <c:v>33.090299999999999</c:v>
                </c:pt>
                <c:pt idx="46">
                  <c:v>20.3385</c:v>
                </c:pt>
                <c:pt idx="47">
                  <c:v>17.967700000000001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900-45F4-9B40-490D97C0B076}"/>
            </c:ext>
          </c:extLst>
        </c:ser>
        <c:ser>
          <c:idx val="37"/>
          <c:order val="37"/>
          <c:tx>
            <c:v>BES_TR4_three321_B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SOC_pct!$AN$2:$AN$49</c:f>
              <c:numCache>
                <c:formatCode>0.0</c:formatCode>
                <c:ptCount val="48"/>
                <c:pt idx="0">
                  <c:v>40</c:v>
                </c:pt>
                <c:pt idx="1">
                  <c:v>38.4345</c:v>
                </c:pt>
                <c:pt idx="2">
                  <c:v>37.731699999999996</c:v>
                </c:pt>
                <c:pt idx="3">
                  <c:v>37.029000000000003</c:v>
                </c:pt>
                <c:pt idx="4">
                  <c:v>36.326300000000003</c:v>
                </c:pt>
                <c:pt idx="5">
                  <c:v>35.623600000000003</c:v>
                </c:pt>
                <c:pt idx="6">
                  <c:v>34.058</c:v>
                </c:pt>
                <c:pt idx="7">
                  <c:v>33.304600000000001</c:v>
                </c:pt>
                <c:pt idx="8">
                  <c:v>31.832999999999998</c:v>
                </c:pt>
                <c:pt idx="9">
                  <c:v>31.652799999999999</c:v>
                </c:pt>
                <c:pt idx="10">
                  <c:v>32.301600000000001</c:v>
                </c:pt>
                <c:pt idx="11">
                  <c:v>32.843299999999999</c:v>
                </c:pt>
                <c:pt idx="12">
                  <c:v>34.020400000000002</c:v>
                </c:pt>
                <c:pt idx="13">
                  <c:v>40.264400000000002</c:v>
                </c:pt>
                <c:pt idx="14">
                  <c:v>24.327300000000001</c:v>
                </c:pt>
                <c:pt idx="15">
                  <c:v>13.0143</c:v>
                </c:pt>
                <c:pt idx="16">
                  <c:v>29.522600000000001</c:v>
                </c:pt>
                <c:pt idx="17">
                  <c:v>54.098100000000002</c:v>
                </c:pt>
                <c:pt idx="18">
                  <c:v>79.535199999999989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97.566800000000001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97.174499999999995</c:v>
                </c:pt>
                <c:pt idx="41">
                  <c:v>90.707899999999995</c:v>
                </c:pt>
                <c:pt idx="42">
                  <c:v>80.912199999999999</c:v>
                </c:pt>
                <c:pt idx="43">
                  <c:v>75.377600000000001</c:v>
                </c:pt>
                <c:pt idx="44">
                  <c:v>63.401300000000013</c:v>
                </c:pt>
                <c:pt idx="45">
                  <c:v>56.975700000000003</c:v>
                </c:pt>
                <c:pt idx="46">
                  <c:v>52.656399999999998</c:v>
                </c:pt>
                <c:pt idx="47">
                  <c:v>46.337000000000003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900-45F4-9B40-490D97C0B076}"/>
            </c:ext>
          </c:extLst>
        </c:ser>
        <c:ser>
          <c:idx val="38"/>
          <c:order val="38"/>
          <c:tx>
            <c:v>BES_TR4_three368_A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SOC_pct!$AO$2:$AO$49</c:f>
              <c:numCache>
                <c:formatCode>0.0</c:formatCode>
                <c:ptCount val="48"/>
                <c:pt idx="0">
                  <c:v>40</c:v>
                </c:pt>
                <c:pt idx="1">
                  <c:v>39.4604</c:v>
                </c:pt>
                <c:pt idx="2">
                  <c:v>37.319699999999997</c:v>
                </c:pt>
                <c:pt idx="3">
                  <c:v>36.780200000000001</c:v>
                </c:pt>
                <c:pt idx="4">
                  <c:v>36.240600000000001</c:v>
                </c:pt>
                <c:pt idx="5">
                  <c:v>34.099899999999998</c:v>
                </c:pt>
                <c:pt idx="6">
                  <c:v>33.560299999999998</c:v>
                </c:pt>
                <c:pt idx="7">
                  <c:v>31.419699999999999</c:v>
                </c:pt>
                <c:pt idx="8">
                  <c:v>30.8963</c:v>
                </c:pt>
                <c:pt idx="9">
                  <c:v>30.590699999999998</c:v>
                </c:pt>
                <c:pt idx="10">
                  <c:v>30.781300000000002</c:v>
                </c:pt>
                <c:pt idx="11">
                  <c:v>31.1173</c:v>
                </c:pt>
                <c:pt idx="12">
                  <c:v>33.773599999999988</c:v>
                </c:pt>
                <c:pt idx="13">
                  <c:v>36.285200000000003</c:v>
                </c:pt>
                <c:pt idx="14">
                  <c:v>41.549900000000001</c:v>
                </c:pt>
                <c:pt idx="15">
                  <c:v>47.502499999999998</c:v>
                </c:pt>
                <c:pt idx="16">
                  <c:v>54.5565</c:v>
                </c:pt>
                <c:pt idx="17">
                  <c:v>63.660899999999998</c:v>
                </c:pt>
                <c:pt idx="18">
                  <c:v>72.477599999999995</c:v>
                </c:pt>
                <c:pt idx="19">
                  <c:v>83.717600000000004</c:v>
                </c:pt>
                <c:pt idx="20">
                  <c:v>94.663200000000003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99.164100000000005</c:v>
                </c:pt>
                <c:pt idx="41">
                  <c:v>98.717500000000001</c:v>
                </c:pt>
                <c:pt idx="42">
                  <c:v>98.177999999999997</c:v>
                </c:pt>
                <c:pt idx="43">
                  <c:v>96.037300000000002</c:v>
                </c:pt>
                <c:pt idx="44">
                  <c:v>95.497699999999995</c:v>
                </c:pt>
                <c:pt idx="45">
                  <c:v>94.958100000000002</c:v>
                </c:pt>
                <c:pt idx="46">
                  <c:v>92.817499999999995</c:v>
                </c:pt>
                <c:pt idx="47">
                  <c:v>92.277900000000002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900-45F4-9B40-490D97C0B076}"/>
            </c:ext>
          </c:extLst>
        </c:ser>
        <c:ser>
          <c:idx val="39"/>
          <c:order val="39"/>
          <c:tx>
            <c:v>BES_TR4_three388_A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SOC_pct!$AP$2:$AP$49</c:f>
              <c:numCache>
                <c:formatCode>0.0</c:formatCode>
                <c:ptCount val="48"/>
                <c:pt idx="0">
                  <c:v>40</c:v>
                </c:pt>
                <c:pt idx="1">
                  <c:v>36.260199999999998</c:v>
                </c:pt>
                <c:pt idx="2">
                  <c:v>35.402700000000003</c:v>
                </c:pt>
                <c:pt idx="3">
                  <c:v>33.994</c:v>
                </c:pt>
                <c:pt idx="4">
                  <c:v>30.805299999999999</c:v>
                </c:pt>
                <c:pt idx="5">
                  <c:v>30.177900000000001</c:v>
                </c:pt>
                <c:pt idx="6">
                  <c:v>26.596499999999999</c:v>
                </c:pt>
                <c:pt idx="7">
                  <c:v>25.5806</c:v>
                </c:pt>
                <c:pt idx="8">
                  <c:v>24.535299999999999</c:v>
                </c:pt>
                <c:pt idx="9">
                  <c:v>22.1647</c:v>
                </c:pt>
                <c:pt idx="10">
                  <c:v>21.700399999999998</c:v>
                </c:pt>
                <c:pt idx="11">
                  <c:v>23.011500000000002</c:v>
                </c:pt>
                <c:pt idx="12">
                  <c:v>22.905899999999999</c:v>
                </c:pt>
                <c:pt idx="13">
                  <c:v>26.5215</c:v>
                </c:pt>
                <c:pt idx="14">
                  <c:v>30.740100000000002</c:v>
                </c:pt>
                <c:pt idx="15">
                  <c:v>36.908799999999999</c:v>
                </c:pt>
                <c:pt idx="16">
                  <c:v>43.2226</c:v>
                </c:pt>
                <c:pt idx="17">
                  <c:v>50.724100000000007</c:v>
                </c:pt>
                <c:pt idx="18">
                  <c:v>60.220599999999997</c:v>
                </c:pt>
                <c:pt idx="19">
                  <c:v>56.644300000000001</c:v>
                </c:pt>
                <c:pt idx="20">
                  <c:v>66.422899999999998</c:v>
                </c:pt>
                <c:pt idx="21">
                  <c:v>62.936400000000013</c:v>
                </c:pt>
                <c:pt idx="22">
                  <c:v>58.383899999999997</c:v>
                </c:pt>
                <c:pt idx="23">
                  <c:v>68.2363</c:v>
                </c:pt>
                <c:pt idx="24">
                  <c:v>80.907200000000003</c:v>
                </c:pt>
                <c:pt idx="25">
                  <c:v>94.922399999999996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84.142399999999995</c:v>
                </c:pt>
                <c:pt idx="37">
                  <c:v>71.029499999999999</c:v>
                </c:pt>
                <c:pt idx="38">
                  <c:v>65.7607</c:v>
                </c:pt>
                <c:pt idx="39">
                  <c:v>63.833399999999997</c:v>
                </c:pt>
                <c:pt idx="40">
                  <c:v>56.904499999999999</c:v>
                </c:pt>
                <c:pt idx="41">
                  <c:v>51.303100000000001</c:v>
                </c:pt>
                <c:pt idx="42">
                  <c:v>42.819600000000001</c:v>
                </c:pt>
                <c:pt idx="43">
                  <c:v>25.481200000000001</c:v>
                </c:pt>
                <c:pt idx="44">
                  <c:v>14.7651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900-45F4-9B40-490D97C0B076}"/>
            </c:ext>
          </c:extLst>
        </c:ser>
        <c:ser>
          <c:idx val="40"/>
          <c:order val="40"/>
          <c:tx>
            <c:v>BES_TR4_three409_C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SOC_pct!$AQ$2:$AQ$49</c:f>
              <c:numCache>
                <c:formatCode>0.0</c:formatCode>
                <c:ptCount val="48"/>
                <c:pt idx="0">
                  <c:v>40</c:v>
                </c:pt>
                <c:pt idx="1">
                  <c:v>33.914499999999997</c:v>
                </c:pt>
                <c:pt idx="2">
                  <c:v>33.3874</c:v>
                </c:pt>
                <c:pt idx="3">
                  <c:v>31.450399999999998</c:v>
                </c:pt>
                <c:pt idx="4">
                  <c:v>30.700700000000001</c:v>
                </c:pt>
                <c:pt idx="5">
                  <c:v>30.1736</c:v>
                </c:pt>
                <c:pt idx="6">
                  <c:v>28.459199999999999</c:v>
                </c:pt>
                <c:pt idx="7">
                  <c:v>27.486899999999999</c:v>
                </c:pt>
                <c:pt idx="8">
                  <c:v>27.0031</c:v>
                </c:pt>
                <c:pt idx="9">
                  <c:v>25.467500000000001</c:v>
                </c:pt>
                <c:pt idx="10">
                  <c:v>27.619800000000001</c:v>
                </c:pt>
                <c:pt idx="11">
                  <c:v>32.355800000000002</c:v>
                </c:pt>
                <c:pt idx="12">
                  <c:v>38.790599999999998</c:v>
                </c:pt>
                <c:pt idx="13">
                  <c:v>50.151500000000013</c:v>
                </c:pt>
                <c:pt idx="14">
                  <c:v>63.942900000000002</c:v>
                </c:pt>
                <c:pt idx="15">
                  <c:v>80.765699999999995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97.826100000000011</c:v>
                </c:pt>
                <c:pt idx="41">
                  <c:v>96.433800000000005</c:v>
                </c:pt>
                <c:pt idx="42">
                  <c:v>95.387299999999996</c:v>
                </c:pt>
                <c:pt idx="43">
                  <c:v>94.860299999999995</c:v>
                </c:pt>
                <c:pt idx="44">
                  <c:v>92.700599999999994</c:v>
                </c:pt>
                <c:pt idx="45">
                  <c:v>92.17349999999999</c:v>
                </c:pt>
                <c:pt idx="46">
                  <c:v>90.904399999999995</c:v>
                </c:pt>
                <c:pt idx="47">
                  <c:v>89.486800000000002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900-45F4-9B40-490D97C0B076}"/>
            </c:ext>
          </c:extLst>
        </c:ser>
        <c:ser>
          <c:idx val="41"/>
          <c:order val="41"/>
          <c:tx>
            <c:v>BES_TR4_three76_A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SOC_pct!$AR$2:$AR$49</c:f>
              <c:numCache>
                <c:formatCode>0.0</c:formatCode>
                <c:ptCount val="48"/>
                <c:pt idx="0">
                  <c:v>40</c:v>
                </c:pt>
                <c:pt idx="1">
                  <c:v>27.715399999999999</c:v>
                </c:pt>
                <c:pt idx="2">
                  <c:v>21.904399999999999</c:v>
                </c:pt>
                <c:pt idx="3">
                  <c:v>21.026</c:v>
                </c:pt>
                <c:pt idx="4">
                  <c:v>18.594799999999999</c:v>
                </c:pt>
                <c:pt idx="5">
                  <c:v>17.703700000000001</c:v>
                </c:pt>
                <c:pt idx="6">
                  <c:v>17.101400000000002</c:v>
                </c:pt>
                <c:pt idx="7">
                  <c:v>15.8253</c:v>
                </c:pt>
                <c:pt idx="8">
                  <c:v>13.8223</c:v>
                </c:pt>
                <c:pt idx="9">
                  <c:v>13.7478</c:v>
                </c:pt>
                <c:pt idx="10">
                  <c:v>14.0131</c:v>
                </c:pt>
                <c:pt idx="11">
                  <c:v>18.6814</c:v>
                </c:pt>
                <c:pt idx="12">
                  <c:v>25.3916</c:v>
                </c:pt>
                <c:pt idx="13">
                  <c:v>35.905000000000001</c:v>
                </c:pt>
                <c:pt idx="14">
                  <c:v>50.697299999999998</c:v>
                </c:pt>
                <c:pt idx="15">
                  <c:v>62.0672</c:v>
                </c:pt>
                <c:pt idx="16">
                  <c:v>75.194499999999991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99.057600000000008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96.465299999999999</c:v>
                </c:pt>
                <c:pt idx="41">
                  <c:v>94.467699999999994</c:v>
                </c:pt>
                <c:pt idx="42">
                  <c:v>87.855599999999995</c:v>
                </c:pt>
                <c:pt idx="43">
                  <c:v>83.9666</c:v>
                </c:pt>
                <c:pt idx="44">
                  <c:v>75.855099999999993</c:v>
                </c:pt>
                <c:pt idx="45">
                  <c:v>69.250299999999996</c:v>
                </c:pt>
                <c:pt idx="46">
                  <c:v>60.546999999999997</c:v>
                </c:pt>
                <c:pt idx="47">
                  <c:v>58.404599999999988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C900-45F4-9B40-490D97C0B076}"/>
            </c:ext>
          </c:extLst>
        </c:ser>
        <c:ser>
          <c:idx val="42"/>
          <c:order val="42"/>
          <c:tx>
            <c:v>BES_TR4_three81_A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SOC_pct!$AS$2:$AS$49</c:f>
              <c:numCache>
                <c:formatCode>0.0</c:formatCode>
                <c:ptCount val="48"/>
                <c:pt idx="0">
                  <c:v>40</c:v>
                </c:pt>
                <c:pt idx="1">
                  <c:v>36.927799999999998</c:v>
                </c:pt>
                <c:pt idx="2">
                  <c:v>36.111600000000003</c:v>
                </c:pt>
                <c:pt idx="3">
                  <c:v>33.5015</c:v>
                </c:pt>
                <c:pt idx="4">
                  <c:v>31.8674</c:v>
                </c:pt>
                <c:pt idx="5">
                  <c:v>31.2148</c:v>
                </c:pt>
                <c:pt idx="6">
                  <c:v>30.5623</c:v>
                </c:pt>
                <c:pt idx="7">
                  <c:v>28.8248</c:v>
                </c:pt>
                <c:pt idx="8">
                  <c:v>26.3612</c:v>
                </c:pt>
                <c:pt idx="9">
                  <c:v>26.332799999999999</c:v>
                </c:pt>
                <c:pt idx="10">
                  <c:v>28.372199999999999</c:v>
                </c:pt>
                <c:pt idx="11">
                  <c:v>30.349900000000002</c:v>
                </c:pt>
                <c:pt idx="12">
                  <c:v>37.993899999999996</c:v>
                </c:pt>
                <c:pt idx="13">
                  <c:v>48.505600000000001</c:v>
                </c:pt>
                <c:pt idx="14">
                  <c:v>63.092599999999997</c:v>
                </c:pt>
                <c:pt idx="15">
                  <c:v>78.835499999999996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96.332999999999998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98.827399999999997</c:v>
                </c:pt>
                <c:pt idx="40">
                  <c:v>96.985299999999995</c:v>
                </c:pt>
                <c:pt idx="41">
                  <c:v>87.580799999999996</c:v>
                </c:pt>
                <c:pt idx="42">
                  <c:v>76.483900000000006</c:v>
                </c:pt>
                <c:pt idx="43">
                  <c:v>67.071700000000007</c:v>
                </c:pt>
                <c:pt idx="44">
                  <c:v>56.357300000000002</c:v>
                </c:pt>
                <c:pt idx="45">
                  <c:v>47.829799999999999</c:v>
                </c:pt>
                <c:pt idx="46">
                  <c:v>37.3035</c:v>
                </c:pt>
                <c:pt idx="47">
                  <c:v>32.383200000000002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900-45F4-9B40-490D97C0B076}"/>
            </c:ext>
          </c:extLst>
        </c:ser>
        <c:ser>
          <c:idx val="43"/>
          <c:order val="43"/>
          <c:tx>
            <c:v>BES_TR4_three90_C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SOC_pct!$AT$2:$AT$49</c:f>
              <c:numCache>
                <c:formatCode>0.0</c:formatCode>
                <c:ptCount val="48"/>
                <c:pt idx="0">
                  <c:v>40</c:v>
                </c:pt>
                <c:pt idx="1">
                  <c:v>38.799499999999988</c:v>
                </c:pt>
                <c:pt idx="2">
                  <c:v>36.416499999999999</c:v>
                </c:pt>
                <c:pt idx="3">
                  <c:v>34.443199999999997</c:v>
                </c:pt>
                <c:pt idx="4">
                  <c:v>34.016599999999997</c:v>
                </c:pt>
                <c:pt idx="5">
                  <c:v>30.666899999999998</c:v>
                </c:pt>
                <c:pt idx="6">
                  <c:v>29.660299999999999</c:v>
                </c:pt>
                <c:pt idx="7">
                  <c:v>29.233699999999999</c:v>
                </c:pt>
                <c:pt idx="8">
                  <c:v>26.7075</c:v>
                </c:pt>
                <c:pt idx="9">
                  <c:v>25.2944</c:v>
                </c:pt>
                <c:pt idx="10">
                  <c:v>25.769100000000002</c:v>
                </c:pt>
                <c:pt idx="11">
                  <c:v>27.068200000000001</c:v>
                </c:pt>
                <c:pt idx="12">
                  <c:v>31.124400000000001</c:v>
                </c:pt>
                <c:pt idx="13">
                  <c:v>38.137500000000003</c:v>
                </c:pt>
                <c:pt idx="14">
                  <c:v>45.324599999999997</c:v>
                </c:pt>
                <c:pt idx="15">
                  <c:v>55.560299999999998</c:v>
                </c:pt>
                <c:pt idx="16">
                  <c:v>69.114800000000002</c:v>
                </c:pt>
                <c:pt idx="17">
                  <c:v>83.475399999999993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94.4285</c:v>
                </c:pt>
                <c:pt idx="41">
                  <c:v>90.984200000000001</c:v>
                </c:pt>
                <c:pt idx="42">
                  <c:v>87.740600000000001</c:v>
                </c:pt>
                <c:pt idx="43">
                  <c:v>86.444000000000003</c:v>
                </c:pt>
                <c:pt idx="44">
                  <c:v>84.367499999999993</c:v>
                </c:pt>
                <c:pt idx="45">
                  <c:v>82.957700000000003</c:v>
                </c:pt>
                <c:pt idx="46">
                  <c:v>79.451499999999996</c:v>
                </c:pt>
                <c:pt idx="47">
                  <c:v>76.9495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C900-45F4-9B40-490D97C0B076}"/>
            </c:ext>
          </c:extLst>
        </c:ser>
        <c:ser>
          <c:idx val="44"/>
          <c:order val="44"/>
          <c:tx>
            <c:v>BES_TR4_three97_B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SOC_pct!$AU$2:$AU$49</c:f>
              <c:numCache>
                <c:formatCode>0.0</c:formatCode>
                <c:ptCount val="48"/>
                <c:pt idx="0">
                  <c:v>40</c:v>
                </c:pt>
                <c:pt idx="1">
                  <c:v>38.355200000000004</c:v>
                </c:pt>
                <c:pt idx="2">
                  <c:v>35.837899999999998</c:v>
                </c:pt>
                <c:pt idx="3">
                  <c:v>35.147799999999997</c:v>
                </c:pt>
                <c:pt idx="4">
                  <c:v>32.543399999999998</c:v>
                </c:pt>
                <c:pt idx="5">
                  <c:v>30.985700000000001</c:v>
                </c:pt>
                <c:pt idx="6">
                  <c:v>29.773499999999999</c:v>
                </c:pt>
                <c:pt idx="7">
                  <c:v>26.823599999999999</c:v>
                </c:pt>
                <c:pt idx="8">
                  <c:v>26.176600000000001</c:v>
                </c:pt>
                <c:pt idx="9">
                  <c:v>26.110600000000002</c:v>
                </c:pt>
                <c:pt idx="10">
                  <c:v>25.557099999999998</c:v>
                </c:pt>
                <c:pt idx="11">
                  <c:v>30.1463</c:v>
                </c:pt>
                <c:pt idx="12">
                  <c:v>37.903700000000001</c:v>
                </c:pt>
                <c:pt idx="13">
                  <c:v>47.551600000000001</c:v>
                </c:pt>
                <c:pt idx="14">
                  <c:v>61.847900000000003</c:v>
                </c:pt>
                <c:pt idx="15">
                  <c:v>78.660200000000003</c:v>
                </c:pt>
                <c:pt idx="16">
                  <c:v>99.479200000000006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97.341099999999997</c:v>
                </c:pt>
                <c:pt idx="41">
                  <c:v>69.00739999999999</c:v>
                </c:pt>
                <c:pt idx="42">
                  <c:v>63.084799999999987</c:v>
                </c:pt>
                <c:pt idx="43">
                  <c:v>57.069899999999997</c:v>
                </c:pt>
                <c:pt idx="44">
                  <c:v>53.309399999999997</c:v>
                </c:pt>
                <c:pt idx="45">
                  <c:v>46.445700000000002</c:v>
                </c:pt>
                <c:pt idx="46">
                  <c:v>36.261099999999999</c:v>
                </c:pt>
                <c:pt idx="47">
                  <c:v>24.177700000000002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900-45F4-9B40-490D97C0B076}"/>
            </c:ext>
          </c:extLst>
        </c:ser>
        <c:ser>
          <c:idx val="45"/>
          <c:order val="45"/>
          <c:tx>
            <c:v>BES_TR4_three160_C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SOC_pct!$AV$2:$AV$49</c:f>
              <c:numCache>
                <c:formatCode>0.0</c:formatCode>
                <c:ptCount val="48"/>
                <c:pt idx="0">
                  <c:v>40</c:v>
                </c:pt>
                <c:pt idx="1">
                  <c:v>38.247199999999999</c:v>
                </c:pt>
                <c:pt idx="2">
                  <c:v>17.5364</c:v>
                </c:pt>
                <c:pt idx="3">
                  <c:v>12.869300000000001</c:v>
                </c:pt>
                <c:pt idx="4">
                  <c:v>10.9428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14.566599999999999</c:v>
                </c:pt>
                <c:pt idx="12">
                  <c:v>21.706499999999998</c:v>
                </c:pt>
                <c:pt idx="13">
                  <c:v>31.515599999999999</c:v>
                </c:pt>
                <c:pt idx="14">
                  <c:v>44.449599999999997</c:v>
                </c:pt>
                <c:pt idx="15">
                  <c:v>62.621300000000012</c:v>
                </c:pt>
                <c:pt idx="16">
                  <c:v>83.259100000000004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99.757900000000006</c:v>
                </c:pt>
                <c:pt idx="40">
                  <c:v>100</c:v>
                </c:pt>
                <c:pt idx="41">
                  <c:v>99.532699999999991</c:v>
                </c:pt>
                <c:pt idx="42">
                  <c:v>96.463200000000001</c:v>
                </c:pt>
                <c:pt idx="43">
                  <c:v>93.953500000000005</c:v>
                </c:pt>
                <c:pt idx="44">
                  <c:v>91.49199999999999</c:v>
                </c:pt>
                <c:pt idx="45">
                  <c:v>88.374299999999991</c:v>
                </c:pt>
                <c:pt idx="46">
                  <c:v>86.7346</c:v>
                </c:pt>
                <c:pt idx="47">
                  <c:v>82.795100000000005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900-45F4-9B40-490D97C0B076}"/>
            </c:ext>
          </c:extLst>
        </c:ser>
        <c:ser>
          <c:idx val="46"/>
          <c:order val="46"/>
          <c:tx>
            <c:v>SOC max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ChartData!$AF$2:$AF$49</c:f>
              <c:numCache>
                <c:formatCode>0.0</c:formatCode>
                <c:ptCount val="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900-45F4-9B40-490D97C0B076}"/>
            </c:ext>
          </c:extLst>
        </c:ser>
        <c:ser>
          <c:idx val="47"/>
          <c:order val="47"/>
          <c:tx>
            <c:v>fleet-average SOC</c:v>
          </c:tx>
          <c:spPr>
            <a:ln w="28575">
              <a:solidFill>
                <a:srgbClr val="167A6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ChartData!$AG$2:$AG$49</c:f>
              <c:numCache>
                <c:formatCode>0.0</c:formatCode>
                <c:ptCount val="48"/>
                <c:pt idx="0">
                  <c:v>40</c:v>
                </c:pt>
                <c:pt idx="1">
                  <c:v>37.30848695652174</c:v>
                </c:pt>
                <c:pt idx="2">
                  <c:v>34.887580434782613</c:v>
                </c:pt>
                <c:pt idx="3">
                  <c:v>33.259173913043476</c:v>
                </c:pt>
                <c:pt idx="4">
                  <c:v>31.44970217391305</c:v>
                </c:pt>
                <c:pt idx="5">
                  <c:v>29.893828260869551</c:v>
                </c:pt>
                <c:pt idx="6">
                  <c:v>28.194650000000014</c:v>
                </c:pt>
                <c:pt idx="7">
                  <c:v>26.423915217391304</c:v>
                </c:pt>
                <c:pt idx="8">
                  <c:v>24.776093478260869</c:v>
                </c:pt>
                <c:pt idx="9">
                  <c:v>23.878065217391306</c:v>
                </c:pt>
                <c:pt idx="10">
                  <c:v>24.482263043478266</c:v>
                </c:pt>
                <c:pt idx="11">
                  <c:v>27.143804347826091</c:v>
                </c:pt>
                <c:pt idx="12">
                  <c:v>32.082078260869565</c:v>
                </c:pt>
                <c:pt idx="13">
                  <c:v>39.535886956521743</c:v>
                </c:pt>
                <c:pt idx="14">
                  <c:v>49.005704347826089</c:v>
                </c:pt>
                <c:pt idx="15">
                  <c:v>60.473984782608674</c:v>
                </c:pt>
                <c:pt idx="16">
                  <c:v>74.067473913043486</c:v>
                </c:pt>
                <c:pt idx="17">
                  <c:v>83.318123913043479</c:v>
                </c:pt>
                <c:pt idx="18">
                  <c:v>89.474186956521763</c:v>
                </c:pt>
                <c:pt idx="19">
                  <c:v>92.656191304347843</c:v>
                </c:pt>
                <c:pt idx="20">
                  <c:v>94.739102173913039</c:v>
                </c:pt>
                <c:pt idx="21">
                  <c:v>95.360908695652185</c:v>
                </c:pt>
                <c:pt idx="22">
                  <c:v>96.85009565217392</c:v>
                </c:pt>
                <c:pt idx="23">
                  <c:v>98.206730434782614</c:v>
                </c:pt>
                <c:pt idx="24">
                  <c:v>98.793632608695674</c:v>
                </c:pt>
                <c:pt idx="25">
                  <c:v>99.543586956521736</c:v>
                </c:pt>
                <c:pt idx="26">
                  <c:v>99.861147826086949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99.928656521739114</c:v>
                </c:pt>
                <c:pt idx="31">
                  <c:v>99.880141304347831</c:v>
                </c:pt>
                <c:pt idx="32">
                  <c:v>100</c:v>
                </c:pt>
                <c:pt idx="33">
                  <c:v>99.915284782608708</c:v>
                </c:pt>
                <c:pt idx="34">
                  <c:v>99.889697826086973</c:v>
                </c:pt>
                <c:pt idx="35">
                  <c:v>99.605854347826067</c:v>
                </c:pt>
                <c:pt idx="36">
                  <c:v>97.914832608695647</c:v>
                </c:pt>
                <c:pt idx="37">
                  <c:v>95.95233913043478</c:v>
                </c:pt>
                <c:pt idx="38">
                  <c:v>93.75651304347825</c:v>
                </c:pt>
                <c:pt idx="39">
                  <c:v>92.326976086956506</c:v>
                </c:pt>
                <c:pt idx="40">
                  <c:v>87.941723913043489</c:v>
                </c:pt>
                <c:pt idx="41">
                  <c:v>81.93854782608696</c:v>
                </c:pt>
                <c:pt idx="42">
                  <c:v>76.152367391304352</c:v>
                </c:pt>
                <c:pt idx="43">
                  <c:v>70.312463043478274</c:v>
                </c:pt>
                <c:pt idx="44">
                  <c:v>65.116919565217415</c:v>
                </c:pt>
                <c:pt idx="45">
                  <c:v>59.789434782608694</c:v>
                </c:pt>
                <c:pt idx="46">
                  <c:v>54.344967391304358</c:v>
                </c:pt>
                <c:pt idx="47">
                  <c:v>50.312630434782612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C900-45F4-9B40-490D97C0B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112"/>
          <c:min val="0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SOC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Net result per prosumer -  TR4   (+ import / - export)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BES_TR4_one195_C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-3.0233333333301582E-4</c:v>
                </c:pt>
                <c:pt idx="1">
                  <c:v>0</c:v>
                </c:pt>
                <c:pt idx="2">
                  <c:v>-3.5666666666700492E-4</c:v>
                </c:pt>
                <c:pt idx="3">
                  <c:v>-3.5866666666697911E-4</c:v>
                </c:pt>
                <c:pt idx="4">
                  <c:v>-3.5600000000009241E-4</c:v>
                </c:pt>
                <c:pt idx="5">
                  <c:v>-3.5933333333298961E-4</c:v>
                </c:pt>
                <c:pt idx="6">
                  <c:v>2.8799999999999659E-4</c:v>
                </c:pt>
                <c:pt idx="7">
                  <c:v>-1.1003636666631619E-4</c:v>
                </c:pt>
                <c:pt idx="8">
                  <c:v>4.9631903333342831E-4</c:v>
                </c:pt>
                <c:pt idx="9">
                  <c:v>-4.2352921666698179E-4</c:v>
                </c:pt>
                <c:pt idx="10">
                  <c:v>1.6358109999853321E-4</c:v>
                </c:pt>
                <c:pt idx="11">
                  <c:v>-3.7172946666552692E-4</c:v>
                </c:pt>
                <c:pt idx="12">
                  <c:v>2.4589808333241869E-4</c:v>
                </c:pt>
                <c:pt idx="13">
                  <c:v>-2.6258843333182291E-4</c:v>
                </c:pt>
                <c:pt idx="14">
                  <c:v>-4.4192294999989562E-4</c:v>
                </c:pt>
                <c:pt idx="15">
                  <c:v>-2.8287500000168109E-6</c:v>
                </c:pt>
                <c:pt idx="16">
                  <c:v>1.5864318333180799E-4</c:v>
                </c:pt>
                <c:pt idx="17">
                  <c:v>1.3043309999988259E-4</c:v>
                </c:pt>
                <c:pt idx="18">
                  <c:v>4.2989100000484498E-4</c:v>
                </c:pt>
                <c:pt idx="19">
                  <c:v>-0.1122921470333349</c:v>
                </c:pt>
                <c:pt idx="20">
                  <c:v>-1.4138444918500039</c:v>
                </c:pt>
                <c:pt idx="21">
                  <c:v>-2.6241728477166668</c:v>
                </c:pt>
                <c:pt idx="22">
                  <c:v>-2.7936496840833338</c:v>
                </c:pt>
                <c:pt idx="23">
                  <c:v>-2.8529702035333329</c:v>
                </c:pt>
                <c:pt idx="24">
                  <c:v>-2.6063626962666682</c:v>
                </c:pt>
                <c:pt idx="25">
                  <c:v>-2.9163218629999998</c:v>
                </c:pt>
                <c:pt idx="26">
                  <c:v>-2.6194463384166671</c:v>
                </c:pt>
                <c:pt idx="27">
                  <c:v>-1.557787869866665</c:v>
                </c:pt>
                <c:pt idx="28">
                  <c:v>-2.5163978065500001</c:v>
                </c:pt>
                <c:pt idx="29">
                  <c:v>-2.3939550014333348</c:v>
                </c:pt>
                <c:pt idx="30">
                  <c:v>-2.135968966283333</c:v>
                </c:pt>
                <c:pt idx="31">
                  <c:v>-1.122469738800004</c:v>
                </c:pt>
                <c:pt idx="32">
                  <c:v>-1.6922037168333319</c:v>
                </c:pt>
                <c:pt idx="33">
                  <c:v>-1.077109563816665</c:v>
                </c:pt>
                <c:pt idx="34">
                  <c:v>-0.100416394749995</c:v>
                </c:pt>
                <c:pt idx="35">
                  <c:v>-1.010401251883333</c:v>
                </c:pt>
                <c:pt idx="36">
                  <c:v>-0.48483378450000147</c:v>
                </c:pt>
                <c:pt idx="37">
                  <c:v>-0.18938348525000001</c:v>
                </c:pt>
                <c:pt idx="38">
                  <c:v>-0.2237851875999998</c:v>
                </c:pt>
                <c:pt idx="39">
                  <c:v>3.5378483333042832E-5</c:v>
                </c:pt>
                <c:pt idx="40">
                  <c:v>4.4722909999966859E-4</c:v>
                </c:pt>
                <c:pt idx="41">
                  <c:v>-3.3366666666700961E-4</c:v>
                </c:pt>
                <c:pt idx="42">
                  <c:v>-3.5733333333301531E-4</c:v>
                </c:pt>
                <c:pt idx="43">
                  <c:v>2.9400000000012749E-4</c:v>
                </c:pt>
                <c:pt idx="44">
                  <c:v>1.366666666702265E-5</c:v>
                </c:pt>
                <c:pt idx="45">
                  <c:v>-2.1533333333301211E-4</c:v>
                </c:pt>
                <c:pt idx="46">
                  <c:v>2.8666666667009899E-5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D-456C-A96C-F836C4AA8DE4}"/>
            </c:ext>
          </c:extLst>
        </c:ser>
        <c:ser>
          <c:idx val="1"/>
          <c:order val="1"/>
          <c:tx>
            <c:v>BES_TR4_one223_B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-4.2533333333399931E-4</c:v>
                </c:pt>
                <c:pt idx="1">
                  <c:v>0</c:v>
                </c:pt>
                <c:pt idx="2">
                  <c:v>0</c:v>
                </c:pt>
                <c:pt idx="3">
                  <c:v>-3.3733333333299531E-4</c:v>
                </c:pt>
                <c:pt idx="4">
                  <c:v>2.0000000000020002E-6</c:v>
                </c:pt>
                <c:pt idx="5">
                  <c:v>0</c:v>
                </c:pt>
                <c:pt idx="6">
                  <c:v>2.190000000000247E-4</c:v>
                </c:pt>
                <c:pt idx="7">
                  <c:v>-1.3493593333299689E-4</c:v>
                </c:pt>
                <c:pt idx="8">
                  <c:v>4.9513060000008768E-4</c:v>
                </c:pt>
                <c:pt idx="9">
                  <c:v>-4.5283456666657401E-4</c:v>
                </c:pt>
                <c:pt idx="10">
                  <c:v>1.934504666659814E-4</c:v>
                </c:pt>
                <c:pt idx="11">
                  <c:v>7.2517600001043014E-5</c:v>
                </c:pt>
                <c:pt idx="12">
                  <c:v>3.9305549999890671E-4</c:v>
                </c:pt>
                <c:pt idx="13">
                  <c:v>2.6790866667902868E-5</c:v>
                </c:pt>
                <c:pt idx="14">
                  <c:v>-4.6959110000011067E-4</c:v>
                </c:pt>
                <c:pt idx="15">
                  <c:v>-1.9623416666703089E-4</c:v>
                </c:pt>
                <c:pt idx="16">
                  <c:v>-3.5571536666778591E-4</c:v>
                </c:pt>
                <c:pt idx="17">
                  <c:v>-1.366578866866667</c:v>
                </c:pt>
                <c:pt idx="18">
                  <c:v>-1.768093188666668</c:v>
                </c:pt>
                <c:pt idx="19">
                  <c:v>-2.159120554599999</c:v>
                </c:pt>
                <c:pt idx="20">
                  <c:v>-2.2012333739666681</c:v>
                </c:pt>
                <c:pt idx="21">
                  <c:v>-2.4009948409000001</c:v>
                </c:pt>
                <c:pt idx="22">
                  <c:v>-2.035105910166668</c:v>
                </c:pt>
                <c:pt idx="23">
                  <c:v>-2.5181899649333328</c:v>
                </c:pt>
                <c:pt idx="24">
                  <c:v>-2.537860996800001</c:v>
                </c:pt>
                <c:pt idx="25">
                  <c:v>-2.4099679206666669</c:v>
                </c:pt>
                <c:pt idx="26">
                  <c:v>-2.1963601948333329</c:v>
                </c:pt>
                <c:pt idx="27">
                  <c:v>-2.274465745600001</c:v>
                </c:pt>
                <c:pt idx="28">
                  <c:v>-2.230143453233334</c:v>
                </c:pt>
                <c:pt idx="29">
                  <c:v>-1.982871963133334</c:v>
                </c:pt>
                <c:pt idx="30">
                  <c:v>3.7496223333027817E-4</c:v>
                </c:pt>
                <c:pt idx="31">
                  <c:v>-1.159534723733334</c:v>
                </c:pt>
                <c:pt idx="32">
                  <c:v>-0.217194842999999</c:v>
                </c:pt>
                <c:pt idx="33">
                  <c:v>-9.4066721366669048E-2</c:v>
                </c:pt>
                <c:pt idx="34">
                  <c:v>-1.0692922621666661</c:v>
                </c:pt>
                <c:pt idx="35">
                  <c:v>-0.48140088256666708</c:v>
                </c:pt>
                <c:pt idx="36">
                  <c:v>-0.30495903433333399</c:v>
                </c:pt>
                <c:pt idx="37">
                  <c:v>1.1028883333019659E-4</c:v>
                </c:pt>
                <c:pt idx="38">
                  <c:v>-4.3069413333290951E-4</c:v>
                </c:pt>
                <c:pt idx="39">
                  <c:v>-3.842946333330044E-4</c:v>
                </c:pt>
                <c:pt idx="40">
                  <c:v>-4.549886666704861E-5</c:v>
                </c:pt>
                <c:pt idx="41">
                  <c:v>-9.6666666666966883E-5</c:v>
                </c:pt>
                <c:pt idx="42">
                  <c:v>5.6999999999973738E-5</c:v>
                </c:pt>
                <c:pt idx="43">
                  <c:v>-1.163333333329408E-4</c:v>
                </c:pt>
                <c:pt idx="44">
                  <c:v>-3.1333333332994602E-5</c:v>
                </c:pt>
                <c:pt idx="45">
                  <c:v>-3.5299999999999221E-4</c:v>
                </c:pt>
                <c:pt idx="46">
                  <c:v>1.4186666666698991E-4</c:v>
                </c:pt>
                <c:pt idx="47">
                  <c:v>2.8333333332991591E-5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3D-456C-A96C-F836C4AA8DE4}"/>
            </c:ext>
          </c:extLst>
        </c:ser>
        <c:ser>
          <c:idx val="2"/>
          <c:order val="2"/>
          <c:tx>
            <c:v>BES_TR4_one235_A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-3.8666666666992138E-5</c:v>
                </c:pt>
                <c:pt idx="1">
                  <c:v>0</c:v>
                </c:pt>
                <c:pt idx="2">
                  <c:v>-4.8933333333300855E-4</c:v>
                </c:pt>
                <c:pt idx="3">
                  <c:v>0</c:v>
                </c:pt>
                <c:pt idx="4">
                  <c:v>3.0466666666698061E-4</c:v>
                </c:pt>
                <c:pt idx="5">
                  <c:v>2.0599999999999791E-4</c:v>
                </c:pt>
                <c:pt idx="6">
                  <c:v>2.7466666666670081E-4</c:v>
                </c:pt>
                <c:pt idx="7">
                  <c:v>-2.048034666666809E-4</c:v>
                </c:pt>
                <c:pt idx="8">
                  <c:v>-5.3333331993918494E-9</c:v>
                </c:pt>
                <c:pt idx="9">
                  <c:v>4.2644279999998203E-4</c:v>
                </c:pt>
                <c:pt idx="10">
                  <c:v>-1.342882666680589E-4</c:v>
                </c:pt>
                <c:pt idx="11">
                  <c:v>4.4669013333509261E-4</c:v>
                </c:pt>
                <c:pt idx="12">
                  <c:v>8.1407333331950937E-5</c:v>
                </c:pt>
                <c:pt idx="13">
                  <c:v>-2.3050106666500089E-4</c:v>
                </c:pt>
                <c:pt idx="14">
                  <c:v>4.0545200000074999E-5</c:v>
                </c:pt>
                <c:pt idx="15">
                  <c:v>-0.21787075666666689</c:v>
                </c:pt>
                <c:pt idx="16">
                  <c:v>-2.1163300649333352</c:v>
                </c:pt>
                <c:pt idx="17">
                  <c:v>-2.4866509336</c:v>
                </c:pt>
                <c:pt idx="18">
                  <c:v>-2.5410646960000012</c:v>
                </c:pt>
                <c:pt idx="19">
                  <c:v>-2.687987072799999</c:v>
                </c:pt>
                <c:pt idx="20">
                  <c:v>-2.9689789430666682</c:v>
                </c:pt>
                <c:pt idx="21">
                  <c:v>-3.1577754545333332</c:v>
                </c:pt>
                <c:pt idx="22">
                  <c:v>-3.322977924666668</c:v>
                </c:pt>
                <c:pt idx="23">
                  <c:v>-2.0453000421333298</c:v>
                </c:pt>
                <c:pt idx="24">
                  <c:v>-3.2402329957333351</c:v>
                </c:pt>
                <c:pt idx="25">
                  <c:v>-1.90013700533333</c:v>
                </c:pt>
                <c:pt idx="26">
                  <c:v>-2.961631482</c:v>
                </c:pt>
                <c:pt idx="27">
                  <c:v>-2.7532696608000009</c:v>
                </c:pt>
                <c:pt idx="28">
                  <c:v>-2.7506316931999999</c:v>
                </c:pt>
                <c:pt idx="29">
                  <c:v>-2.7009477730666678</c:v>
                </c:pt>
                <c:pt idx="30">
                  <c:v>-2.5598190281333331</c:v>
                </c:pt>
                <c:pt idx="31">
                  <c:v>-2.373446520533335</c:v>
                </c:pt>
                <c:pt idx="32">
                  <c:v>-1.9584267239999991</c:v>
                </c:pt>
                <c:pt idx="33">
                  <c:v>-1.7940712729333319</c:v>
                </c:pt>
                <c:pt idx="34">
                  <c:v>-1.1030010606666649</c:v>
                </c:pt>
                <c:pt idx="35">
                  <c:v>-1.1441832878666669</c:v>
                </c:pt>
                <c:pt idx="36">
                  <c:v>-0.36776160133333502</c:v>
                </c:pt>
                <c:pt idx="37">
                  <c:v>-0.31151672600000002</c:v>
                </c:pt>
                <c:pt idx="38">
                  <c:v>-0.24832074773333321</c:v>
                </c:pt>
                <c:pt idx="39">
                  <c:v>4.8138493333299559E-4</c:v>
                </c:pt>
                <c:pt idx="40">
                  <c:v>-3.8044293333372448E-4</c:v>
                </c:pt>
                <c:pt idx="41">
                  <c:v>-4.3333333330508586E-6</c:v>
                </c:pt>
                <c:pt idx="42">
                  <c:v>2.9966666666603192E-4</c:v>
                </c:pt>
                <c:pt idx="43">
                  <c:v>4.4133333333301611E-4</c:v>
                </c:pt>
                <c:pt idx="44">
                  <c:v>-3.8700000000002621E-4</c:v>
                </c:pt>
                <c:pt idx="45">
                  <c:v>2.6066666666701988E-4</c:v>
                </c:pt>
                <c:pt idx="46">
                  <c:v>-1.0733333333298729E-4</c:v>
                </c:pt>
                <c:pt idx="47">
                  <c:v>-3.8200000000000728E-4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3D-456C-A96C-F836C4AA8DE4}"/>
            </c:ext>
          </c:extLst>
        </c:ser>
        <c:ser>
          <c:idx val="3"/>
          <c:order val="3"/>
          <c:tx>
            <c:v>BES_TR4_one242_B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-4.8333333333300249E-4</c:v>
                </c:pt>
                <c:pt idx="2">
                  <c:v>-2.6666666669838972E-6</c:v>
                </c:pt>
                <c:pt idx="3">
                  <c:v>0</c:v>
                </c:pt>
                <c:pt idx="4">
                  <c:v>-2.05999999999984E-4</c:v>
                </c:pt>
                <c:pt idx="5">
                  <c:v>-2.7999999999997471E-4</c:v>
                </c:pt>
                <c:pt idx="6">
                  <c:v>0</c:v>
                </c:pt>
                <c:pt idx="7">
                  <c:v>-4.0647013333366949E-4</c:v>
                </c:pt>
                <c:pt idx="8">
                  <c:v>-2.5482586666619728E-4</c:v>
                </c:pt>
                <c:pt idx="9">
                  <c:v>2.7977613333299289E-4</c:v>
                </c:pt>
                <c:pt idx="10">
                  <c:v>-3.402882666680429E-4</c:v>
                </c:pt>
                <c:pt idx="11">
                  <c:v>6.7356800001028283E-5</c:v>
                </c:pt>
                <c:pt idx="12">
                  <c:v>-8.55926666680773E-5</c:v>
                </c:pt>
                <c:pt idx="13">
                  <c:v>1.183226666778836E-5</c:v>
                </c:pt>
                <c:pt idx="14">
                  <c:v>-1.03454800000069E-4</c:v>
                </c:pt>
                <c:pt idx="15">
                  <c:v>-1.0942333333296971E-4</c:v>
                </c:pt>
                <c:pt idx="16">
                  <c:v>-1.7543320649333349</c:v>
                </c:pt>
                <c:pt idx="17">
                  <c:v>-2.3621032669333331</c:v>
                </c:pt>
                <c:pt idx="18">
                  <c:v>-2.5516090293333349</c:v>
                </c:pt>
                <c:pt idx="19">
                  <c:v>-2.908383406133332</c:v>
                </c:pt>
                <c:pt idx="20">
                  <c:v>-2.6945149430666682</c:v>
                </c:pt>
                <c:pt idx="21">
                  <c:v>-2.8848964545333331</c:v>
                </c:pt>
                <c:pt idx="22">
                  <c:v>-2.855957258000001</c:v>
                </c:pt>
                <c:pt idx="23">
                  <c:v>-3.158361375466666</c:v>
                </c:pt>
                <c:pt idx="24">
                  <c:v>-3.1583446624000011</c:v>
                </c:pt>
                <c:pt idx="25">
                  <c:v>-2.329200005333329</c:v>
                </c:pt>
                <c:pt idx="26">
                  <c:v>-2.906494448666666</c:v>
                </c:pt>
                <c:pt idx="27">
                  <c:v>-2.9465053274666682</c:v>
                </c:pt>
                <c:pt idx="28">
                  <c:v>-2.6908148931999998</c:v>
                </c:pt>
                <c:pt idx="29">
                  <c:v>-2.7380608397333348</c:v>
                </c:pt>
                <c:pt idx="30">
                  <c:v>-2.2999118281333328</c:v>
                </c:pt>
                <c:pt idx="31">
                  <c:v>-2.2032375205333352</c:v>
                </c:pt>
                <c:pt idx="32">
                  <c:v>-2.111800057333332</c:v>
                </c:pt>
                <c:pt idx="33">
                  <c:v>-1.6518162729333321</c:v>
                </c:pt>
                <c:pt idx="34">
                  <c:v>-1.339952727333332</c:v>
                </c:pt>
                <c:pt idx="35">
                  <c:v>-1.1002376212</c:v>
                </c:pt>
                <c:pt idx="36">
                  <c:v>-0.65711493466666804</c:v>
                </c:pt>
                <c:pt idx="37">
                  <c:v>-0.55582272600000004</c:v>
                </c:pt>
                <c:pt idx="38">
                  <c:v>-7.3915747733333204E-2</c:v>
                </c:pt>
                <c:pt idx="39">
                  <c:v>-2.6978948399999991E-2</c:v>
                </c:pt>
                <c:pt idx="40">
                  <c:v>-3.6057626666669012E-4</c:v>
                </c:pt>
                <c:pt idx="41">
                  <c:v>1.869999999999927E-4</c:v>
                </c:pt>
                <c:pt idx="42">
                  <c:v>4.4333333332979841E-5</c:v>
                </c:pt>
                <c:pt idx="43">
                  <c:v>3.7999999999999151E-4</c:v>
                </c:pt>
                <c:pt idx="44">
                  <c:v>6.6666666666992391E-5</c:v>
                </c:pt>
                <c:pt idx="45">
                  <c:v>4.2333333333288698E-4</c:v>
                </c:pt>
                <c:pt idx="46">
                  <c:v>-1.6866666666603969E-4</c:v>
                </c:pt>
                <c:pt idx="47">
                  <c:v>-1.1166666666706521E-4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3D-456C-A96C-F836C4AA8DE4}"/>
            </c:ext>
          </c:extLst>
        </c:ser>
        <c:ser>
          <c:idx val="4"/>
          <c:order val="4"/>
          <c:tx>
            <c:v>BES_TR4_one252_C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-4.4666666666698379E-4</c:v>
                </c:pt>
                <c:pt idx="1">
                  <c:v>-3.97333333332972E-4</c:v>
                </c:pt>
                <c:pt idx="2">
                  <c:v>5.8666666666984391E-5</c:v>
                </c:pt>
                <c:pt idx="3">
                  <c:v>3.0099999999999572E-4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-3.0086939999990348E-4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2.6412420000099251E-4</c:v>
                </c:pt>
                <c:pt idx="14">
                  <c:v>-2.319244333330861E-4</c:v>
                </c:pt>
                <c:pt idx="15">
                  <c:v>4.9909916666690535E-4</c:v>
                </c:pt>
                <c:pt idx="16">
                  <c:v>-2.7971536666693281E-4</c:v>
                </c:pt>
                <c:pt idx="17">
                  <c:v>-4.0629533533333977E-2</c:v>
                </c:pt>
                <c:pt idx="18">
                  <c:v>-1.865790855333334</c:v>
                </c:pt>
                <c:pt idx="19">
                  <c:v>-2.0577842212666662</c:v>
                </c:pt>
                <c:pt idx="20">
                  <c:v>-2.1443660406333338</c:v>
                </c:pt>
                <c:pt idx="21">
                  <c:v>-2.2737728409</c:v>
                </c:pt>
                <c:pt idx="22">
                  <c:v>-2.2095621101666678</c:v>
                </c:pt>
                <c:pt idx="23">
                  <c:v>-1.4434676982666701</c:v>
                </c:pt>
                <c:pt idx="24">
                  <c:v>-2.4476609968000012</c:v>
                </c:pt>
                <c:pt idx="25">
                  <c:v>-2.433674587333333</c:v>
                </c:pt>
                <c:pt idx="26">
                  <c:v>-2.432382194833334</c:v>
                </c:pt>
                <c:pt idx="27">
                  <c:v>-2.339514078933334</c:v>
                </c:pt>
                <c:pt idx="28">
                  <c:v>-2.2441309198999999</c:v>
                </c:pt>
                <c:pt idx="29">
                  <c:v>-2.1036426298000008</c:v>
                </c:pt>
                <c:pt idx="30">
                  <c:v>-1.9543463711</c:v>
                </c:pt>
                <c:pt idx="31">
                  <c:v>-1.774687890400001</c:v>
                </c:pt>
                <c:pt idx="32">
                  <c:v>-1.572350042999999</c:v>
                </c:pt>
                <c:pt idx="33">
                  <c:v>-1.3280534546999989</c:v>
                </c:pt>
                <c:pt idx="34">
                  <c:v>-0.87170606216666613</c:v>
                </c:pt>
                <c:pt idx="35">
                  <c:v>-0.7709080825666671</c:v>
                </c:pt>
                <c:pt idx="36">
                  <c:v>-0.6166836676666676</c:v>
                </c:pt>
                <c:pt idx="37">
                  <c:v>-0.30207384450000002</c:v>
                </c:pt>
                <c:pt idx="38">
                  <c:v>-0.14464516079999989</c:v>
                </c:pt>
                <c:pt idx="39">
                  <c:v>-1.613613000000097E-4</c:v>
                </c:pt>
                <c:pt idx="40">
                  <c:v>2.3383446666697119E-4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3D-456C-A96C-F836C4AA8DE4}"/>
            </c:ext>
          </c:extLst>
        </c:ser>
        <c:ser>
          <c:idx val="5"/>
          <c:order val="5"/>
          <c:tx>
            <c:v>BES_TR4_one260_C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-2.113333333329942E-4</c:v>
                </c:pt>
                <c:pt idx="1">
                  <c:v>6.9388939039072284E-18</c:v>
                </c:pt>
                <c:pt idx="2">
                  <c:v>6.9388939039072284E-18</c:v>
                </c:pt>
                <c:pt idx="3">
                  <c:v>9.8666666667024394E-5</c:v>
                </c:pt>
                <c:pt idx="4">
                  <c:v>-4.7999999999989718E-4</c:v>
                </c:pt>
                <c:pt idx="5">
                  <c:v>1.3833333333339301E-4</c:v>
                </c:pt>
                <c:pt idx="6">
                  <c:v>4.8033333333299949E-4</c:v>
                </c:pt>
                <c:pt idx="7">
                  <c:v>-4.4080346666666709E-4</c:v>
                </c:pt>
                <c:pt idx="8">
                  <c:v>2.6550746666680232E-4</c:v>
                </c:pt>
                <c:pt idx="9">
                  <c:v>4.2644279999998203E-4</c:v>
                </c:pt>
                <c:pt idx="10">
                  <c:v>-3.5928826666797859E-4</c:v>
                </c:pt>
                <c:pt idx="11">
                  <c:v>-2.2030986666499161E-4</c:v>
                </c:pt>
                <c:pt idx="12">
                  <c:v>8.1407333331728893E-5</c:v>
                </c:pt>
                <c:pt idx="13">
                  <c:v>-1.925010666650184E-4</c:v>
                </c:pt>
                <c:pt idx="14">
                  <c:v>1.105451999998674E-4</c:v>
                </c:pt>
                <c:pt idx="15">
                  <c:v>-0.38868075666666679</c:v>
                </c:pt>
                <c:pt idx="16">
                  <c:v>-1.1240490649333379</c:v>
                </c:pt>
                <c:pt idx="17">
                  <c:v>-2.3434109336</c:v>
                </c:pt>
                <c:pt idx="18">
                  <c:v>-2.455646696000001</c:v>
                </c:pt>
                <c:pt idx="19">
                  <c:v>-2.6718347394666648</c:v>
                </c:pt>
                <c:pt idx="20">
                  <c:v>-2.9906429430666681</c:v>
                </c:pt>
                <c:pt idx="21">
                  <c:v>-3.1201671212000002</c:v>
                </c:pt>
                <c:pt idx="22">
                  <c:v>-3.3296445913333339</c:v>
                </c:pt>
                <c:pt idx="23">
                  <c:v>-3.231158042133333</c:v>
                </c:pt>
                <c:pt idx="24">
                  <c:v>-3.4074813290666679</c:v>
                </c:pt>
                <c:pt idx="25">
                  <c:v>-3.2517836720000002</c:v>
                </c:pt>
                <c:pt idx="26">
                  <c:v>-3.2229816819999999</c:v>
                </c:pt>
                <c:pt idx="27">
                  <c:v>-2.7361100608000011</c:v>
                </c:pt>
                <c:pt idx="28">
                  <c:v>-2.7010292932</c:v>
                </c:pt>
                <c:pt idx="29">
                  <c:v>-2.7364858397333349</c:v>
                </c:pt>
                <c:pt idx="30">
                  <c:v>-1.2535124948</c:v>
                </c:pt>
                <c:pt idx="31">
                  <c:v>-1.4084545205333381</c:v>
                </c:pt>
                <c:pt idx="32">
                  <c:v>-1.968046390666665</c:v>
                </c:pt>
                <c:pt idx="33">
                  <c:v>-1.7522062729333321</c:v>
                </c:pt>
                <c:pt idx="34">
                  <c:v>-1.3779413939999989</c:v>
                </c:pt>
                <c:pt idx="35">
                  <c:v>-1.150330187866667</c:v>
                </c:pt>
                <c:pt idx="36">
                  <c:v>-0.42048270133333498</c:v>
                </c:pt>
                <c:pt idx="37">
                  <c:v>-0.40380182599999997</c:v>
                </c:pt>
                <c:pt idx="38">
                  <c:v>-0.1484083477333332</c:v>
                </c:pt>
                <c:pt idx="39">
                  <c:v>-3.2817333329715481E-6</c:v>
                </c:pt>
                <c:pt idx="40">
                  <c:v>1.205570666663047E-4</c:v>
                </c:pt>
                <c:pt idx="41">
                  <c:v>-2.1333333333040109E-5</c:v>
                </c:pt>
                <c:pt idx="42">
                  <c:v>6.9388939039072284E-18</c:v>
                </c:pt>
                <c:pt idx="43">
                  <c:v>-4.8399999999999832E-4</c:v>
                </c:pt>
                <c:pt idx="44">
                  <c:v>-6.7666666667021147E-5</c:v>
                </c:pt>
                <c:pt idx="45">
                  <c:v>2.6666666666699812E-4</c:v>
                </c:pt>
                <c:pt idx="46">
                  <c:v>-1.2666666666993899E-5</c:v>
                </c:pt>
                <c:pt idx="47">
                  <c:v>-3.6866666666698911E-4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3D-456C-A96C-F836C4AA8DE4}"/>
            </c:ext>
          </c:extLst>
        </c:ser>
        <c:ser>
          <c:idx val="6"/>
          <c:order val="6"/>
          <c:tx>
            <c:v>BES_TR4_one299_B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-8.5333333332993089E-5</c:v>
                </c:pt>
                <c:pt idx="1">
                  <c:v>0</c:v>
                </c:pt>
                <c:pt idx="2">
                  <c:v>4.0000000000039997E-5</c:v>
                </c:pt>
                <c:pt idx="3">
                  <c:v>-2.8399999999999259E-4</c:v>
                </c:pt>
                <c:pt idx="4">
                  <c:v>-3.8399999999999551E-4</c:v>
                </c:pt>
                <c:pt idx="5">
                  <c:v>8.9333333332997089E-5</c:v>
                </c:pt>
                <c:pt idx="6">
                  <c:v>4.4000000000002371E-5</c:v>
                </c:pt>
                <c:pt idx="7">
                  <c:v>-3.3547013333365411E-4</c:v>
                </c:pt>
                <c:pt idx="8">
                  <c:v>-8.7492533333205502E-5</c:v>
                </c:pt>
                <c:pt idx="9">
                  <c:v>4.2644280000000978E-4</c:v>
                </c:pt>
                <c:pt idx="10">
                  <c:v>3.7771173333198132E-4</c:v>
                </c:pt>
                <c:pt idx="11">
                  <c:v>1.7635680000116499E-4</c:v>
                </c:pt>
                <c:pt idx="12">
                  <c:v>-3.7859266666817598E-4</c:v>
                </c:pt>
                <c:pt idx="13">
                  <c:v>-2.218343999988992E-4</c:v>
                </c:pt>
                <c:pt idx="14">
                  <c:v>-3.7245480000014369E-4</c:v>
                </c:pt>
                <c:pt idx="15">
                  <c:v>-1.517566666666692E-4</c:v>
                </c:pt>
                <c:pt idx="16">
                  <c:v>-0.59004873160000115</c:v>
                </c:pt>
                <c:pt idx="17">
                  <c:v>-2.3049509335999998</c:v>
                </c:pt>
                <c:pt idx="18">
                  <c:v>-2.4457570293333348</c:v>
                </c:pt>
                <c:pt idx="19">
                  <c:v>-2.6527700727999992</c:v>
                </c:pt>
                <c:pt idx="20">
                  <c:v>-2.976648843066668</c:v>
                </c:pt>
                <c:pt idx="21">
                  <c:v>-2.3778397878666668</c:v>
                </c:pt>
                <c:pt idx="22">
                  <c:v>-2.7315965913333349</c:v>
                </c:pt>
                <c:pt idx="23">
                  <c:v>-2.5580653754666671</c:v>
                </c:pt>
                <c:pt idx="24">
                  <c:v>-2.530355995733335</c:v>
                </c:pt>
                <c:pt idx="25">
                  <c:v>-3.2261700053333331</c:v>
                </c:pt>
                <c:pt idx="26">
                  <c:v>-3.1119158153333331</c:v>
                </c:pt>
                <c:pt idx="27">
                  <c:v>-3.1339716608000008</c:v>
                </c:pt>
                <c:pt idx="28">
                  <c:v>-3.0135078931999999</c:v>
                </c:pt>
                <c:pt idx="29">
                  <c:v>-2.670254173066668</c:v>
                </c:pt>
                <c:pt idx="30">
                  <c:v>-2.579243828133333</c:v>
                </c:pt>
                <c:pt idx="31">
                  <c:v>-2.2986551872000009</c:v>
                </c:pt>
                <c:pt idx="32">
                  <c:v>-1.9760400573333321</c:v>
                </c:pt>
                <c:pt idx="33">
                  <c:v>-1.6410812729333319</c:v>
                </c:pt>
                <c:pt idx="34">
                  <c:v>-1.4872117273333321</c:v>
                </c:pt>
                <c:pt idx="35">
                  <c:v>-1.0576582878666669</c:v>
                </c:pt>
                <c:pt idx="36">
                  <c:v>-0.85039493466666805</c:v>
                </c:pt>
                <c:pt idx="37">
                  <c:v>-2.2747260000000051E-3</c:v>
                </c:pt>
                <c:pt idx="38">
                  <c:v>-4.8208106666325362E-4</c:v>
                </c:pt>
                <c:pt idx="39">
                  <c:v>3.9771826666701321E-4</c:v>
                </c:pt>
                <c:pt idx="40">
                  <c:v>3.2390400000331658E-5</c:v>
                </c:pt>
                <c:pt idx="41">
                  <c:v>5.6000000000028249E-5</c:v>
                </c:pt>
                <c:pt idx="42">
                  <c:v>-4.3400000000000377E-4</c:v>
                </c:pt>
                <c:pt idx="43">
                  <c:v>2.4733333333298862E-4</c:v>
                </c:pt>
                <c:pt idx="44">
                  <c:v>-6.3999999999980739E-5</c:v>
                </c:pt>
                <c:pt idx="45">
                  <c:v>-4.3400000000000377E-4</c:v>
                </c:pt>
                <c:pt idx="46">
                  <c:v>2.4733333333298862E-4</c:v>
                </c:pt>
                <c:pt idx="47">
                  <c:v>1.6499999999999851E-4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3D-456C-A96C-F836C4AA8DE4}"/>
            </c:ext>
          </c:extLst>
        </c:ser>
        <c:ser>
          <c:idx val="7"/>
          <c:order val="7"/>
          <c:tx>
            <c:v>BES_TR4_one320_B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-4.2533333333300011E-4</c:v>
                </c:pt>
                <c:pt idx="1">
                  <c:v>0</c:v>
                </c:pt>
                <c:pt idx="2">
                  <c:v>-2.7066666666697442E-4</c:v>
                </c:pt>
                <c:pt idx="3">
                  <c:v>-1.5466666666701101E-4</c:v>
                </c:pt>
                <c:pt idx="4">
                  <c:v>0</c:v>
                </c:pt>
                <c:pt idx="5">
                  <c:v>-2.3200000000001E-4</c:v>
                </c:pt>
                <c:pt idx="6">
                  <c:v>-1.933333333330178E-4</c:v>
                </c:pt>
                <c:pt idx="7">
                  <c:v>-1.5050216666666341E-4</c:v>
                </c:pt>
                <c:pt idx="8">
                  <c:v>-3.5472450000023642E-4</c:v>
                </c:pt>
                <c:pt idx="9">
                  <c:v>4.868600833329885E-4</c:v>
                </c:pt>
                <c:pt idx="10">
                  <c:v>-3.3768016666749218E-4</c:v>
                </c:pt>
                <c:pt idx="11">
                  <c:v>3.1943133333423018E-4</c:v>
                </c:pt>
                <c:pt idx="12">
                  <c:v>-3.5512041666757588E-4</c:v>
                </c:pt>
                <c:pt idx="13">
                  <c:v>4.1177016666749111E-4</c:v>
                </c:pt>
                <c:pt idx="14">
                  <c:v>-2.2465925000003659E-4</c:v>
                </c:pt>
                <c:pt idx="15">
                  <c:v>-2.959729166671643E-4</c:v>
                </c:pt>
                <c:pt idx="16">
                  <c:v>-4.7654058333490568E-4</c:v>
                </c:pt>
                <c:pt idx="17">
                  <c:v>-0.21340683350000009</c:v>
                </c:pt>
                <c:pt idx="18">
                  <c:v>-1.275033268333335</c:v>
                </c:pt>
                <c:pt idx="19">
                  <c:v>-1.3206969621666651</c:v>
                </c:pt>
                <c:pt idx="20">
                  <c:v>-1.65576792275</c:v>
                </c:pt>
                <c:pt idx="21">
                  <c:v>-1.6513830340833331</c:v>
                </c:pt>
                <c:pt idx="22">
                  <c:v>-1.894739202916667</c:v>
                </c:pt>
                <c:pt idx="23">
                  <c:v>-1.647981859666666</c:v>
                </c:pt>
                <c:pt idx="24">
                  <c:v>-1.664086497333334</c:v>
                </c:pt>
                <c:pt idx="25">
                  <c:v>-1.900416378333333</c:v>
                </c:pt>
                <c:pt idx="26">
                  <c:v>-1.829216717916667</c:v>
                </c:pt>
                <c:pt idx="27">
                  <c:v>-1.694277088</c:v>
                </c:pt>
                <c:pt idx="28">
                  <c:v>-1.8329594332500001</c:v>
                </c:pt>
                <c:pt idx="29">
                  <c:v>-1.5577241248333351</c:v>
                </c:pt>
                <c:pt idx="30">
                  <c:v>-1.600192375916667</c:v>
                </c:pt>
                <c:pt idx="31">
                  <c:v>-1.298743308666668</c:v>
                </c:pt>
                <c:pt idx="32">
                  <c:v>-0.76652850249999915</c:v>
                </c:pt>
                <c:pt idx="33">
                  <c:v>-0.47473267891666687</c:v>
                </c:pt>
                <c:pt idx="34">
                  <c:v>-4.1066291666247418E-4</c:v>
                </c:pt>
                <c:pt idx="35">
                  <c:v>-2.2517991666015649E-4</c:v>
                </c:pt>
                <c:pt idx="36">
                  <c:v>-4.577508333376556E-4</c:v>
                </c:pt>
                <c:pt idx="37">
                  <c:v>-6.5303750000016147E-5</c:v>
                </c:pt>
                <c:pt idx="38">
                  <c:v>4.7953266666680983E-4</c:v>
                </c:pt>
                <c:pt idx="39">
                  <c:v>3.930322500000083E-4</c:v>
                </c:pt>
                <c:pt idx="40">
                  <c:v>3.4030650000327339E-4</c:v>
                </c:pt>
                <c:pt idx="41">
                  <c:v>2.4736833333333301</c:v>
                </c:pt>
                <c:pt idx="42">
                  <c:v>2.4752606666666699</c:v>
                </c:pt>
                <c:pt idx="43">
                  <c:v>0.41860166666666698</c:v>
                </c:pt>
                <c:pt idx="44">
                  <c:v>0.441732666666667</c:v>
                </c:pt>
                <c:pt idx="45">
                  <c:v>0.17060819999999999</c:v>
                </c:pt>
                <c:pt idx="46">
                  <c:v>5.6000000000000001E-2</c:v>
                </c:pt>
                <c:pt idx="47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3D-456C-A96C-F836C4AA8DE4}"/>
            </c:ext>
          </c:extLst>
        </c:ser>
        <c:ser>
          <c:idx val="8"/>
          <c:order val="8"/>
          <c:tx>
            <c:v>BES_TR4_one321_C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-8.7333333332995089E-5</c:v>
                </c:pt>
                <c:pt idx="1">
                  <c:v>2.6100000000001122E-4</c:v>
                </c:pt>
                <c:pt idx="2">
                  <c:v>0</c:v>
                </c:pt>
                <c:pt idx="3">
                  <c:v>-1.873333333330118E-4</c:v>
                </c:pt>
                <c:pt idx="4">
                  <c:v>0</c:v>
                </c:pt>
                <c:pt idx="5">
                  <c:v>0</c:v>
                </c:pt>
                <c:pt idx="6">
                  <c:v>-4.8999999999993493E-5</c:v>
                </c:pt>
                <c:pt idx="7">
                  <c:v>-2.8883549999995928E-4</c:v>
                </c:pt>
                <c:pt idx="8">
                  <c:v>-8.4057833333251591E-5</c:v>
                </c:pt>
                <c:pt idx="9">
                  <c:v>4.5419341666698421E-4</c:v>
                </c:pt>
                <c:pt idx="10">
                  <c:v>-3.3768016666751999E-4</c:v>
                </c:pt>
                <c:pt idx="11">
                  <c:v>-1.6556866666544989E-4</c:v>
                </c:pt>
                <c:pt idx="12">
                  <c:v>3.6787958333250881E-4</c:v>
                </c:pt>
                <c:pt idx="13">
                  <c:v>4.1177016666760208E-4</c:v>
                </c:pt>
                <c:pt idx="14">
                  <c:v>-2.2465925000014761E-4</c:v>
                </c:pt>
                <c:pt idx="15">
                  <c:v>-3.2863958333284588E-4</c:v>
                </c:pt>
                <c:pt idx="16">
                  <c:v>-2.0587391666793131E-4</c:v>
                </c:pt>
                <c:pt idx="17">
                  <c:v>-9.0455833500000082E-2</c:v>
                </c:pt>
                <c:pt idx="18">
                  <c:v>-1.5049879350000011</c:v>
                </c:pt>
                <c:pt idx="19">
                  <c:v>-1.798989628833332</c:v>
                </c:pt>
                <c:pt idx="20">
                  <c:v>-1.860871589416667</c:v>
                </c:pt>
                <c:pt idx="21">
                  <c:v>-1.9348870340833331</c:v>
                </c:pt>
                <c:pt idx="22">
                  <c:v>-2.0606112029166672</c:v>
                </c:pt>
                <c:pt idx="23">
                  <c:v>-1.935829859666667</c:v>
                </c:pt>
                <c:pt idx="24">
                  <c:v>-1.9650408306666669</c:v>
                </c:pt>
                <c:pt idx="25">
                  <c:v>-1.939876378333333</c:v>
                </c:pt>
                <c:pt idx="26">
                  <c:v>-0.61738905125000021</c:v>
                </c:pt>
                <c:pt idx="27">
                  <c:v>-1.2474674546666671</c:v>
                </c:pt>
                <c:pt idx="28">
                  <c:v>-1.627580099916667</c:v>
                </c:pt>
                <c:pt idx="29">
                  <c:v>-1.7050071915000009</c:v>
                </c:pt>
                <c:pt idx="30">
                  <c:v>-1.6194553092499999</c:v>
                </c:pt>
                <c:pt idx="31">
                  <c:v>-1.2365509086666679</c:v>
                </c:pt>
                <c:pt idx="32">
                  <c:v>-0.92340903583333211</c:v>
                </c:pt>
                <c:pt idx="33">
                  <c:v>-0.76829921224999898</c:v>
                </c:pt>
                <c:pt idx="34">
                  <c:v>-0.55608899624999952</c:v>
                </c:pt>
                <c:pt idx="35">
                  <c:v>-0.50681517991666702</c:v>
                </c:pt>
                <c:pt idx="36">
                  <c:v>-3.4266417500000479E-2</c:v>
                </c:pt>
                <c:pt idx="37">
                  <c:v>-0.125333537083333</c:v>
                </c:pt>
                <c:pt idx="38">
                  <c:v>-1.6111467333333181E-2</c:v>
                </c:pt>
                <c:pt idx="39">
                  <c:v>-2.4663441666600278E-4</c:v>
                </c:pt>
                <c:pt idx="40">
                  <c:v>-4.0693499999577831E-5</c:v>
                </c:pt>
                <c:pt idx="41">
                  <c:v>-6.6666666670434083E-6</c:v>
                </c:pt>
                <c:pt idx="42">
                  <c:v>2.7566666666600792E-4</c:v>
                </c:pt>
                <c:pt idx="43">
                  <c:v>1.506666666669654E-4</c:v>
                </c:pt>
                <c:pt idx="44">
                  <c:v>8.3333333333990289E-5</c:v>
                </c:pt>
                <c:pt idx="45">
                  <c:v>1.076666666669501E-4</c:v>
                </c:pt>
                <c:pt idx="46">
                  <c:v>-2.2766666666669541E-4</c:v>
                </c:pt>
                <c:pt idx="47">
                  <c:v>4.0333333333003603E-5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3D-456C-A96C-F836C4AA8DE4}"/>
            </c:ext>
          </c:extLst>
        </c:ser>
        <c:ser>
          <c:idx val="9"/>
          <c:order val="9"/>
          <c:tx>
            <c:v>BES_TR4_one328_A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-2.033333333301135E-5</c:v>
                </c:pt>
                <c:pt idx="1">
                  <c:v>-1.4666666666601769E-4</c:v>
                </c:pt>
                <c:pt idx="2">
                  <c:v>-2.226666666670096E-4</c:v>
                </c:pt>
                <c:pt idx="3">
                  <c:v>0</c:v>
                </c:pt>
                <c:pt idx="4">
                  <c:v>-3.4000000000006247E-5</c:v>
                </c:pt>
                <c:pt idx="5">
                  <c:v>-2.226666666670096E-4</c:v>
                </c:pt>
                <c:pt idx="6">
                  <c:v>-4.210000000000047E-4</c:v>
                </c:pt>
                <c:pt idx="7">
                  <c:v>4.76196533333334E-4</c:v>
                </c:pt>
                <c:pt idx="8">
                  <c:v>-4.5615920000020849E-4</c:v>
                </c:pt>
                <c:pt idx="9">
                  <c:v>3.6144280000000029E-4</c:v>
                </c:pt>
                <c:pt idx="10">
                  <c:v>4.3704506666497611E-4</c:v>
                </c:pt>
                <c:pt idx="11">
                  <c:v>1.080234666680502E-4</c:v>
                </c:pt>
                <c:pt idx="12">
                  <c:v>-4.9459266666807E-4</c:v>
                </c:pt>
                <c:pt idx="13">
                  <c:v>-3.878343999990097E-4</c:v>
                </c:pt>
                <c:pt idx="14">
                  <c:v>4.0545199999852948E-5</c:v>
                </c:pt>
                <c:pt idx="15">
                  <c:v>-4.140900000000336E-4</c:v>
                </c:pt>
                <c:pt idx="16">
                  <c:v>-1.284798064933335</c:v>
                </c:pt>
                <c:pt idx="17">
                  <c:v>-2.4826509336</c:v>
                </c:pt>
                <c:pt idx="18">
                  <c:v>-2.5115410293333351</c:v>
                </c:pt>
                <c:pt idx="19">
                  <c:v>-2.8816744061333321</c:v>
                </c:pt>
                <c:pt idx="20">
                  <c:v>-3.086008943066668</c:v>
                </c:pt>
                <c:pt idx="21">
                  <c:v>-3.016667787866667</c:v>
                </c:pt>
                <c:pt idx="22">
                  <c:v>-3.3098719246666679</c:v>
                </c:pt>
                <c:pt idx="23">
                  <c:v>-3.2665593754666671</c:v>
                </c:pt>
                <c:pt idx="24">
                  <c:v>-3.2637453290666678</c:v>
                </c:pt>
                <c:pt idx="25">
                  <c:v>-3.0982068053333331</c:v>
                </c:pt>
                <c:pt idx="26">
                  <c:v>-3.0924561486666668</c:v>
                </c:pt>
                <c:pt idx="27">
                  <c:v>-3.1373993274666678</c:v>
                </c:pt>
                <c:pt idx="28">
                  <c:v>-2.9341192265333329</c:v>
                </c:pt>
                <c:pt idx="29">
                  <c:v>-2.729253506400001</c:v>
                </c:pt>
                <c:pt idx="30">
                  <c:v>-2.555779428133333</c:v>
                </c:pt>
                <c:pt idx="31">
                  <c:v>-2.2609571872000012</c:v>
                </c:pt>
                <c:pt idx="32">
                  <c:v>-1.9497617239999989</c:v>
                </c:pt>
                <c:pt idx="33">
                  <c:v>-1.7285912729333319</c:v>
                </c:pt>
                <c:pt idx="34">
                  <c:v>-1.0497737273333321</c:v>
                </c:pt>
                <c:pt idx="35">
                  <c:v>-0.91440262120000004</c:v>
                </c:pt>
                <c:pt idx="36">
                  <c:v>-0.83732693466666808</c:v>
                </c:pt>
                <c:pt idx="37">
                  <c:v>-0.44246772600000012</c:v>
                </c:pt>
                <c:pt idx="38">
                  <c:v>-0.17241774773333321</c:v>
                </c:pt>
                <c:pt idx="39">
                  <c:v>-2.5018615066666691E-2</c:v>
                </c:pt>
                <c:pt idx="40">
                  <c:v>2.6322373333331761E-4</c:v>
                </c:pt>
                <c:pt idx="41">
                  <c:v>9.2666666667018394E-5</c:v>
                </c:pt>
                <c:pt idx="42">
                  <c:v>2.1333333332998469E-5</c:v>
                </c:pt>
                <c:pt idx="43">
                  <c:v>3.6866666666698911E-4</c:v>
                </c:pt>
                <c:pt idx="44">
                  <c:v>-3.9933333333300181E-4</c:v>
                </c:pt>
                <c:pt idx="45">
                  <c:v>-4.5200000000000801E-4</c:v>
                </c:pt>
                <c:pt idx="46">
                  <c:v>5.3999999999998487E-5</c:v>
                </c:pt>
                <c:pt idx="47">
                  <c:v>1.4133333333329889E-4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33D-456C-A96C-F836C4AA8DE4}"/>
            </c:ext>
          </c:extLst>
        </c:ser>
        <c:ser>
          <c:idx val="10"/>
          <c:order val="10"/>
          <c:tx>
            <c:v>BES_TR4_one345_A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-3.4933333333297961E-4</c:v>
                </c:pt>
                <c:pt idx="1">
                  <c:v>-4.1066666666700341E-4</c:v>
                </c:pt>
                <c:pt idx="2">
                  <c:v>0</c:v>
                </c:pt>
                <c:pt idx="3">
                  <c:v>0</c:v>
                </c:pt>
                <c:pt idx="4">
                  <c:v>-3.5466666666697511E-4</c:v>
                </c:pt>
                <c:pt idx="5">
                  <c:v>-5.6000000000000487E-5</c:v>
                </c:pt>
                <c:pt idx="6">
                  <c:v>-7.4666666666695081E-5</c:v>
                </c:pt>
                <c:pt idx="7">
                  <c:v>8.3397399999990407E-5</c:v>
                </c:pt>
                <c:pt idx="8">
                  <c:v>-3.0086939999990348E-4</c:v>
                </c:pt>
                <c:pt idx="9">
                  <c:v>-3.2883456666700511E-4</c:v>
                </c:pt>
                <c:pt idx="10">
                  <c:v>-1.1721620000104679E-4</c:v>
                </c:pt>
                <c:pt idx="11">
                  <c:v>-3.9348239999892343E-4</c:v>
                </c:pt>
                <c:pt idx="12">
                  <c:v>-3.4961116666809572E-4</c:v>
                </c:pt>
                <c:pt idx="13">
                  <c:v>-3.0587579999896702E-4</c:v>
                </c:pt>
                <c:pt idx="14">
                  <c:v>-4.7049110000019212E-4</c:v>
                </c:pt>
                <c:pt idx="15">
                  <c:v>3.0443249999989602E-4</c:v>
                </c:pt>
                <c:pt idx="16">
                  <c:v>-1.2271536666785821E-4</c:v>
                </c:pt>
                <c:pt idx="17">
                  <c:v>-0.47321820019999999</c:v>
                </c:pt>
                <c:pt idx="18">
                  <c:v>-1.7968305220000009</c:v>
                </c:pt>
                <c:pt idx="19">
                  <c:v>-0.77902522126666884</c:v>
                </c:pt>
                <c:pt idx="20">
                  <c:v>-2.1428953739666681</c:v>
                </c:pt>
                <c:pt idx="21">
                  <c:v>-1.9768361742333329</c:v>
                </c:pt>
                <c:pt idx="22">
                  <c:v>-2.1690804435000008</c:v>
                </c:pt>
                <c:pt idx="23">
                  <c:v>-2.0137136982666668</c:v>
                </c:pt>
                <c:pt idx="24">
                  <c:v>-2.3309693301333341</c:v>
                </c:pt>
                <c:pt idx="25">
                  <c:v>-2.2097059206666669</c:v>
                </c:pt>
                <c:pt idx="26">
                  <c:v>-1.512689194833333</c:v>
                </c:pt>
                <c:pt idx="27">
                  <c:v>-1.0645674122666711</c:v>
                </c:pt>
                <c:pt idx="28">
                  <c:v>-0.87588558656667015</c:v>
                </c:pt>
                <c:pt idx="29">
                  <c:v>-2.019462296466668</c:v>
                </c:pt>
                <c:pt idx="30">
                  <c:v>-1.7543257044333329</c:v>
                </c:pt>
                <c:pt idx="31">
                  <c:v>-1.720799890400001</c:v>
                </c:pt>
                <c:pt idx="32">
                  <c:v>-1.5274433763333319</c:v>
                </c:pt>
                <c:pt idx="33">
                  <c:v>-1.1753707880333319</c:v>
                </c:pt>
                <c:pt idx="34">
                  <c:v>-1.0994087954999989</c:v>
                </c:pt>
                <c:pt idx="35">
                  <c:v>-0.53829021590000004</c:v>
                </c:pt>
                <c:pt idx="36">
                  <c:v>-3.7803433333116748E-4</c:v>
                </c:pt>
                <c:pt idx="37">
                  <c:v>4.8028883333334221E-4</c:v>
                </c:pt>
                <c:pt idx="38">
                  <c:v>-7.1316560799999928E-2</c:v>
                </c:pt>
                <c:pt idx="39">
                  <c:v>-9.9294633333024684E-5</c:v>
                </c:pt>
                <c:pt idx="40">
                  <c:v>-4.3549886666693899E-4</c:v>
                </c:pt>
                <c:pt idx="41">
                  <c:v>4.176666666669826E-4</c:v>
                </c:pt>
                <c:pt idx="42">
                  <c:v>4.359999999999919E-4</c:v>
                </c:pt>
                <c:pt idx="43">
                  <c:v>-9.2666666665963682E-5</c:v>
                </c:pt>
                <c:pt idx="44">
                  <c:v>-3.666666667068164E-6</c:v>
                </c:pt>
                <c:pt idx="45">
                  <c:v>-3.0733333333310409E-4</c:v>
                </c:pt>
                <c:pt idx="46">
                  <c:v>1.073333333330151E-4</c:v>
                </c:pt>
                <c:pt idx="47">
                  <c:v>-1.3066666666698701E-4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3D-456C-A96C-F836C4AA8DE4}"/>
            </c:ext>
          </c:extLst>
        </c:ser>
        <c:ser>
          <c:idx val="11"/>
          <c:order val="11"/>
          <c:tx>
            <c:v>BES_TR4_one366_B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3.1299999999998002E-4</c:v>
                </c:pt>
                <c:pt idx="1">
                  <c:v>4.2333333333299811E-4</c:v>
                </c:pt>
                <c:pt idx="2">
                  <c:v>-1.656666666669804E-4</c:v>
                </c:pt>
                <c:pt idx="3">
                  <c:v>1.05999999999995E-4</c:v>
                </c:pt>
                <c:pt idx="4">
                  <c:v>4.6800000000002401E-4</c:v>
                </c:pt>
                <c:pt idx="5">
                  <c:v>3.7466666666699511E-4</c:v>
                </c:pt>
                <c:pt idx="6">
                  <c:v>4.679999999999962E-4</c:v>
                </c:pt>
                <c:pt idx="7">
                  <c:v>-1.638034666666677E-4</c:v>
                </c:pt>
                <c:pt idx="8">
                  <c:v>2.9917413333349798E-4</c:v>
                </c:pt>
                <c:pt idx="9">
                  <c:v>1.5977613333299781E-4</c:v>
                </c:pt>
                <c:pt idx="10">
                  <c:v>3.0104506666500658E-4</c:v>
                </c:pt>
                <c:pt idx="11">
                  <c:v>-2.3864319999900019E-4</c:v>
                </c:pt>
                <c:pt idx="12">
                  <c:v>-4.3092600000105291E-4</c:v>
                </c:pt>
                <c:pt idx="13">
                  <c:v>-3.0350106666499071E-4</c:v>
                </c:pt>
                <c:pt idx="14">
                  <c:v>4.2587853333309061E-4</c:v>
                </c:pt>
                <c:pt idx="15">
                  <c:v>-4.0775666666670318E-4</c:v>
                </c:pt>
                <c:pt idx="16">
                  <c:v>-1.379026398266668</c:v>
                </c:pt>
                <c:pt idx="17">
                  <c:v>-2.3499176002666671</c:v>
                </c:pt>
                <c:pt idx="18">
                  <c:v>-2.626402029333335</c:v>
                </c:pt>
                <c:pt idx="19">
                  <c:v>-2.6832460727999989</c:v>
                </c:pt>
                <c:pt idx="20">
                  <c:v>-3.0139029430666682</c:v>
                </c:pt>
                <c:pt idx="21">
                  <c:v>-3.1533364545333331</c:v>
                </c:pt>
                <c:pt idx="22">
                  <c:v>-3.089635924666668</c:v>
                </c:pt>
                <c:pt idx="23">
                  <c:v>-3.358728042133333</c:v>
                </c:pt>
                <c:pt idx="24">
                  <c:v>-3.220371995733335</c:v>
                </c:pt>
                <c:pt idx="25">
                  <c:v>-3.2151203386666669</c:v>
                </c:pt>
                <c:pt idx="26">
                  <c:v>-1.25019514866667</c:v>
                </c:pt>
                <c:pt idx="27">
                  <c:v>-2.7397039941333352</c:v>
                </c:pt>
                <c:pt idx="28">
                  <c:v>-2.9283672265333331</c:v>
                </c:pt>
                <c:pt idx="29">
                  <c:v>-2.6831842064000009</c:v>
                </c:pt>
                <c:pt idx="30">
                  <c:v>-2.5200551614666669</c:v>
                </c:pt>
                <c:pt idx="31">
                  <c:v>-2.0351311872000011</c:v>
                </c:pt>
                <c:pt idx="32">
                  <c:v>-1.5783487239999989</c:v>
                </c:pt>
                <c:pt idx="33">
                  <c:v>-1.6381086062666661</c:v>
                </c:pt>
                <c:pt idx="34">
                  <c:v>-1.073158193999999</c:v>
                </c:pt>
                <c:pt idx="35">
                  <c:v>-1.0344346212</c:v>
                </c:pt>
                <c:pt idx="36">
                  <c:v>-0.74900960133333505</c:v>
                </c:pt>
                <c:pt idx="37">
                  <c:v>-0.39581539266666699</c:v>
                </c:pt>
                <c:pt idx="38">
                  <c:v>-0.24221474773333321</c:v>
                </c:pt>
                <c:pt idx="39">
                  <c:v>-2.8794840000000849E-4</c:v>
                </c:pt>
                <c:pt idx="40">
                  <c:v>2.5489040000031832E-4</c:v>
                </c:pt>
                <c:pt idx="41">
                  <c:v>4.200000000000037E-4</c:v>
                </c:pt>
                <c:pt idx="42">
                  <c:v>-1.6200000000002321E-4</c:v>
                </c:pt>
                <c:pt idx="43">
                  <c:v>4.7266666666698209E-4</c:v>
                </c:pt>
                <c:pt idx="44">
                  <c:v>1.0100000000000391E-4</c:v>
                </c:pt>
                <c:pt idx="45">
                  <c:v>-1.5700000000001821E-4</c:v>
                </c:pt>
                <c:pt idx="46">
                  <c:v>-4.4656666666700873E-4</c:v>
                </c:pt>
                <c:pt idx="47">
                  <c:v>1.166666666670146E-4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33D-456C-A96C-F836C4AA8DE4}"/>
            </c:ext>
          </c:extLst>
        </c:ser>
        <c:ser>
          <c:idx val="12"/>
          <c:order val="12"/>
          <c:tx>
            <c:v>BES_TR4_one410_B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3.8166666666700211E-4</c:v>
                </c:pt>
                <c:pt idx="1">
                  <c:v>-9.9999999999988987E-5</c:v>
                </c:pt>
                <c:pt idx="2">
                  <c:v>0</c:v>
                </c:pt>
                <c:pt idx="3">
                  <c:v>-4.800000000000082E-4</c:v>
                </c:pt>
                <c:pt idx="4">
                  <c:v>3.1099999999997801E-4</c:v>
                </c:pt>
                <c:pt idx="5">
                  <c:v>0</c:v>
                </c:pt>
                <c:pt idx="6">
                  <c:v>-3.4333333332997602E-5</c:v>
                </c:pt>
                <c:pt idx="7">
                  <c:v>-4.2763463333300722E-4</c:v>
                </c:pt>
                <c:pt idx="8">
                  <c:v>3.4956530000004871E-4</c:v>
                </c:pt>
                <c:pt idx="9">
                  <c:v>3.9324938333300252E-4</c:v>
                </c:pt>
                <c:pt idx="10">
                  <c:v>9.4791899999493653E-5</c:v>
                </c:pt>
                <c:pt idx="11">
                  <c:v>-8.7741199999463726E-5</c:v>
                </c:pt>
                <c:pt idx="12">
                  <c:v>-2.9213891666762798E-4</c:v>
                </c:pt>
                <c:pt idx="13">
                  <c:v>-1.52937899999539E-4</c:v>
                </c:pt>
                <c:pt idx="14">
                  <c:v>1.652044500000116E-4</c:v>
                </c:pt>
                <c:pt idx="15">
                  <c:v>4.8088291666703592E-4</c:v>
                </c:pt>
                <c:pt idx="16">
                  <c:v>-4.4785768333366338E-4</c:v>
                </c:pt>
                <c:pt idx="17">
                  <c:v>-3.3886676666650128E-4</c:v>
                </c:pt>
                <c:pt idx="18">
                  <c:v>-2.559610000000268E-4</c:v>
                </c:pt>
                <c:pt idx="19">
                  <c:v>-3.7017729999899718E-4</c:v>
                </c:pt>
                <c:pt idx="20">
                  <c:v>-1.068698333295259E-5</c:v>
                </c:pt>
                <c:pt idx="21">
                  <c:v>-1.6042044999986521E-4</c:v>
                </c:pt>
                <c:pt idx="22">
                  <c:v>-0.1127140550833331</c:v>
                </c:pt>
                <c:pt idx="23">
                  <c:v>-0.62225384913333304</c:v>
                </c:pt>
                <c:pt idx="24">
                  <c:v>-1.121589098400001</c:v>
                </c:pt>
                <c:pt idx="25">
                  <c:v>-1.0582854603333329</c:v>
                </c:pt>
                <c:pt idx="26">
                  <c:v>-1.112443864083333</c:v>
                </c:pt>
                <c:pt idx="27">
                  <c:v>-0.98235490613333298</c:v>
                </c:pt>
                <c:pt idx="28">
                  <c:v>-0.97643019328333303</c:v>
                </c:pt>
                <c:pt idx="29">
                  <c:v>-1.0081645815666671</c:v>
                </c:pt>
                <c:pt idx="30">
                  <c:v>-0.59110551888333396</c:v>
                </c:pt>
                <c:pt idx="31">
                  <c:v>-0.72300027853333348</c:v>
                </c:pt>
                <c:pt idx="32">
                  <c:v>-0.4678941881666655</c:v>
                </c:pt>
                <c:pt idx="33">
                  <c:v>-0.2187910606833324</c:v>
                </c:pt>
                <c:pt idx="34">
                  <c:v>-0.42595673108333237</c:v>
                </c:pt>
                <c:pt idx="35">
                  <c:v>-0.16375310795000009</c:v>
                </c:pt>
                <c:pt idx="36">
                  <c:v>-0.1231978505000005</c:v>
                </c:pt>
                <c:pt idx="37">
                  <c:v>-6.6661522249999994E-2</c:v>
                </c:pt>
                <c:pt idx="38">
                  <c:v>-3.3961373333285533E-4</c:v>
                </c:pt>
                <c:pt idx="39">
                  <c:v>-9.3313983332954376E-5</c:v>
                </c:pt>
                <c:pt idx="40">
                  <c:v>3.5858389999998691E-4</c:v>
                </c:pt>
                <c:pt idx="41">
                  <c:v>1.3399999999996751E-4</c:v>
                </c:pt>
                <c:pt idx="42">
                  <c:v>1.253333333329221E-4</c:v>
                </c:pt>
                <c:pt idx="43">
                  <c:v>1.6633333333399E-4</c:v>
                </c:pt>
                <c:pt idx="44">
                  <c:v>-4.7699999999994969E-4</c:v>
                </c:pt>
                <c:pt idx="45">
                  <c:v>4.3466666666702741E-4</c:v>
                </c:pt>
                <c:pt idx="46">
                  <c:v>3.9933333333300181E-4</c:v>
                </c:pt>
                <c:pt idx="47">
                  <c:v>1.5999999999999351E-4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33D-456C-A96C-F836C4AA8DE4}"/>
            </c:ext>
          </c:extLst>
        </c:ser>
        <c:ser>
          <c:idx val="13"/>
          <c:order val="13"/>
          <c:tx>
            <c:v>BES_TR4_one50_A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-4.9599999999999644E-4</c:v>
                </c:pt>
                <c:pt idx="1">
                  <c:v>-1.653333333329898E-4</c:v>
                </c:pt>
                <c:pt idx="2">
                  <c:v>-1.7866666666702111E-4</c:v>
                </c:pt>
                <c:pt idx="3">
                  <c:v>4.800000000000082E-4</c:v>
                </c:pt>
                <c:pt idx="4">
                  <c:v>9.6000000000012742E-5</c:v>
                </c:pt>
                <c:pt idx="5">
                  <c:v>-2.8266666666698642E-4</c:v>
                </c:pt>
                <c:pt idx="6">
                  <c:v>3.386666666667093E-4</c:v>
                </c:pt>
                <c:pt idx="7">
                  <c:v>-7.2401733333310458E-5</c:v>
                </c:pt>
                <c:pt idx="8">
                  <c:v>-3.2579599999901787E-5</c:v>
                </c:pt>
                <c:pt idx="9">
                  <c:v>3.9055473333299631E-4</c:v>
                </c:pt>
                <c:pt idx="10">
                  <c:v>-3.0014413333399881E-4</c:v>
                </c:pt>
                <c:pt idx="11">
                  <c:v>3.254506666699325E-5</c:v>
                </c:pt>
                <c:pt idx="12">
                  <c:v>4.6417033333262531E-4</c:v>
                </c:pt>
                <c:pt idx="13">
                  <c:v>-3.1645053333301249E-4</c:v>
                </c:pt>
                <c:pt idx="14">
                  <c:v>-1.4559406667005731E-4</c:v>
                </c:pt>
                <c:pt idx="15">
                  <c:v>-6.1911666669800525E-5</c:v>
                </c:pt>
                <c:pt idx="16">
                  <c:v>-1.680324666641364E-4</c:v>
                </c:pt>
                <c:pt idx="17">
                  <c:v>1.491998666669492E-4</c:v>
                </c:pt>
                <c:pt idx="18">
                  <c:v>1.596519999988999E-4</c:v>
                </c:pt>
                <c:pt idx="19">
                  <c:v>-3.0036973333258388E-4</c:v>
                </c:pt>
                <c:pt idx="20">
                  <c:v>-6.3138200000922851E-5</c:v>
                </c:pt>
                <c:pt idx="21">
                  <c:v>2.1943939999991E-4</c:v>
                </c:pt>
                <c:pt idx="22">
                  <c:v>-1.205488962333334</c:v>
                </c:pt>
                <c:pt idx="23">
                  <c:v>-1.550308687733333</c:v>
                </c:pt>
                <c:pt idx="24">
                  <c:v>-1.5231539978666671</c:v>
                </c:pt>
                <c:pt idx="25">
                  <c:v>-1.5708225026666669</c:v>
                </c:pt>
                <c:pt idx="26">
                  <c:v>-1.4850478743333331</c:v>
                </c:pt>
                <c:pt idx="27">
                  <c:v>-1.372083397066667</c:v>
                </c:pt>
                <c:pt idx="28">
                  <c:v>-1.3672256465999999</c:v>
                </c:pt>
                <c:pt idx="29">
                  <c:v>-1.2449224198666671</c:v>
                </c:pt>
                <c:pt idx="30">
                  <c:v>-1.1525409140666669</c:v>
                </c:pt>
                <c:pt idx="31">
                  <c:v>-1.0671785936000009</c:v>
                </c:pt>
                <c:pt idx="32">
                  <c:v>-0.85540002866666587</c:v>
                </c:pt>
                <c:pt idx="33">
                  <c:v>-0.86090963646666596</c:v>
                </c:pt>
                <c:pt idx="34">
                  <c:v>-0.41689019699999902</c:v>
                </c:pt>
                <c:pt idx="35">
                  <c:v>-0.48294147726666697</c:v>
                </c:pt>
                <c:pt idx="36">
                  <c:v>-0.31603180066666697</c:v>
                </c:pt>
                <c:pt idx="37">
                  <c:v>-0.132245363</c:v>
                </c:pt>
                <c:pt idx="38">
                  <c:v>-7.0610405333335902E-3</c:v>
                </c:pt>
                <c:pt idx="39">
                  <c:v>1.026924666669982E-4</c:v>
                </c:pt>
                <c:pt idx="40">
                  <c:v>-2.6322146666632462E-4</c:v>
                </c:pt>
                <c:pt idx="41">
                  <c:v>-1.03999999999993E-4</c:v>
                </c:pt>
                <c:pt idx="42">
                  <c:v>-1.046666666670026E-4</c:v>
                </c:pt>
                <c:pt idx="43">
                  <c:v>2.199999999999425E-5</c:v>
                </c:pt>
                <c:pt idx="44">
                  <c:v>2.9666666666700042E-4</c:v>
                </c:pt>
                <c:pt idx="45">
                  <c:v>7.5666666666029947E-5</c:v>
                </c:pt>
                <c:pt idx="46">
                  <c:v>4.2533333333320822E-4</c:v>
                </c:pt>
                <c:pt idx="47">
                  <c:v>-2.0799999999999991E-4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33D-456C-A96C-F836C4AA8DE4}"/>
            </c:ext>
          </c:extLst>
        </c:ser>
        <c:ser>
          <c:idx val="14"/>
          <c:order val="14"/>
          <c:tx>
            <c:v>BES_TR4_one416_C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2.5883226666811859E-4</c:v>
                </c:pt>
                <c:pt idx="14">
                  <c:v>-3.294548000001285E-4</c:v>
                </c:pt>
                <c:pt idx="15">
                  <c:v>-1.2886260899999999</c:v>
                </c:pt>
                <c:pt idx="16">
                  <c:v>-2.2123293982666681</c:v>
                </c:pt>
                <c:pt idx="17">
                  <c:v>-2.3713662669333329</c:v>
                </c:pt>
                <c:pt idx="18">
                  <c:v>-2.637500362666668</c:v>
                </c:pt>
                <c:pt idx="19">
                  <c:v>-2.8703414061333321</c:v>
                </c:pt>
                <c:pt idx="20">
                  <c:v>-3.0880089430666682</c:v>
                </c:pt>
                <c:pt idx="21">
                  <c:v>-3.2313051212000001</c:v>
                </c:pt>
                <c:pt idx="22">
                  <c:v>-3.3329779246666682</c:v>
                </c:pt>
                <c:pt idx="23">
                  <c:v>-3.3655667087999999</c:v>
                </c:pt>
                <c:pt idx="24">
                  <c:v>-3.3027413290666678</c:v>
                </c:pt>
                <c:pt idx="25">
                  <c:v>-3.2591183386666671</c:v>
                </c:pt>
                <c:pt idx="26">
                  <c:v>-3.2831584820000002</c:v>
                </c:pt>
                <c:pt idx="27">
                  <c:v>-2.7698143274666678</c:v>
                </c:pt>
                <c:pt idx="28">
                  <c:v>-3.0108412265333331</c:v>
                </c:pt>
                <c:pt idx="29">
                  <c:v>-2.8161901730666679</c:v>
                </c:pt>
                <c:pt idx="30">
                  <c:v>-2.5801108281333329</c:v>
                </c:pt>
                <c:pt idx="31">
                  <c:v>-2.245679853866668</c:v>
                </c:pt>
                <c:pt idx="32">
                  <c:v>-1.8995324573333321</c:v>
                </c:pt>
                <c:pt idx="33">
                  <c:v>-1.6956732729333319</c:v>
                </c:pt>
                <c:pt idx="34">
                  <c:v>-1.447760793999999</c:v>
                </c:pt>
                <c:pt idx="35">
                  <c:v>-0.95718962120000006</c:v>
                </c:pt>
                <c:pt idx="36">
                  <c:v>-0.79991693466666802</c:v>
                </c:pt>
                <c:pt idx="37">
                  <c:v>-0.52020472600000001</c:v>
                </c:pt>
                <c:pt idx="38">
                  <c:v>-0.14892408106666619</c:v>
                </c:pt>
                <c:pt idx="39">
                  <c:v>1.0938493333301209E-4</c:v>
                </c:pt>
                <c:pt idx="40">
                  <c:v>2.245570666673524E-4</c:v>
                </c:pt>
                <c:pt idx="41">
                  <c:v>6.6666666667047902E-5</c:v>
                </c:pt>
                <c:pt idx="42">
                  <c:v>-2.8999999999890219E-4</c:v>
                </c:pt>
                <c:pt idx="43">
                  <c:v>1.8466666666705489E-4</c:v>
                </c:pt>
                <c:pt idx="44">
                  <c:v>-1.1633333333305181E-4</c:v>
                </c:pt>
                <c:pt idx="45">
                  <c:v>-1.4333333333005349E-5</c:v>
                </c:pt>
                <c:pt idx="46">
                  <c:v>3.2666666666703042E-4</c:v>
                </c:pt>
                <c:pt idx="47">
                  <c:v>4.170000000000007E-4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33D-456C-A96C-F836C4AA8DE4}"/>
            </c:ext>
          </c:extLst>
        </c:ser>
        <c:ser>
          <c:idx val="15"/>
          <c:order val="15"/>
          <c:tx>
            <c:v>BES_TR4_one423_B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4.1133333333301381E-4</c:v>
                </c:pt>
                <c:pt idx="1">
                  <c:v>4.5000000000000601E-4</c:v>
                </c:pt>
                <c:pt idx="2">
                  <c:v>2.3499999999998519E-4</c:v>
                </c:pt>
                <c:pt idx="3">
                  <c:v>-2.403333333330093E-4</c:v>
                </c:pt>
                <c:pt idx="4">
                  <c:v>4.2999999999987493E-5</c:v>
                </c:pt>
                <c:pt idx="5">
                  <c:v>-3.3166666666697991E-4</c:v>
                </c:pt>
                <c:pt idx="6">
                  <c:v>1.666666666698402E-5</c:v>
                </c:pt>
                <c:pt idx="7">
                  <c:v>-1.550216666670878E-5</c:v>
                </c:pt>
                <c:pt idx="8">
                  <c:v>-3.5905783333324559E-4</c:v>
                </c:pt>
                <c:pt idx="9">
                  <c:v>1.068600833330005E-4</c:v>
                </c:pt>
                <c:pt idx="10">
                  <c:v>5.5319833332491408E-5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-3.6765925000015193E-4</c:v>
                </c:pt>
                <c:pt idx="15">
                  <c:v>-1.4130625000019489E-4</c:v>
                </c:pt>
                <c:pt idx="16">
                  <c:v>-1.8054058333483169E-4</c:v>
                </c:pt>
                <c:pt idx="17">
                  <c:v>4.264998333329828E-4</c:v>
                </c:pt>
                <c:pt idx="18">
                  <c:v>-1.317909601666668</c:v>
                </c:pt>
                <c:pt idx="19">
                  <c:v>-1.7783426288333319</c:v>
                </c:pt>
                <c:pt idx="20">
                  <c:v>-1.7227255894166671</c:v>
                </c:pt>
                <c:pt idx="21">
                  <c:v>-1.9816323674166669</c:v>
                </c:pt>
                <c:pt idx="22">
                  <c:v>-1.8750012029166669</c:v>
                </c:pt>
                <c:pt idx="23">
                  <c:v>-2.0532338596666668</c:v>
                </c:pt>
                <c:pt idx="24">
                  <c:v>-2.0425341640000001</c:v>
                </c:pt>
                <c:pt idx="25">
                  <c:v>-1.962782711666667</c:v>
                </c:pt>
                <c:pt idx="26">
                  <c:v>-1.9825477179166671</c:v>
                </c:pt>
                <c:pt idx="27">
                  <c:v>-1.883883954666667</c:v>
                </c:pt>
                <c:pt idx="28">
                  <c:v>-1.7095310999166671</c:v>
                </c:pt>
                <c:pt idx="29">
                  <c:v>-1.7438688581666679</c:v>
                </c:pt>
                <c:pt idx="30">
                  <c:v>-1.5500053092499999</c:v>
                </c:pt>
                <c:pt idx="31">
                  <c:v>-1.3183285753333349</c:v>
                </c:pt>
                <c:pt idx="32">
                  <c:v>-1.3011250358333319</c:v>
                </c:pt>
                <c:pt idx="33">
                  <c:v>-0.945509545583333</c:v>
                </c:pt>
                <c:pt idx="34">
                  <c:v>-0.83818399624999951</c:v>
                </c:pt>
                <c:pt idx="35">
                  <c:v>-0.71121851324999996</c:v>
                </c:pt>
                <c:pt idx="36">
                  <c:v>-0.51796475083333415</c:v>
                </c:pt>
                <c:pt idx="37">
                  <c:v>-0.218568870416667</c:v>
                </c:pt>
                <c:pt idx="38">
                  <c:v>-5.180066666626848E-5</c:v>
                </c:pt>
                <c:pt idx="39">
                  <c:v>-6.6967749999979898E-5</c:v>
                </c:pt>
                <c:pt idx="40">
                  <c:v>-3.3269349999964781E-4</c:v>
                </c:pt>
                <c:pt idx="41">
                  <c:v>1.749999999999807E-4</c:v>
                </c:pt>
                <c:pt idx="42">
                  <c:v>5.1000000000023249E-5</c:v>
                </c:pt>
                <c:pt idx="43">
                  <c:v>-2.8933333333303057E-4</c:v>
                </c:pt>
                <c:pt idx="44">
                  <c:v>4.6066666666699779E-4</c:v>
                </c:pt>
                <c:pt idx="45">
                  <c:v>-4.8333333329875223E-5</c:v>
                </c:pt>
                <c:pt idx="46">
                  <c:v>-1.836666666669706E-4</c:v>
                </c:pt>
                <c:pt idx="47">
                  <c:v>-3.9966666666702011E-4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33D-456C-A96C-F836C4AA8DE4}"/>
            </c:ext>
          </c:extLst>
        </c:ser>
        <c:ser>
          <c:idx val="16"/>
          <c:order val="16"/>
          <c:tx>
            <c:v>BES_TR4_one446_B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1.6933333333402081E-4</c:v>
                </c:pt>
                <c:pt idx="1">
                  <c:v>0</c:v>
                </c:pt>
                <c:pt idx="2">
                  <c:v>-4.4466666666698179E-4</c:v>
                </c:pt>
                <c:pt idx="3">
                  <c:v>-3.860000000000946E-4</c:v>
                </c:pt>
                <c:pt idx="4">
                  <c:v>-2.9333333332992592E-5</c:v>
                </c:pt>
                <c:pt idx="5">
                  <c:v>1.986666666669856E-4</c:v>
                </c:pt>
                <c:pt idx="6">
                  <c:v>-2.5733333333330388E-4</c:v>
                </c:pt>
                <c:pt idx="7">
                  <c:v>1.363653666670295E-4</c:v>
                </c:pt>
                <c:pt idx="8">
                  <c:v>3.4956530000005559E-4</c:v>
                </c:pt>
                <c:pt idx="9">
                  <c:v>-4.5750616665979349E-5</c:v>
                </c:pt>
                <c:pt idx="10">
                  <c:v>-2.6081000005090389E-6</c:v>
                </c:pt>
                <c:pt idx="11">
                  <c:v>-1.967411999994895E-4</c:v>
                </c:pt>
                <c:pt idx="12">
                  <c:v>1.005277499993851E-4</c:v>
                </c:pt>
                <c:pt idx="13">
                  <c:v>2.257287666704855E-4</c:v>
                </c:pt>
                <c:pt idx="14">
                  <c:v>3.2920445000000909E-4</c:v>
                </c:pt>
                <c:pt idx="15">
                  <c:v>-2.8611708333292629E-4</c:v>
                </c:pt>
                <c:pt idx="16">
                  <c:v>-7.6857683333653171E-5</c:v>
                </c:pt>
                <c:pt idx="17">
                  <c:v>-3.7276676666592179E-4</c:v>
                </c:pt>
                <c:pt idx="18">
                  <c:v>2.0223900000004849E-4</c:v>
                </c:pt>
                <c:pt idx="19">
                  <c:v>-4.9744396666606683E-4</c:v>
                </c:pt>
                <c:pt idx="20">
                  <c:v>4.316463500002587E-4</c:v>
                </c:pt>
                <c:pt idx="21">
                  <c:v>2.202462166701058E-4</c:v>
                </c:pt>
                <c:pt idx="22">
                  <c:v>4.4127825000001009E-4</c:v>
                </c:pt>
                <c:pt idx="23">
                  <c:v>4.2048420000007081E-4</c:v>
                </c:pt>
                <c:pt idx="24">
                  <c:v>-4.2583173333399232E-4</c:v>
                </c:pt>
                <c:pt idx="25">
                  <c:v>3.1637299999998092E-4</c:v>
                </c:pt>
                <c:pt idx="26">
                  <c:v>-0.54770109741666706</c:v>
                </c:pt>
                <c:pt idx="27">
                  <c:v>-1.0415443728</c:v>
                </c:pt>
                <c:pt idx="28">
                  <c:v>-1.0038521266166669</c:v>
                </c:pt>
                <c:pt idx="29">
                  <c:v>-1.0223213149000001</c:v>
                </c:pt>
                <c:pt idx="30">
                  <c:v>-0.77911785221666696</c:v>
                </c:pt>
                <c:pt idx="31">
                  <c:v>-0.8312299452000006</c:v>
                </c:pt>
                <c:pt idx="32">
                  <c:v>-0.75667502149999943</c:v>
                </c:pt>
                <c:pt idx="33">
                  <c:v>-0.48371406068333239</c:v>
                </c:pt>
                <c:pt idx="34">
                  <c:v>-0.35080873108333238</c:v>
                </c:pt>
                <c:pt idx="35">
                  <c:v>-0.26550110795000009</c:v>
                </c:pt>
                <c:pt idx="36">
                  <c:v>2.041494999994869E-4</c:v>
                </c:pt>
                <c:pt idx="37">
                  <c:v>-3.1188916665925159E-5</c:v>
                </c:pt>
                <c:pt idx="38">
                  <c:v>2.1338626666708721E-4</c:v>
                </c:pt>
                <c:pt idx="39">
                  <c:v>3.9686016667039858E-5</c:v>
                </c:pt>
                <c:pt idx="40">
                  <c:v>3.1325056666697831E-4</c:v>
                </c:pt>
                <c:pt idx="41">
                  <c:v>-2.549999999998942E-4</c:v>
                </c:pt>
                <c:pt idx="42">
                  <c:v>3.8566666666700611E-4</c:v>
                </c:pt>
                <c:pt idx="43">
                  <c:v>-2.6666666660402072E-6</c:v>
                </c:pt>
                <c:pt idx="44">
                  <c:v>9.1000000000063253E-5</c:v>
                </c:pt>
                <c:pt idx="45">
                  <c:v>3.4333333333913529E-5</c:v>
                </c:pt>
                <c:pt idx="46">
                  <c:v>-1.180000000000625E-4</c:v>
                </c:pt>
                <c:pt idx="47">
                  <c:v>-1.7466666666698941E-4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33D-456C-A96C-F836C4AA8DE4}"/>
            </c:ext>
          </c:extLst>
        </c:ser>
        <c:ser>
          <c:idx val="17"/>
          <c:order val="17"/>
          <c:tx>
            <c:v>BES_TR4_one480_A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-3.6166666666700992E-4</c:v>
                </c:pt>
                <c:pt idx="1">
                  <c:v>-2.8233333333405047E-4</c:v>
                </c:pt>
                <c:pt idx="2">
                  <c:v>0</c:v>
                </c:pt>
                <c:pt idx="3">
                  <c:v>2.8533333333297112E-4</c:v>
                </c:pt>
                <c:pt idx="4">
                  <c:v>7.0000000000000617E-5</c:v>
                </c:pt>
                <c:pt idx="5">
                  <c:v>-3.1833333333330938E-4</c:v>
                </c:pt>
                <c:pt idx="6">
                  <c:v>1.15000000000004E-4</c:v>
                </c:pt>
                <c:pt idx="7">
                  <c:v>-4.4080346666666709E-4</c:v>
                </c:pt>
                <c:pt idx="8">
                  <c:v>-4.4182586666620388E-4</c:v>
                </c:pt>
                <c:pt idx="9">
                  <c:v>1.077761333330013E-4</c:v>
                </c:pt>
                <c:pt idx="10">
                  <c:v>1.6771173333202111E-4</c:v>
                </c:pt>
                <c:pt idx="11">
                  <c:v>9.435680000102753E-5</c:v>
                </c:pt>
                <c:pt idx="12">
                  <c:v>3.5774066666494081E-4</c:v>
                </c:pt>
                <c:pt idx="13">
                  <c:v>2.588322666678966E-4</c:v>
                </c:pt>
                <c:pt idx="14">
                  <c:v>3.5154519999980321E-4</c:v>
                </c:pt>
                <c:pt idx="15">
                  <c:v>-4.7175666666698918E-4</c:v>
                </c:pt>
                <c:pt idx="16">
                  <c:v>-1.9009930649333351</c:v>
                </c:pt>
                <c:pt idx="17">
                  <c:v>-2.2807239336</c:v>
                </c:pt>
                <c:pt idx="18">
                  <c:v>-2.6291293626666681</c:v>
                </c:pt>
                <c:pt idx="19">
                  <c:v>-2.8146130727999989</c:v>
                </c:pt>
                <c:pt idx="20">
                  <c:v>-2.8482137097333351</c:v>
                </c:pt>
                <c:pt idx="21">
                  <c:v>-3.1588967545333331</c:v>
                </c:pt>
                <c:pt idx="22">
                  <c:v>-3.2182512580000009</c:v>
                </c:pt>
                <c:pt idx="23">
                  <c:v>-3.283008042133333</c:v>
                </c:pt>
                <c:pt idx="24">
                  <c:v>-3.2747206624000009</c:v>
                </c:pt>
                <c:pt idx="25">
                  <c:v>-3.256617672</c:v>
                </c:pt>
                <c:pt idx="26">
                  <c:v>-3.2362678153333331</c:v>
                </c:pt>
                <c:pt idx="27">
                  <c:v>-2.951537660800001</c:v>
                </c:pt>
                <c:pt idx="28">
                  <c:v>-2.0107298932000002</c:v>
                </c:pt>
                <c:pt idx="29">
                  <c:v>-2.7359085064000008</c:v>
                </c:pt>
                <c:pt idx="30">
                  <c:v>-2.614730928133334</c:v>
                </c:pt>
                <c:pt idx="31">
                  <c:v>-2.1350081205333349</c:v>
                </c:pt>
                <c:pt idx="32">
                  <c:v>-2.0536467239999991</c:v>
                </c:pt>
                <c:pt idx="33">
                  <c:v>-1.6767299395999991</c:v>
                </c:pt>
                <c:pt idx="34">
                  <c:v>-1.0637653939999989</c:v>
                </c:pt>
                <c:pt idx="35">
                  <c:v>-0.90183628786666703</c:v>
                </c:pt>
                <c:pt idx="36">
                  <c:v>-0.62075880133333494</c:v>
                </c:pt>
                <c:pt idx="37">
                  <c:v>-0.123268326</c:v>
                </c:pt>
                <c:pt idx="38">
                  <c:v>2.4678559999979921E-4</c:v>
                </c:pt>
                <c:pt idx="39">
                  <c:v>2.9718266667033699E-5</c:v>
                </c:pt>
                <c:pt idx="40">
                  <c:v>2.9422373333332091E-4</c:v>
                </c:pt>
                <c:pt idx="41">
                  <c:v>-4.7999999999992493E-5</c:v>
                </c:pt>
                <c:pt idx="42">
                  <c:v>2.9066666666699442E-4</c:v>
                </c:pt>
                <c:pt idx="43">
                  <c:v>-3.4400000000001102E-4</c:v>
                </c:pt>
                <c:pt idx="44">
                  <c:v>4.379999999999939E-4</c:v>
                </c:pt>
                <c:pt idx="45">
                  <c:v>2.699999999999925E-5</c:v>
                </c:pt>
                <c:pt idx="46">
                  <c:v>-3.6700000000000621E-4</c:v>
                </c:pt>
                <c:pt idx="47">
                  <c:v>3.903333333329928E-4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33D-456C-A96C-F836C4AA8DE4}"/>
            </c:ext>
          </c:extLst>
        </c:ser>
        <c:ser>
          <c:idx val="18"/>
          <c:order val="18"/>
          <c:tx>
            <c:v>BES_TR4_one61_A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8.53333333330486E-5</c:v>
                </c:pt>
                <c:pt idx="1">
                  <c:v>-3.1233333333330338E-4</c:v>
                </c:pt>
                <c:pt idx="2">
                  <c:v>-1.2333333333300331E-4</c:v>
                </c:pt>
                <c:pt idx="3">
                  <c:v>2.5200000000000222E-4</c:v>
                </c:pt>
                <c:pt idx="4">
                  <c:v>6.2999999999993617E-5</c:v>
                </c:pt>
                <c:pt idx="5">
                  <c:v>6.5666666667019147E-5</c:v>
                </c:pt>
                <c:pt idx="6">
                  <c:v>0</c:v>
                </c:pt>
                <c:pt idx="7">
                  <c:v>-3.1213679999966831E-4</c:v>
                </c:pt>
                <c:pt idx="8">
                  <c:v>2.6550746666680058E-4</c:v>
                </c:pt>
                <c:pt idx="9">
                  <c:v>1.7977613333298309E-4</c:v>
                </c:pt>
                <c:pt idx="10">
                  <c:v>3.5045066665406743E-5</c:v>
                </c:pt>
                <c:pt idx="11">
                  <c:v>-4.826431999986891E-4</c:v>
                </c:pt>
                <c:pt idx="12">
                  <c:v>-1.652593333349994E-4</c:v>
                </c:pt>
                <c:pt idx="13">
                  <c:v>-2.9783439999864209E-4</c:v>
                </c:pt>
                <c:pt idx="14">
                  <c:v>3.1421186666680262E-4</c:v>
                </c:pt>
                <c:pt idx="15">
                  <c:v>-1.5008999999999159E-4</c:v>
                </c:pt>
                <c:pt idx="16">
                  <c:v>-1.7034573982666681</c:v>
                </c:pt>
                <c:pt idx="17">
                  <c:v>-2.3001556002666672</c:v>
                </c:pt>
                <c:pt idx="18">
                  <c:v>-2.479493362666668</c:v>
                </c:pt>
                <c:pt idx="19">
                  <c:v>-1.5766500728000019</c:v>
                </c:pt>
                <c:pt idx="20">
                  <c:v>-3.0205076097333352</c:v>
                </c:pt>
                <c:pt idx="21">
                  <c:v>-3.117677787866667</c:v>
                </c:pt>
                <c:pt idx="22">
                  <c:v>-3.2859274246666681</c:v>
                </c:pt>
                <c:pt idx="23">
                  <c:v>-3.120783375466667</c:v>
                </c:pt>
                <c:pt idx="24">
                  <c:v>-3.2691683290666682</c:v>
                </c:pt>
                <c:pt idx="25">
                  <c:v>-3.0705220053333329</c:v>
                </c:pt>
                <c:pt idx="26">
                  <c:v>-3.1561558153333329</c:v>
                </c:pt>
                <c:pt idx="27">
                  <c:v>-3.0484349941333351</c:v>
                </c:pt>
                <c:pt idx="28">
                  <c:v>-2.7565342265333328</c:v>
                </c:pt>
                <c:pt idx="29">
                  <c:v>-2.342869173066668</c:v>
                </c:pt>
                <c:pt idx="30">
                  <c:v>-2.4283084948</c:v>
                </c:pt>
                <c:pt idx="31">
                  <c:v>-2.0221425205333352</c:v>
                </c:pt>
                <c:pt idx="32">
                  <c:v>-1.894480057333332</c:v>
                </c:pt>
                <c:pt idx="33">
                  <c:v>-1.376719272933332</c:v>
                </c:pt>
                <c:pt idx="34">
                  <c:v>-1.1225603939999991</c:v>
                </c:pt>
                <c:pt idx="35">
                  <c:v>-0.73207395453333302</c:v>
                </c:pt>
                <c:pt idx="36">
                  <c:v>-0.62459693466666799</c:v>
                </c:pt>
                <c:pt idx="37">
                  <c:v>-0.24477739266666701</c:v>
                </c:pt>
                <c:pt idx="38">
                  <c:v>-6.8858414399999179E-2</c:v>
                </c:pt>
                <c:pt idx="39">
                  <c:v>3.1105160000002852E-4</c:v>
                </c:pt>
                <c:pt idx="40">
                  <c:v>-4.9710960000082238E-4</c:v>
                </c:pt>
                <c:pt idx="41">
                  <c:v>-1.6500000000008169E-4</c:v>
                </c:pt>
                <c:pt idx="42">
                  <c:v>-1.993333333329961E-4</c:v>
                </c:pt>
                <c:pt idx="43">
                  <c:v>1.6666666666886879E-5</c:v>
                </c:pt>
                <c:pt idx="44">
                  <c:v>-1.0266666666602919E-4</c:v>
                </c:pt>
                <c:pt idx="45">
                  <c:v>-2.423333333330113E-4</c:v>
                </c:pt>
                <c:pt idx="46">
                  <c:v>3.036666666669241E-4</c:v>
                </c:pt>
                <c:pt idx="47">
                  <c:v>3.9366666666706962E-4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33D-456C-A96C-F836C4AA8DE4}"/>
            </c:ext>
          </c:extLst>
        </c:ser>
        <c:ser>
          <c:idx val="19"/>
          <c:order val="19"/>
          <c:tx>
            <c:v>BES_TR4_one544_A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-1.2666666666699691E-4</c:v>
                </c:pt>
                <c:pt idx="1">
                  <c:v>3.879999999999717E-4</c:v>
                </c:pt>
                <c:pt idx="2">
                  <c:v>1.906666666669915E-4</c:v>
                </c:pt>
                <c:pt idx="3">
                  <c:v>-4.7333333333010603E-5</c:v>
                </c:pt>
                <c:pt idx="4">
                  <c:v>3.5399999999999321E-4</c:v>
                </c:pt>
                <c:pt idx="5">
                  <c:v>4.3000000000004151E-4</c:v>
                </c:pt>
                <c:pt idx="6">
                  <c:v>-7.6666666670166528E-6</c:v>
                </c:pt>
                <c:pt idx="7">
                  <c:v>4.9449783333330166E-4</c:v>
                </c:pt>
                <c:pt idx="8">
                  <c:v>-3.3572450000024512E-4</c:v>
                </c:pt>
                <c:pt idx="9">
                  <c:v>4.6086008333298678E-4</c:v>
                </c:pt>
                <c:pt idx="10">
                  <c:v>-9.1013500000514114E-5</c:v>
                </c:pt>
                <c:pt idx="11">
                  <c:v>-3.4568666665790733E-5</c:v>
                </c:pt>
                <c:pt idx="12">
                  <c:v>2.0287958333253811E-4</c:v>
                </c:pt>
                <c:pt idx="13">
                  <c:v>-4.2256316666555721E-4</c:v>
                </c:pt>
                <c:pt idx="14">
                  <c:v>-1.099258333403519E-5</c:v>
                </c:pt>
                <c:pt idx="15">
                  <c:v>2.126937499997705E-4</c:v>
                </c:pt>
                <c:pt idx="16">
                  <c:v>-4.6654058333461812E-4</c:v>
                </c:pt>
                <c:pt idx="17">
                  <c:v>-4.2550016666664797E-4</c:v>
                </c:pt>
                <c:pt idx="18">
                  <c:v>-0.71658093500000108</c:v>
                </c:pt>
                <c:pt idx="19">
                  <c:v>-1.6653889621666651</c:v>
                </c:pt>
                <c:pt idx="20">
                  <c:v>-1.81751492275</c:v>
                </c:pt>
                <c:pt idx="21">
                  <c:v>-2.00727770075</c:v>
                </c:pt>
                <c:pt idx="22">
                  <c:v>-2.0435615362499999</c:v>
                </c:pt>
                <c:pt idx="23">
                  <c:v>-2.000928193</c:v>
                </c:pt>
                <c:pt idx="24">
                  <c:v>-1.9160548306666669</c:v>
                </c:pt>
                <c:pt idx="25">
                  <c:v>-2.0608857116666659</c:v>
                </c:pt>
                <c:pt idx="26">
                  <c:v>-2.0073760512500001</c:v>
                </c:pt>
                <c:pt idx="27">
                  <c:v>-1.619970954666667</c:v>
                </c:pt>
                <c:pt idx="28">
                  <c:v>-1.727686099916667</c:v>
                </c:pt>
                <c:pt idx="29">
                  <c:v>-1.460620524833335</c:v>
                </c:pt>
                <c:pt idx="30">
                  <c:v>-1.506646942583334</c:v>
                </c:pt>
                <c:pt idx="31">
                  <c:v>-1.347564842000001</c:v>
                </c:pt>
                <c:pt idx="32">
                  <c:v>-1.1970010358333321</c:v>
                </c:pt>
                <c:pt idx="33">
                  <c:v>-0.163761545583333</c:v>
                </c:pt>
                <c:pt idx="34">
                  <c:v>-0.32350999624999838</c:v>
                </c:pt>
                <c:pt idx="35">
                  <c:v>-0.57116591324999999</c:v>
                </c:pt>
                <c:pt idx="36">
                  <c:v>-0.3967496841666675</c:v>
                </c:pt>
                <c:pt idx="37">
                  <c:v>4.0012958333296428E-4</c:v>
                </c:pt>
                <c:pt idx="38">
                  <c:v>-5.3200467333333168E-2</c:v>
                </c:pt>
                <c:pt idx="39">
                  <c:v>1.140322500000068E-4</c:v>
                </c:pt>
                <c:pt idx="40">
                  <c:v>-3.5569349999964311E-4</c:v>
                </c:pt>
                <c:pt idx="41">
                  <c:v>4.1433333333407152E-4</c:v>
                </c:pt>
                <c:pt idx="42">
                  <c:v>3.2000000000009798E-4</c:v>
                </c:pt>
                <c:pt idx="43">
                  <c:v>4.8866666666702585E-4</c:v>
                </c:pt>
                <c:pt idx="44">
                  <c:v>-3.9633333333011223E-4</c:v>
                </c:pt>
                <c:pt idx="45">
                  <c:v>-2.8300000000003322E-4</c:v>
                </c:pt>
                <c:pt idx="46">
                  <c:v>0.2738736666666659</c:v>
                </c:pt>
                <c:pt idx="47">
                  <c:v>0.67526633333333297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33D-456C-A96C-F836C4AA8DE4}"/>
            </c:ext>
          </c:extLst>
        </c:ser>
        <c:ser>
          <c:idx val="20"/>
          <c:order val="20"/>
          <c:tx>
            <c:v>BES_TR4_one560_C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7.0333333332978087E-5</c:v>
                </c:pt>
                <c:pt idx="1">
                  <c:v>-2.5899999999999529E-4</c:v>
                </c:pt>
                <c:pt idx="2">
                  <c:v>0</c:v>
                </c:pt>
                <c:pt idx="3">
                  <c:v>-1.886666666669756E-4</c:v>
                </c:pt>
                <c:pt idx="4">
                  <c:v>0</c:v>
                </c:pt>
                <c:pt idx="5">
                  <c:v>2.35000000000013E-4</c:v>
                </c:pt>
                <c:pt idx="6">
                  <c:v>-4.2366666666669722E-4</c:v>
                </c:pt>
                <c:pt idx="7">
                  <c:v>-1.0703033333329949E-5</c:v>
                </c:pt>
                <c:pt idx="8">
                  <c:v>4.7031903333343011E-4</c:v>
                </c:pt>
                <c:pt idx="9">
                  <c:v>3.2147078333299989E-4</c:v>
                </c:pt>
                <c:pt idx="10">
                  <c:v>3.2724776666548378E-4</c:v>
                </c:pt>
                <c:pt idx="11">
                  <c:v>-5.5396133332497037E-5</c:v>
                </c:pt>
                <c:pt idx="12">
                  <c:v>-1.8776858333457991E-4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-4.8049541666705942E-4</c:v>
                </c:pt>
                <c:pt idx="16">
                  <c:v>-1.388794223483335</c:v>
                </c:pt>
                <c:pt idx="17">
                  <c:v>-2.099746233566667</c:v>
                </c:pt>
                <c:pt idx="18">
                  <c:v>-2.243630309000002</c:v>
                </c:pt>
                <c:pt idx="19">
                  <c:v>-2.5062694803666652</c:v>
                </c:pt>
                <c:pt idx="20">
                  <c:v>-2.5323808918500008</c:v>
                </c:pt>
                <c:pt idx="21">
                  <c:v>-2.8238919810500001</c:v>
                </c:pt>
                <c:pt idx="22">
                  <c:v>-2.905773350750001</c:v>
                </c:pt>
                <c:pt idx="23">
                  <c:v>-2.8031418702000002</c:v>
                </c:pt>
                <c:pt idx="24">
                  <c:v>-2.9631711629333348</c:v>
                </c:pt>
                <c:pt idx="25">
                  <c:v>-2.9420314630000002</c:v>
                </c:pt>
                <c:pt idx="26">
                  <c:v>-2.7152023384166668</c:v>
                </c:pt>
                <c:pt idx="27">
                  <c:v>-2.7345342032000022</c:v>
                </c:pt>
                <c:pt idx="28">
                  <c:v>-2.5998573398833331</c:v>
                </c:pt>
                <c:pt idx="29">
                  <c:v>-2.2820710681000018</c:v>
                </c:pt>
                <c:pt idx="30">
                  <c:v>-2.0373364329500001</c:v>
                </c:pt>
                <c:pt idx="31">
                  <c:v>-1.6988245388000009</c:v>
                </c:pt>
                <c:pt idx="32">
                  <c:v>-1.5092817168333319</c:v>
                </c:pt>
                <c:pt idx="33">
                  <c:v>-1.170211697149999</c:v>
                </c:pt>
                <c:pt idx="34">
                  <c:v>-1.0034539280833319</c:v>
                </c:pt>
                <c:pt idx="35">
                  <c:v>-0.60151891855000006</c:v>
                </c:pt>
                <c:pt idx="36">
                  <c:v>-0.46782065116666849</c:v>
                </c:pt>
                <c:pt idx="37">
                  <c:v>-0.50290688524999994</c:v>
                </c:pt>
                <c:pt idx="38">
                  <c:v>-8.6135654266666528E-2</c:v>
                </c:pt>
                <c:pt idx="39">
                  <c:v>4.5304514999999768E-4</c:v>
                </c:pt>
                <c:pt idx="40">
                  <c:v>3.2469576666671612E-4</c:v>
                </c:pt>
                <c:pt idx="41">
                  <c:v>-2.5366666666704058E-4</c:v>
                </c:pt>
                <c:pt idx="42">
                  <c:v>-4.8499999999995769E-4</c:v>
                </c:pt>
                <c:pt idx="43">
                  <c:v>-2.8633333333394351E-4</c:v>
                </c:pt>
                <c:pt idx="44">
                  <c:v>2.07999999999986E-4</c:v>
                </c:pt>
                <c:pt idx="45">
                  <c:v>4.8266666666996189E-4</c:v>
                </c:pt>
                <c:pt idx="46">
                  <c:v>2.3641126666666699</c:v>
                </c:pt>
                <c:pt idx="47">
                  <c:v>0.489638666666666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33D-456C-A96C-F836C4AA8DE4}"/>
            </c:ext>
          </c:extLst>
        </c:ser>
        <c:ser>
          <c:idx val="21"/>
          <c:order val="21"/>
          <c:tx>
            <c:v>BES_TR4_one570_B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-1.5999999999999351E-4</c:v>
                </c:pt>
                <c:pt idx="1">
                  <c:v>3.5033333333300831E-4</c:v>
                </c:pt>
                <c:pt idx="2">
                  <c:v>0</c:v>
                </c:pt>
                <c:pt idx="3">
                  <c:v>3.1999999999998702E-4</c:v>
                </c:pt>
                <c:pt idx="4">
                  <c:v>0</c:v>
                </c:pt>
                <c:pt idx="5">
                  <c:v>1.5333333333300561E-4</c:v>
                </c:pt>
                <c:pt idx="6">
                  <c:v>3.3999999999999309E-4</c:v>
                </c:pt>
                <c:pt idx="7">
                  <c:v>3.9616450000003189E-4</c:v>
                </c:pt>
                <c:pt idx="8">
                  <c:v>-3.1072450000024793E-4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-7.7901999999491212E-5</c:v>
                </c:pt>
                <c:pt idx="12">
                  <c:v>4.0287958333246049E-4</c:v>
                </c:pt>
                <c:pt idx="13">
                  <c:v>2.9043683333451748E-4</c:v>
                </c:pt>
                <c:pt idx="14">
                  <c:v>-1.5465925000013309E-4</c:v>
                </c:pt>
                <c:pt idx="15">
                  <c:v>3.8676041666707572E-4</c:v>
                </c:pt>
                <c:pt idx="16">
                  <c:v>8.9692749998704357E-5</c:v>
                </c:pt>
                <c:pt idx="17">
                  <c:v>-3.1350016666675812E-4</c:v>
                </c:pt>
                <c:pt idx="18">
                  <c:v>-0.10880216833333491</c:v>
                </c:pt>
                <c:pt idx="19">
                  <c:v>-1.7130096288333321</c:v>
                </c:pt>
                <c:pt idx="20">
                  <c:v>-1.7283042894166669</c:v>
                </c:pt>
                <c:pt idx="21">
                  <c:v>-1.78631820075</c:v>
                </c:pt>
                <c:pt idx="22">
                  <c:v>-1.799291202916667</c:v>
                </c:pt>
                <c:pt idx="23">
                  <c:v>-2.092479193</c:v>
                </c:pt>
                <c:pt idx="24">
                  <c:v>-1.8712608306666669</c:v>
                </c:pt>
                <c:pt idx="25">
                  <c:v>-1.584772711666667</c:v>
                </c:pt>
                <c:pt idx="26">
                  <c:v>-2.0088333845833328</c:v>
                </c:pt>
                <c:pt idx="27">
                  <c:v>-1.7489206213333339</c:v>
                </c:pt>
                <c:pt idx="28">
                  <c:v>-1.7855653332500001</c:v>
                </c:pt>
                <c:pt idx="29">
                  <c:v>-1.6066030581666679</c:v>
                </c:pt>
                <c:pt idx="30">
                  <c:v>-1.4075134425833331</c:v>
                </c:pt>
                <c:pt idx="31">
                  <c:v>-1.413549675333335</c:v>
                </c:pt>
                <c:pt idx="32">
                  <c:v>-1.2201757024999991</c:v>
                </c:pt>
                <c:pt idx="33">
                  <c:v>-0.92916321224999898</c:v>
                </c:pt>
                <c:pt idx="34">
                  <c:v>-0.86156526291666546</c:v>
                </c:pt>
                <c:pt idx="35">
                  <c:v>-0.55204731325</c:v>
                </c:pt>
                <c:pt idx="36">
                  <c:v>-0.39071648416666749</c:v>
                </c:pt>
                <c:pt idx="37">
                  <c:v>-0.22279987041666699</c:v>
                </c:pt>
                <c:pt idx="38">
                  <c:v>4.9953266666678819E-4</c:v>
                </c:pt>
                <c:pt idx="39">
                  <c:v>-3.7634416666987303E-5</c:v>
                </c:pt>
                <c:pt idx="40">
                  <c:v>-3.0902683333366992E-4</c:v>
                </c:pt>
                <c:pt idx="41">
                  <c:v>-2.233333333329923E-4</c:v>
                </c:pt>
                <c:pt idx="42">
                  <c:v>-2.8333333332963839E-5</c:v>
                </c:pt>
                <c:pt idx="43">
                  <c:v>2.120000000000177E-4</c:v>
                </c:pt>
                <c:pt idx="44">
                  <c:v>-3.7333333333000602E-5</c:v>
                </c:pt>
                <c:pt idx="45">
                  <c:v>-3.9726666666700661E-4</c:v>
                </c:pt>
                <c:pt idx="46">
                  <c:v>-1.2990000000001609E-4</c:v>
                </c:pt>
                <c:pt idx="47">
                  <c:v>-1.743333333329988E-4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33D-456C-A96C-F836C4AA8DE4}"/>
            </c:ext>
          </c:extLst>
        </c:ser>
        <c:ser>
          <c:idx val="22"/>
          <c:order val="22"/>
          <c:tx>
            <c:v>BES_TR4_one585_A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4.9899999999999944E-4</c:v>
                </c:pt>
                <c:pt idx="1">
                  <c:v>-3.903333333329928E-4</c:v>
                </c:pt>
                <c:pt idx="2">
                  <c:v>0</c:v>
                </c:pt>
                <c:pt idx="3">
                  <c:v>-3.903333333329928E-4</c:v>
                </c:pt>
                <c:pt idx="4">
                  <c:v>4.9899999999999944E-4</c:v>
                </c:pt>
                <c:pt idx="5">
                  <c:v>0</c:v>
                </c:pt>
                <c:pt idx="6">
                  <c:v>4.9899999999999944E-4</c:v>
                </c:pt>
                <c:pt idx="7">
                  <c:v>1.6886320000031321E-4</c:v>
                </c:pt>
                <c:pt idx="8">
                  <c:v>2.6550746666679619E-4</c:v>
                </c:pt>
                <c:pt idx="9">
                  <c:v>2.5944279999998149E-4</c:v>
                </c:pt>
                <c:pt idx="10">
                  <c:v>-6.4621600000980273E-5</c:v>
                </c:pt>
                <c:pt idx="11">
                  <c:v>1.420234666681397E-4</c:v>
                </c:pt>
                <c:pt idx="12">
                  <c:v>-8.55926666680773E-5</c:v>
                </c:pt>
                <c:pt idx="13">
                  <c:v>-4.6550106666498609E-4</c:v>
                </c:pt>
                <c:pt idx="14">
                  <c:v>4.0545199999852948E-5</c:v>
                </c:pt>
                <c:pt idx="15">
                  <c:v>-0.47362608999999978</c:v>
                </c:pt>
                <c:pt idx="16">
                  <c:v>-2.1021643982666678</c:v>
                </c:pt>
                <c:pt idx="17">
                  <c:v>-2.4327072669333329</c:v>
                </c:pt>
                <c:pt idx="18">
                  <c:v>-2.6573540293333351</c:v>
                </c:pt>
                <c:pt idx="19">
                  <c:v>-2.8114960727999989</c:v>
                </c:pt>
                <c:pt idx="20">
                  <c:v>-3.0870089430666678</c:v>
                </c:pt>
                <c:pt idx="21">
                  <c:v>-3.0701964545333329</c:v>
                </c:pt>
                <c:pt idx="22">
                  <c:v>-3.3319779246666679</c:v>
                </c:pt>
                <c:pt idx="23">
                  <c:v>-3.2164580421333331</c:v>
                </c:pt>
                <c:pt idx="24">
                  <c:v>-3.3894813290666681</c:v>
                </c:pt>
                <c:pt idx="25">
                  <c:v>-3.3653216719999999</c:v>
                </c:pt>
                <c:pt idx="26">
                  <c:v>-3.2623254820000001</c:v>
                </c:pt>
                <c:pt idx="27">
                  <c:v>-3.0220586608000009</c:v>
                </c:pt>
                <c:pt idx="28">
                  <c:v>-3.0125078932</c:v>
                </c:pt>
                <c:pt idx="29">
                  <c:v>-2.8251901730666682</c:v>
                </c:pt>
                <c:pt idx="30">
                  <c:v>-2.4805751614666671</c:v>
                </c:pt>
                <c:pt idx="31">
                  <c:v>-2.372028520533334</c:v>
                </c:pt>
                <c:pt idx="32">
                  <c:v>-2.084877823999999</c:v>
                </c:pt>
                <c:pt idx="33">
                  <c:v>-1.5253432729333321</c:v>
                </c:pt>
                <c:pt idx="34">
                  <c:v>-1.4772117273333321</c:v>
                </c:pt>
                <c:pt idx="35">
                  <c:v>-1.143838954533333</c:v>
                </c:pt>
                <c:pt idx="36">
                  <c:v>-0.71355860133333504</c:v>
                </c:pt>
                <c:pt idx="37">
                  <c:v>-0.57775072599999999</c:v>
                </c:pt>
                <c:pt idx="38">
                  <c:v>-0.19447941440000019</c:v>
                </c:pt>
                <c:pt idx="39">
                  <c:v>1.207182666669304E-4</c:v>
                </c:pt>
                <c:pt idx="40">
                  <c:v>3.7322373333326109E-4</c:v>
                </c:pt>
                <c:pt idx="41">
                  <c:v>-2.8866666666704788E-4</c:v>
                </c:pt>
                <c:pt idx="42">
                  <c:v>-1.019999999999355E-4</c:v>
                </c:pt>
                <c:pt idx="43">
                  <c:v>9.6666666667022394E-5</c:v>
                </c:pt>
                <c:pt idx="44">
                  <c:v>1.186666666669889E-4</c:v>
                </c:pt>
                <c:pt idx="45">
                  <c:v>0</c:v>
                </c:pt>
                <c:pt idx="46">
                  <c:v>1.6499999999999851E-4</c:v>
                </c:pt>
                <c:pt idx="47">
                  <c:v>-5.6333333332991842E-5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33D-456C-A96C-F836C4AA8DE4}"/>
            </c:ext>
          </c:extLst>
        </c:ser>
        <c:ser>
          <c:idx val="23"/>
          <c:order val="23"/>
          <c:tx>
            <c:v>BES_TR4_one590_A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2.1333333333328761E-4</c:v>
                </c:pt>
                <c:pt idx="1">
                  <c:v>2.6533333333300663E-4</c:v>
                </c:pt>
                <c:pt idx="2">
                  <c:v>1.7000000000017002E-5</c:v>
                </c:pt>
                <c:pt idx="3">
                  <c:v>4.9599999999999644E-4</c:v>
                </c:pt>
                <c:pt idx="4">
                  <c:v>-2.25000000000003E-4</c:v>
                </c:pt>
                <c:pt idx="5">
                  <c:v>-1.9100000000001061E-4</c:v>
                </c:pt>
                <c:pt idx="6">
                  <c:v>0</c:v>
                </c:pt>
                <c:pt idx="7">
                  <c:v>-3.7596883333365638E-4</c:v>
                </c:pt>
                <c:pt idx="8">
                  <c:v>6.2608833333699376E-5</c:v>
                </c:pt>
                <c:pt idx="9">
                  <c:v>3.0352675000000501E-4</c:v>
                </c:pt>
                <c:pt idx="10">
                  <c:v>-4.0534683333451338E-4</c:v>
                </c:pt>
                <c:pt idx="11">
                  <c:v>-7.4901999999460456E-5</c:v>
                </c:pt>
                <c:pt idx="12">
                  <c:v>-9.5120416667537899E-5</c:v>
                </c:pt>
                <c:pt idx="13">
                  <c:v>4.6043683333452101E-4</c:v>
                </c:pt>
                <c:pt idx="14">
                  <c:v>-4.8399258333298167E-4</c:v>
                </c:pt>
                <c:pt idx="15">
                  <c:v>1.600270833330697E-4</c:v>
                </c:pt>
                <c:pt idx="16">
                  <c:v>2.5582608333207801E-4</c:v>
                </c:pt>
                <c:pt idx="17">
                  <c:v>4.511664999999887E-4</c:v>
                </c:pt>
                <c:pt idx="18">
                  <c:v>-1.463893500000113E-2</c:v>
                </c:pt>
                <c:pt idx="19">
                  <c:v>-1.5555206288333321</c:v>
                </c:pt>
                <c:pt idx="20">
                  <c:v>-1.7391409227500001</c:v>
                </c:pt>
                <c:pt idx="21">
                  <c:v>-1.9605920340833329</c:v>
                </c:pt>
                <c:pt idx="22">
                  <c:v>-1.764024869583334</c:v>
                </c:pt>
                <c:pt idx="23">
                  <c:v>-1.8611061929999999</c:v>
                </c:pt>
                <c:pt idx="24">
                  <c:v>-1.9863914973333341</c:v>
                </c:pt>
                <c:pt idx="25">
                  <c:v>-1.789294378333333</c:v>
                </c:pt>
                <c:pt idx="26">
                  <c:v>-0.87900871791667012</c:v>
                </c:pt>
                <c:pt idx="27">
                  <c:v>-0.79307295466666705</c:v>
                </c:pt>
                <c:pt idx="28">
                  <c:v>-1.3236700999166671</c:v>
                </c:pt>
                <c:pt idx="29">
                  <c:v>-1.070389858166668</c:v>
                </c:pt>
                <c:pt idx="30">
                  <c:v>-0.9914463092500001</c:v>
                </c:pt>
                <c:pt idx="31">
                  <c:v>-1.142608575333335</c:v>
                </c:pt>
                <c:pt idx="32">
                  <c:v>-1.051750702499999</c:v>
                </c:pt>
                <c:pt idx="33">
                  <c:v>-0.65134321224999991</c:v>
                </c:pt>
                <c:pt idx="34">
                  <c:v>-0.44962559624999843</c:v>
                </c:pt>
                <c:pt idx="35">
                  <c:v>-0.58873657991666706</c:v>
                </c:pt>
                <c:pt idx="36">
                  <c:v>-9.1953084166667476E-2</c:v>
                </c:pt>
                <c:pt idx="37">
                  <c:v>-1.193708333296906E-5</c:v>
                </c:pt>
                <c:pt idx="38">
                  <c:v>4.4903266666680009E-4</c:v>
                </c:pt>
                <c:pt idx="39">
                  <c:v>1.240989166669815E-4</c:v>
                </c:pt>
                <c:pt idx="40">
                  <c:v>-2.8269349999970878E-4</c:v>
                </c:pt>
                <c:pt idx="41">
                  <c:v>-1.7500000000003621E-4</c:v>
                </c:pt>
                <c:pt idx="42">
                  <c:v>-5.5333333334073309E-5</c:v>
                </c:pt>
                <c:pt idx="43">
                  <c:v>-4.6866666666700579E-4</c:v>
                </c:pt>
                <c:pt idx="44">
                  <c:v>-3.0499999999999972E-4</c:v>
                </c:pt>
                <c:pt idx="45">
                  <c:v>3.8666666666589689E-5</c:v>
                </c:pt>
                <c:pt idx="46">
                  <c:v>-2.386666666669979E-4</c:v>
                </c:pt>
                <c:pt idx="47">
                  <c:v>2.216666666670086E-4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33D-456C-A96C-F836C4AA8DE4}"/>
            </c:ext>
          </c:extLst>
        </c:ser>
        <c:ser>
          <c:idx val="24"/>
          <c:order val="24"/>
          <c:tx>
            <c:v>BES_TR4_one617_A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-5.3999999999998487E-5</c:v>
                </c:pt>
                <c:pt idx="3">
                  <c:v>0</c:v>
                </c:pt>
                <c:pt idx="4">
                  <c:v>0</c:v>
                </c:pt>
                <c:pt idx="5">
                  <c:v>-3.599999999999437E-5</c:v>
                </c:pt>
                <c:pt idx="6">
                  <c:v>1.976666666669846E-4</c:v>
                </c:pt>
                <c:pt idx="7">
                  <c:v>-4.9470303333332133E-4</c:v>
                </c:pt>
                <c:pt idx="8">
                  <c:v>-2.3534763333354911E-4</c:v>
                </c:pt>
                <c:pt idx="9">
                  <c:v>4.9813745000001908E-4</c:v>
                </c:pt>
                <c:pt idx="10">
                  <c:v>2.9124776666550328E-4</c:v>
                </c:pt>
                <c:pt idx="11">
                  <c:v>-1.4372946666552089E-4</c:v>
                </c:pt>
                <c:pt idx="12">
                  <c:v>-3.1010191666758219E-4</c:v>
                </c:pt>
                <c:pt idx="13">
                  <c:v>3.0381156666847708E-4</c:v>
                </c:pt>
                <c:pt idx="14">
                  <c:v>2.8547705000003809E-4</c:v>
                </c:pt>
                <c:pt idx="15">
                  <c:v>2.0217124999999389E-4</c:v>
                </c:pt>
                <c:pt idx="16">
                  <c:v>-1.354969890150002</c:v>
                </c:pt>
                <c:pt idx="17">
                  <c:v>-2.127941900233334</c:v>
                </c:pt>
                <c:pt idx="18">
                  <c:v>-2.3785034423333351</c:v>
                </c:pt>
                <c:pt idx="19">
                  <c:v>-2.5515854803666649</c:v>
                </c:pt>
                <c:pt idx="20">
                  <c:v>-2.4021024918500009</c:v>
                </c:pt>
                <c:pt idx="21">
                  <c:v>-2.296013314383333</c:v>
                </c:pt>
                <c:pt idx="22">
                  <c:v>-0.35291568408333379</c:v>
                </c:pt>
                <c:pt idx="23">
                  <c:v>-0.29157753686666998</c:v>
                </c:pt>
                <c:pt idx="24">
                  <c:v>-2.3487094962666681</c:v>
                </c:pt>
                <c:pt idx="25">
                  <c:v>-2.815715796333333</c:v>
                </c:pt>
                <c:pt idx="26">
                  <c:v>-2.7733983384166669</c:v>
                </c:pt>
                <c:pt idx="27">
                  <c:v>-2.7510008698666679</c:v>
                </c:pt>
                <c:pt idx="28">
                  <c:v>-2.63831940655</c:v>
                </c:pt>
                <c:pt idx="29">
                  <c:v>-2.4377797347666679</c:v>
                </c:pt>
                <c:pt idx="30">
                  <c:v>-2.270928099616667</c:v>
                </c:pt>
                <c:pt idx="31">
                  <c:v>-2.0833085387999999</c:v>
                </c:pt>
                <c:pt idx="32">
                  <c:v>-1.7959563834999981</c:v>
                </c:pt>
                <c:pt idx="33">
                  <c:v>-1.5695623638166649</c:v>
                </c:pt>
                <c:pt idx="34">
                  <c:v>-1.2368642614166649</c:v>
                </c:pt>
                <c:pt idx="35">
                  <c:v>-1.02870591855</c:v>
                </c:pt>
                <c:pt idx="36">
                  <c:v>-0.71958831783333443</c:v>
                </c:pt>
                <c:pt idx="37">
                  <c:v>-0.48592488524999999</c:v>
                </c:pt>
                <c:pt idx="38">
                  <c:v>-0.27828065426666648</c:v>
                </c:pt>
                <c:pt idx="39">
                  <c:v>-4.24376215166666E-2</c:v>
                </c:pt>
                <c:pt idx="40">
                  <c:v>3.2536243333365628E-4</c:v>
                </c:pt>
                <c:pt idx="41">
                  <c:v>3.2733333333340159E-4</c:v>
                </c:pt>
                <c:pt idx="42">
                  <c:v>-3.8133333333299768E-4</c:v>
                </c:pt>
                <c:pt idx="43">
                  <c:v>2.9266666666699642E-4</c:v>
                </c:pt>
                <c:pt idx="44">
                  <c:v>0</c:v>
                </c:pt>
                <c:pt idx="45">
                  <c:v>0</c:v>
                </c:pt>
                <c:pt idx="46">
                  <c:v>-2.133333333330101E-4</c:v>
                </c:pt>
                <c:pt idx="47">
                  <c:v>4.8166666666699109E-4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33D-456C-A96C-F836C4AA8DE4}"/>
            </c:ext>
          </c:extLst>
        </c:ser>
        <c:ser>
          <c:idx val="25"/>
          <c:order val="25"/>
          <c:tx>
            <c:v>BES_TR4_one76_A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-2.6400000000000029E-4</c:v>
                </c:pt>
                <c:pt idx="1">
                  <c:v>-3.746666666666898E-4</c:v>
                </c:pt>
                <c:pt idx="2">
                  <c:v>1.01999999999991E-4</c:v>
                </c:pt>
                <c:pt idx="3">
                  <c:v>0</c:v>
                </c:pt>
                <c:pt idx="4">
                  <c:v>4.703333333330173E-4</c:v>
                </c:pt>
                <c:pt idx="5">
                  <c:v>-3.1000000000100392E-5</c:v>
                </c:pt>
                <c:pt idx="6">
                  <c:v>0</c:v>
                </c:pt>
                <c:pt idx="7">
                  <c:v>-3.9216883333270669E-4</c:v>
                </c:pt>
                <c:pt idx="8">
                  <c:v>-1.150578333333485E-4</c:v>
                </c:pt>
                <c:pt idx="9">
                  <c:v>-3.584732500000049E-4</c:v>
                </c:pt>
                <c:pt idx="10">
                  <c:v>-4.968016666749564E-5</c:v>
                </c:pt>
                <c:pt idx="11">
                  <c:v>2.3339800000082839E-4</c:v>
                </c:pt>
                <c:pt idx="12">
                  <c:v>1.8104624999903951E-4</c:v>
                </c:pt>
                <c:pt idx="13">
                  <c:v>-3.9556316666644609E-4</c:v>
                </c:pt>
                <c:pt idx="14">
                  <c:v>-2.2465925000003659E-4</c:v>
                </c:pt>
                <c:pt idx="15">
                  <c:v>-1.4639583332920481E-5</c:v>
                </c:pt>
                <c:pt idx="16">
                  <c:v>3.947927499989845E-4</c:v>
                </c:pt>
                <c:pt idx="17">
                  <c:v>-4.0683350000003671E-4</c:v>
                </c:pt>
                <c:pt idx="18">
                  <c:v>-0.80963226833333501</c:v>
                </c:pt>
                <c:pt idx="19">
                  <c:v>-1.804989628833332</c:v>
                </c:pt>
                <c:pt idx="20">
                  <c:v>-1.886229589416667</c:v>
                </c:pt>
                <c:pt idx="21">
                  <c:v>-1.9030537007499999</c:v>
                </c:pt>
                <c:pt idx="22">
                  <c:v>-1.876171869583334</c:v>
                </c:pt>
                <c:pt idx="23">
                  <c:v>-2.076295193</c:v>
                </c:pt>
                <c:pt idx="24">
                  <c:v>-1.854945497333333</c:v>
                </c:pt>
                <c:pt idx="25">
                  <c:v>-2.0355130450000001</c:v>
                </c:pt>
                <c:pt idx="26">
                  <c:v>-1.9058443179166671</c:v>
                </c:pt>
                <c:pt idx="27">
                  <c:v>-1.680259954666667</c:v>
                </c:pt>
                <c:pt idx="28">
                  <c:v>-1.8622010332500001</c:v>
                </c:pt>
                <c:pt idx="29">
                  <c:v>-1.2716108581666681</c:v>
                </c:pt>
                <c:pt idx="30">
                  <c:v>-1.0127306425833329</c:v>
                </c:pt>
                <c:pt idx="31">
                  <c:v>-1.008221242000001</c:v>
                </c:pt>
                <c:pt idx="32">
                  <c:v>-0.1191343691666622</c:v>
                </c:pt>
                <c:pt idx="33">
                  <c:v>-0.66317354558333297</c:v>
                </c:pt>
                <c:pt idx="34">
                  <c:v>-0.78631332958333244</c:v>
                </c:pt>
                <c:pt idx="35">
                  <c:v>-0.39015517991666698</c:v>
                </c:pt>
                <c:pt idx="36">
                  <c:v>-0.35033508416666748</c:v>
                </c:pt>
                <c:pt idx="37">
                  <c:v>-0.20134320375</c:v>
                </c:pt>
                <c:pt idx="38">
                  <c:v>-1.031380066666618E-2</c:v>
                </c:pt>
                <c:pt idx="39">
                  <c:v>-4.2663441666990209E-4</c:v>
                </c:pt>
                <c:pt idx="40">
                  <c:v>2.4497316666727281E-4</c:v>
                </c:pt>
                <c:pt idx="41">
                  <c:v>-2.7966666666701112E-4</c:v>
                </c:pt>
                <c:pt idx="42">
                  <c:v>2.9999999999996701E-4</c:v>
                </c:pt>
                <c:pt idx="43">
                  <c:v>7.0000000000014495E-5</c:v>
                </c:pt>
                <c:pt idx="44">
                  <c:v>-1.376666666669801E-4</c:v>
                </c:pt>
                <c:pt idx="45">
                  <c:v>1.2666666666699691E-4</c:v>
                </c:pt>
                <c:pt idx="46">
                  <c:v>-3.9933333333300181E-4</c:v>
                </c:pt>
                <c:pt idx="47">
                  <c:v>-4.0566666666699841E-4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33D-456C-A96C-F836C4AA8DE4}"/>
            </c:ext>
          </c:extLst>
        </c:ser>
        <c:ser>
          <c:idx val="26"/>
          <c:order val="26"/>
          <c:tx>
            <c:v>BES_TR4_one133_A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-2.666666666698014E-5</c:v>
                </c:pt>
                <c:pt idx="1">
                  <c:v>2.0799999999990271E-4</c:v>
                </c:pt>
                <c:pt idx="2">
                  <c:v>0</c:v>
                </c:pt>
                <c:pt idx="3">
                  <c:v>4.0600000000000358E-4</c:v>
                </c:pt>
                <c:pt idx="4">
                  <c:v>-1.8800000000000761E-4</c:v>
                </c:pt>
                <c:pt idx="5">
                  <c:v>1.0000000000009999E-5</c:v>
                </c:pt>
                <c:pt idx="6">
                  <c:v>2.0799999999990271E-4</c:v>
                </c:pt>
                <c:pt idx="7">
                  <c:v>-4.4080346666666709E-4</c:v>
                </c:pt>
                <c:pt idx="8">
                  <c:v>4.8350746666681038E-4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4.9240733333200115E-4</c:v>
                </c:pt>
                <c:pt idx="13">
                  <c:v>6.5832266667786854E-5</c:v>
                </c:pt>
                <c:pt idx="14">
                  <c:v>1.3021186666684059E-4</c:v>
                </c:pt>
                <c:pt idx="15">
                  <c:v>-5.001308999999976E-2</c:v>
                </c:pt>
                <c:pt idx="16">
                  <c:v>-2.0456140649333352</c:v>
                </c:pt>
                <c:pt idx="17">
                  <c:v>-2.0777632669333328</c:v>
                </c:pt>
                <c:pt idx="18">
                  <c:v>-2.5355293626666682</c:v>
                </c:pt>
                <c:pt idx="19">
                  <c:v>-2.3306927394666652</c:v>
                </c:pt>
                <c:pt idx="20">
                  <c:v>-1.889096943066668</c:v>
                </c:pt>
                <c:pt idx="21">
                  <c:v>-2.403478454533333</c:v>
                </c:pt>
                <c:pt idx="22">
                  <c:v>-1.235024591333338</c:v>
                </c:pt>
                <c:pt idx="23">
                  <c:v>-1.9886920421333301</c:v>
                </c:pt>
                <c:pt idx="24">
                  <c:v>-3.3404713290666681</c:v>
                </c:pt>
                <c:pt idx="25">
                  <c:v>-3.360321672</c:v>
                </c:pt>
                <c:pt idx="26">
                  <c:v>-3.235148482</c:v>
                </c:pt>
                <c:pt idx="27">
                  <c:v>-3.120126327466668</c:v>
                </c:pt>
                <c:pt idx="28">
                  <c:v>-2.9147145598666668</c:v>
                </c:pt>
                <c:pt idx="29">
                  <c:v>-2.4623591730666679</c:v>
                </c:pt>
                <c:pt idx="30">
                  <c:v>-2.3791584948</c:v>
                </c:pt>
                <c:pt idx="31">
                  <c:v>-1.8562775205333351</c:v>
                </c:pt>
                <c:pt idx="32">
                  <c:v>-1.149045057333332</c:v>
                </c:pt>
                <c:pt idx="33">
                  <c:v>-1.6458346062666649</c:v>
                </c:pt>
                <c:pt idx="34">
                  <c:v>-1.297791527333332</c:v>
                </c:pt>
                <c:pt idx="35">
                  <c:v>-1.1121979211999999</c:v>
                </c:pt>
                <c:pt idx="36">
                  <c:v>-0.56115480133333495</c:v>
                </c:pt>
                <c:pt idx="37">
                  <c:v>-1.740593333301454E-4</c:v>
                </c:pt>
                <c:pt idx="38">
                  <c:v>-2.5674773333320128E-4</c:v>
                </c:pt>
                <c:pt idx="39">
                  <c:v>2.410516000000418E-4</c:v>
                </c:pt>
                <c:pt idx="40">
                  <c:v>4.8822373333323732E-4</c:v>
                </c:pt>
                <c:pt idx="41">
                  <c:v>3.763333333329788E-4</c:v>
                </c:pt>
                <c:pt idx="42">
                  <c:v>3.8999999999900232E-5</c:v>
                </c:pt>
                <c:pt idx="43">
                  <c:v>2.1199999999999E-4</c:v>
                </c:pt>
                <c:pt idx="44">
                  <c:v>-3.8366666666711508E-4</c:v>
                </c:pt>
                <c:pt idx="45">
                  <c:v>-3.4666666669735953E-5</c:v>
                </c:pt>
                <c:pt idx="46">
                  <c:v>2.7533333333296112E-4</c:v>
                </c:pt>
                <c:pt idx="47">
                  <c:v>0.34007266666666991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33D-456C-A96C-F836C4AA8DE4}"/>
            </c:ext>
          </c:extLst>
        </c:ser>
        <c:ser>
          <c:idx val="27"/>
          <c:order val="27"/>
          <c:tx>
            <c:v>BES_TR4_one137_A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2.9133333333297712E-4</c:v>
                </c:pt>
                <c:pt idx="1">
                  <c:v>-4.720000000000002E-4</c:v>
                </c:pt>
                <c:pt idx="2">
                  <c:v>0</c:v>
                </c:pt>
                <c:pt idx="3">
                  <c:v>0</c:v>
                </c:pt>
                <c:pt idx="4">
                  <c:v>-4.119999999999957E-4</c:v>
                </c:pt>
                <c:pt idx="5">
                  <c:v>3.4800000000001502E-4</c:v>
                </c:pt>
                <c:pt idx="6">
                  <c:v>0</c:v>
                </c:pt>
                <c:pt idx="7">
                  <c:v>2.1559826666667231E-4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1.4985586666599329E-4</c:v>
                </c:pt>
                <c:pt idx="11">
                  <c:v>1.870117333340193E-4</c:v>
                </c:pt>
                <c:pt idx="12">
                  <c:v>4.0703666665919958E-5</c:v>
                </c:pt>
                <c:pt idx="13">
                  <c:v>-2.8658386666602359E-4</c:v>
                </c:pt>
                <c:pt idx="14">
                  <c:v>3.7227259999994539E-4</c:v>
                </c:pt>
                <c:pt idx="15">
                  <c:v>2.9550000000266859E-6</c:v>
                </c:pt>
                <c:pt idx="16">
                  <c:v>-4.0469913333407442E-4</c:v>
                </c:pt>
                <c:pt idx="17">
                  <c:v>-5.5466799999903671E-5</c:v>
                </c:pt>
                <c:pt idx="18">
                  <c:v>3.2778533333607812E-4</c:v>
                </c:pt>
                <c:pt idx="19">
                  <c:v>1.202969333341519E-4</c:v>
                </c:pt>
                <c:pt idx="20">
                  <c:v>-2.8807153333376689E-4</c:v>
                </c:pt>
                <c:pt idx="21">
                  <c:v>3.4743939999981599E-4</c:v>
                </c:pt>
                <c:pt idx="22">
                  <c:v>-1.090548962333334</c:v>
                </c:pt>
                <c:pt idx="23">
                  <c:v>-1.5297873544</c:v>
                </c:pt>
                <c:pt idx="24">
                  <c:v>-1.665240664533334</c:v>
                </c:pt>
                <c:pt idx="25">
                  <c:v>-1.6455728359999999</c:v>
                </c:pt>
                <c:pt idx="26">
                  <c:v>-1.4532312409999999</c:v>
                </c:pt>
                <c:pt idx="27">
                  <c:v>-1.550667163733334</c:v>
                </c:pt>
                <c:pt idx="28">
                  <c:v>-1.4767539465999999</c:v>
                </c:pt>
                <c:pt idx="29">
                  <c:v>-1.216159086533334</c:v>
                </c:pt>
                <c:pt idx="30">
                  <c:v>-1.2835642474</c:v>
                </c:pt>
                <c:pt idx="31">
                  <c:v>-1.1637919269333341</c:v>
                </c:pt>
                <c:pt idx="32">
                  <c:v>-0.82782022866666582</c:v>
                </c:pt>
                <c:pt idx="33">
                  <c:v>-0.73026616979999903</c:v>
                </c:pt>
                <c:pt idx="34">
                  <c:v>-0.58583023033333292</c:v>
                </c:pt>
                <c:pt idx="35">
                  <c:v>-0.31055747726666699</c:v>
                </c:pt>
                <c:pt idx="36">
                  <c:v>-0.25618946733333398</c:v>
                </c:pt>
                <c:pt idx="37">
                  <c:v>1.4063700000000601E-4</c:v>
                </c:pt>
                <c:pt idx="38">
                  <c:v>4.0435946666641381E-4</c:v>
                </c:pt>
                <c:pt idx="39">
                  <c:v>-1.075742000000712E-4</c:v>
                </c:pt>
                <c:pt idx="40">
                  <c:v>3.8445200000736257E-5</c:v>
                </c:pt>
                <c:pt idx="41">
                  <c:v>2.7833333333293631E-4</c:v>
                </c:pt>
                <c:pt idx="42">
                  <c:v>2.6999999999988139E-4</c:v>
                </c:pt>
                <c:pt idx="43">
                  <c:v>-4.9633333333298779E-4</c:v>
                </c:pt>
                <c:pt idx="44">
                  <c:v>-3.2999999999999702E-4</c:v>
                </c:pt>
                <c:pt idx="45">
                  <c:v>3.5999999999980492E-5</c:v>
                </c:pt>
                <c:pt idx="46">
                  <c:v>-4.8333333332983841E-5</c:v>
                </c:pt>
                <c:pt idx="47">
                  <c:v>2.4799999999991501E-4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33D-456C-A96C-F836C4AA8DE4}"/>
            </c:ext>
          </c:extLst>
        </c:ser>
        <c:ser>
          <c:idx val="28"/>
          <c:order val="28"/>
          <c:tx>
            <c:v>BES_TR4_one176_A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-3.4694469519536142E-18</c:v>
                </c:pt>
                <c:pt idx="1">
                  <c:v>9.5999999999984986E-5</c:v>
                </c:pt>
                <c:pt idx="2">
                  <c:v>-3.4694469519536142E-18</c:v>
                </c:pt>
                <c:pt idx="3">
                  <c:v>2.0000000000006121E-5</c:v>
                </c:pt>
                <c:pt idx="4">
                  <c:v>7.599999999999274E-5</c:v>
                </c:pt>
                <c:pt idx="5">
                  <c:v>-3.4694469519536142E-18</c:v>
                </c:pt>
                <c:pt idx="6">
                  <c:v>9.5999999999984986E-5</c:v>
                </c:pt>
                <c:pt idx="7">
                  <c:v>-1.505021666666703E-4</c:v>
                </c:pt>
                <c:pt idx="8">
                  <c:v>-4.6005783333326328E-4</c:v>
                </c:pt>
                <c:pt idx="9">
                  <c:v>1.135267499999815E-4</c:v>
                </c:pt>
                <c:pt idx="10">
                  <c:v>-3.3768016666746448E-4</c:v>
                </c:pt>
                <c:pt idx="11">
                  <c:v>-3.0123533333248348E-4</c:v>
                </c:pt>
                <c:pt idx="12">
                  <c:v>-2.1312041666743389E-4</c:v>
                </c:pt>
                <c:pt idx="13">
                  <c:v>4.1177016666749111E-4</c:v>
                </c:pt>
                <c:pt idx="14">
                  <c:v>-2.2465925000014761E-4</c:v>
                </c:pt>
                <c:pt idx="15">
                  <c:v>3.3069375000005508E-4</c:v>
                </c:pt>
                <c:pt idx="16">
                  <c:v>4.1812608333202661E-4</c:v>
                </c:pt>
                <c:pt idx="17">
                  <c:v>-1.0024068335</c:v>
                </c:pt>
                <c:pt idx="18">
                  <c:v>-1.5712636016666679</c:v>
                </c:pt>
                <c:pt idx="19">
                  <c:v>-1.819690962166665</c:v>
                </c:pt>
                <c:pt idx="20">
                  <c:v>-1.897297589416667</c:v>
                </c:pt>
                <c:pt idx="21">
                  <c:v>-1.9281777007500001</c:v>
                </c:pt>
                <c:pt idx="22">
                  <c:v>-2.0856112029166671</c:v>
                </c:pt>
                <c:pt idx="23">
                  <c:v>-2.0841391929999999</c:v>
                </c:pt>
                <c:pt idx="24">
                  <c:v>-2.0217948306666669</c:v>
                </c:pt>
                <c:pt idx="25">
                  <c:v>-2.106451045</c:v>
                </c:pt>
                <c:pt idx="26">
                  <c:v>-1.9970440512500001</c:v>
                </c:pt>
                <c:pt idx="27">
                  <c:v>-1.9079179546666669</c:v>
                </c:pt>
                <c:pt idx="28">
                  <c:v>-1.8859424332500001</c:v>
                </c:pt>
                <c:pt idx="29">
                  <c:v>-1.7688688581666681</c:v>
                </c:pt>
                <c:pt idx="30">
                  <c:v>-1.51535930925</c:v>
                </c:pt>
                <c:pt idx="31">
                  <c:v>-1.4947399086666679</c:v>
                </c:pt>
                <c:pt idx="32">
                  <c:v>-1.3261250358333321</c:v>
                </c:pt>
                <c:pt idx="33">
                  <c:v>-0.96814854558333296</c:v>
                </c:pt>
                <c:pt idx="34">
                  <c:v>-0.59885732958333249</c:v>
                </c:pt>
                <c:pt idx="35">
                  <c:v>-0.68987484658333331</c:v>
                </c:pt>
                <c:pt idx="36">
                  <c:v>-0.42965708416666748</c:v>
                </c:pt>
                <c:pt idx="37">
                  <c:v>-0.265126537083333</c:v>
                </c:pt>
                <c:pt idx="38">
                  <c:v>-0.13386713399999989</c:v>
                </c:pt>
                <c:pt idx="39">
                  <c:v>4.9369891666695143E-4</c:v>
                </c:pt>
                <c:pt idx="40">
                  <c:v>-1.5236016666669849E-4</c:v>
                </c:pt>
                <c:pt idx="41">
                  <c:v>4.4933333333296849E-4</c:v>
                </c:pt>
                <c:pt idx="42">
                  <c:v>2.5433333333302333E-4</c:v>
                </c:pt>
                <c:pt idx="43">
                  <c:v>-3.3333333333401832E-4</c:v>
                </c:pt>
                <c:pt idx="44">
                  <c:v>9.5999999999984986E-5</c:v>
                </c:pt>
                <c:pt idx="45">
                  <c:v>-3.4694469519536142E-18</c:v>
                </c:pt>
                <c:pt idx="46">
                  <c:v>9.5999999999984986E-5</c:v>
                </c:pt>
                <c:pt idx="47">
                  <c:v>-3.4694469519536142E-18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33D-456C-A96C-F836C4AA8DE4}"/>
            </c:ext>
          </c:extLst>
        </c:ser>
        <c:ser>
          <c:idx val="29"/>
          <c:order val="29"/>
          <c:tx>
            <c:v>BES_TR4_three64_A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4.8333333333329398E-4</c:v>
                </c:pt>
                <c:pt idx="1">
                  <c:v>-1.666666666669814E-4</c:v>
                </c:pt>
                <c:pt idx="2">
                  <c:v>0</c:v>
                </c:pt>
                <c:pt idx="3">
                  <c:v>3.833333333329858E-4</c:v>
                </c:pt>
                <c:pt idx="4">
                  <c:v>-6.6666666666992391E-5</c:v>
                </c:pt>
                <c:pt idx="5">
                  <c:v>0</c:v>
                </c:pt>
                <c:pt idx="6">
                  <c:v>3.1666666666699261E-4</c:v>
                </c:pt>
                <c:pt idx="7">
                  <c:v>-4.4080346666667408E-4</c:v>
                </c:pt>
                <c:pt idx="8">
                  <c:v>-9.2825866666187973E-5</c:v>
                </c:pt>
                <c:pt idx="9">
                  <c:v>1.014428000000039E-4</c:v>
                </c:pt>
                <c:pt idx="10">
                  <c:v>-3.402882666680429E-4</c:v>
                </c:pt>
                <c:pt idx="11">
                  <c:v>-2.4964319999887241E-4</c:v>
                </c:pt>
                <c:pt idx="12">
                  <c:v>-2.1025933333473909E-4</c:v>
                </c:pt>
                <c:pt idx="13">
                  <c:v>2.588322666678966E-4</c:v>
                </c:pt>
                <c:pt idx="14">
                  <c:v>-2.8445480000005569E-4</c:v>
                </c:pt>
                <c:pt idx="15">
                  <c:v>-0.27198442333333261</c:v>
                </c:pt>
                <c:pt idx="16">
                  <c:v>-2.213329398266668</c:v>
                </c:pt>
                <c:pt idx="17">
                  <c:v>-2.446942600266667</c:v>
                </c:pt>
                <c:pt idx="18">
                  <c:v>-2.585967029333335</c:v>
                </c:pt>
                <c:pt idx="19">
                  <c:v>-2.9153834061333321</c:v>
                </c:pt>
                <c:pt idx="20">
                  <c:v>-2.7263922764000008</c:v>
                </c:pt>
                <c:pt idx="21">
                  <c:v>-3.2323051212</c:v>
                </c:pt>
                <c:pt idx="22">
                  <c:v>-3.1427709246666682</c:v>
                </c:pt>
                <c:pt idx="23">
                  <c:v>-3.0593850421333331</c:v>
                </c:pt>
                <c:pt idx="24">
                  <c:v>-3.3000983957333352</c:v>
                </c:pt>
                <c:pt idx="25">
                  <c:v>-3.1373066719999998</c:v>
                </c:pt>
                <c:pt idx="26">
                  <c:v>-1.9150698153333301</c:v>
                </c:pt>
                <c:pt idx="27">
                  <c:v>-3.162334327466668</c:v>
                </c:pt>
                <c:pt idx="28">
                  <c:v>-3.0145078931999998</c:v>
                </c:pt>
                <c:pt idx="29">
                  <c:v>-2.6568735064000011</c:v>
                </c:pt>
                <c:pt idx="30">
                  <c:v>-2.6281284947999999</c:v>
                </c:pt>
                <c:pt idx="31">
                  <c:v>-2.2802005205333349</c:v>
                </c:pt>
                <c:pt idx="32">
                  <c:v>-2.0568667239999989</c:v>
                </c:pt>
                <c:pt idx="33">
                  <c:v>-1.793071272933332</c:v>
                </c:pt>
                <c:pt idx="34">
                  <c:v>-1.237674393999999</c:v>
                </c:pt>
                <c:pt idx="35">
                  <c:v>-1.0650796212</c:v>
                </c:pt>
                <c:pt idx="36">
                  <c:v>-0.65863026800000102</c:v>
                </c:pt>
                <c:pt idx="37">
                  <c:v>-0.32589905933333302</c:v>
                </c:pt>
                <c:pt idx="38">
                  <c:v>3.1258559999886032E-4</c:v>
                </c:pt>
                <c:pt idx="39">
                  <c:v>-4.5161506666990808E-4</c:v>
                </c:pt>
                <c:pt idx="40">
                  <c:v>6.8904000002367738E-6</c:v>
                </c:pt>
                <c:pt idx="41">
                  <c:v>2.6666666669838972E-6</c:v>
                </c:pt>
                <c:pt idx="42">
                  <c:v>2.5266666666690091E-4</c:v>
                </c:pt>
                <c:pt idx="43">
                  <c:v>-3.3333333333296361E-4</c:v>
                </c:pt>
                <c:pt idx="44">
                  <c:v>-3.1266666666707188E-4</c:v>
                </c:pt>
                <c:pt idx="45">
                  <c:v>-1.6866666666703889E-4</c:v>
                </c:pt>
                <c:pt idx="46">
                  <c:v>-3.5700000000005172E-4</c:v>
                </c:pt>
                <c:pt idx="47">
                  <c:v>1.4000000000014E-5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33D-456C-A96C-F836C4AA8DE4}"/>
            </c:ext>
          </c:extLst>
        </c:ser>
        <c:ser>
          <c:idx val="30"/>
          <c:order val="30"/>
          <c:tx>
            <c:v>BES_TR4_three193_A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1.056666666670036E-4</c:v>
                </c:pt>
                <c:pt idx="1">
                  <c:v>3.0900000000000372E-4</c:v>
                </c:pt>
                <c:pt idx="2">
                  <c:v>1.15000000000004E-4</c:v>
                </c:pt>
                <c:pt idx="3">
                  <c:v>4.9933333333299079E-4</c:v>
                </c:pt>
                <c:pt idx="4">
                  <c:v>3.843333333329868E-4</c:v>
                </c:pt>
                <c:pt idx="5">
                  <c:v>2.30000000000008E-4</c:v>
                </c:pt>
                <c:pt idx="6">
                  <c:v>1.5866666666700111E-4</c:v>
                </c:pt>
                <c:pt idx="7">
                  <c:v>-1.8480346666666089E-4</c:v>
                </c:pt>
                <c:pt idx="8">
                  <c:v>-3.8949253333318829E-4</c:v>
                </c:pt>
                <c:pt idx="9">
                  <c:v>4.961094666669991E-4</c:v>
                </c:pt>
                <c:pt idx="10">
                  <c:v>2.4371173333204149E-4</c:v>
                </c:pt>
                <c:pt idx="11">
                  <c:v>1.5435680000108751E-4</c:v>
                </c:pt>
                <c:pt idx="12">
                  <c:v>-1.002593333347956E-4</c:v>
                </c:pt>
                <c:pt idx="13">
                  <c:v>-6.0167733332061601E-5</c:v>
                </c:pt>
                <c:pt idx="14">
                  <c:v>-3.7695480000010662E-4</c:v>
                </c:pt>
                <c:pt idx="15">
                  <c:v>2.1034333333314059E-4</c:v>
                </c:pt>
                <c:pt idx="16">
                  <c:v>-1.023745398266668</c:v>
                </c:pt>
                <c:pt idx="17">
                  <c:v>-2.3986026002666669</c:v>
                </c:pt>
                <c:pt idx="18">
                  <c:v>-2.530727896000001</c:v>
                </c:pt>
                <c:pt idx="19">
                  <c:v>-2.8454957061333319</c:v>
                </c:pt>
                <c:pt idx="20">
                  <c:v>-2.892672643066668</c:v>
                </c:pt>
                <c:pt idx="21">
                  <c:v>-3.1594424545333331</c:v>
                </c:pt>
                <c:pt idx="22">
                  <c:v>-2.3919425580000011</c:v>
                </c:pt>
                <c:pt idx="23">
                  <c:v>-2.7261067088000002</c:v>
                </c:pt>
                <c:pt idx="24">
                  <c:v>-3.170395995733335</c:v>
                </c:pt>
                <c:pt idx="25">
                  <c:v>-3.104263705333334</c:v>
                </c:pt>
                <c:pt idx="26">
                  <c:v>-2.9125327153333331</c:v>
                </c:pt>
                <c:pt idx="27">
                  <c:v>-3.1390967274666681</c:v>
                </c:pt>
                <c:pt idx="28">
                  <c:v>-2.8452116932</c:v>
                </c:pt>
                <c:pt idx="29">
                  <c:v>-2.8241901730666679</c:v>
                </c:pt>
                <c:pt idx="30">
                  <c:v>-2.488168828133333</c:v>
                </c:pt>
                <c:pt idx="31">
                  <c:v>-2.2781288538666682</c:v>
                </c:pt>
                <c:pt idx="32">
                  <c:v>-2.028986057333332</c:v>
                </c:pt>
                <c:pt idx="33">
                  <c:v>-1.7900712729333319</c:v>
                </c:pt>
                <c:pt idx="34">
                  <c:v>-1.377756727333332</c:v>
                </c:pt>
                <c:pt idx="35">
                  <c:v>-1.034989954533333</c:v>
                </c:pt>
                <c:pt idx="36">
                  <c:v>-0.86891693466666797</c:v>
                </c:pt>
                <c:pt idx="37">
                  <c:v>-0.57675072599999999</c:v>
                </c:pt>
                <c:pt idx="38">
                  <c:v>-0.29020574773333319</c:v>
                </c:pt>
                <c:pt idx="39">
                  <c:v>-4.6094839999999941E-4</c:v>
                </c:pt>
                <c:pt idx="40">
                  <c:v>-2.727762666666772E-4</c:v>
                </c:pt>
                <c:pt idx="41">
                  <c:v>-7.6333333333011844E-5</c:v>
                </c:pt>
                <c:pt idx="42">
                  <c:v>0</c:v>
                </c:pt>
                <c:pt idx="43">
                  <c:v>4.1466666666700741E-4</c:v>
                </c:pt>
                <c:pt idx="44">
                  <c:v>0</c:v>
                </c:pt>
                <c:pt idx="45">
                  <c:v>1.096666666670076E-4</c:v>
                </c:pt>
                <c:pt idx="46">
                  <c:v>3.0499999999999972E-4</c:v>
                </c:pt>
                <c:pt idx="47">
                  <c:v>1.4566666666700201E-4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33D-456C-A96C-F836C4AA8DE4}"/>
            </c:ext>
          </c:extLst>
        </c:ser>
        <c:ser>
          <c:idx val="31"/>
          <c:order val="31"/>
          <c:tx>
            <c:v>BES_TR4_three232_C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3.2933333333329262E-4</c:v>
                </c:pt>
                <c:pt idx="1">
                  <c:v>-4.696666666670346E-4</c:v>
                </c:pt>
                <c:pt idx="2">
                  <c:v>-2.699999999999925E-5</c:v>
                </c:pt>
                <c:pt idx="3">
                  <c:v>0</c:v>
                </c:pt>
                <c:pt idx="4">
                  <c:v>-3.2399999999999102E-4</c:v>
                </c:pt>
                <c:pt idx="5">
                  <c:v>5.8999999999975739E-5</c:v>
                </c:pt>
                <c:pt idx="6">
                  <c:v>9.9999999999988987E-5</c:v>
                </c:pt>
                <c:pt idx="7">
                  <c:v>-1.0703033333329949E-5</c:v>
                </c:pt>
                <c:pt idx="8">
                  <c:v>-3.9734763333357242E-4</c:v>
                </c:pt>
                <c:pt idx="9">
                  <c:v>-3.5152921666699999E-4</c:v>
                </c:pt>
                <c:pt idx="10">
                  <c:v>-1.1075223333451011E-4</c:v>
                </c:pt>
                <c:pt idx="11">
                  <c:v>3.1493720000147501E-4</c:v>
                </c:pt>
                <c:pt idx="12">
                  <c:v>4.6323141666537731E-4</c:v>
                </c:pt>
                <c:pt idx="13">
                  <c:v>-4.9188433332014718E-5</c:v>
                </c:pt>
                <c:pt idx="14">
                  <c:v>-4.1318961666703119E-4</c:v>
                </c:pt>
                <c:pt idx="15">
                  <c:v>2.6017124999988539E-4</c:v>
                </c:pt>
                <c:pt idx="16">
                  <c:v>-2.6689015000203042E-4</c:v>
                </c:pt>
                <c:pt idx="17">
                  <c:v>-0.56738556690000008</c:v>
                </c:pt>
                <c:pt idx="18">
                  <c:v>-2.0009264423333351</c:v>
                </c:pt>
                <c:pt idx="19">
                  <c:v>-2.3064214803666649</c:v>
                </c:pt>
                <c:pt idx="20">
                  <c:v>-2.2842708251833339</c:v>
                </c:pt>
                <c:pt idx="21">
                  <c:v>-2.3922419810500002</c:v>
                </c:pt>
                <c:pt idx="22">
                  <c:v>-2.6488563507500009</c:v>
                </c:pt>
                <c:pt idx="23">
                  <c:v>-2.8838855368666669</c:v>
                </c:pt>
                <c:pt idx="24">
                  <c:v>-2.6844551629333351</c:v>
                </c:pt>
                <c:pt idx="25">
                  <c:v>-2.688380796333333</c:v>
                </c:pt>
                <c:pt idx="26">
                  <c:v>-2.619746005083333</c:v>
                </c:pt>
                <c:pt idx="27">
                  <c:v>-2.6032165365333348</c:v>
                </c:pt>
                <c:pt idx="28">
                  <c:v>-2.3376447398833329</c:v>
                </c:pt>
                <c:pt idx="29">
                  <c:v>-2.2311010681000019</c:v>
                </c:pt>
                <c:pt idx="30">
                  <c:v>-2.2068984329500001</c:v>
                </c:pt>
                <c:pt idx="31">
                  <c:v>-1.848762205466667</c:v>
                </c:pt>
                <c:pt idx="32">
                  <c:v>-1.4050643834999981</c:v>
                </c:pt>
                <c:pt idx="33">
                  <c:v>-1.323695697149998</c:v>
                </c:pt>
                <c:pt idx="34">
                  <c:v>-1.058153594749998</c:v>
                </c:pt>
                <c:pt idx="35">
                  <c:v>-0.67827625188333307</c:v>
                </c:pt>
                <c:pt idx="36">
                  <c:v>-0.58491898450000146</c:v>
                </c:pt>
                <c:pt idx="37">
                  <c:v>3.9211475000005408E-4</c:v>
                </c:pt>
                <c:pt idx="38">
                  <c:v>-7.7823187599999538E-2</c:v>
                </c:pt>
                <c:pt idx="39">
                  <c:v>4.7304514999996222E-4</c:v>
                </c:pt>
                <c:pt idx="40">
                  <c:v>-3.5230423333332261E-4</c:v>
                </c:pt>
                <c:pt idx="41">
                  <c:v>0</c:v>
                </c:pt>
                <c:pt idx="42">
                  <c:v>-2.05999999999984E-4</c:v>
                </c:pt>
                <c:pt idx="43">
                  <c:v>3.8666666666992138E-5</c:v>
                </c:pt>
                <c:pt idx="44">
                  <c:v>-1.209999999999961E-4</c:v>
                </c:pt>
                <c:pt idx="45">
                  <c:v>-2.1900000000009409E-4</c:v>
                </c:pt>
                <c:pt idx="46">
                  <c:v>1.5266666666699511E-4</c:v>
                </c:pt>
                <c:pt idx="47">
                  <c:v>-1.4000000000002899E-4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33D-456C-A96C-F836C4AA8DE4}"/>
            </c:ext>
          </c:extLst>
        </c:ser>
        <c:ser>
          <c:idx val="32"/>
          <c:order val="32"/>
          <c:tx>
            <c:v>BES_TR4_three233_A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-3.6200000000002902E-4</c:v>
                </c:pt>
                <c:pt idx="1">
                  <c:v>-1.759999999999956E-4</c:v>
                </c:pt>
                <c:pt idx="2">
                  <c:v>4.6666666670136534E-6</c:v>
                </c:pt>
                <c:pt idx="3">
                  <c:v>-1.7800000000001151E-4</c:v>
                </c:pt>
                <c:pt idx="4">
                  <c:v>-2.260000000000317E-4</c:v>
                </c:pt>
                <c:pt idx="5">
                  <c:v>6.6666666700965216E-7</c:v>
                </c:pt>
                <c:pt idx="6">
                  <c:v>-3.4400000000001102E-4</c:v>
                </c:pt>
                <c:pt idx="7">
                  <c:v>-2.963463333297001E-5</c:v>
                </c:pt>
                <c:pt idx="8">
                  <c:v>-3.1043469999994522E-4</c:v>
                </c:pt>
                <c:pt idx="9">
                  <c:v>-2.150839499999932E-4</c:v>
                </c:pt>
                <c:pt idx="10">
                  <c:v>3.2572523333247901E-4</c:v>
                </c:pt>
                <c:pt idx="11">
                  <c:v>8.3592133333504348E-5</c:v>
                </c:pt>
                <c:pt idx="12">
                  <c:v>2.7852774999939661E-4</c:v>
                </c:pt>
                <c:pt idx="13">
                  <c:v>-4.6027123333247649E-4</c:v>
                </c:pt>
                <c:pt idx="14">
                  <c:v>-8.2795550000014373E-5</c:v>
                </c:pt>
                <c:pt idx="15">
                  <c:v>4.5921625000011618E-4</c:v>
                </c:pt>
                <c:pt idx="16">
                  <c:v>-2.2552435000061649E-4</c:v>
                </c:pt>
                <c:pt idx="17">
                  <c:v>3.0089990000009559E-4</c:v>
                </c:pt>
                <c:pt idx="18">
                  <c:v>2.4390566666998139E-4</c:v>
                </c:pt>
                <c:pt idx="19">
                  <c:v>4.025560333340561E-4</c:v>
                </c:pt>
                <c:pt idx="20">
                  <c:v>1.6231301666708159E-4</c:v>
                </c:pt>
                <c:pt idx="21">
                  <c:v>-2.380871166667298E-4</c:v>
                </c:pt>
                <c:pt idx="22">
                  <c:v>-4.2721750000085379E-5</c:v>
                </c:pt>
                <c:pt idx="23">
                  <c:v>2.9315086666681372E-4</c:v>
                </c:pt>
                <c:pt idx="24">
                  <c:v>-1.6883173333404061E-4</c:v>
                </c:pt>
                <c:pt idx="25">
                  <c:v>-0.83592696033333302</c:v>
                </c:pt>
                <c:pt idx="26">
                  <c:v>-0.94471009741666712</c:v>
                </c:pt>
                <c:pt idx="27">
                  <c:v>-0.67659037280000001</c:v>
                </c:pt>
                <c:pt idx="28">
                  <c:v>-0.918187793283333</c:v>
                </c:pt>
                <c:pt idx="29">
                  <c:v>-4.7444823333009373E-4</c:v>
                </c:pt>
                <c:pt idx="30">
                  <c:v>-0.340898518883333</c:v>
                </c:pt>
                <c:pt idx="31">
                  <c:v>-0.61823621186666644</c:v>
                </c:pt>
                <c:pt idx="32">
                  <c:v>-4.5502149999948621E-4</c:v>
                </c:pt>
                <c:pt idx="33">
                  <c:v>-2.2072734999943611E-4</c:v>
                </c:pt>
                <c:pt idx="34">
                  <c:v>2.2293558333355559E-4</c:v>
                </c:pt>
                <c:pt idx="35">
                  <c:v>2.2955871666974209E-4</c:v>
                </c:pt>
                <c:pt idx="36">
                  <c:v>-1.9418383333352771E-4</c:v>
                </c:pt>
                <c:pt idx="37">
                  <c:v>-4.3818891666980159E-4</c:v>
                </c:pt>
                <c:pt idx="38">
                  <c:v>-5.0613733332871558E-5</c:v>
                </c:pt>
                <c:pt idx="39">
                  <c:v>-1.2331398333298441E-4</c:v>
                </c:pt>
                <c:pt idx="40">
                  <c:v>-3.1416099999903579E-5</c:v>
                </c:pt>
                <c:pt idx="41">
                  <c:v>1.7799999999978941E-4</c:v>
                </c:pt>
                <c:pt idx="42">
                  <c:v>0.1943689999999999</c:v>
                </c:pt>
                <c:pt idx="43">
                  <c:v>0.69443100000000002</c:v>
                </c:pt>
                <c:pt idx="44">
                  <c:v>0.94588499999999998</c:v>
                </c:pt>
                <c:pt idx="45">
                  <c:v>0.58516500000000005</c:v>
                </c:pt>
                <c:pt idx="46">
                  <c:v>0.88541433333333297</c:v>
                </c:pt>
                <c:pt idx="47">
                  <c:v>0.55756666666666699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33D-456C-A96C-F836C4AA8DE4}"/>
            </c:ext>
          </c:extLst>
        </c:ser>
        <c:ser>
          <c:idx val="33"/>
          <c:order val="33"/>
          <c:tx>
            <c:v>BES_TR4_three248_C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7.3333333332981088E-5</c:v>
                </c:pt>
                <c:pt idx="3">
                  <c:v>0</c:v>
                </c:pt>
                <c:pt idx="4">
                  <c:v>0</c:v>
                </c:pt>
                <c:pt idx="5">
                  <c:v>-4.45000000000001E-4</c:v>
                </c:pt>
                <c:pt idx="6">
                  <c:v>-4.8166666666660252E-4</c:v>
                </c:pt>
                <c:pt idx="7">
                  <c:v>4.1939739999999679E-4</c:v>
                </c:pt>
                <c:pt idx="8">
                  <c:v>-3.0086939999990348E-4</c:v>
                </c:pt>
                <c:pt idx="9">
                  <c:v>-3.5683456666698801E-4</c:v>
                </c:pt>
                <c:pt idx="10">
                  <c:v>-5.2162000009903231E-6</c:v>
                </c:pt>
                <c:pt idx="11">
                  <c:v>1.2485093333447489E-4</c:v>
                </c:pt>
                <c:pt idx="12">
                  <c:v>-3.8394450000112101E-4</c:v>
                </c:pt>
                <c:pt idx="13">
                  <c:v>3.6079086666751531E-4</c:v>
                </c:pt>
                <c:pt idx="14">
                  <c:v>1.4940889999981441E-4</c:v>
                </c:pt>
                <c:pt idx="15">
                  <c:v>2.9643249999988802E-4</c:v>
                </c:pt>
                <c:pt idx="16">
                  <c:v>-0.77643971536666767</c:v>
                </c:pt>
                <c:pt idx="17">
                  <c:v>-1.7541582002</c:v>
                </c:pt>
                <c:pt idx="18">
                  <c:v>-1.9281015220000011</c:v>
                </c:pt>
                <c:pt idx="19">
                  <c:v>-2.075248887933332</c:v>
                </c:pt>
                <c:pt idx="20">
                  <c:v>-1.150056707300001</c:v>
                </c:pt>
                <c:pt idx="21">
                  <c:v>-2.0850268408999999</c:v>
                </c:pt>
                <c:pt idx="22">
                  <c:v>-2.320785443500001</c:v>
                </c:pt>
                <c:pt idx="23">
                  <c:v>-2.2731240316000001</c:v>
                </c:pt>
                <c:pt idx="24">
                  <c:v>-2.3763289968000012</c:v>
                </c:pt>
                <c:pt idx="25">
                  <c:v>-2.3217932540000001</c:v>
                </c:pt>
                <c:pt idx="26">
                  <c:v>-2.0658385281666671</c:v>
                </c:pt>
                <c:pt idx="27">
                  <c:v>-0.67857707893333097</c:v>
                </c:pt>
                <c:pt idx="28">
                  <c:v>-1.6990232532333329</c:v>
                </c:pt>
                <c:pt idx="29">
                  <c:v>-1.830661296466668</c:v>
                </c:pt>
                <c:pt idx="30">
                  <c:v>-1.1544517044333329</c:v>
                </c:pt>
                <c:pt idx="31">
                  <c:v>-1.3854828904000009</c:v>
                </c:pt>
                <c:pt idx="32">
                  <c:v>-1.4767573763333319</c:v>
                </c:pt>
                <c:pt idx="33">
                  <c:v>-0.97412678803333208</c:v>
                </c:pt>
                <c:pt idx="34">
                  <c:v>-0.64058679549999908</c:v>
                </c:pt>
                <c:pt idx="35">
                  <c:v>3.2111743332974291E-4</c:v>
                </c:pt>
                <c:pt idx="36">
                  <c:v>3.632333329228743E-6</c:v>
                </c:pt>
                <c:pt idx="37">
                  <c:v>-2.283778333329739E-4</c:v>
                </c:pt>
                <c:pt idx="38">
                  <c:v>3.6277253333308329E-4</c:v>
                </c:pt>
                <c:pt idx="39">
                  <c:v>-3.7696130000003381E-4</c:v>
                </c:pt>
                <c:pt idx="40">
                  <c:v>4.3050113333298329E-4</c:v>
                </c:pt>
                <c:pt idx="41">
                  <c:v>5.8000000000002487E-5</c:v>
                </c:pt>
                <c:pt idx="42">
                  <c:v>0.54755933333333395</c:v>
                </c:pt>
                <c:pt idx="43">
                  <c:v>0.68441366666666703</c:v>
                </c:pt>
                <c:pt idx="44">
                  <c:v>0.57078233333333295</c:v>
                </c:pt>
                <c:pt idx="45">
                  <c:v>0.56262900000000005</c:v>
                </c:pt>
                <c:pt idx="46">
                  <c:v>0.32549333333333302</c:v>
                </c:pt>
                <c:pt idx="47">
                  <c:v>0.66861333333333395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33D-456C-A96C-F836C4AA8DE4}"/>
            </c:ext>
          </c:extLst>
        </c:ser>
        <c:ser>
          <c:idx val="34"/>
          <c:order val="34"/>
          <c:tx>
            <c:v>BES_TR4_three253_C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3.5266666666700092E-4</c:v>
                </c:pt>
                <c:pt idx="1">
                  <c:v>4.946666666670041E-4</c:v>
                </c:pt>
                <c:pt idx="2">
                  <c:v>8.2666666666952882E-5</c:v>
                </c:pt>
                <c:pt idx="3">
                  <c:v>-4.5733333333303211E-4</c:v>
                </c:pt>
                <c:pt idx="4">
                  <c:v>-3.3266666666603722E-4</c:v>
                </c:pt>
                <c:pt idx="5">
                  <c:v>-4.5333333333297249E-4</c:v>
                </c:pt>
                <c:pt idx="6">
                  <c:v>6.0832000000000053E-2</c:v>
                </c:pt>
                <c:pt idx="7">
                  <c:v>0.41221526493333371</c:v>
                </c:pt>
                <c:pt idx="8">
                  <c:v>9.8049753733333397E-2</c:v>
                </c:pt>
                <c:pt idx="9">
                  <c:v>-2.8677860000000249E-4</c:v>
                </c:pt>
                <c:pt idx="10">
                  <c:v>-3.1747746666700721E-4</c:v>
                </c:pt>
                <c:pt idx="11">
                  <c:v>7.1011733334014338E-5</c:v>
                </c:pt>
                <c:pt idx="12">
                  <c:v>4.0703666665919958E-5</c:v>
                </c:pt>
                <c:pt idx="13">
                  <c:v>4.8208280000100467E-4</c:v>
                </c:pt>
                <c:pt idx="14">
                  <c:v>2.02726000000375E-5</c:v>
                </c:pt>
                <c:pt idx="15">
                  <c:v>-4.3337833333334519E-4</c:v>
                </c:pt>
                <c:pt idx="16">
                  <c:v>3.0830086666588929E-4</c:v>
                </c:pt>
                <c:pt idx="17">
                  <c:v>-3.2546680000011818E-4</c:v>
                </c:pt>
                <c:pt idx="18">
                  <c:v>-4.74014666664066E-4</c:v>
                </c:pt>
                <c:pt idx="19">
                  <c:v>-4.3170306666595598E-4</c:v>
                </c:pt>
                <c:pt idx="20">
                  <c:v>2.7152846666611552E-4</c:v>
                </c:pt>
                <c:pt idx="21">
                  <c:v>1.4010606666592371E-4</c:v>
                </c:pt>
                <c:pt idx="22">
                  <c:v>2.9470433333322887E-4</c:v>
                </c:pt>
                <c:pt idx="23">
                  <c:v>-0.4450483543999999</c:v>
                </c:pt>
                <c:pt idx="24">
                  <c:v>-1.2181916645333339</c:v>
                </c:pt>
                <c:pt idx="25">
                  <c:v>-5.0362835999999911E-2</c:v>
                </c:pt>
                <c:pt idx="26">
                  <c:v>-1.354079241</c:v>
                </c:pt>
                <c:pt idx="27">
                  <c:v>-1.394314497066667</c:v>
                </c:pt>
                <c:pt idx="28">
                  <c:v>-1.4717539466</c:v>
                </c:pt>
                <c:pt idx="29">
                  <c:v>-1.3780950865333339</c:v>
                </c:pt>
                <c:pt idx="30">
                  <c:v>-1.1272115807333329</c:v>
                </c:pt>
                <c:pt idx="31">
                  <c:v>-0.9570585936000009</c:v>
                </c:pt>
                <c:pt idx="32">
                  <c:v>-0.70932169533333289</c:v>
                </c:pt>
                <c:pt idx="33">
                  <c:v>-0.53998563646666597</c:v>
                </c:pt>
                <c:pt idx="34">
                  <c:v>-0.5028415303333329</c:v>
                </c:pt>
                <c:pt idx="35">
                  <c:v>-0.35853081060000003</c:v>
                </c:pt>
                <c:pt idx="36">
                  <c:v>-0.308163467333334</c:v>
                </c:pt>
                <c:pt idx="37">
                  <c:v>1.1763699999978169E-4</c:v>
                </c:pt>
                <c:pt idx="38">
                  <c:v>3.3495946666350918E-4</c:v>
                </c:pt>
                <c:pt idx="39">
                  <c:v>4.2769246667040411E-4</c:v>
                </c:pt>
                <c:pt idx="40">
                  <c:v>4.2744519999970981E-4</c:v>
                </c:pt>
                <c:pt idx="41">
                  <c:v>2.700199999999997E-2</c:v>
                </c:pt>
                <c:pt idx="42">
                  <c:v>0.74897066666666701</c:v>
                </c:pt>
                <c:pt idx="43">
                  <c:v>0.51106733333333298</c:v>
                </c:pt>
                <c:pt idx="44">
                  <c:v>0.72182866666666701</c:v>
                </c:pt>
                <c:pt idx="45">
                  <c:v>0.66106433333333403</c:v>
                </c:pt>
                <c:pt idx="46">
                  <c:v>1.4864646666666701</c:v>
                </c:pt>
                <c:pt idx="47">
                  <c:v>0.47833933333333301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33D-456C-A96C-F836C4AA8DE4}"/>
            </c:ext>
          </c:extLst>
        </c:ser>
        <c:ser>
          <c:idx val="35"/>
          <c:order val="35"/>
          <c:tx>
            <c:v>BES_TR4_three66_C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2.8533333333329719E-4</c:v>
                </c:pt>
                <c:pt idx="1">
                  <c:v>-2.030000000000087E-4</c:v>
                </c:pt>
                <c:pt idx="2">
                  <c:v>0</c:v>
                </c:pt>
                <c:pt idx="3">
                  <c:v>-4.8399999999999832E-4</c:v>
                </c:pt>
                <c:pt idx="4">
                  <c:v>1.6066666666700311E-4</c:v>
                </c:pt>
                <c:pt idx="5">
                  <c:v>2.6266666666702188E-4</c:v>
                </c:pt>
                <c:pt idx="6">
                  <c:v>-2.286666666670156E-4</c:v>
                </c:pt>
                <c:pt idx="7">
                  <c:v>2.1093159999968641E-4</c:v>
                </c:pt>
                <c:pt idx="8">
                  <c:v>-5.9912933333600149E-5</c:v>
                </c:pt>
                <c:pt idx="9">
                  <c:v>-4.1111193333300678E-4</c:v>
                </c:pt>
                <c:pt idx="10">
                  <c:v>-1.7914413333398879E-4</c:v>
                </c:pt>
                <c:pt idx="11">
                  <c:v>-7.5654933332974794E-5</c:v>
                </c:pt>
                <c:pt idx="12">
                  <c:v>2.0603699999893749E-4</c:v>
                </c:pt>
                <c:pt idx="13">
                  <c:v>-4.5125053333294751E-4</c:v>
                </c:pt>
                <c:pt idx="14">
                  <c:v>-3.2394066666996402E-5</c:v>
                </c:pt>
                <c:pt idx="15">
                  <c:v>-6.671166666694095E-5</c:v>
                </c:pt>
                <c:pt idx="16">
                  <c:v>3.396341999989394E-4</c:v>
                </c:pt>
                <c:pt idx="17">
                  <c:v>8.3533199999985541E-5</c:v>
                </c:pt>
                <c:pt idx="18">
                  <c:v>-2.5014666666933749E-5</c:v>
                </c:pt>
                <c:pt idx="19">
                  <c:v>-0.61111503639999909</c:v>
                </c:pt>
                <c:pt idx="20">
                  <c:v>-1.2971264715333339</c:v>
                </c:pt>
                <c:pt idx="21">
                  <c:v>-1.5514130272666671</c:v>
                </c:pt>
                <c:pt idx="22">
                  <c:v>-1.4871676290000011</c:v>
                </c:pt>
                <c:pt idx="23">
                  <c:v>-1.5012127544</c:v>
                </c:pt>
                <c:pt idx="24">
                  <c:v>-1.4197828312000009</c:v>
                </c:pt>
                <c:pt idx="25">
                  <c:v>-1.4356331693333331</c:v>
                </c:pt>
                <c:pt idx="26">
                  <c:v>-1.5502285743333331</c:v>
                </c:pt>
                <c:pt idx="27">
                  <c:v>-1.397230830400001</c:v>
                </c:pt>
                <c:pt idx="28">
                  <c:v>-1.1929282799333329</c:v>
                </c:pt>
                <c:pt idx="29">
                  <c:v>-1.186688086533334</c:v>
                </c:pt>
                <c:pt idx="30">
                  <c:v>-1.0768532474000001</c:v>
                </c:pt>
                <c:pt idx="31">
                  <c:v>-1.151449926933334</c:v>
                </c:pt>
                <c:pt idx="32">
                  <c:v>-0.70433069533333292</c:v>
                </c:pt>
                <c:pt idx="33">
                  <c:v>-0.57177963646666596</c:v>
                </c:pt>
                <c:pt idx="34">
                  <c:v>-0.19096386366666601</c:v>
                </c:pt>
                <c:pt idx="35">
                  <c:v>-0.19587747726666699</c:v>
                </c:pt>
                <c:pt idx="36">
                  <c:v>-0.101841800666667</c:v>
                </c:pt>
                <c:pt idx="37">
                  <c:v>2.0463699999997981E-4</c:v>
                </c:pt>
                <c:pt idx="38">
                  <c:v>-2.8037386666657921E-4</c:v>
                </c:pt>
                <c:pt idx="39">
                  <c:v>2.6602580000001369E-4</c:v>
                </c:pt>
                <c:pt idx="40">
                  <c:v>-1.3022146666673279E-4</c:v>
                </c:pt>
                <c:pt idx="41">
                  <c:v>1.1699999999997821E-4</c:v>
                </c:pt>
                <c:pt idx="42">
                  <c:v>2.8266666666701412E-4</c:v>
                </c:pt>
                <c:pt idx="43">
                  <c:v>3.8433333333340308E-4</c:v>
                </c:pt>
                <c:pt idx="44">
                  <c:v>2.4499999999993971E-4</c:v>
                </c:pt>
                <c:pt idx="45">
                  <c:v>-1.740000000001185E-4</c:v>
                </c:pt>
                <c:pt idx="46">
                  <c:v>4.5566666666696509E-4</c:v>
                </c:pt>
                <c:pt idx="47">
                  <c:v>3.2033333333303382E-4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33D-456C-A96C-F836C4AA8DE4}"/>
            </c:ext>
          </c:extLst>
        </c:ser>
        <c:ser>
          <c:idx val="36"/>
          <c:order val="36"/>
          <c:tx>
            <c:v>BES_TR4_three312_A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-2.8199999999997671E-4</c:v>
                </c:pt>
                <c:pt idx="1">
                  <c:v>3.3333333332996602E-5</c:v>
                </c:pt>
                <c:pt idx="2">
                  <c:v>0</c:v>
                </c:pt>
                <c:pt idx="3">
                  <c:v>-2.5300000000000322E-4</c:v>
                </c:pt>
                <c:pt idx="4">
                  <c:v>0</c:v>
                </c:pt>
                <c:pt idx="5">
                  <c:v>-3.6833333333299861E-4</c:v>
                </c:pt>
                <c:pt idx="6">
                  <c:v>1.196666666669899E-4</c:v>
                </c:pt>
                <c:pt idx="7">
                  <c:v>3.6252986666672482E-4</c:v>
                </c:pt>
                <c:pt idx="8">
                  <c:v>4.9550746666679468E-4</c:v>
                </c:pt>
                <c:pt idx="9">
                  <c:v>1.4444280000000531E-4</c:v>
                </c:pt>
                <c:pt idx="10">
                  <c:v>-3.5595493333462352E-4</c:v>
                </c:pt>
                <c:pt idx="11">
                  <c:v>-1.2430986666500671E-4</c:v>
                </c:pt>
                <c:pt idx="12">
                  <c:v>2.6474066666493101E-4</c:v>
                </c:pt>
                <c:pt idx="13">
                  <c:v>-2.7550106666496271E-4</c:v>
                </c:pt>
                <c:pt idx="14">
                  <c:v>-3.2278813332997652E-4</c:v>
                </c:pt>
                <c:pt idx="15">
                  <c:v>4.7243333330282411E-5</c:v>
                </c:pt>
                <c:pt idx="16">
                  <c:v>3.2726840000185659E-4</c:v>
                </c:pt>
                <c:pt idx="17">
                  <c:v>3.4246640000001882E-4</c:v>
                </c:pt>
                <c:pt idx="18">
                  <c:v>2.9023733333177759E-4</c:v>
                </c:pt>
                <c:pt idx="19">
                  <c:v>-2.0399567394666649</c:v>
                </c:pt>
                <c:pt idx="20">
                  <c:v>-3.0700677097333342</c:v>
                </c:pt>
                <c:pt idx="21">
                  <c:v>-3.0183094545333331</c:v>
                </c:pt>
                <c:pt idx="22">
                  <c:v>-3.3171648246666678</c:v>
                </c:pt>
                <c:pt idx="23">
                  <c:v>-2.3052383754666699</c:v>
                </c:pt>
                <c:pt idx="24">
                  <c:v>-2.2260953290666681</c:v>
                </c:pt>
                <c:pt idx="25">
                  <c:v>-3.129581672</c:v>
                </c:pt>
                <c:pt idx="26">
                  <c:v>-3.2046359820000001</c:v>
                </c:pt>
                <c:pt idx="27">
                  <c:v>-1.085718327466668</c:v>
                </c:pt>
                <c:pt idx="28">
                  <c:v>-7.5764559866669856E-2</c:v>
                </c:pt>
                <c:pt idx="29">
                  <c:v>-1.9857418397333351</c:v>
                </c:pt>
                <c:pt idx="30">
                  <c:v>-2.2368751614666671</c:v>
                </c:pt>
                <c:pt idx="31">
                  <c:v>-1.131074853866668</c:v>
                </c:pt>
                <c:pt idx="32">
                  <c:v>-0.43082172400000179</c:v>
                </c:pt>
                <c:pt idx="33">
                  <c:v>-1.6290479395999991</c:v>
                </c:pt>
                <c:pt idx="34">
                  <c:v>-1.2315623939999989</c:v>
                </c:pt>
                <c:pt idx="35">
                  <c:v>-1.0803346212</c:v>
                </c:pt>
                <c:pt idx="36">
                  <c:v>-0.58585193466666796</c:v>
                </c:pt>
                <c:pt idx="37">
                  <c:v>-0.43247605933333311</c:v>
                </c:pt>
                <c:pt idx="38">
                  <c:v>2.5725226666684092E-4</c:v>
                </c:pt>
                <c:pt idx="39">
                  <c:v>-2.216150666659589E-4</c:v>
                </c:pt>
                <c:pt idx="40">
                  <c:v>4.7089040000025673E-4</c:v>
                </c:pt>
                <c:pt idx="41">
                  <c:v>-4.9933333333296304E-4</c:v>
                </c:pt>
                <c:pt idx="42">
                  <c:v>-2.15999999999994E-4</c:v>
                </c:pt>
                <c:pt idx="43">
                  <c:v>-6.3333333332971087E-5</c:v>
                </c:pt>
                <c:pt idx="44">
                  <c:v>3.56333333333958E-4</c:v>
                </c:pt>
                <c:pt idx="45">
                  <c:v>2.0533333333006001E-4</c:v>
                </c:pt>
                <c:pt idx="46">
                  <c:v>-7.0000000000014495E-5</c:v>
                </c:pt>
                <c:pt idx="47">
                  <c:v>-1.799999999999996E-4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33D-456C-A96C-F836C4AA8DE4}"/>
            </c:ext>
          </c:extLst>
        </c:ser>
        <c:ser>
          <c:idx val="37"/>
          <c:order val="37"/>
          <c:tx>
            <c:v>BES_TR4_three321_B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-2.406666666669999E-4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-2.406666666669999E-4</c:v>
                </c:pt>
                <c:pt idx="6">
                  <c:v>4.4666666666692827E-5</c:v>
                </c:pt>
                <c:pt idx="7">
                  <c:v>2.7386320000033487E-4</c:v>
                </c:pt>
                <c:pt idx="8">
                  <c:v>3.5484080000019839E-4</c:v>
                </c:pt>
                <c:pt idx="9">
                  <c:v>-4.4689053333298728E-4</c:v>
                </c:pt>
                <c:pt idx="10">
                  <c:v>3.971173333201794E-5</c:v>
                </c:pt>
                <c:pt idx="11">
                  <c:v>-2.2597653333199241E-4</c:v>
                </c:pt>
                <c:pt idx="12">
                  <c:v>1.480739999989433E-4</c:v>
                </c:pt>
                <c:pt idx="13">
                  <c:v>3.8832266668009652E-5</c:v>
                </c:pt>
                <c:pt idx="14">
                  <c:v>-4.59454800000203E-4</c:v>
                </c:pt>
                <c:pt idx="15">
                  <c:v>3.2057666666607249E-4</c:v>
                </c:pt>
                <c:pt idx="16">
                  <c:v>2.7935066665207842E-5</c:v>
                </c:pt>
                <c:pt idx="17">
                  <c:v>-2.5093359999983628E-4</c:v>
                </c:pt>
                <c:pt idx="18">
                  <c:v>-0.90057536266666793</c:v>
                </c:pt>
                <c:pt idx="19">
                  <c:v>-2.6911200727999991</c:v>
                </c:pt>
                <c:pt idx="20">
                  <c:v>-3.0167242764000011</c:v>
                </c:pt>
                <c:pt idx="21">
                  <c:v>-3.2070817878666671</c:v>
                </c:pt>
                <c:pt idx="22">
                  <c:v>-3.098948724666668</c:v>
                </c:pt>
                <c:pt idx="23">
                  <c:v>-3.2615933754666671</c:v>
                </c:pt>
                <c:pt idx="24">
                  <c:v>-3.2888169957333351</c:v>
                </c:pt>
                <c:pt idx="25">
                  <c:v>-2.9818983386666669</c:v>
                </c:pt>
                <c:pt idx="26">
                  <c:v>-2.8367431486666659</c:v>
                </c:pt>
                <c:pt idx="27">
                  <c:v>-2.6280876608000008</c:v>
                </c:pt>
                <c:pt idx="28">
                  <c:v>-2.569723559866667</c:v>
                </c:pt>
                <c:pt idx="29">
                  <c:v>-2.4149325064000009</c:v>
                </c:pt>
                <c:pt idx="30">
                  <c:v>-2.2232431614666659</c:v>
                </c:pt>
                <c:pt idx="31">
                  <c:v>-1.897686187200001</c:v>
                </c:pt>
                <c:pt idx="32">
                  <c:v>-1.8357900573333319</c:v>
                </c:pt>
                <c:pt idx="33">
                  <c:v>-9.6939600001955117E-5</c:v>
                </c:pt>
                <c:pt idx="34">
                  <c:v>-0.63108872733333188</c:v>
                </c:pt>
                <c:pt idx="35">
                  <c:v>-0.66420662120000007</c:v>
                </c:pt>
                <c:pt idx="36">
                  <c:v>-0.35303960133333401</c:v>
                </c:pt>
                <c:pt idx="37">
                  <c:v>-0.32460572599999998</c:v>
                </c:pt>
                <c:pt idx="38">
                  <c:v>-0.17748208106666619</c:v>
                </c:pt>
                <c:pt idx="39">
                  <c:v>1.623849333330096E-4</c:v>
                </c:pt>
                <c:pt idx="40">
                  <c:v>3.3189040000025649E-4</c:v>
                </c:pt>
                <c:pt idx="41">
                  <c:v>-3.7533333333306112E-4</c:v>
                </c:pt>
                <c:pt idx="42">
                  <c:v>5.7333333333020597E-5</c:v>
                </c:pt>
                <c:pt idx="43">
                  <c:v>4.0400000000007102E-4</c:v>
                </c:pt>
                <c:pt idx="44">
                  <c:v>6.2000000000006494E-5</c:v>
                </c:pt>
                <c:pt idx="45">
                  <c:v>2.09999999999988E-4</c:v>
                </c:pt>
                <c:pt idx="46">
                  <c:v>-4.0466666666705292E-4</c:v>
                </c:pt>
                <c:pt idx="47">
                  <c:v>-1.6866666666698341E-4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33D-456C-A96C-F836C4AA8DE4}"/>
            </c:ext>
          </c:extLst>
        </c:ser>
        <c:ser>
          <c:idx val="38"/>
          <c:order val="38"/>
          <c:tx>
            <c:v>BES_TR4_three368_A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-4.0866666666700141E-4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-4.0866666666700141E-4</c:v>
                </c:pt>
                <c:pt idx="5">
                  <c:v>-6.9388939039072284E-18</c:v>
                </c:pt>
                <c:pt idx="6">
                  <c:v>-4.0866666666700141E-4</c:v>
                </c:pt>
                <c:pt idx="7">
                  <c:v>-2.9030129999999682E-4</c:v>
                </c:pt>
                <c:pt idx="8">
                  <c:v>3.4956530000004518E-4</c:v>
                </c:pt>
                <c:pt idx="9">
                  <c:v>1.259160500000078E-4</c:v>
                </c:pt>
                <c:pt idx="10">
                  <c:v>2.4772523333249988E-4</c:v>
                </c:pt>
                <c:pt idx="11">
                  <c:v>-1.967411999995172E-4</c:v>
                </c:pt>
                <c:pt idx="12">
                  <c:v>-3.7813891666760302E-4</c:v>
                </c:pt>
                <c:pt idx="13">
                  <c:v>-1.52937899999539E-4</c:v>
                </c:pt>
                <c:pt idx="14">
                  <c:v>-5.2795549999928859E-5</c:v>
                </c:pt>
                <c:pt idx="15">
                  <c:v>4.2454958333304482E-4</c:v>
                </c:pt>
                <c:pt idx="16">
                  <c:v>-1.2352435000062559E-4</c:v>
                </c:pt>
                <c:pt idx="17">
                  <c:v>3.4723323333307737E-4</c:v>
                </c:pt>
                <c:pt idx="18">
                  <c:v>-2.15760999999981E-4</c:v>
                </c:pt>
                <c:pt idx="19">
                  <c:v>-1.4344396666599041E-4</c:v>
                </c:pt>
                <c:pt idx="20">
                  <c:v>-0.63416235364999984</c:v>
                </c:pt>
                <c:pt idx="21">
                  <c:v>-1.18823942045</c:v>
                </c:pt>
                <c:pt idx="22">
                  <c:v>-1.2263667217500001</c:v>
                </c:pt>
                <c:pt idx="23">
                  <c:v>-1.2430875158000001</c:v>
                </c:pt>
                <c:pt idx="24">
                  <c:v>-1.247930498400001</c:v>
                </c:pt>
                <c:pt idx="25">
                  <c:v>-1.1112792936666669</c:v>
                </c:pt>
                <c:pt idx="26">
                  <c:v>-1.2084344307499999</c:v>
                </c:pt>
                <c:pt idx="27">
                  <c:v>-1.0799773727999999</c:v>
                </c:pt>
                <c:pt idx="28">
                  <c:v>-1.0609971266166669</c:v>
                </c:pt>
                <c:pt idx="29">
                  <c:v>-0.86521131490000003</c:v>
                </c:pt>
                <c:pt idx="30">
                  <c:v>-0.71421601888333297</c:v>
                </c:pt>
                <c:pt idx="31">
                  <c:v>-0.61213344520000046</c:v>
                </c:pt>
                <c:pt idx="32">
                  <c:v>-0.73593002149999953</c:v>
                </c:pt>
                <c:pt idx="33">
                  <c:v>-0.59871539401666607</c:v>
                </c:pt>
                <c:pt idx="34">
                  <c:v>-0.43921439774999937</c:v>
                </c:pt>
                <c:pt idx="35">
                  <c:v>-0.40406577461666682</c:v>
                </c:pt>
                <c:pt idx="36">
                  <c:v>-0.16589665050000049</c:v>
                </c:pt>
                <c:pt idx="37">
                  <c:v>-0.1757910889166667</c:v>
                </c:pt>
                <c:pt idx="38">
                  <c:v>-1.743094706666691E-2</c:v>
                </c:pt>
                <c:pt idx="39">
                  <c:v>-3.893139833330006E-4</c:v>
                </c:pt>
                <c:pt idx="40">
                  <c:v>-4.11416100000013E-4</c:v>
                </c:pt>
                <c:pt idx="41">
                  <c:v>-6.9388939039072284E-18</c:v>
                </c:pt>
                <c:pt idx="42">
                  <c:v>-4.0866666666700141E-4</c:v>
                </c:pt>
                <c:pt idx="43">
                  <c:v>-6.9388939039072284E-18</c:v>
                </c:pt>
                <c:pt idx="44">
                  <c:v>-6.9388939039072284E-18</c:v>
                </c:pt>
                <c:pt idx="45">
                  <c:v>-4.0866666666700141E-4</c:v>
                </c:pt>
                <c:pt idx="46">
                  <c:v>-6.9388939039072284E-18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33D-456C-A96C-F836C4AA8DE4}"/>
            </c:ext>
          </c:extLst>
        </c:ser>
        <c:ser>
          <c:idx val="39"/>
          <c:order val="39"/>
          <c:tx>
            <c:v>BES_TR4_three388_A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2.8000000000027999E-5</c:v>
                </c:pt>
                <c:pt idx="1">
                  <c:v>3.3500000000000202E-4</c:v>
                </c:pt>
                <c:pt idx="2">
                  <c:v>2.6199999999999829E-4</c:v>
                </c:pt>
                <c:pt idx="3">
                  <c:v>1.053333333330131E-4</c:v>
                </c:pt>
                <c:pt idx="4">
                  <c:v>0</c:v>
                </c:pt>
                <c:pt idx="5">
                  <c:v>4.0166666666702211E-4</c:v>
                </c:pt>
                <c:pt idx="6">
                  <c:v>-3.8666666666700711E-5</c:v>
                </c:pt>
                <c:pt idx="7">
                  <c:v>2.9969869999998949E-4</c:v>
                </c:pt>
                <c:pt idx="8">
                  <c:v>-8.3768033332931591E-5</c:v>
                </c:pt>
                <c:pt idx="9">
                  <c:v>-2.417283332993569E-6</c:v>
                </c:pt>
                <c:pt idx="10">
                  <c:v>-8.460810000050778E-5</c:v>
                </c:pt>
                <c:pt idx="11">
                  <c:v>4.1759213333354001E-4</c:v>
                </c:pt>
                <c:pt idx="12">
                  <c:v>-1.3480558333389681E-4</c:v>
                </c:pt>
                <c:pt idx="13">
                  <c:v>4.7706210000053589E-4</c:v>
                </c:pt>
                <c:pt idx="14">
                  <c:v>-1.9146221666666019E-4</c:v>
                </c:pt>
                <c:pt idx="15">
                  <c:v>-4.2783749999886211E-5</c:v>
                </c:pt>
                <c:pt idx="16">
                  <c:v>-1.965243500005043E-4</c:v>
                </c:pt>
                <c:pt idx="17">
                  <c:v>1.5923323333300041E-4</c:v>
                </c:pt>
                <c:pt idx="18">
                  <c:v>-5.0943333299025007E-6</c:v>
                </c:pt>
                <c:pt idx="19">
                  <c:v>1.8155603333402939E-4</c:v>
                </c:pt>
                <c:pt idx="20">
                  <c:v>-1.5368698332979269E-4</c:v>
                </c:pt>
                <c:pt idx="21">
                  <c:v>-2.0608711666980639E-4</c:v>
                </c:pt>
                <c:pt idx="22">
                  <c:v>-3.5472174999884309E-4</c:v>
                </c:pt>
                <c:pt idx="23">
                  <c:v>8.5817533332921414E-5</c:v>
                </c:pt>
                <c:pt idx="24">
                  <c:v>6.9501599998966768E-5</c:v>
                </c:pt>
                <c:pt idx="25">
                  <c:v>-0.51550796033333302</c:v>
                </c:pt>
                <c:pt idx="26">
                  <c:v>-1.20143443075</c:v>
                </c:pt>
                <c:pt idx="27">
                  <c:v>-1.1550003728</c:v>
                </c:pt>
                <c:pt idx="28">
                  <c:v>-0.89962345995000004</c:v>
                </c:pt>
                <c:pt idx="29">
                  <c:v>-4.9013149000001199E-3</c:v>
                </c:pt>
                <c:pt idx="30">
                  <c:v>-0.57582018555000003</c:v>
                </c:pt>
                <c:pt idx="31">
                  <c:v>-0.33925261186666639</c:v>
                </c:pt>
                <c:pt idx="32">
                  <c:v>-0.43892202149999948</c:v>
                </c:pt>
                <c:pt idx="33">
                  <c:v>-0.37960306068333238</c:v>
                </c:pt>
                <c:pt idx="34">
                  <c:v>-0.28071073108333239</c:v>
                </c:pt>
                <c:pt idx="35">
                  <c:v>-2.9577461667007482E-4</c:v>
                </c:pt>
                <c:pt idx="36">
                  <c:v>-2.4517166670623421E-5</c:v>
                </c:pt>
                <c:pt idx="37">
                  <c:v>-1.195222500010029E-4</c:v>
                </c:pt>
                <c:pt idx="38">
                  <c:v>-4.1361373333290152E-4</c:v>
                </c:pt>
                <c:pt idx="39">
                  <c:v>1.700193500000502E-4</c:v>
                </c:pt>
                <c:pt idx="40">
                  <c:v>3.795838999999801E-4</c:v>
                </c:pt>
                <c:pt idx="41">
                  <c:v>5.8000000000113523E-5</c:v>
                </c:pt>
                <c:pt idx="42">
                  <c:v>-2.9399999999979443E-4</c:v>
                </c:pt>
                <c:pt idx="43">
                  <c:v>-1.9333333333038109E-5</c:v>
                </c:pt>
                <c:pt idx="44">
                  <c:v>0.25662966666666698</c:v>
                </c:pt>
                <c:pt idx="45">
                  <c:v>0.33354866666666699</c:v>
                </c:pt>
                <c:pt idx="46">
                  <c:v>0.19580766666666699</c:v>
                </c:pt>
                <c:pt idx="47">
                  <c:v>0.17055500000000001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33D-456C-A96C-F836C4AA8DE4}"/>
            </c:ext>
          </c:extLst>
        </c:ser>
        <c:ser>
          <c:idx val="40"/>
          <c:order val="40"/>
          <c:tx>
            <c:v>BES_TR4_three409_C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-3.8333333334028552E-5</c:v>
                </c:pt>
                <c:pt idx="1">
                  <c:v>6.9388939039072284E-18</c:v>
                </c:pt>
                <c:pt idx="2">
                  <c:v>3.6600000000000521E-4</c:v>
                </c:pt>
                <c:pt idx="3">
                  <c:v>-2.5800000000000128E-4</c:v>
                </c:pt>
                <c:pt idx="4">
                  <c:v>6.9388939039072284E-18</c:v>
                </c:pt>
                <c:pt idx="5">
                  <c:v>-3.7599999999998751E-4</c:v>
                </c:pt>
                <c:pt idx="6">
                  <c:v>4.8399999999999832E-4</c:v>
                </c:pt>
                <c:pt idx="7">
                  <c:v>-4.4080346666666709E-4</c:v>
                </c:pt>
                <c:pt idx="8">
                  <c:v>3.735074666668114E-4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2.5002346666802572E-4</c:v>
                </c:pt>
                <c:pt idx="12">
                  <c:v>8.1407333331950937E-5</c:v>
                </c:pt>
                <c:pt idx="13">
                  <c:v>-1.171677333318133E-4</c:v>
                </c:pt>
                <c:pt idx="14">
                  <c:v>4.6654519999989041E-4</c:v>
                </c:pt>
                <c:pt idx="15">
                  <c:v>-4.814342333333288E-2</c:v>
                </c:pt>
                <c:pt idx="16">
                  <c:v>-2.0001213982666681</c:v>
                </c:pt>
                <c:pt idx="17">
                  <c:v>-2.4946509336</c:v>
                </c:pt>
                <c:pt idx="18">
                  <c:v>-2.6319513626666682</c:v>
                </c:pt>
                <c:pt idx="19">
                  <c:v>-2.8888994061333322</c:v>
                </c:pt>
                <c:pt idx="20">
                  <c:v>-3.098008943066668</c:v>
                </c:pt>
                <c:pt idx="21">
                  <c:v>-3.2176491212</c:v>
                </c:pt>
                <c:pt idx="22">
                  <c:v>-3.236525924666668</c:v>
                </c:pt>
                <c:pt idx="23">
                  <c:v>-3.3875667088000001</c:v>
                </c:pt>
                <c:pt idx="24">
                  <c:v>-3.3058573290666682</c:v>
                </c:pt>
                <c:pt idx="25">
                  <c:v>-3.3408376720000001</c:v>
                </c:pt>
                <c:pt idx="26">
                  <c:v>-2.8867301486666661</c:v>
                </c:pt>
                <c:pt idx="27">
                  <c:v>-2.527252994133335</c:v>
                </c:pt>
                <c:pt idx="28">
                  <c:v>-2.2356472265333331</c:v>
                </c:pt>
                <c:pt idx="29">
                  <c:v>-1.2164735063999981</c:v>
                </c:pt>
                <c:pt idx="30">
                  <c:v>-2.2688704947999998</c:v>
                </c:pt>
                <c:pt idx="31">
                  <c:v>-2.2622138538666681</c:v>
                </c:pt>
                <c:pt idx="32">
                  <c:v>-1.9939000573333321</c:v>
                </c:pt>
                <c:pt idx="33">
                  <c:v>-1.598059606266665</c:v>
                </c:pt>
                <c:pt idx="34">
                  <c:v>-1.4149997273333319</c:v>
                </c:pt>
                <c:pt idx="35">
                  <c:v>-1.0297996212</c:v>
                </c:pt>
                <c:pt idx="36">
                  <c:v>-0.74276693466666799</c:v>
                </c:pt>
                <c:pt idx="37">
                  <c:v>-0.26113872599999999</c:v>
                </c:pt>
                <c:pt idx="38">
                  <c:v>-4.3987414400000202E-2</c:v>
                </c:pt>
                <c:pt idx="39">
                  <c:v>2.433849333330074E-4</c:v>
                </c:pt>
                <c:pt idx="40">
                  <c:v>-5.3776266666680228E-5</c:v>
                </c:pt>
                <c:pt idx="41">
                  <c:v>3.9799999999989838E-4</c:v>
                </c:pt>
                <c:pt idx="42">
                  <c:v>6.9388939039072284E-18</c:v>
                </c:pt>
                <c:pt idx="43">
                  <c:v>1.07999999999997E-4</c:v>
                </c:pt>
                <c:pt idx="44">
                  <c:v>6.9388939039072284E-18</c:v>
                </c:pt>
                <c:pt idx="45">
                  <c:v>1.3999999999998741E-4</c:v>
                </c:pt>
                <c:pt idx="46">
                  <c:v>-3.1999999999990369E-5</c:v>
                </c:pt>
                <c:pt idx="47">
                  <c:v>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33D-456C-A96C-F836C4AA8DE4}"/>
            </c:ext>
          </c:extLst>
        </c:ser>
        <c:ser>
          <c:idx val="41"/>
          <c:order val="41"/>
          <c:tx>
            <c:v>BES_TR4_three76_A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-3.3333333333107618E-5</c:v>
                </c:pt>
                <c:pt idx="1">
                  <c:v>8.8000000000032497E-5</c:v>
                </c:pt>
                <c:pt idx="2">
                  <c:v>1.387778780781446E-17</c:v>
                </c:pt>
                <c:pt idx="3">
                  <c:v>-2.5733333333299862E-4</c:v>
                </c:pt>
                <c:pt idx="4">
                  <c:v>1.199999999999812E-5</c:v>
                </c:pt>
                <c:pt idx="5">
                  <c:v>0</c:v>
                </c:pt>
                <c:pt idx="6">
                  <c:v>-3.0533333333299112E-4</c:v>
                </c:pt>
                <c:pt idx="7">
                  <c:v>-3.8080346666666259E-4</c:v>
                </c:pt>
                <c:pt idx="8">
                  <c:v>-6.3825866666500711E-5</c:v>
                </c:pt>
                <c:pt idx="9">
                  <c:v>-4.8955720000001118E-4</c:v>
                </c:pt>
                <c:pt idx="10">
                  <c:v>-3.4028826666798739E-4</c:v>
                </c:pt>
                <c:pt idx="11">
                  <c:v>-1.393098666649939E-4</c:v>
                </c:pt>
                <c:pt idx="12">
                  <c:v>1.174073333318759E-4</c:v>
                </c:pt>
                <c:pt idx="13">
                  <c:v>2.5883226666811859E-4</c:v>
                </c:pt>
                <c:pt idx="14">
                  <c:v>2.8521186666718989E-4</c:v>
                </c:pt>
                <c:pt idx="15">
                  <c:v>-3.1942333333367928E-4</c:v>
                </c:pt>
                <c:pt idx="16">
                  <c:v>-1.0062731600001479E-2</c:v>
                </c:pt>
                <c:pt idx="17">
                  <c:v>-1.2159462669333301</c:v>
                </c:pt>
                <c:pt idx="18">
                  <c:v>-2.720575362666668</c:v>
                </c:pt>
                <c:pt idx="19">
                  <c:v>-2.8953714061333322</c:v>
                </c:pt>
                <c:pt idx="20">
                  <c:v>-2.9462662764000012</c:v>
                </c:pt>
                <c:pt idx="21">
                  <c:v>-3.2353051212000001</c:v>
                </c:pt>
                <c:pt idx="22">
                  <c:v>-3.2679419246666681</c:v>
                </c:pt>
                <c:pt idx="23">
                  <c:v>-3.2818480421333329</c:v>
                </c:pt>
                <c:pt idx="24">
                  <c:v>-3.3868106624000012</c:v>
                </c:pt>
                <c:pt idx="25">
                  <c:v>-3.209237672</c:v>
                </c:pt>
                <c:pt idx="26">
                  <c:v>-3.2891584819999999</c:v>
                </c:pt>
                <c:pt idx="27">
                  <c:v>-2.996579660800001</c:v>
                </c:pt>
                <c:pt idx="28">
                  <c:v>-3.0175078931999999</c:v>
                </c:pt>
                <c:pt idx="29">
                  <c:v>-2.0980301730666691</c:v>
                </c:pt>
                <c:pt idx="30">
                  <c:v>-2.4510376281333328</c:v>
                </c:pt>
                <c:pt idx="31">
                  <c:v>-2.177369953866668</c:v>
                </c:pt>
                <c:pt idx="32">
                  <c:v>-2.0357411906666649</c:v>
                </c:pt>
                <c:pt idx="33">
                  <c:v>-1.671435672933332</c:v>
                </c:pt>
                <c:pt idx="34">
                  <c:v>-0.98123539399999893</c:v>
                </c:pt>
                <c:pt idx="35">
                  <c:v>9.9378799999841338E-5</c:v>
                </c:pt>
                <c:pt idx="36">
                  <c:v>-0.56197860133333499</c:v>
                </c:pt>
                <c:pt idx="37">
                  <c:v>-0.33237939266666711</c:v>
                </c:pt>
                <c:pt idx="38">
                  <c:v>-1.4491747733333169E-2</c:v>
                </c:pt>
                <c:pt idx="39">
                  <c:v>-3.1794839999998992E-4</c:v>
                </c:pt>
                <c:pt idx="40">
                  <c:v>1.898904000003365E-4</c:v>
                </c:pt>
                <c:pt idx="41">
                  <c:v>-7.3333333333036599E-5</c:v>
                </c:pt>
                <c:pt idx="42">
                  <c:v>-8.1666666666979637E-5</c:v>
                </c:pt>
                <c:pt idx="43">
                  <c:v>4.1266666666694979E-4</c:v>
                </c:pt>
                <c:pt idx="44">
                  <c:v>3.3666666666698491E-4</c:v>
                </c:pt>
                <c:pt idx="45">
                  <c:v>-4.256666666669906E-4</c:v>
                </c:pt>
                <c:pt idx="46">
                  <c:v>-2.6933333333301063E-4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33D-456C-A96C-F836C4AA8DE4}"/>
            </c:ext>
          </c:extLst>
        </c:ser>
        <c:ser>
          <c:idx val="42"/>
          <c:order val="42"/>
          <c:tx>
            <c:v>BES_TR4_three81_A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-1.7200000000000551E-4</c:v>
                </c:pt>
                <c:pt idx="1">
                  <c:v>3.8000000000010248E-5</c:v>
                </c:pt>
                <c:pt idx="2">
                  <c:v>2.0000000000020002E-6</c:v>
                </c:pt>
                <c:pt idx="3">
                  <c:v>2.280000000000337E-4</c:v>
                </c:pt>
                <c:pt idx="4">
                  <c:v>0</c:v>
                </c:pt>
                <c:pt idx="5">
                  <c:v>0</c:v>
                </c:pt>
                <c:pt idx="6">
                  <c:v>4.6300000000001901E-4</c:v>
                </c:pt>
                <c:pt idx="7">
                  <c:v>3.2619653333332282E-4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-1.102882666680349E-4</c:v>
                </c:pt>
                <c:pt idx="11">
                  <c:v>1.8002346666801119E-4</c:v>
                </c:pt>
                <c:pt idx="12">
                  <c:v>2.714073333318634E-4</c:v>
                </c:pt>
                <c:pt idx="13">
                  <c:v>4.4083226666802311E-4</c:v>
                </c:pt>
                <c:pt idx="14">
                  <c:v>8.8545200000123003E-5</c:v>
                </c:pt>
                <c:pt idx="15">
                  <c:v>-4.8626089999999733E-2</c:v>
                </c:pt>
                <c:pt idx="16">
                  <c:v>-1.8222367316000021</c:v>
                </c:pt>
                <c:pt idx="17">
                  <c:v>-2.2948666002666669</c:v>
                </c:pt>
                <c:pt idx="18">
                  <c:v>-2.5637486960000011</c:v>
                </c:pt>
                <c:pt idx="19">
                  <c:v>-2.7664367394666649</c:v>
                </c:pt>
                <c:pt idx="20">
                  <c:v>-2.7144589430666679</c:v>
                </c:pt>
                <c:pt idx="21">
                  <c:v>-3.1500911212</c:v>
                </c:pt>
                <c:pt idx="22">
                  <c:v>-3.1303529913333352</c:v>
                </c:pt>
                <c:pt idx="23">
                  <c:v>-3.2603959088000001</c:v>
                </c:pt>
                <c:pt idx="24">
                  <c:v>-2.8074749290666681</c:v>
                </c:pt>
                <c:pt idx="25">
                  <c:v>-3.0157526720000001</c:v>
                </c:pt>
                <c:pt idx="26">
                  <c:v>-3.165728482</c:v>
                </c:pt>
                <c:pt idx="27">
                  <c:v>-2.8265483274666678</c:v>
                </c:pt>
                <c:pt idx="28">
                  <c:v>-2.5735492265333328</c:v>
                </c:pt>
                <c:pt idx="29">
                  <c:v>-2.5340725064000011</c:v>
                </c:pt>
                <c:pt idx="30">
                  <c:v>-2.3859038281333329</c:v>
                </c:pt>
                <c:pt idx="31">
                  <c:v>-2.3875838538666678</c:v>
                </c:pt>
                <c:pt idx="32">
                  <c:v>-0.86402005733333187</c:v>
                </c:pt>
                <c:pt idx="33">
                  <c:v>-0.79225060626666188</c:v>
                </c:pt>
                <c:pt idx="34">
                  <c:v>2.239393333381412E-4</c:v>
                </c:pt>
                <c:pt idx="35">
                  <c:v>-0.48352198786666711</c:v>
                </c:pt>
                <c:pt idx="36">
                  <c:v>-0.53959493466666797</c:v>
                </c:pt>
                <c:pt idx="37">
                  <c:v>-6.2990392666666062E-2</c:v>
                </c:pt>
                <c:pt idx="38">
                  <c:v>4.4425226666680579E-4</c:v>
                </c:pt>
                <c:pt idx="39">
                  <c:v>-1.98281733333E-4</c:v>
                </c:pt>
                <c:pt idx="40">
                  <c:v>4.5089040000034769E-4</c:v>
                </c:pt>
                <c:pt idx="41">
                  <c:v>3.2200000000004453E-4</c:v>
                </c:pt>
                <c:pt idx="42">
                  <c:v>6.0333333332995842E-5</c:v>
                </c:pt>
                <c:pt idx="43">
                  <c:v>-1.586666666670844E-4</c:v>
                </c:pt>
                <c:pt idx="44">
                  <c:v>-4.3866666666603221E-4</c:v>
                </c:pt>
                <c:pt idx="45">
                  <c:v>-1.449999999999507E-4</c:v>
                </c:pt>
                <c:pt idx="46">
                  <c:v>1.006000000000062E-4</c:v>
                </c:pt>
                <c:pt idx="47">
                  <c:v>4.550000000001081E-4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33D-456C-A96C-F836C4AA8DE4}"/>
            </c:ext>
          </c:extLst>
        </c:ser>
        <c:ser>
          <c:idx val="43"/>
          <c:order val="43"/>
          <c:tx>
            <c:v>BES_TR4_three90_C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-3.3333333333329662E-4</c:v>
                </c:pt>
                <c:pt idx="1">
                  <c:v>-9.2000000000008741E-5</c:v>
                </c:pt>
                <c:pt idx="2">
                  <c:v>2.4799999999999822E-4</c:v>
                </c:pt>
                <c:pt idx="3">
                  <c:v>0</c:v>
                </c:pt>
                <c:pt idx="4">
                  <c:v>-6.266666666693288E-5</c:v>
                </c:pt>
                <c:pt idx="5">
                  <c:v>2.179999999998988E-4</c:v>
                </c:pt>
                <c:pt idx="6">
                  <c:v>0</c:v>
                </c:pt>
                <c:pt idx="7">
                  <c:v>3.1549783333331688E-4</c:v>
                </c:pt>
                <c:pt idx="8">
                  <c:v>-3.9405783333322508E-4</c:v>
                </c:pt>
                <c:pt idx="9">
                  <c:v>-3.1473250000010888E-5</c:v>
                </c:pt>
                <c:pt idx="10">
                  <c:v>-2.368016666749739E-5</c:v>
                </c:pt>
                <c:pt idx="11">
                  <c:v>-1.462353333324673E-4</c:v>
                </c:pt>
                <c:pt idx="12">
                  <c:v>5.0879583332497091E-5</c:v>
                </c:pt>
                <c:pt idx="13">
                  <c:v>-3.6589649999940738E-4</c:v>
                </c:pt>
                <c:pt idx="14">
                  <c:v>-2.9565925000007992E-4</c:v>
                </c:pt>
                <c:pt idx="15">
                  <c:v>-1.413062499999729E-4</c:v>
                </c:pt>
                <c:pt idx="16">
                  <c:v>4.8412608333214807E-4</c:v>
                </c:pt>
                <c:pt idx="17">
                  <c:v>-1.907983349999998E-2</c:v>
                </c:pt>
                <c:pt idx="18">
                  <c:v>-1.486530601666668</c:v>
                </c:pt>
                <c:pt idx="19">
                  <c:v>-1.8199896288333319</c:v>
                </c:pt>
                <c:pt idx="20">
                  <c:v>-1.759039589416667</c:v>
                </c:pt>
                <c:pt idx="21">
                  <c:v>-1.90837570075</c:v>
                </c:pt>
                <c:pt idx="22">
                  <c:v>-2.0816112029166671</c:v>
                </c:pt>
                <c:pt idx="23">
                  <c:v>-1.8930048596666671</c:v>
                </c:pt>
                <c:pt idx="24">
                  <c:v>-2.0548708306666672</c:v>
                </c:pt>
                <c:pt idx="25">
                  <c:v>-2.102451045</c:v>
                </c:pt>
                <c:pt idx="26">
                  <c:v>-1.7725727179166659</c:v>
                </c:pt>
                <c:pt idx="27">
                  <c:v>-1.9743339546666669</c:v>
                </c:pt>
                <c:pt idx="28">
                  <c:v>-1.81142743325</c:v>
                </c:pt>
                <c:pt idx="29">
                  <c:v>-1.571633858166668</c:v>
                </c:pt>
                <c:pt idx="30">
                  <c:v>-1.62504930925</c:v>
                </c:pt>
                <c:pt idx="31">
                  <c:v>-1.4907399086666679</c:v>
                </c:pt>
                <c:pt idx="32">
                  <c:v>-1.152659035833332</c:v>
                </c:pt>
                <c:pt idx="33">
                  <c:v>-1.0088545455833331</c:v>
                </c:pt>
                <c:pt idx="34">
                  <c:v>-0.80475932958333241</c:v>
                </c:pt>
                <c:pt idx="35">
                  <c:v>-0.65466051324999996</c:v>
                </c:pt>
                <c:pt idx="36">
                  <c:v>-0.40284908416666748</c:v>
                </c:pt>
                <c:pt idx="37">
                  <c:v>-0.25237720375000011</c:v>
                </c:pt>
                <c:pt idx="38">
                  <c:v>-8.6510467333333174E-2</c:v>
                </c:pt>
                <c:pt idx="39">
                  <c:v>-1.6344166670623219E-6</c:v>
                </c:pt>
                <c:pt idx="40">
                  <c:v>4.746398333333457E-4</c:v>
                </c:pt>
                <c:pt idx="41">
                  <c:v>4.8833333333297979E-4</c:v>
                </c:pt>
                <c:pt idx="42">
                  <c:v>3.2700000000000779E-4</c:v>
                </c:pt>
                <c:pt idx="43">
                  <c:v>4.7899999999997939E-4</c:v>
                </c:pt>
                <c:pt idx="44">
                  <c:v>3.5000000000000309E-4</c:v>
                </c:pt>
                <c:pt idx="45">
                  <c:v>4.0809999999996682E-4</c:v>
                </c:pt>
                <c:pt idx="46">
                  <c:v>3.8949999999998708E-4</c:v>
                </c:pt>
                <c:pt idx="47">
                  <c:v>2.8799999999995501E-4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33D-456C-A96C-F836C4AA8DE4}"/>
            </c:ext>
          </c:extLst>
        </c:ser>
        <c:ser>
          <c:idx val="44"/>
          <c:order val="44"/>
          <c:tx>
            <c:v>BES_TR4_three97_B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7.1666666666997392E-5</c:v>
                </c:pt>
                <c:pt idx="1">
                  <c:v>-3.9300000000000451E-4</c:v>
                </c:pt>
                <c:pt idx="2">
                  <c:v>0</c:v>
                </c:pt>
                <c:pt idx="3">
                  <c:v>-4.5933333333297849E-4</c:v>
                </c:pt>
                <c:pt idx="4">
                  <c:v>1.3799999999999921E-4</c:v>
                </c:pt>
                <c:pt idx="5">
                  <c:v>-3.9800000000000951E-4</c:v>
                </c:pt>
                <c:pt idx="6">
                  <c:v>7.6666666667002392E-5</c:v>
                </c:pt>
                <c:pt idx="7">
                  <c:v>-4.4080346666666709E-4</c:v>
                </c:pt>
                <c:pt idx="8">
                  <c:v>2.6550746666679798E-4</c:v>
                </c:pt>
                <c:pt idx="9">
                  <c:v>1.0510946666701659E-4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-2.4525933333496841E-4</c:v>
                </c:pt>
                <c:pt idx="13">
                  <c:v>1.721656000013283E-4</c:v>
                </c:pt>
                <c:pt idx="14">
                  <c:v>4.0287853333298429E-4</c:v>
                </c:pt>
                <c:pt idx="15">
                  <c:v>-3.5575666666698419E-4</c:v>
                </c:pt>
                <c:pt idx="16">
                  <c:v>-2.1095553982666679</c:v>
                </c:pt>
                <c:pt idx="17">
                  <c:v>-1.18554426693333</c:v>
                </c:pt>
                <c:pt idx="18">
                  <c:v>-2.4357663626666679</c:v>
                </c:pt>
                <c:pt idx="19">
                  <c:v>-2.8254644061333321</c:v>
                </c:pt>
                <c:pt idx="20">
                  <c:v>-2.8116786097333351</c:v>
                </c:pt>
                <c:pt idx="21">
                  <c:v>-3.0620851212</c:v>
                </c:pt>
                <c:pt idx="22">
                  <c:v>-3.249217591333335</c:v>
                </c:pt>
                <c:pt idx="23">
                  <c:v>-3.2336483754666672</c:v>
                </c:pt>
                <c:pt idx="24">
                  <c:v>-3.3721173290666679</c:v>
                </c:pt>
                <c:pt idx="25">
                  <c:v>-3.157007005333333</c:v>
                </c:pt>
                <c:pt idx="26">
                  <c:v>-3.2821584819999998</c:v>
                </c:pt>
                <c:pt idx="27">
                  <c:v>-3.0612629941333349</c:v>
                </c:pt>
                <c:pt idx="28">
                  <c:v>-2.9550385598666669</c:v>
                </c:pt>
                <c:pt idx="29">
                  <c:v>-2.7540521730666678</c:v>
                </c:pt>
                <c:pt idx="30">
                  <c:v>-2.471587828133333</c:v>
                </c:pt>
                <c:pt idx="31">
                  <c:v>-2.3845838538666682</c:v>
                </c:pt>
                <c:pt idx="32">
                  <c:v>-1.983259057333332</c:v>
                </c:pt>
                <c:pt idx="33">
                  <c:v>-1.6989336062666649</c:v>
                </c:pt>
                <c:pt idx="34">
                  <c:v>-1.415073727333332</c:v>
                </c:pt>
                <c:pt idx="35">
                  <c:v>-1.1709496211999999</c:v>
                </c:pt>
                <c:pt idx="36">
                  <c:v>-0.80570653466666797</c:v>
                </c:pt>
                <c:pt idx="37">
                  <c:v>-0.37958039266666699</c:v>
                </c:pt>
                <c:pt idx="38">
                  <c:v>-4.6558414400000192E-2</c:v>
                </c:pt>
                <c:pt idx="39">
                  <c:v>-1.116150666669868E-4</c:v>
                </c:pt>
                <c:pt idx="40">
                  <c:v>-6.7109599996673097E-5</c:v>
                </c:pt>
                <c:pt idx="41">
                  <c:v>-1.9999999999964491E-5</c:v>
                </c:pt>
                <c:pt idx="42">
                  <c:v>3.3600000000000302E-4</c:v>
                </c:pt>
                <c:pt idx="43">
                  <c:v>-3.2666666666697491E-4</c:v>
                </c:pt>
                <c:pt idx="44">
                  <c:v>-2.9999999999974492E-5</c:v>
                </c:pt>
                <c:pt idx="45">
                  <c:v>-3.8000000000004702E-4</c:v>
                </c:pt>
                <c:pt idx="46">
                  <c:v>-5.9333333332967093E-5</c:v>
                </c:pt>
                <c:pt idx="47">
                  <c:v>3.6400000000000321E-4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33D-456C-A96C-F836C4AA8DE4}"/>
            </c:ext>
          </c:extLst>
        </c:ser>
        <c:ser>
          <c:idx val="45"/>
          <c:order val="45"/>
          <c:tx>
            <c:v>BES_TR4_three160_C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-3.1466666666699061E-4</c:v>
                </c:pt>
                <c:pt idx="1">
                  <c:v>4.5733333332997889E-4</c:v>
                </c:pt>
                <c:pt idx="2">
                  <c:v>-7.6000000000020496E-5</c:v>
                </c:pt>
                <c:pt idx="3">
                  <c:v>-4.746666666670118E-4</c:v>
                </c:pt>
                <c:pt idx="4">
                  <c:v>0.280528</c:v>
                </c:pt>
                <c:pt idx="5">
                  <c:v>6.4526E-2</c:v>
                </c:pt>
                <c:pt idx="6">
                  <c:v>0.16500400000000001</c:v>
                </c:pt>
                <c:pt idx="7">
                  <c:v>0.27616719653333338</c:v>
                </c:pt>
                <c:pt idx="8">
                  <c:v>7.2655074666667999E-3</c:v>
                </c:pt>
                <c:pt idx="9">
                  <c:v>0.15503844280000001</c:v>
                </c:pt>
                <c:pt idx="10">
                  <c:v>-3.4028826666798739E-4</c:v>
                </c:pt>
                <c:pt idx="11">
                  <c:v>-1.759765333319008E-4</c:v>
                </c:pt>
                <c:pt idx="12">
                  <c:v>4.7740733333190288E-4</c:v>
                </c:pt>
                <c:pt idx="13">
                  <c:v>-2.0716773333195879E-4</c:v>
                </c:pt>
                <c:pt idx="14">
                  <c:v>4.0545199999852948E-5</c:v>
                </c:pt>
                <c:pt idx="15">
                  <c:v>-3.1408999999982262E-4</c:v>
                </c:pt>
                <c:pt idx="16">
                  <c:v>-0.48502939826666819</c:v>
                </c:pt>
                <c:pt idx="17">
                  <c:v>-2.4796509335999999</c:v>
                </c:pt>
                <c:pt idx="18">
                  <c:v>-2.621529362666668</c:v>
                </c:pt>
                <c:pt idx="19">
                  <c:v>-2.6688174061333321</c:v>
                </c:pt>
                <c:pt idx="20">
                  <c:v>-3.0830089430666678</c:v>
                </c:pt>
                <c:pt idx="21">
                  <c:v>-3.0340131212000001</c:v>
                </c:pt>
                <c:pt idx="22">
                  <c:v>-1.642734591333338</c:v>
                </c:pt>
                <c:pt idx="23">
                  <c:v>-3.1532587088000001</c:v>
                </c:pt>
                <c:pt idx="24">
                  <c:v>-3.3107633624000008</c:v>
                </c:pt>
                <c:pt idx="25">
                  <c:v>-3.1996657053333331</c:v>
                </c:pt>
                <c:pt idx="26">
                  <c:v>-2.641907482000001</c:v>
                </c:pt>
                <c:pt idx="27">
                  <c:v>-2.8435383274666681</c:v>
                </c:pt>
                <c:pt idx="28">
                  <c:v>-2.6170965598666669</c:v>
                </c:pt>
                <c:pt idx="29">
                  <c:v>-2.684543839733335</c:v>
                </c:pt>
                <c:pt idx="30">
                  <c:v>-1.46235316146667</c:v>
                </c:pt>
                <c:pt idx="31">
                  <c:v>-1.160178853866668</c:v>
                </c:pt>
                <c:pt idx="32">
                  <c:v>-1.896950723999999</c:v>
                </c:pt>
                <c:pt idx="33">
                  <c:v>-1.515351272933332</c:v>
                </c:pt>
                <c:pt idx="34">
                  <c:v>-1.045185727333332</c:v>
                </c:pt>
                <c:pt idx="35">
                  <c:v>-0.65044195453333309</c:v>
                </c:pt>
                <c:pt idx="36">
                  <c:v>-0.75302693466666804</c:v>
                </c:pt>
                <c:pt idx="37">
                  <c:v>-0.57375072599999999</c:v>
                </c:pt>
                <c:pt idx="38">
                  <c:v>2.9125226666683671E-4</c:v>
                </c:pt>
                <c:pt idx="39">
                  <c:v>-2.91599484E-2</c:v>
                </c:pt>
                <c:pt idx="40">
                  <c:v>2.362237333333253E-4</c:v>
                </c:pt>
                <c:pt idx="41">
                  <c:v>-3.8199999999999351E-4</c:v>
                </c:pt>
                <c:pt idx="42">
                  <c:v>-6.0000000000060014E-6</c:v>
                </c:pt>
                <c:pt idx="43">
                  <c:v>1.6199999999999551E-4</c:v>
                </c:pt>
                <c:pt idx="44">
                  <c:v>4.5000000000000601E-4</c:v>
                </c:pt>
                <c:pt idx="45">
                  <c:v>-3.2599999999999302E-4</c:v>
                </c:pt>
                <c:pt idx="46">
                  <c:v>-6.2000000000006494E-5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33D-456C-A96C-F836C4AA8DE4}"/>
            </c:ext>
          </c:extLst>
        </c:ser>
        <c:ser>
          <c:idx val="46"/>
          <c:order val="46"/>
          <c:tx>
            <c:v>net zero target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33D-456C-A96C-F836C4AA8DE4}"/>
            </c:ext>
          </c:extLst>
        </c:ser>
        <c:ser>
          <c:idx val="47"/>
          <c:order val="47"/>
          <c:tx>
            <c:v>fleet average</c:v>
          </c:tx>
          <c:spPr>
            <a:ln w="30480">
              <a:solidFill>
                <a:srgbClr val="4B3FA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-3.2884057971055425E-5</c:v>
                </c:pt>
                <c:pt idx="1">
                  <c:v>-3.2731884058084804E-5</c:v>
                </c:pt>
                <c:pt idx="2">
                  <c:v>-1.3355072463805406E-5</c:v>
                </c:pt>
                <c:pt idx="3">
                  <c:v>-4.1202898550696254E-5</c:v>
                </c:pt>
                <c:pt idx="4">
                  <c:v>6.0845724637681176E-3</c:v>
                </c:pt>
                <c:pt idx="5">
                  <c:v>1.3766304347826164E-3</c:v>
                </c:pt>
                <c:pt idx="6">
                  <c:v>4.9547028985506836E-3</c:v>
                </c:pt>
                <c:pt idx="7">
                  <c:v>1.4890274098550788E-2</c:v>
                </c:pt>
                <c:pt idx="8">
                  <c:v>2.2912773043479023E-3</c:v>
                </c:pt>
                <c:pt idx="9">
                  <c:v>3.4477668289853887E-3</c:v>
                </c:pt>
                <c:pt idx="10">
                  <c:v>-7.2579223189428443E-5</c:v>
                </c:pt>
                <c:pt idx="11">
                  <c:v>-7.1954028974131196E-6</c:v>
                </c:pt>
                <c:pt idx="12">
                  <c:v>2.4107913042192841E-5</c:v>
                </c:pt>
                <c:pt idx="13">
                  <c:v>-2.2167768098241281E-6</c:v>
                </c:pt>
                <c:pt idx="14">
                  <c:v>-5.7558828985882632E-5</c:v>
                </c:pt>
                <c:pt idx="15">
                  <c:v>-6.061215086956577E-2</c:v>
                </c:pt>
                <c:pt idx="16">
                  <c:v>-0.68257870009275501</c:v>
                </c:pt>
                <c:pt idx="17">
                  <c:v>-1.0883415574550721</c:v>
                </c:pt>
                <c:pt idx="18">
                  <c:v>-1.5184444816521749</c:v>
                </c:pt>
                <c:pt idx="19">
                  <c:v>-1.8231120504521729</c:v>
                </c:pt>
                <c:pt idx="20">
                  <c:v>-2.0063433358782601</c:v>
                </c:pt>
                <c:pt idx="21">
                  <c:v>-2.167010829634783</c:v>
                </c:pt>
                <c:pt idx="22">
                  <c:v>-2.1643422533623204</c:v>
                </c:pt>
                <c:pt idx="23">
                  <c:v>-2.2147323851478262</c:v>
                </c:pt>
                <c:pt idx="24">
                  <c:v>-2.3790099604289865</c:v>
                </c:pt>
                <c:pt idx="25">
                  <c:v>-2.3489386947536239</c:v>
                </c:pt>
                <c:pt idx="26">
                  <c:v>-2.2531652663478274</c:v>
                </c:pt>
                <c:pt idx="27">
                  <c:v>-2.1268018113507261</c:v>
                </c:pt>
                <c:pt idx="28">
                  <c:v>-2.0805122454028995</c:v>
                </c:pt>
                <c:pt idx="29">
                  <c:v>-1.9472700796463784</c:v>
                </c:pt>
                <c:pt idx="30">
                  <c:v>-1.7576300444811592</c:v>
                </c:pt>
                <c:pt idx="31">
                  <c:v>-1.590832355200001</c:v>
                </c:pt>
                <c:pt idx="32">
                  <c:v>-1.3369837100869557</c:v>
                </c:pt>
                <c:pt idx="33">
                  <c:v>-1.0931230875130429</c:v>
                </c:pt>
                <c:pt idx="34">
                  <c:v>-0.84057981776811486</c:v>
                </c:pt>
                <c:pt idx="35">
                  <c:v>-0.66049958833043521</c:v>
                </c:pt>
                <c:pt idx="36">
                  <c:v>-0.43776202857971097</c:v>
                </c:pt>
                <c:pt idx="37">
                  <c:v>-0.21710936165217398</c:v>
                </c:pt>
                <c:pt idx="38">
                  <c:v>-6.6842526486956488E-2</c:v>
                </c:pt>
                <c:pt idx="39">
                  <c:v>-2.6733494724638929E-3</c:v>
                </c:pt>
                <c:pt idx="40">
                  <c:v>7.1788863768240674E-5</c:v>
                </c:pt>
                <c:pt idx="41">
                  <c:v>5.4391753623188377E-2</c:v>
                </c:pt>
                <c:pt idx="42">
                  <c:v>8.6235521739130683E-2</c:v>
                </c:pt>
                <c:pt idx="43">
                  <c:v>5.0243876811594257E-2</c:v>
                </c:pt>
                <c:pt idx="44">
                  <c:v>6.383675362318858E-2</c:v>
                </c:pt>
                <c:pt idx="45">
                  <c:v>5.0243841304347836E-2</c:v>
                </c:pt>
                <c:pt idx="46">
                  <c:v>0.12146140942028999</c:v>
                </c:pt>
                <c:pt idx="47">
                  <c:v>7.4729188405797065E-2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33D-456C-A96C-F836C4AA8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BES_TR4_one195_C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Demand_kW!$C$2:$C$49</c:f>
              <c:numCache>
                <c:formatCode>#,##0.000</c:formatCode>
                <c:ptCount val="48"/>
                <c:pt idx="0">
                  <c:v>0.36969766666666698</c:v>
                </c:pt>
                <c:pt idx="1">
                  <c:v>4.9000000000000002E-2</c:v>
                </c:pt>
                <c:pt idx="2">
                  <c:v>0.119643333333333</c:v>
                </c:pt>
                <c:pt idx="3">
                  <c:v>0.17764133333333301</c:v>
                </c:pt>
                <c:pt idx="4">
                  <c:v>8.6643999999999902E-2</c:v>
                </c:pt>
                <c:pt idx="5">
                  <c:v>0.210640666666667</c:v>
                </c:pt>
                <c:pt idx="6">
                  <c:v>0.124288</c:v>
                </c:pt>
                <c:pt idx="7">
                  <c:v>0.14790066666666701</c:v>
                </c:pt>
                <c:pt idx="8">
                  <c:v>0.11801399999999999</c:v>
                </c:pt>
                <c:pt idx="9">
                  <c:v>0.12507833333333301</c:v>
                </c:pt>
                <c:pt idx="10">
                  <c:v>0.14083633333333301</c:v>
                </c:pt>
                <c:pt idx="11">
                  <c:v>0.180754</c:v>
                </c:pt>
                <c:pt idx="12">
                  <c:v>0.15417466666666699</c:v>
                </c:pt>
                <c:pt idx="13">
                  <c:v>4.9760933333333299E-2</c:v>
                </c:pt>
                <c:pt idx="14">
                  <c:v>1.1302726000000001</c:v>
                </c:pt>
                <c:pt idx="15">
                  <c:v>0.28479500000000002</c:v>
                </c:pt>
                <c:pt idx="16">
                  <c:v>0.23944686666666701</c:v>
                </c:pt>
                <c:pt idx="17">
                  <c:v>2.6547000000000001</c:v>
                </c:pt>
                <c:pt idx="18">
                  <c:v>2.72193333333334</c:v>
                </c:pt>
                <c:pt idx="19">
                  <c:v>1.07029333333333</c:v>
                </c:pt>
                <c:pt idx="20">
                  <c:v>1.3336633333333301</c:v>
                </c:pt>
                <c:pt idx="21">
                  <c:v>0.24871913333333301</c:v>
                </c:pt>
                <c:pt idx="22">
                  <c:v>0.16820599999999999</c:v>
                </c:pt>
                <c:pt idx="23">
                  <c:v>0.14790066666666701</c:v>
                </c:pt>
                <c:pt idx="24">
                  <c:v>0.40580846666666698</c:v>
                </c:pt>
                <c:pt idx="25">
                  <c:v>7.4709600000000001E-2</c:v>
                </c:pt>
                <c:pt idx="26">
                  <c:v>0.30056733333333302</c:v>
                </c:pt>
                <c:pt idx="27">
                  <c:v>1.2538796666666701</c:v>
                </c:pt>
                <c:pt idx="28">
                  <c:v>0.1659216</c:v>
                </c:pt>
                <c:pt idx="29">
                  <c:v>0.1244614</c:v>
                </c:pt>
                <c:pt idx="30">
                  <c:v>0.20826846666666701</c:v>
                </c:pt>
                <c:pt idx="31">
                  <c:v>1.0121661333333301</c:v>
                </c:pt>
                <c:pt idx="32">
                  <c:v>0.20637133333333299</c:v>
                </c:pt>
                <c:pt idx="33">
                  <c:v>0.53645279999999995</c:v>
                </c:pt>
                <c:pt idx="34">
                  <c:v>1.2463938666666701</c:v>
                </c:pt>
                <c:pt idx="35">
                  <c:v>6.2304666666666703E-2</c:v>
                </c:pt>
                <c:pt idx="36">
                  <c:v>0.322718533333333</c:v>
                </c:pt>
                <c:pt idx="37">
                  <c:v>0.3625234</c:v>
                </c:pt>
                <c:pt idx="38">
                  <c:v>9.8495466666666698E-2</c:v>
                </c:pt>
                <c:pt idx="39">
                  <c:v>0.26180033333333302</c:v>
                </c:pt>
                <c:pt idx="40">
                  <c:v>0.30774053333333301</c:v>
                </c:pt>
                <c:pt idx="41">
                  <c:v>0.30566633333333298</c:v>
                </c:pt>
                <c:pt idx="42">
                  <c:v>0.18064266666666701</c:v>
                </c:pt>
                <c:pt idx="43">
                  <c:v>0.53829400000000005</c:v>
                </c:pt>
                <c:pt idx="44">
                  <c:v>0.58701366666666699</c:v>
                </c:pt>
                <c:pt idx="45">
                  <c:v>0.48578466666666698</c:v>
                </c:pt>
                <c:pt idx="46">
                  <c:v>0.65302866666666703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C-4FEC-802D-770E276DA49E}"/>
            </c:ext>
          </c:extLst>
        </c:ser>
        <c:ser>
          <c:idx val="1"/>
          <c:order val="1"/>
          <c:tx>
            <c:v>BES_TR4_one223_B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Demand_kW!$D$2:$D$49</c:f>
              <c:numCache>
                <c:formatCode>#,##0.000</c:formatCode>
                <c:ptCount val="48"/>
                <c:pt idx="0">
                  <c:v>0.20057466666666601</c:v>
                </c:pt>
                <c:pt idx="1">
                  <c:v>4.3999999999999997E-2</c:v>
                </c:pt>
                <c:pt idx="2">
                  <c:v>4.3999999999999997E-2</c:v>
                </c:pt>
                <c:pt idx="3">
                  <c:v>0.182662666666667</c:v>
                </c:pt>
                <c:pt idx="4">
                  <c:v>0.17400199999999999</c:v>
                </c:pt>
                <c:pt idx="5">
                  <c:v>4.3999999999999997E-2</c:v>
                </c:pt>
                <c:pt idx="6">
                  <c:v>0.23321900000000001</c:v>
                </c:pt>
                <c:pt idx="7">
                  <c:v>0.12344566666666699</c:v>
                </c:pt>
                <c:pt idx="8">
                  <c:v>0.14279600000000001</c:v>
                </c:pt>
                <c:pt idx="9">
                  <c:v>5.4977333333333399E-2</c:v>
                </c:pt>
                <c:pt idx="10">
                  <c:v>0.296198666666667</c:v>
                </c:pt>
                <c:pt idx="11">
                  <c:v>6.0465999999999999E-2</c:v>
                </c:pt>
                <c:pt idx="12">
                  <c:v>0.256332</c:v>
                </c:pt>
                <c:pt idx="13">
                  <c:v>0.100332666666667</c:v>
                </c:pt>
                <c:pt idx="14">
                  <c:v>4.3999999999999997E-2</c:v>
                </c:pt>
                <c:pt idx="15">
                  <c:v>0.15377333333333301</c:v>
                </c:pt>
                <c:pt idx="16">
                  <c:v>0.20289133333333301</c:v>
                </c:pt>
                <c:pt idx="17">
                  <c:v>8.7909333333333395E-2</c:v>
                </c:pt>
                <c:pt idx="18">
                  <c:v>0.30833833333333299</c:v>
                </c:pt>
                <c:pt idx="19">
                  <c:v>6.5667000000000003E-2</c:v>
                </c:pt>
                <c:pt idx="20">
                  <c:v>0.15377333333333301</c:v>
                </c:pt>
                <c:pt idx="21">
                  <c:v>6.1483999999999997E-2</c:v>
                </c:pt>
                <c:pt idx="22">
                  <c:v>0.50362753333333299</c:v>
                </c:pt>
                <c:pt idx="23">
                  <c:v>5.3985066666666699E-2</c:v>
                </c:pt>
                <c:pt idx="24">
                  <c:v>4.3999999999999997E-2</c:v>
                </c:pt>
                <c:pt idx="25">
                  <c:v>0.15377333333333301</c:v>
                </c:pt>
                <c:pt idx="26">
                  <c:v>0.30650866666666698</c:v>
                </c:pt>
                <c:pt idx="27">
                  <c:v>0.13553499999999999</c:v>
                </c:pt>
                <c:pt idx="28">
                  <c:v>6.8987466666666594E-2</c:v>
                </c:pt>
                <c:pt idx="29">
                  <c:v>0.17577066666666699</c:v>
                </c:pt>
                <c:pt idx="30">
                  <c:v>2.4487213333333302</c:v>
                </c:pt>
                <c:pt idx="31">
                  <c:v>0.182153166666667</c:v>
                </c:pt>
                <c:pt idx="32">
                  <c:v>1.4101551999999999</c:v>
                </c:pt>
                <c:pt idx="33">
                  <c:v>1.28898673333333</c:v>
                </c:pt>
                <c:pt idx="34">
                  <c:v>8.5116533333333397E-2</c:v>
                </c:pt>
                <c:pt idx="35">
                  <c:v>0.43806133333333303</c:v>
                </c:pt>
                <c:pt idx="36">
                  <c:v>0.387228666666667</c:v>
                </c:pt>
                <c:pt idx="37">
                  <c:v>2.45217333333333</c:v>
                </c:pt>
                <c:pt idx="38">
                  <c:v>0.103809866666667</c:v>
                </c:pt>
                <c:pt idx="39">
                  <c:v>0.442985666666667</c:v>
                </c:pt>
                <c:pt idx="40">
                  <c:v>0.30277733333333301</c:v>
                </c:pt>
                <c:pt idx="41">
                  <c:v>0.40990333333333301</c:v>
                </c:pt>
                <c:pt idx="42">
                  <c:v>0.36905700000000002</c:v>
                </c:pt>
                <c:pt idx="43">
                  <c:v>0.27088366666666702</c:v>
                </c:pt>
                <c:pt idx="44">
                  <c:v>0.178968666666667</c:v>
                </c:pt>
                <c:pt idx="45">
                  <c:v>0.427647</c:v>
                </c:pt>
                <c:pt idx="46">
                  <c:v>0.38014186666666699</c:v>
                </c:pt>
                <c:pt idx="47">
                  <c:v>0.18702833333333299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C-4FEC-802D-770E276DA49E}"/>
            </c:ext>
          </c:extLst>
        </c:ser>
        <c:ser>
          <c:idx val="2"/>
          <c:order val="2"/>
          <c:tx>
            <c:v>BES_TR4_one235_A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Demand_kW!$E$2:$E$49</c:f>
              <c:numCache>
                <c:formatCode>#,##0.000</c:formatCode>
                <c:ptCount val="48"/>
                <c:pt idx="0">
                  <c:v>0.16296133333333301</c:v>
                </c:pt>
                <c:pt idx="1">
                  <c:v>0.05</c:v>
                </c:pt>
                <c:pt idx="2">
                  <c:v>0.227510666666667</c:v>
                </c:pt>
                <c:pt idx="3">
                  <c:v>0.05</c:v>
                </c:pt>
                <c:pt idx="4">
                  <c:v>0.20330466666666699</c:v>
                </c:pt>
                <c:pt idx="5">
                  <c:v>7.4205999999999994E-2</c:v>
                </c:pt>
                <c:pt idx="6">
                  <c:v>8.2274666666666704E-2</c:v>
                </c:pt>
                <c:pt idx="7">
                  <c:v>0.19523599999999999</c:v>
                </c:pt>
                <c:pt idx="8">
                  <c:v>0.05</c:v>
                </c:pt>
                <c:pt idx="9">
                  <c:v>0.05</c:v>
                </c:pt>
                <c:pt idx="10">
                  <c:v>7.4205999999999994E-2</c:v>
                </c:pt>
                <c:pt idx="11">
                  <c:v>0.20330466666666699</c:v>
                </c:pt>
                <c:pt idx="12">
                  <c:v>0.05</c:v>
                </c:pt>
                <c:pt idx="13">
                  <c:v>0.227510666666667</c:v>
                </c:pt>
                <c:pt idx="14">
                  <c:v>0.05</c:v>
                </c:pt>
                <c:pt idx="15">
                  <c:v>0.13875533333333301</c:v>
                </c:pt>
                <c:pt idx="16">
                  <c:v>0.14799933333333301</c:v>
                </c:pt>
                <c:pt idx="17">
                  <c:v>0.05</c:v>
                </c:pt>
                <c:pt idx="18">
                  <c:v>0.227510666666667</c:v>
                </c:pt>
                <c:pt idx="19">
                  <c:v>0.27839633333333302</c:v>
                </c:pt>
                <c:pt idx="20">
                  <c:v>0.17102999999999999</c:v>
                </c:pt>
                <c:pt idx="21">
                  <c:v>0.12552966666666701</c:v>
                </c:pt>
                <c:pt idx="22">
                  <c:v>6.2E-2</c:v>
                </c:pt>
                <c:pt idx="23">
                  <c:v>1.3842666666666701</c:v>
                </c:pt>
                <c:pt idx="24">
                  <c:v>0.202248333333333</c:v>
                </c:pt>
                <c:pt idx="25">
                  <c:v>1.5181846666666701</c:v>
                </c:pt>
                <c:pt idx="26">
                  <c:v>0.375527</c:v>
                </c:pt>
                <c:pt idx="27">
                  <c:v>0.46006466666666701</c:v>
                </c:pt>
                <c:pt idx="28">
                  <c:v>0.31487619999999999</c:v>
                </c:pt>
                <c:pt idx="29">
                  <c:v>0.17724239999999999</c:v>
                </c:pt>
                <c:pt idx="30">
                  <c:v>0.119309466666667</c:v>
                </c:pt>
                <c:pt idx="31">
                  <c:v>6.6137333333333395E-2</c:v>
                </c:pt>
                <c:pt idx="32">
                  <c:v>0.211373333333333</c:v>
                </c:pt>
                <c:pt idx="33">
                  <c:v>0.05</c:v>
                </c:pt>
                <c:pt idx="34">
                  <c:v>0.43621066666666702</c:v>
                </c:pt>
                <c:pt idx="35">
                  <c:v>8.1766333333333399E-2</c:v>
                </c:pt>
                <c:pt idx="36">
                  <c:v>0.555155333333333</c:v>
                </c:pt>
                <c:pt idx="37">
                  <c:v>0.31923400000000002</c:v>
                </c:pt>
                <c:pt idx="38">
                  <c:v>0.12</c:v>
                </c:pt>
                <c:pt idx="39">
                  <c:v>0.39564133333333301</c:v>
                </c:pt>
                <c:pt idx="40">
                  <c:v>0.36838333333333301</c:v>
                </c:pt>
                <c:pt idx="41">
                  <c:v>0.57699566666666702</c:v>
                </c:pt>
                <c:pt idx="42">
                  <c:v>0.70429966666666599</c:v>
                </c:pt>
                <c:pt idx="43">
                  <c:v>0.37844133333333302</c:v>
                </c:pt>
                <c:pt idx="44">
                  <c:v>0.57261300000000004</c:v>
                </c:pt>
                <c:pt idx="45">
                  <c:v>0.167260666666667</c:v>
                </c:pt>
                <c:pt idx="46">
                  <c:v>0.15489266666666701</c:v>
                </c:pt>
                <c:pt idx="47">
                  <c:v>0.122618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9C-4FEC-802D-770E276DA49E}"/>
            </c:ext>
          </c:extLst>
        </c:ser>
        <c:ser>
          <c:idx val="3"/>
          <c:order val="3"/>
          <c:tx>
            <c:v>BES_TR4_one242_B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Demand_kW!$F$2:$F$49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0.254516666666667</c:v>
                </c:pt>
                <c:pt idx="2">
                  <c:v>0.136997333333333</c:v>
                </c:pt>
                <c:pt idx="3">
                  <c:v>5.8000000000000003E-2</c:v>
                </c:pt>
                <c:pt idx="4">
                  <c:v>0.25179400000000002</c:v>
                </c:pt>
                <c:pt idx="5">
                  <c:v>0.13972000000000001</c:v>
                </c:pt>
                <c:pt idx="6">
                  <c:v>5.8000000000000003E-2</c:v>
                </c:pt>
                <c:pt idx="7">
                  <c:v>0.193034333333333</c:v>
                </c:pt>
                <c:pt idx="8">
                  <c:v>0.198479666666667</c:v>
                </c:pt>
                <c:pt idx="9">
                  <c:v>0.170853333333333</c:v>
                </c:pt>
                <c:pt idx="10">
                  <c:v>5.8000000000000003E-2</c:v>
                </c:pt>
                <c:pt idx="11">
                  <c:v>0.153925333333333</c:v>
                </c:pt>
                <c:pt idx="12">
                  <c:v>0.185833</c:v>
                </c:pt>
                <c:pt idx="13">
                  <c:v>0.188753</c:v>
                </c:pt>
                <c:pt idx="14">
                  <c:v>9.1855999999999896E-2</c:v>
                </c:pt>
                <c:pt idx="15">
                  <c:v>0.254516666666667</c:v>
                </c:pt>
                <c:pt idx="16">
                  <c:v>0.136997333333333</c:v>
                </c:pt>
                <c:pt idx="17">
                  <c:v>0.17454766666666699</c:v>
                </c:pt>
                <c:pt idx="18">
                  <c:v>0.21696633333333301</c:v>
                </c:pt>
                <c:pt idx="19">
                  <c:v>5.8000000000000003E-2</c:v>
                </c:pt>
                <c:pt idx="20">
                  <c:v>0.445494</c:v>
                </c:pt>
                <c:pt idx="21">
                  <c:v>0.39840866666666702</c:v>
                </c:pt>
                <c:pt idx="22">
                  <c:v>0.52902066666666703</c:v>
                </c:pt>
                <c:pt idx="23">
                  <c:v>0.27120533333333402</c:v>
                </c:pt>
                <c:pt idx="24">
                  <c:v>0.28413666666666698</c:v>
                </c:pt>
                <c:pt idx="25">
                  <c:v>1.0891216666666701</c:v>
                </c:pt>
                <c:pt idx="26">
                  <c:v>0.43066403333333397</c:v>
                </c:pt>
                <c:pt idx="27">
                  <c:v>0.26682899999999998</c:v>
                </c:pt>
                <c:pt idx="28">
                  <c:v>0.374693</c:v>
                </c:pt>
                <c:pt idx="29">
                  <c:v>0.14012933333333299</c:v>
                </c:pt>
                <c:pt idx="30">
                  <c:v>0.37921666666666698</c:v>
                </c:pt>
                <c:pt idx="31">
                  <c:v>0.23634633333333299</c:v>
                </c:pt>
                <c:pt idx="32">
                  <c:v>5.8000000000000003E-2</c:v>
                </c:pt>
                <c:pt idx="33">
                  <c:v>0.19225500000000001</c:v>
                </c:pt>
                <c:pt idx="34">
                  <c:v>0.19925899999999999</c:v>
                </c:pt>
                <c:pt idx="35">
                  <c:v>0.12571199999999999</c:v>
                </c:pt>
                <c:pt idx="36">
                  <c:v>0.26580199999999998</c:v>
                </c:pt>
                <c:pt idx="37">
                  <c:v>7.4927999999999995E-2</c:v>
                </c:pt>
                <c:pt idx="38">
                  <c:v>0.29440499999999997</c:v>
                </c:pt>
                <c:pt idx="39">
                  <c:v>8.0181000000000002E-2</c:v>
                </c:pt>
                <c:pt idx="40">
                  <c:v>0.4474032</c:v>
                </c:pt>
                <c:pt idx="41">
                  <c:v>0.24718699999999999</c:v>
                </c:pt>
                <c:pt idx="42">
                  <c:v>0.63304433333333299</c:v>
                </c:pt>
                <c:pt idx="43">
                  <c:v>0.27338000000000001</c:v>
                </c:pt>
                <c:pt idx="44">
                  <c:v>0.51806666666666701</c:v>
                </c:pt>
                <c:pt idx="45">
                  <c:v>0.58242333333333296</c:v>
                </c:pt>
                <c:pt idx="46">
                  <c:v>0.71083133333333404</c:v>
                </c:pt>
                <c:pt idx="47">
                  <c:v>0.54888833333333298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9C-4FEC-802D-770E276DA49E}"/>
            </c:ext>
          </c:extLst>
        </c:ser>
        <c:ser>
          <c:idx val="4"/>
          <c:order val="4"/>
          <c:tx>
            <c:v>BES_TR4_one252_C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Demand_kW!$G$2:$G$49</c:f>
              <c:numCache>
                <c:formatCode>#,##0.000</c:formatCode>
                <c:ptCount val="48"/>
                <c:pt idx="0">
                  <c:v>0.24255333333333301</c:v>
                </c:pt>
                <c:pt idx="1">
                  <c:v>0.32860266666666699</c:v>
                </c:pt>
                <c:pt idx="2">
                  <c:v>0.328058666666667</c:v>
                </c:pt>
                <c:pt idx="3">
                  <c:v>0.23130100000000001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5.5E-2</c:v>
                </c:pt>
                <c:pt idx="12">
                  <c:v>5.5E-2</c:v>
                </c:pt>
                <c:pt idx="13">
                  <c:v>0.18457000000000001</c:v>
                </c:pt>
                <c:pt idx="14">
                  <c:v>0.283237666666667</c:v>
                </c:pt>
                <c:pt idx="15">
                  <c:v>0.182468666666667</c:v>
                </c:pt>
                <c:pt idx="16">
                  <c:v>0.69196733333333404</c:v>
                </c:pt>
                <c:pt idx="17">
                  <c:v>0.77985866666666603</c:v>
                </c:pt>
                <c:pt idx="18">
                  <c:v>0.210640666666667</c:v>
                </c:pt>
                <c:pt idx="19">
                  <c:v>0.167003333333333</c:v>
                </c:pt>
                <c:pt idx="20">
                  <c:v>0.210640666666667</c:v>
                </c:pt>
                <c:pt idx="21">
                  <c:v>0.18870600000000001</c:v>
                </c:pt>
                <c:pt idx="22">
                  <c:v>0.32917133333333298</c:v>
                </c:pt>
                <c:pt idx="23">
                  <c:v>1.12870733333333</c:v>
                </c:pt>
                <c:pt idx="24">
                  <c:v>0.13420000000000001</c:v>
                </c:pt>
                <c:pt idx="25">
                  <c:v>0.130066666666667</c:v>
                </c:pt>
                <c:pt idx="26">
                  <c:v>7.04866666666666E-2</c:v>
                </c:pt>
                <c:pt idx="27">
                  <c:v>7.04866666666666E-2</c:v>
                </c:pt>
                <c:pt idx="28">
                  <c:v>5.5E-2</c:v>
                </c:pt>
                <c:pt idx="29">
                  <c:v>5.5E-2</c:v>
                </c:pt>
                <c:pt idx="30">
                  <c:v>5.5E-2</c:v>
                </c:pt>
                <c:pt idx="31">
                  <c:v>5.5E-2</c:v>
                </c:pt>
                <c:pt idx="32">
                  <c:v>5.5E-2</c:v>
                </c:pt>
                <c:pt idx="33">
                  <c:v>5.5E-2</c:v>
                </c:pt>
                <c:pt idx="34">
                  <c:v>0.28270273333333301</c:v>
                </c:pt>
                <c:pt idx="35">
                  <c:v>0.148554133333333</c:v>
                </c:pt>
                <c:pt idx="36">
                  <c:v>7.5504033333333401E-2</c:v>
                </c:pt>
                <c:pt idx="37">
                  <c:v>0.17098920000000001</c:v>
                </c:pt>
                <c:pt idx="38">
                  <c:v>0.1315954</c:v>
                </c:pt>
                <c:pt idx="39">
                  <c:v>0.1852086</c:v>
                </c:pt>
                <c:pt idx="40">
                  <c:v>0.142056666666667</c:v>
                </c:pt>
                <c:pt idx="41">
                  <c:v>5.5E-2</c:v>
                </c:pt>
                <c:pt idx="42">
                  <c:v>5.5E-2</c:v>
                </c:pt>
                <c:pt idx="43">
                  <c:v>5.5E-2</c:v>
                </c:pt>
                <c:pt idx="44">
                  <c:v>5.5E-2</c:v>
                </c:pt>
                <c:pt idx="45">
                  <c:v>5.5E-2</c:v>
                </c:pt>
                <c:pt idx="46">
                  <c:v>5.5E-2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9C-4FEC-802D-770E276DA49E}"/>
            </c:ext>
          </c:extLst>
        </c:ser>
        <c:ser>
          <c:idx val="5"/>
          <c:order val="5"/>
          <c:tx>
            <c:v>BES_TR4_one260_C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Demand_kW!$H$2:$H$49</c:f>
              <c:numCache>
                <c:formatCode>#,##0.000</c:formatCode>
                <c:ptCount val="48"/>
                <c:pt idx="0">
                  <c:v>0.123788666666667</c:v>
                </c:pt>
                <c:pt idx="1">
                  <c:v>3.5000000000000003E-2</c:v>
                </c:pt>
                <c:pt idx="2">
                  <c:v>3.5000000000000003E-2</c:v>
                </c:pt>
                <c:pt idx="3">
                  <c:v>0.20509866666666701</c:v>
                </c:pt>
                <c:pt idx="4">
                  <c:v>8.8520000000000099E-2</c:v>
                </c:pt>
                <c:pt idx="5">
                  <c:v>7.2138333333333401E-2</c:v>
                </c:pt>
                <c:pt idx="6">
                  <c:v>0.221480333333333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0.19098100000000001</c:v>
                </c:pt>
                <c:pt idx="11">
                  <c:v>0.102637666666667</c:v>
                </c:pt>
                <c:pt idx="12">
                  <c:v>3.5000000000000003E-2</c:v>
                </c:pt>
                <c:pt idx="13">
                  <c:v>0.23854866666666699</c:v>
                </c:pt>
                <c:pt idx="14">
                  <c:v>5.5070000000000001E-2</c:v>
                </c:pt>
                <c:pt idx="15">
                  <c:v>0.23594533333333301</c:v>
                </c:pt>
                <c:pt idx="16">
                  <c:v>1.14028033333333</c:v>
                </c:pt>
                <c:pt idx="17">
                  <c:v>0.19324</c:v>
                </c:pt>
                <c:pt idx="18">
                  <c:v>0.31292866666666702</c:v>
                </c:pt>
                <c:pt idx="19">
                  <c:v>0.29454866666666701</c:v>
                </c:pt>
                <c:pt idx="20">
                  <c:v>0.149366</c:v>
                </c:pt>
                <c:pt idx="21">
                  <c:v>0.16313800000000001</c:v>
                </c:pt>
                <c:pt idx="22">
                  <c:v>5.5333333333333297E-2</c:v>
                </c:pt>
                <c:pt idx="23">
                  <c:v>0.19840866666666701</c:v>
                </c:pt>
                <c:pt idx="24">
                  <c:v>3.5000000000000003E-2</c:v>
                </c:pt>
                <c:pt idx="25">
                  <c:v>0.16653799999999999</c:v>
                </c:pt>
                <c:pt idx="26">
                  <c:v>0.11417679999999999</c:v>
                </c:pt>
                <c:pt idx="27">
                  <c:v>0.47722426666666701</c:v>
                </c:pt>
                <c:pt idx="28">
                  <c:v>0.36447859999999999</c:v>
                </c:pt>
                <c:pt idx="29">
                  <c:v>0.14170433333333299</c:v>
                </c:pt>
                <c:pt idx="30">
                  <c:v>1.425616</c:v>
                </c:pt>
                <c:pt idx="31">
                  <c:v>1.03112933333333</c:v>
                </c:pt>
                <c:pt idx="32">
                  <c:v>0.201753666666667</c:v>
                </c:pt>
                <c:pt idx="33">
                  <c:v>9.1865000000000099E-2</c:v>
                </c:pt>
                <c:pt idx="34">
                  <c:v>0.16127033333333299</c:v>
                </c:pt>
                <c:pt idx="35">
                  <c:v>7.5619433333333305E-2</c:v>
                </c:pt>
                <c:pt idx="36">
                  <c:v>0.50243423333333304</c:v>
                </c:pt>
                <c:pt idx="37">
                  <c:v>0.22694890000000001</c:v>
                </c:pt>
                <c:pt idx="38">
                  <c:v>0.21991240000000001</c:v>
                </c:pt>
                <c:pt idx="39">
                  <c:v>0.407156666666667</c:v>
                </c:pt>
                <c:pt idx="40">
                  <c:v>0.35888433333333303</c:v>
                </c:pt>
                <c:pt idx="41">
                  <c:v>0.39097866666666697</c:v>
                </c:pt>
                <c:pt idx="42">
                  <c:v>3.5000000000000003E-2</c:v>
                </c:pt>
                <c:pt idx="43">
                  <c:v>0.11451600000000001</c:v>
                </c:pt>
                <c:pt idx="44">
                  <c:v>0.45293233333333299</c:v>
                </c:pt>
                <c:pt idx="45">
                  <c:v>0.159266666666667</c:v>
                </c:pt>
                <c:pt idx="46">
                  <c:v>0.13898733333333299</c:v>
                </c:pt>
                <c:pt idx="47">
                  <c:v>0.15463133333333301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9C-4FEC-802D-770E276DA49E}"/>
            </c:ext>
          </c:extLst>
        </c:ser>
        <c:ser>
          <c:idx val="6"/>
          <c:order val="6"/>
          <c:tx>
            <c:v>BES_TR4_one299_B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Demand_kW!$I$2:$I$49</c:f>
              <c:numCache>
                <c:formatCode>#,##0.000</c:formatCode>
                <c:ptCount val="48"/>
                <c:pt idx="0">
                  <c:v>0.33791466666666697</c:v>
                </c:pt>
                <c:pt idx="1">
                  <c:v>5.1999999999999998E-2</c:v>
                </c:pt>
                <c:pt idx="2">
                  <c:v>0.28904000000000002</c:v>
                </c:pt>
                <c:pt idx="3">
                  <c:v>0.10771600000000001</c:v>
                </c:pt>
                <c:pt idx="4">
                  <c:v>0.101616</c:v>
                </c:pt>
                <c:pt idx="5">
                  <c:v>0.254089333333333</c:v>
                </c:pt>
                <c:pt idx="6">
                  <c:v>9.3044000000000002E-2</c:v>
                </c:pt>
                <c:pt idx="7">
                  <c:v>0.15510533333333301</c:v>
                </c:pt>
                <c:pt idx="8">
                  <c:v>0.241647</c:v>
                </c:pt>
                <c:pt idx="9">
                  <c:v>5.1999999999999998E-2</c:v>
                </c:pt>
                <c:pt idx="10">
                  <c:v>0.227718</c:v>
                </c:pt>
                <c:pt idx="11">
                  <c:v>0.16903433333333301</c:v>
                </c:pt>
                <c:pt idx="12">
                  <c:v>0.24154</c:v>
                </c:pt>
                <c:pt idx="13">
                  <c:v>0.274519333333333</c:v>
                </c:pt>
                <c:pt idx="14">
                  <c:v>0.33158700000000002</c:v>
                </c:pt>
                <c:pt idx="15">
                  <c:v>0.46947433333333299</c:v>
                </c:pt>
                <c:pt idx="16">
                  <c:v>0.32328066666666699</c:v>
                </c:pt>
                <c:pt idx="17">
                  <c:v>0.23169999999999999</c:v>
                </c:pt>
                <c:pt idx="18">
                  <c:v>0.32281833333333299</c:v>
                </c:pt>
                <c:pt idx="19">
                  <c:v>0.31361333333333302</c:v>
                </c:pt>
                <c:pt idx="20">
                  <c:v>0.16336010000000001</c:v>
                </c:pt>
                <c:pt idx="21">
                  <c:v>0.90546533333333301</c:v>
                </c:pt>
                <c:pt idx="22">
                  <c:v>0.65338133333333304</c:v>
                </c:pt>
                <c:pt idx="23">
                  <c:v>0.87150133333333302</c:v>
                </c:pt>
                <c:pt idx="24">
                  <c:v>0.91212533333333301</c:v>
                </c:pt>
                <c:pt idx="25">
                  <c:v>0.192151666666667</c:v>
                </c:pt>
                <c:pt idx="26">
                  <c:v>0.22524266666666701</c:v>
                </c:pt>
                <c:pt idx="27">
                  <c:v>7.9362666666666706E-2</c:v>
                </c:pt>
                <c:pt idx="28">
                  <c:v>5.1999999999999998E-2</c:v>
                </c:pt>
                <c:pt idx="29">
                  <c:v>0.20793600000000001</c:v>
                </c:pt>
                <c:pt idx="30">
                  <c:v>9.9884666666666705E-2</c:v>
                </c:pt>
                <c:pt idx="31">
                  <c:v>0.14092866666666701</c:v>
                </c:pt>
                <c:pt idx="32">
                  <c:v>0.19375999999999999</c:v>
                </c:pt>
                <c:pt idx="33">
                  <c:v>0.20299</c:v>
                </c:pt>
                <c:pt idx="34">
                  <c:v>5.1999999999999998E-2</c:v>
                </c:pt>
                <c:pt idx="35">
                  <c:v>0.16829133333333299</c:v>
                </c:pt>
                <c:pt idx="36">
                  <c:v>7.2522000000000003E-2</c:v>
                </c:pt>
                <c:pt idx="37">
                  <c:v>0.62847600000000003</c:v>
                </c:pt>
                <c:pt idx="38">
                  <c:v>1.0438386666666699</c:v>
                </c:pt>
                <c:pt idx="39">
                  <c:v>0.359557666666667</c:v>
                </c:pt>
                <c:pt idx="40">
                  <c:v>0.21079616666666701</c:v>
                </c:pt>
                <c:pt idx="41">
                  <c:v>0.13705600000000001</c:v>
                </c:pt>
                <c:pt idx="42">
                  <c:v>0.113566</c:v>
                </c:pt>
                <c:pt idx="43">
                  <c:v>0.12724733333333299</c:v>
                </c:pt>
                <c:pt idx="44">
                  <c:v>0.20793600000000001</c:v>
                </c:pt>
                <c:pt idx="45">
                  <c:v>0.113566</c:v>
                </c:pt>
                <c:pt idx="46">
                  <c:v>0.12724733333333299</c:v>
                </c:pt>
                <c:pt idx="47">
                  <c:v>0.17916499999999999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9C-4FEC-802D-770E276DA49E}"/>
            </c:ext>
          </c:extLst>
        </c:ser>
        <c:ser>
          <c:idx val="7"/>
          <c:order val="7"/>
          <c:tx>
            <c:v>BES_TR4_one320_B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Demand_kW!$J$2:$J$49</c:f>
              <c:numCache>
                <c:formatCode>#,##0.000</c:formatCode>
                <c:ptCount val="48"/>
                <c:pt idx="0">
                  <c:v>0.23157466666666701</c:v>
                </c:pt>
                <c:pt idx="1">
                  <c:v>5.6000000000000001E-2</c:v>
                </c:pt>
                <c:pt idx="2">
                  <c:v>0.16772933333333301</c:v>
                </c:pt>
                <c:pt idx="3">
                  <c:v>0.119845333333333</c:v>
                </c:pt>
                <c:pt idx="4">
                  <c:v>5.6000000000000001E-2</c:v>
                </c:pt>
                <c:pt idx="5">
                  <c:v>0.15176799999999999</c:v>
                </c:pt>
                <c:pt idx="6">
                  <c:v>0.13580666666666699</c:v>
                </c:pt>
                <c:pt idx="7">
                  <c:v>5.6000000000000001E-2</c:v>
                </c:pt>
                <c:pt idx="8">
                  <c:v>0.16772933333333301</c:v>
                </c:pt>
                <c:pt idx="9">
                  <c:v>0.119845333333333</c:v>
                </c:pt>
                <c:pt idx="10">
                  <c:v>5.6000000000000001E-2</c:v>
                </c:pt>
                <c:pt idx="11">
                  <c:v>6.39806666666667E-2</c:v>
                </c:pt>
                <c:pt idx="12">
                  <c:v>0.22359399999999999</c:v>
                </c:pt>
                <c:pt idx="13">
                  <c:v>5.6000000000000001E-2</c:v>
                </c:pt>
                <c:pt idx="14">
                  <c:v>5.6000000000000001E-2</c:v>
                </c:pt>
                <c:pt idx="15">
                  <c:v>0.119845333333333</c:v>
                </c:pt>
                <c:pt idx="16">
                  <c:v>0.16772933333333301</c:v>
                </c:pt>
                <c:pt idx="17">
                  <c:v>5.6000000000000001E-2</c:v>
                </c:pt>
                <c:pt idx="18">
                  <c:v>0.455326333333333</c:v>
                </c:pt>
                <c:pt idx="19">
                  <c:v>0.53329266666666697</c:v>
                </c:pt>
                <c:pt idx="20">
                  <c:v>0.30673766666666702</c:v>
                </c:pt>
                <c:pt idx="21">
                  <c:v>0.40068266666666702</c:v>
                </c:pt>
                <c:pt idx="22">
                  <c:v>0.22087200000000001</c:v>
                </c:pt>
                <c:pt idx="23">
                  <c:v>0.49549733333333401</c:v>
                </c:pt>
                <c:pt idx="24">
                  <c:v>0.487464333333333</c:v>
                </c:pt>
                <c:pt idx="25">
                  <c:v>0.236034666666667</c:v>
                </c:pt>
                <c:pt idx="26">
                  <c:v>0.25650733333333298</c:v>
                </c:pt>
                <c:pt idx="27">
                  <c:v>0.31405686666666699</c:v>
                </c:pt>
                <c:pt idx="28">
                  <c:v>8.2983000000000001E-2</c:v>
                </c:pt>
                <c:pt idx="29">
                  <c:v>0.241144733333333</c:v>
                </c:pt>
                <c:pt idx="30">
                  <c:v>7.4262933333333295E-2</c:v>
                </c:pt>
                <c:pt idx="31">
                  <c:v>0.22599659999999999</c:v>
                </c:pt>
                <c:pt idx="32">
                  <c:v>0.58959653333333295</c:v>
                </c:pt>
                <c:pt idx="33">
                  <c:v>0.67781186666666604</c:v>
                </c:pt>
                <c:pt idx="34">
                  <c:v>2.1055966666666701</c:v>
                </c:pt>
                <c:pt idx="35">
                  <c:v>3.0969933333333399</c:v>
                </c:pt>
                <c:pt idx="36">
                  <c:v>2.6223653333333301</c:v>
                </c:pt>
                <c:pt idx="37">
                  <c:v>0.33815390000000001</c:v>
                </c:pt>
                <c:pt idx="38">
                  <c:v>0.17168</c:v>
                </c:pt>
                <c:pt idx="39">
                  <c:v>0.216368</c:v>
                </c:pt>
                <c:pt idx="40">
                  <c:v>1.00669266666667</c:v>
                </c:pt>
                <c:pt idx="41">
                  <c:v>3.0856833333333298</c:v>
                </c:pt>
                <c:pt idx="42">
                  <c:v>2.4752606666666699</c:v>
                </c:pt>
                <c:pt idx="43">
                  <c:v>0.41860166666666698</c:v>
                </c:pt>
                <c:pt idx="44">
                  <c:v>0.441732666666667</c:v>
                </c:pt>
                <c:pt idx="45">
                  <c:v>0.17060819999999999</c:v>
                </c:pt>
                <c:pt idx="46">
                  <c:v>5.6000000000000001E-2</c:v>
                </c:pt>
                <c:pt idx="47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D9C-4FEC-802D-770E276DA49E}"/>
            </c:ext>
          </c:extLst>
        </c:ser>
        <c:ser>
          <c:idx val="8"/>
          <c:order val="8"/>
          <c:tx>
            <c:v>BES_TR4_one321_C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Demand_kW!$K$2:$K$49</c:f>
              <c:numCache>
                <c:formatCode>#,##0.000</c:formatCode>
                <c:ptCount val="48"/>
                <c:pt idx="0">
                  <c:v>0.213912666666667</c:v>
                </c:pt>
                <c:pt idx="1">
                  <c:v>0.45926099999999997</c:v>
                </c:pt>
                <c:pt idx="2">
                  <c:v>5.5E-2</c:v>
                </c:pt>
                <c:pt idx="3">
                  <c:v>0.163812666666667</c:v>
                </c:pt>
                <c:pt idx="4">
                  <c:v>5.5E-2</c:v>
                </c:pt>
                <c:pt idx="5">
                  <c:v>5.5E-2</c:v>
                </c:pt>
                <c:pt idx="6">
                  <c:v>0.12495100000000001</c:v>
                </c:pt>
                <c:pt idx="7">
                  <c:v>9.3861666666666704E-2</c:v>
                </c:pt>
                <c:pt idx="8">
                  <c:v>5.5E-2</c:v>
                </c:pt>
                <c:pt idx="9">
                  <c:v>0.163812666666667</c:v>
                </c:pt>
                <c:pt idx="10">
                  <c:v>5.5E-2</c:v>
                </c:pt>
                <c:pt idx="11">
                  <c:v>0.14049566666666699</c:v>
                </c:pt>
                <c:pt idx="12">
                  <c:v>7.8316999999999998E-2</c:v>
                </c:pt>
                <c:pt idx="13">
                  <c:v>5.5E-2</c:v>
                </c:pt>
                <c:pt idx="14">
                  <c:v>5.5E-2</c:v>
                </c:pt>
                <c:pt idx="15">
                  <c:v>0.163812666666667</c:v>
                </c:pt>
                <c:pt idx="16">
                  <c:v>5.5E-2</c:v>
                </c:pt>
                <c:pt idx="17">
                  <c:v>0.12495100000000001</c:v>
                </c:pt>
                <c:pt idx="18">
                  <c:v>0.225371666666667</c:v>
                </c:pt>
                <c:pt idx="19">
                  <c:v>5.5E-2</c:v>
                </c:pt>
                <c:pt idx="20">
                  <c:v>0.101634</c:v>
                </c:pt>
                <c:pt idx="21">
                  <c:v>0.117178666666667</c:v>
                </c:pt>
                <c:pt idx="22">
                  <c:v>5.5E-2</c:v>
                </c:pt>
                <c:pt idx="23">
                  <c:v>0.20764933333333299</c:v>
                </c:pt>
                <c:pt idx="24">
                  <c:v>0.18651000000000001</c:v>
                </c:pt>
                <c:pt idx="25">
                  <c:v>0.19657466666666701</c:v>
                </c:pt>
                <c:pt idx="26">
                  <c:v>1.4683349999999999</c:v>
                </c:pt>
                <c:pt idx="27">
                  <c:v>0.7608665</c:v>
                </c:pt>
                <c:pt idx="28">
                  <c:v>0.288362333333333</c:v>
                </c:pt>
                <c:pt idx="29">
                  <c:v>9.3861666666666704E-2</c:v>
                </c:pt>
                <c:pt idx="30">
                  <c:v>5.5E-2</c:v>
                </c:pt>
                <c:pt idx="31">
                  <c:v>0.28818899999999997</c:v>
                </c:pt>
                <c:pt idx="32">
                  <c:v>0.43271599999999999</c:v>
                </c:pt>
                <c:pt idx="33">
                  <c:v>0.38424533333333399</c:v>
                </c:pt>
                <c:pt idx="34">
                  <c:v>0.40591833333333299</c:v>
                </c:pt>
                <c:pt idx="35">
                  <c:v>0.25940333333333299</c:v>
                </c:pt>
                <c:pt idx="36">
                  <c:v>0.54255666666666702</c:v>
                </c:pt>
                <c:pt idx="37">
                  <c:v>0.26888566666666702</c:v>
                </c:pt>
                <c:pt idx="38">
                  <c:v>0.214089</c:v>
                </c:pt>
                <c:pt idx="39">
                  <c:v>0.53072833333333402</c:v>
                </c:pt>
                <c:pt idx="40">
                  <c:v>0.97631166666666702</c:v>
                </c:pt>
                <c:pt idx="41">
                  <c:v>0.91399333333333299</c:v>
                </c:pt>
                <c:pt idx="42">
                  <c:v>0.78527566666666604</c:v>
                </c:pt>
                <c:pt idx="43">
                  <c:v>0.77615066666666699</c:v>
                </c:pt>
                <c:pt idx="44">
                  <c:v>0.79108333333333403</c:v>
                </c:pt>
                <c:pt idx="45">
                  <c:v>0.68710766666666701</c:v>
                </c:pt>
                <c:pt idx="46">
                  <c:v>6.2772333333333305E-2</c:v>
                </c:pt>
                <c:pt idx="47">
                  <c:v>0.156040333333333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9C-4FEC-802D-770E276DA49E}"/>
            </c:ext>
          </c:extLst>
        </c:ser>
        <c:ser>
          <c:idx val="9"/>
          <c:order val="9"/>
          <c:tx>
            <c:v>BES_TR4_one328_A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Demand_kW!$L$2:$L$49</c:f>
              <c:numCache>
                <c:formatCode>#,##0.000</c:formatCode>
                <c:ptCount val="48"/>
                <c:pt idx="0">
                  <c:v>0.48797966666666698</c:v>
                </c:pt>
                <c:pt idx="1">
                  <c:v>0.37385333333333398</c:v>
                </c:pt>
                <c:pt idx="2">
                  <c:v>0.20877733333333301</c:v>
                </c:pt>
                <c:pt idx="3">
                  <c:v>5.3999999999999999E-2</c:v>
                </c:pt>
                <c:pt idx="4">
                  <c:v>0.132966</c:v>
                </c:pt>
                <c:pt idx="5">
                  <c:v>0.20877733333333301</c:v>
                </c:pt>
                <c:pt idx="6">
                  <c:v>0.128579</c:v>
                </c:pt>
                <c:pt idx="7">
                  <c:v>0.16391700000000001</c:v>
                </c:pt>
                <c:pt idx="8">
                  <c:v>0.160278333333333</c:v>
                </c:pt>
                <c:pt idx="9">
                  <c:v>7.5935000000000002E-2</c:v>
                </c:pt>
                <c:pt idx="10">
                  <c:v>0.20877733333333301</c:v>
                </c:pt>
                <c:pt idx="11">
                  <c:v>0.132966</c:v>
                </c:pt>
                <c:pt idx="12">
                  <c:v>0.13842399999999999</c:v>
                </c:pt>
                <c:pt idx="13">
                  <c:v>0.124353333333333</c:v>
                </c:pt>
                <c:pt idx="14">
                  <c:v>5.3999999999999999E-2</c:v>
                </c:pt>
                <c:pt idx="15">
                  <c:v>9.6212000000000006E-2</c:v>
                </c:pt>
                <c:pt idx="16">
                  <c:v>0.24553133333333299</c:v>
                </c:pt>
                <c:pt idx="17">
                  <c:v>5.3999999999999999E-2</c:v>
                </c:pt>
                <c:pt idx="18">
                  <c:v>0.25703433333333298</c:v>
                </c:pt>
                <c:pt idx="19">
                  <c:v>8.4709000000000007E-2</c:v>
                </c:pt>
                <c:pt idx="20">
                  <c:v>5.3999999999999999E-2</c:v>
                </c:pt>
                <c:pt idx="21">
                  <c:v>0.266637333333333</c:v>
                </c:pt>
                <c:pt idx="22">
                  <c:v>7.5106000000000006E-2</c:v>
                </c:pt>
                <c:pt idx="23">
                  <c:v>0.163007333333333</c:v>
                </c:pt>
                <c:pt idx="24">
                  <c:v>0.17873600000000001</c:v>
                </c:pt>
                <c:pt idx="25">
                  <c:v>0.320114866666667</c:v>
                </c:pt>
                <c:pt idx="26">
                  <c:v>0.24470233333333299</c:v>
                </c:pt>
                <c:pt idx="27">
                  <c:v>7.5935000000000002E-2</c:v>
                </c:pt>
                <c:pt idx="28">
                  <c:v>0.13138866666666699</c:v>
                </c:pt>
                <c:pt idx="29">
                  <c:v>0.14893666666666699</c:v>
                </c:pt>
                <c:pt idx="30">
                  <c:v>0.12334906666666701</c:v>
                </c:pt>
                <c:pt idx="31">
                  <c:v>0.17862666666666699</c:v>
                </c:pt>
                <c:pt idx="32">
                  <c:v>0.220038333333333</c:v>
                </c:pt>
                <c:pt idx="33">
                  <c:v>0.11548</c:v>
                </c:pt>
                <c:pt idx="34">
                  <c:v>0.48943799999999998</c:v>
                </c:pt>
                <c:pt idx="35">
                  <c:v>0.31154700000000002</c:v>
                </c:pt>
                <c:pt idx="36">
                  <c:v>8.5589999999999999E-2</c:v>
                </c:pt>
                <c:pt idx="37">
                  <c:v>0.18828300000000001</c:v>
                </c:pt>
                <c:pt idx="38">
                  <c:v>0.19590299999999999</c:v>
                </c:pt>
                <c:pt idx="39">
                  <c:v>8.2141333333333302E-2</c:v>
                </c:pt>
                <c:pt idx="40">
                  <c:v>0.28702699999999998</c:v>
                </c:pt>
                <c:pt idx="41">
                  <c:v>0.43109266666666701</c:v>
                </c:pt>
                <c:pt idx="42">
                  <c:v>0.112021333333333</c:v>
                </c:pt>
                <c:pt idx="43">
                  <c:v>0.15936866666666699</c:v>
                </c:pt>
                <c:pt idx="44">
                  <c:v>0.17360066666666699</c:v>
                </c:pt>
                <c:pt idx="45">
                  <c:v>7.1548E-2</c:v>
                </c:pt>
                <c:pt idx="46">
                  <c:v>0.24205399999999999</c:v>
                </c:pt>
                <c:pt idx="47">
                  <c:v>8.2141333333333302E-2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D9C-4FEC-802D-770E276DA49E}"/>
            </c:ext>
          </c:extLst>
        </c:ser>
        <c:ser>
          <c:idx val="10"/>
          <c:order val="10"/>
          <c:tx>
            <c:v>BES_TR4_one345_A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Demand_kW!$M$2:$M$49</c:f>
              <c:numCache>
                <c:formatCode>#,##0.000</c:formatCode>
                <c:ptCount val="48"/>
                <c:pt idx="0">
                  <c:v>0.31165066666666702</c:v>
                </c:pt>
                <c:pt idx="1">
                  <c:v>0.252589333333333</c:v>
                </c:pt>
                <c:pt idx="2">
                  <c:v>5.5E-2</c:v>
                </c:pt>
                <c:pt idx="3">
                  <c:v>5.5E-2</c:v>
                </c:pt>
                <c:pt idx="4">
                  <c:v>0.225645333333333</c:v>
                </c:pt>
                <c:pt idx="5">
                  <c:v>8.1944000000000003E-2</c:v>
                </c:pt>
                <c:pt idx="6">
                  <c:v>9.0925333333333302E-2</c:v>
                </c:pt>
                <c:pt idx="7">
                  <c:v>0.216664</c:v>
                </c:pt>
                <c:pt idx="8">
                  <c:v>5.5E-2</c:v>
                </c:pt>
                <c:pt idx="9">
                  <c:v>0.28210133333333298</c:v>
                </c:pt>
                <c:pt idx="10">
                  <c:v>0.108888</c:v>
                </c:pt>
                <c:pt idx="11">
                  <c:v>5.5E-2</c:v>
                </c:pt>
                <c:pt idx="12">
                  <c:v>0.252589333333333</c:v>
                </c:pt>
                <c:pt idx="13">
                  <c:v>5.5E-2</c:v>
                </c:pt>
                <c:pt idx="14">
                  <c:v>0.1069991</c:v>
                </c:pt>
                <c:pt idx="15">
                  <c:v>0.222274</c:v>
                </c:pt>
                <c:pt idx="16">
                  <c:v>0.60012433333333304</c:v>
                </c:pt>
                <c:pt idx="17">
                  <c:v>0.28227000000000002</c:v>
                </c:pt>
                <c:pt idx="18">
                  <c:v>0.27960099999999999</c:v>
                </c:pt>
                <c:pt idx="19">
                  <c:v>1.44576233333333</c:v>
                </c:pt>
                <c:pt idx="20">
                  <c:v>0.21211133333333301</c:v>
                </c:pt>
                <c:pt idx="21">
                  <c:v>0.485642666666667</c:v>
                </c:pt>
                <c:pt idx="22">
                  <c:v>0.36965300000000001</c:v>
                </c:pt>
                <c:pt idx="23">
                  <c:v>0.55846133333333303</c:v>
                </c:pt>
                <c:pt idx="24">
                  <c:v>0.25089166666666701</c:v>
                </c:pt>
                <c:pt idx="25">
                  <c:v>0.35403533333333298</c:v>
                </c:pt>
                <c:pt idx="26">
                  <c:v>0.99017966666666701</c:v>
                </c:pt>
                <c:pt idx="27">
                  <c:v>1.3454333333333299</c:v>
                </c:pt>
                <c:pt idx="28">
                  <c:v>1.4232453333333299</c:v>
                </c:pt>
                <c:pt idx="29">
                  <c:v>0.13918033333333299</c:v>
                </c:pt>
                <c:pt idx="30">
                  <c:v>0.25502066666666701</c:v>
                </c:pt>
                <c:pt idx="31">
                  <c:v>0.108888</c:v>
                </c:pt>
                <c:pt idx="32">
                  <c:v>9.9906666666666699E-2</c:v>
                </c:pt>
                <c:pt idx="33">
                  <c:v>0.20768266666666699</c:v>
                </c:pt>
                <c:pt idx="34">
                  <c:v>5.5E-2</c:v>
                </c:pt>
                <c:pt idx="35">
                  <c:v>0.38117200000000001</c:v>
                </c:pt>
                <c:pt idx="36">
                  <c:v>1.0898096666666699</c:v>
                </c:pt>
                <c:pt idx="37">
                  <c:v>8.2543333333333302E-2</c:v>
                </c:pt>
                <c:pt idx="38">
                  <c:v>0.15392400000000001</c:v>
                </c:pt>
                <c:pt idx="39">
                  <c:v>0.44627066666666698</c:v>
                </c:pt>
                <c:pt idx="40">
                  <c:v>0.71938733333333305</c:v>
                </c:pt>
                <c:pt idx="41">
                  <c:v>0.78741766666666702</c:v>
                </c:pt>
                <c:pt idx="42">
                  <c:v>0.78943600000000003</c:v>
                </c:pt>
                <c:pt idx="43">
                  <c:v>0.87390733333333404</c:v>
                </c:pt>
                <c:pt idx="44">
                  <c:v>0.56799633333333299</c:v>
                </c:pt>
                <c:pt idx="45">
                  <c:v>0.94169266666666696</c:v>
                </c:pt>
                <c:pt idx="46">
                  <c:v>0.607107333333333</c:v>
                </c:pt>
                <c:pt idx="47">
                  <c:v>0.11786933333333301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9C-4FEC-802D-770E276DA49E}"/>
            </c:ext>
          </c:extLst>
        </c:ser>
        <c:ser>
          <c:idx val="11"/>
          <c:order val="11"/>
          <c:tx>
            <c:v>BES_TR4_one366_B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Demand_kW!$N$2:$N$49</c:f>
              <c:numCache>
                <c:formatCode>#,##0.000</c:formatCode>
                <c:ptCount val="48"/>
                <c:pt idx="0">
                  <c:v>0.210313</c:v>
                </c:pt>
                <c:pt idx="1">
                  <c:v>0.17742333333333299</c:v>
                </c:pt>
                <c:pt idx="2">
                  <c:v>0.21083433333333301</c:v>
                </c:pt>
                <c:pt idx="3">
                  <c:v>0.126106</c:v>
                </c:pt>
                <c:pt idx="4">
                  <c:v>0.29246800000000001</c:v>
                </c:pt>
                <c:pt idx="5">
                  <c:v>0.116374666666667</c:v>
                </c:pt>
                <c:pt idx="6">
                  <c:v>6.8468000000000001E-2</c:v>
                </c:pt>
                <c:pt idx="7">
                  <c:v>0.36527700000000002</c:v>
                </c:pt>
                <c:pt idx="8">
                  <c:v>6.00336666666667E-2</c:v>
                </c:pt>
                <c:pt idx="9">
                  <c:v>0.186733333333333</c:v>
                </c:pt>
                <c:pt idx="10">
                  <c:v>0.20564133333333301</c:v>
                </c:pt>
                <c:pt idx="11">
                  <c:v>0.11861933333333299</c:v>
                </c:pt>
                <c:pt idx="12">
                  <c:v>0.257487666666667</c:v>
                </c:pt>
                <c:pt idx="13">
                  <c:v>0.109437666666667</c:v>
                </c:pt>
                <c:pt idx="14">
                  <c:v>0.110385333333333</c:v>
                </c:pt>
                <c:pt idx="15">
                  <c:v>0.19321833333333299</c:v>
                </c:pt>
                <c:pt idx="16">
                  <c:v>0.124303</c:v>
                </c:pt>
                <c:pt idx="17">
                  <c:v>0.186733333333333</c:v>
                </c:pt>
                <c:pt idx="18">
                  <c:v>0.14217333333333301</c:v>
                </c:pt>
                <c:pt idx="19">
                  <c:v>0.28313733333333302</c:v>
                </c:pt>
                <c:pt idx="20">
                  <c:v>0.126106</c:v>
                </c:pt>
                <c:pt idx="21">
                  <c:v>0.12996866666666701</c:v>
                </c:pt>
                <c:pt idx="22">
                  <c:v>0.29534199999999999</c:v>
                </c:pt>
                <c:pt idx="23">
                  <c:v>7.0838666666666703E-2</c:v>
                </c:pt>
                <c:pt idx="24">
                  <c:v>0.22210933333333299</c:v>
                </c:pt>
                <c:pt idx="25">
                  <c:v>0.20320133333333301</c:v>
                </c:pt>
                <c:pt idx="26">
                  <c:v>2.0869633333333302</c:v>
                </c:pt>
                <c:pt idx="27">
                  <c:v>0.47363033333333299</c:v>
                </c:pt>
                <c:pt idx="28">
                  <c:v>0.13714066666666699</c:v>
                </c:pt>
                <c:pt idx="29">
                  <c:v>0.195005966666667</c:v>
                </c:pt>
                <c:pt idx="30">
                  <c:v>0.15907333333333301</c:v>
                </c:pt>
                <c:pt idx="31">
                  <c:v>0.40445266666666702</c:v>
                </c:pt>
                <c:pt idx="32">
                  <c:v>0.591451333333333</c:v>
                </c:pt>
                <c:pt idx="33">
                  <c:v>0.20596266666666599</c:v>
                </c:pt>
                <c:pt idx="34">
                  <c:v>0.46605353333333299</c:v>
                </c:pt>
                <c:pt idx="35">
                  <c:v>0.19151499999999999</c:v>
                </c:pt>
                <c:pt idx="36">
                  <c:v>0.173907333333333</c:v>
                </c:pt>
                <c:pt idx="37">
                  <c:v>0.234935333333333</c:v>
                </c:pt>
                <c:pt idx="38">
                  <c:v>0.126106</c:v>
                </c:pt>
                <c:pt idx="39">
                  <c:v>0.16487199999999999</c:v>
                </c:pt>
                <c:pt idx="40">
                  <c:v>0.220018666666667</c:v>
                </c:pt>
                <c:pt idx="41">
                  <c:v>9.2420000000000002E-2</c:v>
                </c:pt>
                <c:pt idx="42">
                  <c:v>0.23183799999999999</c:v>
                </c:pt>
                <c:pt idx="43">
                  <c:v>0.19347266666666699</c:v>
                </c:pt>
                <c:pt idx="44">
                  <c:v>7.6101000000000002E-2</c:v>
                </c:pt>
                <c:pt idx="45">
                  <c:v>0.28184300000000001</c:v>
                </c:pt>
                <c:pt idx="46">
                  <c:v>0.14155343333333301</c:v>
                </c:pt>
                <c:pt idx="47">
                  <c:v>0.24411666666666701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D9C-4FEC-802D-770E276DA49E}"/>
            </c:ext>
          </c:extLst>
        </c:ser>
        <c:ser>
          <c:idx val="12"/>
          <c:order val="12"/>
          <c:tx>
            <c:v>BES_TR4_one410_B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Demand_kW!$O$2:$O$49</c:f>
              <c:numCache>
                <c:formatCode>#,##0.000</c:formatCode>
                <c:ptCount val="48"/>
                <c:pt idx="0">
                  <c:v>0.31638166666666701</c:v>
                </c:pt>
                <c:pt idx="1">
                  <c:v>0.1479</c:v>
                </c:pt>
                <c:pt idx="2">
                  <c:v>4.5999999999999999E-2</c:v>
                </c:pt>
                <c:pt idx="3">
                  <c:v>0.12751999999999999</c:v>
                </c:pt>
                <c:pt idx="4">
                  <c:v>0.23231099999999999</c:v>
                </c:pt>
                <c:pt idx="5">
                  <c:v>4.5999999999999999E-2</c:v>
                </c:pt>
                <c:pt idx="6">
                  <c:v>0.12896566666666701</c:v>
                </c:pt>
                <c:pt idx="7">
                  <c:v>0.23086266666666699</c:v>
                </c:pt>
                <c:pt idx="8">
                  <c:v>4.5999999999999999E-2</c:v>
                </c:pt>
                <c:pt idx="9">
                  <c:v>0.198608333333333</c:v>
                </c:pt>
                <c:pt idx="10">
                  <c:v>0.1630974</c:v>
                </c:pt>
                <c:pt idx="11">
                  <c:v>0.13710900000000001</c:v>
                </c:pt>
                <c:pt idx="12">
                  <c:v>0.16667733333333301</c:v>
                </c:pt>
                <c:pt idx="13">
                  <c:v>4.5999999999999999E-2</c:v>
                </c:pt>
                <c:pt idx="14">
                  <c:v>0.1479</c:v>
                </c:pt>
                <c:pt idx="15">
                  <c:v>0.12896566666666701</c:v>
                </c:pt>
                <c:pt idx="16">
                  <c:v>0.22067566666666699</c:v>
                </c:pt>
                <c:pt idx="17">
                  <c:v>6.3905233333333394E-2</c:v>
                </c:pt>
                <c:pt idx="18">
                  <c:v>0.16795979999999999</c:v>
                </c:pt>
                <c:pt idx="19">
                  <c:v>0.59502359999999999</c:v>
                </c:pt>
                <c:pt idx="20">
                  <c:v>0.61249266666666702</c:v>
                </c:pt>
                <c:pt idx="21">
                  <c:v>0.444079</c:v>
                </c:pt>
                <c:pt idx="22">
                  <c:v>0.45765266666666699</c:v>
                </c:pt>
                <c:pt idx="23">
                  <c:v>0.66383366666666699</c:v>
                </c:pt>
                <c:pt idx="24">
                  <c:v>0.1693414</c:v>
                </c:pt>
                <c:pt idx="25">
                  <c:v>0.223585166666667</c:v>
                </c:pt>
                <c:pt idx="26">
                  <c:v>0.13899056666666701</c:v>
                </c:pt>
                <c:pt idx="27">
                  <c:v>0.22264546666666701</c:v>
                </c:pt>
                <c:pt idx="28">
                  <c:v>0.17313526666666701</c:v>
                </c:pt>
                <c:pt idx="29">
                  <c:v>7.1156733333333402E-2</c:v>
                </c:pt>
                <c:pt idx="30">
                  <c:v>0.413567666666666</c:v>
                </c:pt>
                <c:pt idx="31">
                  <c:v>0.191843666666667</c:v>
                </c:pt>
                <c:pt idx="32">
                  <c:v>0.34578083333333398</c:v>
                </c:pt>
                <c:pt idx="33">
                  <c:v>0.472735666666667</c:v>
                </c:pt>
                <c:pt idx="34">
                  <c:v>0.151247666666667</c:v>
                </c:pt>
                <c:pt idx="35">
                  <c:v>0.29597800000000002</c:v>
                </c:pt>
                <c:pt idx="36">
                  <c:v>0.22289600000000001</c:v>
                </c:pt>
                <c:pt idx="37">
                  <c:v>0.16986999999999999</c:v>
                </c:pt>
                <c:pt idx="38">
                  <c:v>0.56078066666666704</c:v>
                </c:pt>
                <c:pt idx="39">
                  <c:v>0.30709166666666698</c:v>
                </c:pt>
                <c:pt idx="40">
                  <c:v>0.39577000000000001</c:v>
                </c:pt>
                <c:pt idx="41">
                  <c:v>0.45613399999999998</c:v>
                </c:pt>
                <c:pt idx="42">
                  <c:v>0.43612533333333298</c:v>
                </c:pt>
                <c:pt idx="43">
                  <c:v>0.36116633333333398</c:v>
                </c:pt>
                <c:pt idx="44">
                  <c:v>0.60152300000000003</c:v>
                </c:pt>
                <c:pt idx="45">
                  <c:v>0.403434666666667</c:v>
                </c:pt>
                <c:pt idx="46">
                  <c:v>0.220399333333333</c:v>
                </c:pt>
                <c:pt idx="47">
                  <c:v>0.46016000000000001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9C-4FEC-802D-770E276DA49E}"/>
            </c:ext>
          </c:extLst>
        </c:ser>
        <c:ser>
          <c:idx val="13"/>
          <c:order val="13"/>
          <c:tx>
            <c:v>BES_TR4_one50_A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Demand_kW!$P$2:$P$49</c:f>
              <c:numCache>
                <c:formatCode>#,##0.000</c:formatCode>
                <c:ptCount val="48"/>
                <c:pt idx="0">
                  <c:v>6.0504000000000002E-2</c:v>
                </c:pt>
                <c:pt idx="1">
                  <c:v>0.18483466666666701</c:v>
                </c:pt>
                <c:pt idx="2">
                  <c:v>0.13482133333333299</c:v>
                </c:pt>
                <c:pt idx="3">
                  <c:v>0.16148000000000001</c:v>
                </c:pt>
                <c:pt idx="4">
                  <c:v>0.14909600000000001</c:v>
                </c:pt>
                <c:pt idx="5">
                  <c:v>0.22671733333333299</c:v>
                </c:pt>
                <c:pt idx="6">
                  <c:v>6.9338666666666701E-2</c:v>
                </c:pt>
                <c:pt idx="7">
                  <c:v>0.208648</c:v>
                </c:pt>
                <c:pt idx="8">
                  <c:v>4.2834666666666701E-2</c:v>
                </c:pt>
                <c:pt idx="9">
                  <c:v>0.104677333333333</c:v>
                </c:pt>
                <c:pt idx="10">
                  <c:v>0.10736999999999999</c:v>
                </c:pt>
                <c:pt idx="11">
                  <c:v>0.42596153333333298</c:v>
                </c:pt>
                <c:pt idx="12">
                  <c:v>7.0423466666666698E-2</c:v>
                </c:pt>
                <c:pt idx="13">
                  <c:v>0.19555413333333299</c:v>
                </c:pt>
                <c:pt idx="14">
                  <c:v>1.03883413333333</c:v>
                </c:pt>
                <c:pt idx="15">
                  <c:v>1.6862511333333301</c:v>
                </c:pt>
                <c:pt idx="16">
                  <c:v>1.4319966666666699</c:v>
                </c:pt>
                <c:pt idx="17">
                  <c:v>0.16447466666666699</c:v>
                </c:pt>
                <c:pt idx="18">
                  <c:v>0.23444733333333301</c:v>
                </c:pt>
                <c:pt idx="19">
                  <c:v>3.8891333333333403E-2</c:v>
                </c:pt>
                <c:pt idx="20">
                  <c:v>0.26294133333333303</c:v>
                </c:pt>
                <c:pt idx="21">
                  <c:v>0.112872</c:v>
                </c:pt>
                <c:pt idx="22">
                  <c:v>3.4000000000000002E-2</c:v>
                </c:pt>
                <c:pt idx="23">
                  <c:v>0.16447466666666699</c:v>
                </c:pt>
                <c:pt idx="24">
                  <c:v>0.19808666666666699</c:v>
                </c:pt>
                <c:pt idx="25">
                  <c:v>0.13833833333333301</c:v>
                </c:pt>
                <c:pt idx="26">
                  <c:v>0.183531366666667</c:v>
                </c:pt>
                <c:pt idx="27">
                  <c:v>0.234583766666667</c:v>
                </c:pt>
                <c:pt idx="28">
                  <c:v>0.16552829999999999</c:v>
                </c:pt>
                <c:pt idx="29">
                  <c:v>0.19417266666666699</c:v>
                </c:pt>
                <c:pt idx="30">
                  <c:v>0.18702333333333299</c:v>
                </c:pt>
                <c:pt idx="31">
                  <c:v>0.15261333333333299</c:v>
                </c:pt>
                <c:pt idx="32">
                  <c:v>0.22950000000000001</c:v>
                </c:pt>
                <c:pt idx="33">
                  <c:v>6.1126E-2</c:v>
                </c:pt>
                <c:pt idx="34">
                  <c:v>0.35271566666666698</c:v>
                </c:pt>
                <c:pt idx="35">
                  <c:v>0.130033333333333</c:v>
                </c:pt>
                <c:pt idx="36">
                  <c:v>0.14542666666666701</c:v>
                </c:pt>
                <c:pt idx="37">
                  <c:v>0.18312999999999999</c:v>
                </c:pt>
                <c:pt idx="38">
                  <c:v>0.177099333333333</c:v>
                </c:pt>
                <c:pt idx="39">
                  <c:v>0.14668266666666699</c:v>
                </c:pt>
                <c:pt idx="40">
                  <c:v>0.14961866666666701</c:v>
                </c:pt>
                <c:pt idx="41">
                  <c:v>0.101896</c:v>
                </c:pt>
                <c:pt idx="42">
                  <c:v>0.22989533333333301</c:v>
                </c:pt>
                <c:pt idx="43">
                  <c:v>7.8021999999999994E-2</c:v>
                </c:pt>
                <c:pt idx="44">
                  <c:v>0.29229666666666698</c:v>
                </c:pt>
                <c:pt idx="45">
                  <c:v>0.49507566666666603</c:v>
                </c:pt>
                <c:pt idx="46">
                  <c:v>9.1425333333333206E-2</c:v>
                </c:pt>
                <c:pt idx="47">
                  <c:v>5.1791999999999998E-2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D9C-4FEC-802D-770E276DA49E}"/>
            </c:ext>
          </c:extLst>
        </c:ser>
        <c:ser>
          <c:idx val="14"/>
          <c:order val="14"/>
          <c:tx>
            <c:v>BES_TR4_one416_C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Demand_kW!$Q$2:$Q$49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5.1999999999999998E-2</c:v>
                </c:pt>
                <c:pt idx="13">
                  <c:v>5.1999999999999998E-2</c:v>
                </c:pt>
                <c:pt idx="14">
                  <c:v>0.10763</c:v>
                </c:pt>
                <c:pt idx="15">
                  <c:v>5.1999999999999998E-2</c:v>
                </c:pt>
                <c:pt idx="16">
                  <c:v>5.1999999999999998E-2</c:v>
                </c:pt>
                <c:pt idx="17">
                  <c:v>0.165284666666667</c:v>
                </c:pt>
                <c:pt idx="18">
                  <c:v>0.131075</c:v>
                </c:pt>
                <c:pt idx="19">
                  <c:v>9.6042000000000002E-2</c:v>
                </c:pt>
                <c:pt idx="20">
                  <c:v>5.1999999999999998E-2</c:v>
                </c:pt>
                <c:pt idx="21">
                  <c:v>5.1999999999999998E-2</c:v>
                </c:pt>
                <c:pt idx="22">
                  <c:v>5.1999999999999998E-2</c:v>
                </c:pt>
                <c:pt idx="23">
                  <c:v>6.4000000000000001E-2</c:v>
                </c:pt>
                <c:pt idx="24">
                  <c:v>0.13974</c:v>
                </c:pt>
                <c:pt idx="25">
                  <c:v>0.159203333333333</c:v>
                </c:pt>
                <c:pt idx="26">
                  <c:v>5.3999999999999999E-2</c:v>
                </c:pt>
                <c:pt idx="27">
                  <c:v>0.44352000000000003</c:v>
                </c:pt>
                <c:pt idx="28">
                  <c:v>5.4666666666666697E-2</c:v>
                </c:pt>
                <c:pt idx="29">
                  <c:v>6.2E-2</c:v>
                </c:pt>
                <c:pt idx="30">
                  <c:v>9.9017666666666698E-2</c:v>
                </c:pt>
                <c:pt idx="31">
                  <c:v>0.19390399999999999</c:v>
                </c:pt>
                <c:pt idx="32">
                  <c:v>0.2702676</c:v>
                </c:pt>
                <c:pt idx="33">
                  <c:v>0.148398</c:v>
                </c:pt>
                <c:pt idx="34">
                  <c:v>9.1450933333333401E-2</c:v>
                </c:pt>
                <c:pt idx="35">
                  <c:v>0.26876</c:v>
                </c:pt>
                <c:pt idx="36">
                  <c:v>0.123</c:v>
                </c:pt>
                <c:pt idx="37">
                  <c:v>0.11054600000000001</c:v>
                </c:pt>
                <c:pt idx="38">
                  <c:v>0.21939666666666699</c:v>
                </c:pt>
                <c:pt idx="39">
                  <c:v>0.45726933333333297</c:v>
                </c:pt>
                <c:pt idx="40">
                  <c:v>0.60398833333333402</c:v>
                </c:pt>
                <c:pt idx="41">
                  <c:v>0.47506666666666703</c:v>
                </c:pt>
                <c:pt idx="42">
                  <c:v>0.68071000000000104</c:v>
                </c:pt>
                <c:pt idx="43">
                  <c:v>0.82918466666666701</c:v>
                </c:pt>
                <c:pt idx="44">
                  <c:v>0.83588366666666702</c:v>
                </c:pt>
                <c:pt idx="45">
                  <c:v>0.61798566666666699</c:v>
                </c:pt>
                <c:pt idx="46">
                  <c:v>0.463326666666667</c:v>
                </c:pt>
                <c:pt idx="47">
                  <c:v>0.47741699999999998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9C-4FEC-802D-770E276DA49E}"/>
            </c:ext>
          </c:extLst>
        </c:ser>
        <c:ser>
          <c:idx val="15"/>
          <c:order val="15"/>
          <c:tx>
            <c:v>BES_TR4_one423_B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Demand_kW!$R$2:$R$49</c:f>
              <c:numCache>
                <c:formatCode>#,##0.000</c:formatCode>
                <c:ptCount val="48"/>
                <c:pt idx="0">
                  <c:v>0.206411333333333</c:v>
                </c:pt>
                <c:pt idx="1">
                  <c:v>0.12445000000000001</c:v>
                </c:pt>
                <c:pt idx="2">
                  <c:v>0.15823499999999999</c:v>
                </c:pt>
                <c:pt idx="3">
                  <c:v>0.14175966666666701</c:v>
                </c:pt>
                <c:pt idx="4">
                  <c:v>0.134043</c:v>
                </c:pt>
                <c:pt idx="5">
                  <c:v>0.17366833333333301</c:v>
                </c:pt>
                <c:pt idx="6">
                  <c:v>0.109016666666667</c:v>
                </c:pt>
                <c:pt idx="7">
                  <c:v>0.24113499999999999</c:v>
                </c:pt>
                <c:pt idx="8">
                  <c:v>8.9724999999999999E-2</c:v>
                </c:pt>
                <c:pt idx="9">
                  <c:v>0.100465333333333</c:v>
                </c:pt>
                <c:pt idx="10">
                  <c:v>0.23039299999999999</c:v>
                </c:pt>
                <c:pt idx="11">
                  <c:v>5.5E-2</c:v>
                </c:pt>
                <c:pt idx="12">
                  <c:v>5.5E-2</c:v>
                </c:pt>
                <c:pt idx="13">
                  <c:v>5.5E-2</c:v>
                </c:pt>
                <c:pt idx="14">
                  <c:v>0.27585700000000002</c:v>
                </c:pt>
                <c:pt idx="15">
                  <c:v>5.5E-2</c:v>
                </c:pt>
                <c:pt idx="16">
                  <c:v>0.15802533333333299</c:v>
                </c:pt>
                <c:pt idx="17">
                  <c:v>0.17283333333333301</c:v>
                </c:pt>
                <c:pt idx="18">
                  <c:v>0.12445000000000001</c:v>
                </c:pt>
                <c:pt idx="19">
                  <c:v>7.5647000000000006E-2</c:v>
                </c:pt>
                <c:pt idx="20">
                  <c:v>0.23977999999999999</c:v>
                </c:pt>
                <c:pt idx="21">
                  <c:v>7.0433333333333306E-2</c:v>
                </c:pt>
                <c:pt idx="22">
                  <c:v>0.24060999999999999</c:v>
                </c:pt>
                <c:pt idx="23">
                  <c:v>9.02453333333334E-2</c:v>
                </c:pt>
                <c:pt idx="24">
                  <c:v>0.109016666666667</c:v>
                </c:pt>
                <c:pt idx="25">
                  <c:v>0.17366833333333301</c:v>
                </c:pt>
                <c:pt idx="26">
                  <c:v>0.103176333333333</c:v>
                </c:pt>
                <c:pt idx="27">
                  <c:v>0.12445000000000001</c:v>
                </c:pt>
                <c:pt idx="28">
                  <c:v>0.206411333333333</c:v>
                </c:pt>
                <c:pt idx="29">
                  <c:v>5.5E-2</c:v>
                </c:pt>
                <c:pt idx="30">
                  <c:v>0.12445000000000001</c:v>
                </c:pt>
                <c:pt idx="31">
                  <c:v>0.206411333333333</c:v>
                </c:pt>
                <c:pt idx="32">
                  <c:v>5.5E-2</c:v>
                </c:pt>
                <c:pt idx="33">
                  <c:v>0.207035</c:v>
                </c:pt>
                <c:pt idx="34">
                  <c:v>0.12382333333333299</c:v>
                </c:pt>
                <c:pt idx="35">
                  <c:v>5.5E-2</c:v>
                </c:pt>
                <c:pt idx="36">
                  <c:v>5.8858333333333297E-2</c:v>
                </c:pt>
                <c:pt idx="37">
                  <c:v>0.17565033333333299</c:v>
                </c:pt>
                <c:pt idx="38">
                  <c:v>0.69014866666666697</c:v>
                </c:pt>
                <c:pt idx="39">
                  <c:v>0.44090800000000002</c:v>
                </c:pt>
                <c:pt idx="40">
                  <c:v>0.903019666666667</c:v>
                </c:pt>
                <c:pt idx="41">
                  <c:v>0.39017499999999999</c:v>
                </c:pt>
                <c:pt idx="42">
                  <c:v>0.53105100000000005</c:v>
                </c:pt>
                <c:pt idx="43">
                  <c:v>0.59671066666666694</c:v>
                </c:pt>
                <c:pt idx="44">
                  <c:v>0.42646066666666699</c:v>
                </c:pt>
                <c:pt idx="45">
                  <c:v>1.0989516666666701</c:v>
                </c:pt>
                <c:pt idx="46">
                  <c:v>0.471816333333333</c:v>
                </c:pt>
                <c:pt idx="47">
                  <c:v>0.78360033333333301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D9C-4FEC-802D-770E276DA49E}"/>
            </c:ext>
          </c:extLst>
        </c:ser>
        <c:ser>
          <c:idx val="16"/>
          <c:order val="16"/>
          <c:tx>
            <c:v>BES_TR4_one446_B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Demand_kW!$S$2:$S$49</c:f>
              <c:numCache>
                <c:formatCode>#,##0.000</c:formatCode>
                <c:ptCount val="48"/>
                <c:pt idx="0">
                  <c:v>0.25216933333333402</c:v>
                </c:pt>
                <c:pt idx="1">
                  <c:v>5.7000000000000002E-2</c:v>
                </c:pt>
                <c:pt idx="2">
                  <c:v>0.225555333333333</c:v>
                </c:pt>
                <c:pt idx="3">
                  <c:v>8.3613999999999897E-2</c:v>
                </c:pt>
                <c:pt idx="4">
                  <c:v>0.12797066666666701</c:v>
                </c:pt>
                <c:pt idx="5">
                  <c:v>0.18119866666666701</c:v>
                </c:pt>
                <c:pt idx="6">
                  <c:v>7.4742666666666693E-2</c:v>
                </c:pt>
                <c:pt idx="7">
                  <c:v>0.23442666666666701</c:v>
                </c:pt>
                <c:pt idx="8">
                  <c:v>5.7000000000000002E-2</c:v>
                </c:pt>
                <c:pt idx="9">
                  <c:v>0.25216933333333402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0.19006999999999999</c:v>
                </c:pt>
                <c:pt idx="13">
                  <c:v>1.2203786666666701</c:v>
                </c:pt>
                <c:pt idx="14">
                  <c:v>0.23006399999999999</c:v>
                </c:pt>
                <c:pt idx="15">
                  <c:v>0.18119866666666701</c:v>
                </c:pt>
                <c:pt idx="16">
                  <c:v>0.108046666666667</c:v>
                </c:pt>
                <c:pt idx="17">
                  <c:v>0.51787133333333402</c:v>
                </c:pt>
                <c:pt idx="18">
                  <c:v>0.17541799999999999</c:v>
                </c:pt>
                <c:pt idx="19">
                  <c:v>0.158896333333333</c:v>
                </c:pt>
                <c:pt idx="20">
                  <c:v>6.9934999999999997E-2</c:v>
                </c:pt>
                <c:pt idx="21">
                  <c:v>1.04745966666667</c:v>
                </c:pt>
                <c:pt idx="22">
                  <c:v>0.82880799999999999</c:v>
                </c:pt>
                <c:pt idx="23">
                  <c:v>1.931508</c:v>
                </c:pt>
                <c:pt idx="24">
                  <c:v>0.42250466666666697</c:v>
                </c:pt>
                <c:pt idx="25">
                  <c:v>0.51418699999999995</c:v>
                </c:pt>
                <c:pt idx="26">
                  <c:v>0.13773333333333301</c:v>
                </c:pt>
                <c:pt idx="27">
                  <c:v>0.16345599999999999</c:v>
                </c:pt>
                <c:pt idx="28">
                  <c:v>0.145713333333333</c:v>
                </c:pt>
                <c:pt idx="29">
                  <c:v>5.7000000000000002E-2</c:v>
                </c:pt>
                <c:pt idx="30">
                  <c:v>0.225555333333333</c:v>
                </c:pt>
                <c:pt idx="31">
                  <c:v>8.3613999999999897E-2</c:v>
                </c:pt>
                <c:pt idx="32">
                  <c:v>5.7000000000000002E-2</c:v>
                </c:pt>
                <c:pt idx="33">
                  <c:v>0.20781266666666701</c:v>
                </c:pt>
                <c:pt idx="34">
                  <c:v>0.22639566666666699</c:v>
                </c:pt>
                <c:pt idx="35">
                  <c:v>0.19423000000000001</c:v>
                </c:pt>
                <c:pt idx="36">
                  <c:v>0.416298</c:v>
                </c:pt>
                <c:pt idx="37">
                  <c:v>0.64150033333333401</c:v>
                </c:pt>
                <c:pt idx="38">
                  <c:v>0.33533366666666697</c:v>
                </c:pt>
                <c:pt idx="39">
                  <c:v>0.38322466666666699</c:v>
                </c:pt>
                <c:pt idx="40">
                  <c:v>0.37972466666666699</c:v>
                </c:pt>
                <c:pt idx="41">
                  <c:v>0.69074500000000005</c:v>
                </c:pt>
                <c:pt idx="42">
                  <c:v>0.41038566666666698</c:v>
                </c:pt>
                <c:pt idx="43">
                  <c:v>0.99199733333333395</c:v>
                </c:pt>
                <c:pt idx="44">
                  <c:v>0.551091</c:v>
                </c:pt>
                <c:pt idx="45">
                  <c:v>0.81803433333333397</c:v>
                </c:pt>
                <c:pt idx="46">
                  <c:v>0.66388199999999997</c:v>
                </c:pt>
                <c:pt idx="47">
                  <c:v>0.305825333333333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D9C-4FEC-802D-770E276DA49E}"/>
            </c:ext>
          </c:extLst>
        </c:ser>
        <c:ser>
          <c:idx val="17"/>
          <c:order val="17"/>
          <c:tx>
            <c:v>BES_TR4_one480_A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Demand_kW!$T$2:$T$49</c:f>
              <c:numCache>
                <c:formatCode>#,##0.000</c:formatCode>
                <c:ptCount val="48"/>
                <c:pt idx="0">
                  <c:v>0.104638333333333</c:v>
                </c:pt>
                <c:pt idx="1">
                  <c:v>0.28571766666666598</c:v>
                </c:pt>
                <c:pt idx="2">
                  <c:v>0.04</c:v>
                </c:pt>
                <c:pt idx="3">
                  <c:v>0.27328533333333299</c:v>
                </c:pt>
                <c:pt idx="4">
                  <c:v>0.11706999999999999</c:v>
                </c:pt>
                <c:pt idx="5">
                  <c:v>7.1681666666666699E-2</c:v>
                </c:pt>
                <c:pt idx="6">
                  <c:v>0.212115</c:v>
                </c:pt>
                <c:pt idx="7">
                  <c:v>0.04</c:v>
                </c:pt>
                <c:pt idx="8">
                  <c:v>0.132292666666667</c:v>
                </c:pt>
                <c:pt idx="9">
                  <c:v>0.15668133333333301</c:v>
                </c:pt>
                <c:pt idx="10">
                  <c:v>0.15850800000000001</c:v>
                </c:pt>
                <c:pt idx="11">
                  <c:v>0.11895233333333299</c:v>
                </c:pt>
                <c:pt idx="12">
                  <c:v>0.25427633333333299</c:v>
                </c:pt>
                <c:pt idx="13">
                  <c:v>0.04</c:v>
                </c:pt>
                <c:pt idx="14">
                  <c:v>0.121311</c:v>
                </c:pt>
                <c:pt idx="15">
                  <c:v>0.277154333333333</c:v>
                </c:pt>
                <c:pt idx="16">
                  <c:v>4.6336333333333299E-2</c:v>
                </c:pt>
                <c:pt idx="17">
                  <c:v>0.25592700000000002</c:v>
                </c:pt>
                <c:pt idx="18">
                  <c:v>0.13944599999999999</c:v>
                </c:pt>
                <c:pt idx="19">
                  <c:v>0.15177033333333301</c:v>
                </c:pt>
                <c:pt idx="20">
                  <c:v>0.29179523333333302</c:v>
                </c:pt>
                <c:pt idx="21">
                  <c:v>0.12440836666666701</c:v>
                </c:pt>
                <c:pt idx="22">
                  <c:v>0.16672666666666699</c:v>
                </c:pt>
                <c:pt idx="23">
                  <c:v>0.146558666666667</c:v>
                </c:pt>
                <c:pt idx="24">
                  <c:v>0.167760666666667</c:v>
                </c:pt>
                <c:pt idx="25">
                  <c:v>0.16170399999999999</c:v>
                </c:pt>
                <c:pt idx="26">
                  <c:v>0.100890666666667</c:v>
                </c:pt>
                <c:pt idx="27">
                  <c:v>0.26179666666666701</c:v>
                </c:pt>
                <c:pt idx="28">
                  <c:v>1.054778</c:v>
                </c:pt>
                <c:pt idx="29">
                  <c:v>0.142281666666667</c:v>
                </c:pt>
                <c:pt idx="30">
                  <c:v>6.4397566666666697E-2</c:v>
                </c:pt>
                <c:pt idx="31">
                  <c:v>0.30457573333333299</c:v>
                </c:pt>
                <c:pt idx="32">
                  <c:v>0.116153333333333</c:v>
                </c:pt>
                <c:pt idx="33">
                  <c:v>0.16734133333333301</c:v>
                </c:pt>
                <c:pt idx="34">
                  <c:v>0.47544633333333303</c:v>
                </c:pt>
                <c:pt idx="35">
                  <c:v>0.32411333333333298</c:v>
                </c:pt>
                <c:pt idx="36">
                  <c:v>0.30215813333333302</c:v>
                </c:pt>
                <c:pt idx="37">
                  <c:v>0.5074824</c:v>
                </c:pt>
                <c:pt idx="38">
                  <c:v>0.54356753333333296</c:v>
                </c:pt>
                <c:pt idx="39">
                  <c:v>0.45418966666666699</c:v>
                </c:pt>
                <c:pt idx="40">
                  <c:v>0.39105800000000002</c:v>
                </c:pt>
                <c:pt idx="41">
                  <c:v>0.39095200000000002</c:v>
                </c:pt>
                <c:pt idx="42">
                  <c:v>0.49929066666666699</c:v>
                </c:pt>
                <c:pt idx="43">
                  <c:v>0.327656</c:v>
                </c:pt>
                <c:pt idx="44">
                  <c:v>0.23243800000000001</c:v>
                </c:pt>
                <c:pt idx="45">
                  <c:v>9.7027000000000002E-2</c:v>
                </c:pt>
                <c:pt idx="46">
                  <c:v>0.223633</c:v>
                </c:pt>
                <c:pt idx="47">
                  <c:v>0.160390333333333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D9C-4FEC-802D-770E276DA49E}"/>
            </c:ext>
          </c:extLst>
        </c:ser>
        <c:ser>
          <c:idx val="18"/>
          <c:order val="18"/>
          <c:tx>
            <c:v>BES_TR4_one61_A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Demand_kW!$U$2:$U$49</c:f>
              <c:numCache>
                <c:formatCode>#,##0.000</c:formatCode>
                <c:ptCount val="48"/>
                <c:pt idx="0">
                  <c:v>0.45208533333333301</c:v>
                </c:pt>
                <c:pt idx="1">
                  <c:v>6.56876666666667E-2</c:v>
                </c:pt>
                <c:pt idx="2">
                  <c:v>0.13487666666666701</c:v>
                </c:pt>
                <c:pt idx="3">
                  <c:v>0.150252</c:v>
                </c:pt>
                <c:pt idx="4">
                  <c:v>8.1062999999999996E-2</c:v>
                </c:pt>
                <c:pt idx="5">
                  <c:v>0.20406566666666701</c:v>
                </c:pt>
                <c:pt idx="6">
                  <c:v>5.8000000000000003E-2</c:v>
                </c:pt>
                <c:pt idx="7">
                  <c:v>0.22712866666666701</c:v>
                </c:pt>
                <c:pt idx="8">
                  <c:v>5.8000000000000003E-2</c:v>
                </c:pt>
                <c:pt idx="9">
                  <c:v>0.21175333333333299</c:v>
                </c:pt>
                <c:pt idx="10">
                  <c:v>7.3375333333333403E-2</c:v>
                </c:pt>
                <c:pt idx="11">
                  <c:v>7.3375333333333403E-2</c:v>
                </c:pt>
                <c:pt idx="12">
                  <c:v>0.21175333333333299</c:v>
                </c:pt>
                <c:pt idx="13">
                  <c:v>9.6443333333333395E-2</c:v>
                </c:pt>
                <c:pt idx="14">
                  <c:v>0.35927366666666699</c:v>
                </c:pt>
                <c:pt idx="15">
                  <c:v>7.3476E-2</c:v>
                </c:pt>
                <c:pt idx="16">
                  <c:v>9.9872000000000002E-2</c:v>
                </c:pt>
                <c:pt idx="17">
                  <c:v>0.236495333333333</c:v>
                </c:pt>
                <c:pt idx="18">
                  <c:v>0.28908200000000001</c:v>
                </c:pt>
                <c:pt idx="19">
                  <c:v>1.3897333333333299</c:v>
                </c:pt>
                <c:pt idx="20">
                  <c:v>0.119501333333333</c:v>
                </c:pt>
                <c:pt idx="21">
                  <c:v>0.16562733333333299</c:v>
                </c:pt>
                <c:pt idx="22">
                  <c:v>9.90505E-2</c:v>
                </c:pt>
                <c:pt idx="23">
                  <c:v>0.30878333333333302</c:v>
                </c:pt>
                <c:pt idx="24">
                  <c:v>0.17331299999999999</c:v>
                </c:pt>
                <c:pt idx="25">
                  <c:v>0.34779966666666701</c:v>
                </c:pt>
                <c:pt idx="26">
                  <c:v>0.18100266666666701</c:v>
                </c:pt>
                <c:pt idx="27">
                  <c:v>0.16489933333333301</c:v>
                </c:pt>
                <c:pt idx="28">
                  <c:v>0.30897366666666698</c:v>
                </c:pt>
                <c:pt idx="29">
                  <c:v>0.53532100000000005</c:v>
                </c:pt>
                <c:pt idx="30">
                  <c:v>0.25081999999999999</c:v>
                </c:pt>
                <c:pt idx="31">
                  <c:v>0.417441333333333</c:v>
                </c:pt>
                <c:pt idx="32">
                  <c:v>0.27532000000000001</c:v>
                </c:pt>
                <c:pt idx="33">
                  <c:v>0.46735199999999999</c:v>
                </c:pt>
                <c:pt idx="34">
                  <c:v>0.41665133333333298</c:v>
                </c:pt>
                <c:pt idx="35">
                  <c:v>0.49387566666666699</c:v>
                </c:pt>
                <c:pt idx="36">
                  <c:v>0.29831999999999997</c:v>
                </c:pt>
                <c:pt idx="37">
                  <c:v>0.385973333333333</c:v>
                </c:pt>
                <c:pt idx="38">
                  <c:v>0.299462333333334</c:v>
                </c:pt>
                <c:pt idx="39">
                  <c:v>0.33947100000000002</c:v>
                </c:pt>
                <c:pt idx="40">
                  <c:v>0.75726666666666598</c:v>
                </c:pt>
                <c:pt idx="41">
                  <c:v>0.82183499999999998</c:v>
                </c:pt>
                <c:pt idx="42">
                  <c:v>0.84180066666666697</c:v>
                </c:pt>
                <c:pt idx="43">
                  <c:v>0.82201666666666695</c:v>
                </c:pt>
                <c:pt idx="44">
                  <c:v>0.72989733333333395</c:v>
                </c:pt>
                <c:pt idx="45">
                  <c:v>0.77075766666666701</c:v>
                </c:pt>
                <c:pt idx="46">
                  <c:v>0.92030366666666696</c:v>
                </c:pt>
                <c:pt idx="47">
                  <c:v>0.78339366666666699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D9C-4FEC-802D-770E276DA49E}"/>
            </c:ext>
          </c:extLst>
        </c:ser>
        <c:ser>
          <c:idx val="19"/>
          <c:order val="19"/>
          <c:tx>
            <c:v>BES_TR4_one544_A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Demand_kW!$V$2:$V$49</c:f>
              <c:numCache>
                <c:formatCode>#,##0.000</c:formatCode>
                <c:ptCount val="48"/>
                <c:pt idx="0">
                  <c:v>0.17587333333333299</c:v>
                </c:pt>
                <c:pt idx="1">
                  <c:v>0.15138799999999999</c:v>
                </c:pt>
                <c:pt idx="2">
                  <c:v>0.11219066666666699</c:v>
                </c:pt>
                <c:pt idx="3">
                  <c:v>0.18995266666666699</c:v>
                </c:pt>
                <c:pt idx="4">
                  <c:v>0.101354</c:v>
                </c:pt>
                <c:pt idx="5">
                  <c:v>0.41243000000000002</c:v>
                </c:pt>
                <c:pt idx="6">
                  <c:v>0.43899233333333298</c:v>
                </c:pt>
                <c:pt idx="7">
                  <c:v>0.23164499999999999</c:v>
                </c:pt>
                <c:pt idx="8">
                  <c:v>0.122748333333333</c:v>
                </c:pt>
                <c:pt idx="9">
                  <c:v>0.207819333333333</c:v>
                </c:pt>
                <c:pt idx="10">
                  <c:v>0.113246666666667</c:v>
                </c:pt>
                <c:pt idx="11">
                  <c:v>8.8626666666666701E-2</c:v>
                </c:pt>
                <c:pt idx="12">
                  <c:v>0.10115200000000001</c:v>
                </c:pt>
                <c:pt idx="13">
                  <c:v>0.12316566666666701</c:v>
                </c:pt>
                <c:pt idx="14">
                  <c:v>0.22921366666666601</c:v>
                </c:pt>
                <c:pt idx="15">
                  <c:v>0.101354</c:v>
                </c:pt>
                <c:pt idx="16">
                  <c:v>3.47393333333334E-2</c:v>
                </c:pt>
                <c:pt idx="17">
                  <c:v>9.2981333333333305E-2</c:v>
                </c:pt>
                <c:pt idx="18">
                  <c:v>0.16377866666666699</c:v>
                </c:pt>
                <c:pt idx="19">
                  <c:v>0.188600666666667</c:v>
                </c:pt>
                <c:pt idx="20">
                  <c:v>0.14499066666666699</c:v>
                </c:pt>
                <c:pt idx="21">
                  <c:v>4.4788000000000001E-2</c:v>
                </c:pt>
                <c:pt idx="22">
                  <c:v>7.2049666666666706E-2</c:v>
                </c:pt>
                <c:pt idx="23">
                  <c:v>0.14255100000000001</c:v>
                </c:pt>
                <c:pt idx="24">
                  <c:v>0.23549600000000001</c:v>
                </c:pt>
                <c:pt idx="25">
                  <c:v>7.5565333333333401E-2</c:v>
                </c:pt>
                <c:pt idx="26">
                  <c:v>7.8347999999999904E-2</c:v>
                </c:pt>
                <c:pt idx="27">
                  <c:v>0.38836300000000001</c:v>
                </c:pt>
                <c:pt idx="28">
                  <c:v>0.188256333333333</c:v>
                </c:pt>
                <c:pt idx="29">
                  <c:v>0.33824833333333298</c:v>
                </c:pt>
                <c:pt idx="30">
                  <c:v>0.16780836666666599</c:v>
                </c:pt>
                <c:pt idx="31">
                  <c:v>0.17717506666666699</c:v>
                </c:pt>
                <c:pt idx="32">
                  <c:v>0.15912399999999999</c:v>
                </c:pt>
                <c:pt idx="33">
                  <c:v>0.98878299999999997</c:v>
                </c:pt>
                <c:pt idx="34">
                  <c:v>0.63849733333333403</c:v>
                </c:pt>
                <c:pt idx="35">
                  <c:v>0.19505259999999999</c:v>
                </c:pt>
                <c:pt idx="36">
                  <c:v>0.18007339999999999</c:v>
                </c:pt>
                <c:pt idx="37">
                  <c:v>0.51661933333333299</c:v>
                </c:pt>
                <c:pt idx="38">
                  <c:v>4.1000000000000002E-2</c:v>
                </c:pt>
                <c:pt idx="39">
                  <c:v>0.41908899999999999</c:v>
                </c:pt>
                <c:pt idx="40">
                  <c:v>0.60099666666666696</c:v>
                </c:pt>
                <c:pt idx="41">
                  <c:v>0.94141433333333402</c:v>
                </c:pt>
                <c:pt idx="42">
                  <c:v>1.53532</c:v>
                </c:pt>
                <c:pt idx="43">
                  <c:v>0.78148866666666705</c:v>
                </c:pt>
                <c:pt idx="44">
                  <c:v>1.5056036666666699</c:v>
                </c:pt>
                <c:pt idx="45">
                  <c:v>0.76171699999999998</c:v>
                </c:pt>
                <c:pt idx="46">
                  <c:v>0.97987366666666598</c:v>
                </c:pt>
                <c:pt idx="47">
                  <c:v>0.67526633333333297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D9C-4FEC-802D-770E276DA49E}"/>
            </c:ext>
          </c:extLst>
        </c:ser>
        <c:ser>
          <c:idx val="20"/>
          <c:order val="20"/>
          <c:tx>
            <c:v>BES_TR4_one560_C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Demand_kW!$W$2:$W$49</c:f>
              <c:numCache>
                <c:formatCode>#,##0.000</c:formatCode>
                <c:ptCount val="48"/>
                <c:pt idx="0">
                  <c:v>0.14107033333333299</c:v>
                </c:pt>
                <c:pt idx="1">
                  <c:v>0.11274099999999999</c:v>
                </c:pt>
                <c:pt idx="2">
                  <c:v>4.9000000000000002E-2</c:v>
                </c:pt>
                <c:pt idx="3">
                  <c:v>0.20481133333333301</c:v>
                </c:pt>
                <c:pt idx="4">
                  <c:v>4.9000000000000002E-2</c:v>
                </c:pt>
                <c:pt idx="5">
                  <c:v>0.15523500000000001</c:v>
                </c:pt>
                <c:pt idx="6">
                  <c:v>9.8576333333333294E-2</c:v>
                </c:pt>
                <c:pt idx="7">
                  <c:v>4.9000000000000002E-2</c:v>
                </c:pt>
                <c:pt idx="8">
                  <c:v>0.133988</c:v>
                </c:pt>
                <c:pt idx="9">
                  <c:v>0.119823333333333</c:v>
                </c:pt>
                <c:pt idx="10">
                  <c:v>4.9000000000000002E-2</c:v>
                </c:pt>
                <c:pt idx="11">
                  <c:v>0.14107033333333299</c:v>
                </c:pt>
                <c:pt idx="12">
                  <c:v>0.11274099999999999</c:v>
                </c:pt>
                <c:pt idx="13">
                  <c:v>4.9000000000000002E-2</c:v>
                </c:pt>
                <c:pt idx="14">
                  <c:v>4.9000000000000002E-2</c:v>
                </c:pt>
                <c:pt idx="15">
                  <c:v>0.16231733333333301</c:v>
                </c:pt>
                <c:pt idx="16">
                  <c:v>9.1494000000000006E-2</c:v>
                </c:pt>
                <c:pt idx="17">
                  <c:v>0.119823333333333</c:v>
                </c:pt>
                <c:pt idx="18">
                  <c:v>0.17887313333333299</c:v>
                </c:pt>
                <c:pt idx="19">
                  <c:v>8.9316000000000006E-2</c:v>
                </c:pt>
                <c:pt idx="20">
                  <c:v>0.21512693333333299</c:v>
                </c:pt>
                <c:pt idx="21">
                  <c:v>4.9000000000000002E-2</c:v>
                </c:pt>
                <c:pt idx="22">
                  <c:v>5.6082333333333297E-2</c:v>
                </c:pt>
                <c:pt idx="23">
                  <c:v>0.19772899999999999</c:v>
                </c:pt>
                <c:pt idx="24">
                  <c:v>4.9000000000000002E-2</c:v>
                </c:pt>
                <c:pt idx="25">
                  <c:v>4.9000000000000002E-2</c:v>
                </c:pt>
                <c:pt idx="26">
                  <c:v>0.20481133333333301</c:v>
                </c:pt>
                <c:pt idx="27">
                  <c:v>7.7133333333333304E-2</c:v>
                </c:pt>
                <c:pt idx="28">
                  <c:v>8.2462066666666695E-2</c:v>
                </c:pt>
                <c:pt idx="29">
                  <c:v>0.23634533333333299</c:v>
                </c:pt>
                <c:pt idx="30">
                  <c:v>0.30690099999999998</c:v>
                </c:pt>
                <c:pt idx="31">
                  <c:v>0.435811333333333</c:v>
                </c:pt>
                <c:pt idx="32">
                  <c:v>0.38929333333333299</c:v>
                </c:pt>
                <c:pt idx="33">
                  <c:v>0.443350666666666</c:v>
                </c:pt>
                <c:pt idx="34">
                  <c:v>0.34335633333333299</c:v>
                </c:pt>
                <c:pt idx="35">
                  <c:v>0.47118700000000002</c:v>
                </c:pt>
                <c:pt idx="36">
                  <c:v>0.33973166666666599</c:v>
                </c:pt>
                <c:pt idx="37">
                  <c:v>4.9000000000000002E-2</c:v>
                </c:pt>
                <c:pt idx="38">
                  <c:v>0.23614499999999999</c:v>
                </c:pt>
                <c:pt idx="39">
                  <c:v>0.376218</c:v>
                </c:pt>
                <c:pt idx="40">
                  <c:v>0.613618</c:v>
                </c:pt>
                <c:pt idx="41">
                  <c:v>0.84874633333333305</c:v>
                </c:pt>
                <c:pt idx="42">
                  <c:v>0.79251499999999997</c:v>
                </c:pt>
                <c:pt idx="43">
                  <c:v>0.73171366666666604</c:v>
                </c:pt>
                <c:pt idx="44">
                  <c:v>1.5212079999999999</c:v>
                </c:pt>
                <c:pt idx="45">
                  <c:v>1.5654826666666699</c:v>
                </c:pt>
                <c:pt idx="46">
                  <c:v>3.1981126666666699</c:v>
                </c:pt>
                <c:pt idx="47">
                  <c:v>0.489638666666666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D9C-4FEC-802D-770E276DA49E}"/>
            </c:ext>
          </c:extLst>
        </c:ser>
        <c:ser>
          <c:idx val="21"/>
          <c:order val="21"/>
          <c:tx>
            <c:v>BES_TR4_one570_B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Demand_kW!$X$2:$X$49</c:f>
              <c:numCache>
                <c:formatCode>#,##0.000</c:formatCode>
                <c:ptCount val="48"/>
                <c:pt idx="0">
                  <c:v>0.26784000000000002</c:v>
                </c:pt>
                <c:pt idx="1">
                  <c:v>0.39135033333333302</c:v>
                </c:pt>
                <c:pt idx="2">
                  <c:v>5.0999999999999997E-2</c:v>
                </c:pt>
                <c:pt idx="3">
                  <c:v>0.31631999999999999</c:v>
                </c:pt>
                <c:pt idx="4">
                  <c:v>5.0999999999999997E-2</c:v>
                </c:pt>
                <c:pt idx="5">
                  <c:v>0.186153333333333</c:v>
                </c:pt>
                <c:pt idx="6">
                  <c:v>7.2340000000000002E-2</c:v>
                </c:pt>
                <c:pt idx="7">
                  <c:v>6.6546666666666698E-2</c:v>
                </c:pt>
                <c:pt idx="8">
                  <c:v>0.300773333333333</c:v>
                </c:pt>
                <c:pt idx="9">
                  <c:v>5.0999999999999997E-2</c:v>
                </c:pt>
                <c:pt idx="10">
                  <c:v>5.0999999999999997E-2</c:v>
                </c:pt>
                <c:pt idx="11">
                  <c:v>0.325583333333333</c:v>
                </c:pt>
                <c:pt idx="12">
                  <c:v>0.30535200000000001</c:v>
                </c:pt>
                <c:pt idx="13">
                  <c:v>0.220878666666667</c:v>
                </c:pt>
                <c:pt idx="14">
                  <c:v>0.21107000000000001</c:v>
                </c:pt>
                <c:pt idx="15">
                  <c:v>0.324528066666667</c:v>
                </c:pt>
                <c:pt idx="16">
                  <c:v>7.3295566666666603E-2</c:v>
                </c:pt>
                <c:pt idx="17">
                  <c:v>0.30209333333333299</c:v>
                </c:pt>
                <c:pt idx="18">
                  <c:v>0.26555743333333298</c:v>
                </c:pt>
                <c:pt idx="19">
                  <c:v>0.14097999999999999</c:v>
                </c:pt>
                <c:pt idx="20">
                  <c:v>0.2342013</c:v>
                </c:pt>
                <c:pt idx="21">
                  <c:v>0.26574750000000003</c:v>
                </c:pt>
                <c:pt idx="22">
                  <c:v>0.31631999999999999</c:v>
                </c:pt>
                <c:pt idx="23">
                  <c:v>5.0999999999999997E-2</c:v>
                </c:pt>
                <c:pt idx="24">
                  <c:v>0.28028999999999998</c:v>
                </c:pt>
                <c:pt idx="25">
                  <c:v>0.55167833333333305</c:v>
                </c:pt>
                <c:pt idx="26">
                  <c:v>7.6890666666666704E-2</c:v>
                </c:pt>
                <c:pt idx="27">
                  <c:v>0.259413333333333</c:v>
                </c:pt>
                <c:pt idx="28">
                  <c:v>0.1303771</c:v>
                </c:pt>
                <c:pt idx="29">
                  <c:v>0.19226579999999999</c:v>
                </c:pt>
                <c:pt idx="30">
                  <c:v>0.26694186666666703</c:v>
                </c:pt>
                <c:pt idx="31">
                  <c:v>0.111190233333333</c:v>
                </c:pt>
                <c:pt idx="32">
                  <c:v>0.13594933333333301</c:v>
                </c:pt>
                <c:pt idx="33">
                  <c:v>0.22338133333333399</c:v>
                </c:pt>
                <c:pt idx="34">
                  <c:v>0.100442066666667</c:v>
                </c:pt>
                <c:pt idx="35">
                  <c:v>0.21417120000000001</c:v>
                </c:pt>
                <c:pt idx="36">
                  <c:v>0.18610660000000001</c:v>
                </c:pt>
                <c:pt idx="37">
                  <c:v>0.17141933333333301</c:v>
                </c:pt>
                <c:pt idx="38">
                  <c:v>0.32069999999999999</c:v>
                </c:pt>
                <c:pt idx="39">
                  <c:v>0.25193733333333301</c:v>
                </c:pt>
                <c:pt idx="40">
                  <c:v>0.207043333333333</c:v>
                </c:pt>
                <c:pt idx="41">
                  <c:v>0.19277666666666701</c:v>
                </c:pt>
                <c:pt idx="42">
                  <c:v>0.453971666666667</c:v>
                </c:pt>
                <c:pt idx="43">
                  <c:v>0.18321200000000001</c:v>
                </c:pt>
                <c:pt idx="44">
                  <c:v>0.52996266666666703</c:v>
                </c:pt>
                <c:pt idx="45">
                  <c:v>0.39860273333333301</c:v>
                </c:pt>
                <c:pt idx="46">
                  <c:v>0.2398701</c:v>
                </c:pt>
                <c:pt idx="47">
                  <c:v>0.38182566666666701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D9C-4FEC-802D-770E276DA49E}"/>
            </c:ext>
          </c:extLst>
        </c:ser>
        <c:ser>
          <c:idx val="22"/>
          <c:order val="22"/>
          <c:tx>
            <c:v>BES_TR4_one585_A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Demand_kW!$Y$2:$Y$49</c:f>
              <c:numCache>
                <c:formatCode>#,##0.000</c:formatCode>
                <c:ptCount val="48"/>
                <c:pt idx="0">
                  <c:v>0.11849899999999999</c:v>
                </c:pt>
                <c:pt idx="1">
                  <c:v>0.147609666666667</c:v>
                </c:pt>
                <c:pt idx="2">
                  <c:v>5.2999999999999999E-2</c:v>
                </c:pt>
                <c:pt idx="3">
                  <c:v>0.147609666666667</c:v>
                </c:pt>
                <c:pt idx="4">
                  <c:v>0.11849899999999999</c:v>
                </c:pt>
                <c:pt idx="5">
                  <c:v>5.2999999999999999E-2</c:v>
                </c:pt>
                <c:pt idx="6">
                  <c:v>0.11849899999999999</c:v>
                </c:pt>
                <c:pt idx="7">
                  <c:v>0.147609666666667</c:v>
                </c:pt>
                <c:pt idx="8">
                  <c:v>5.2999999999999999E-2</c:v>
                </c:pt>
                <c:pt idx="9">
                  <c:v>7.4832999999999997E-2</c:v>
                </c:pt>
                <c:pt idx="10">
                  <c:v>0.19127566666666701</c:v>
                </c:pt>
                <c:pt idx="11">
                  <c:v>5.2999999999999999E-2</c:v>
                </c:pt>
                <c:pt idx="12">
                  <c:v>7.4832999999999997E-2</c:v>
                </c:pt>
                <c:pt idx="13">
                  <c:v>0.19127566666666701</c:v>
                </c:pt>
                <c:pt idx="14">
                  <c:v>5.2999999999999999E-2</c:v>
                </c:pt>
                <c:pt idx="15">
                  <c:v>5.2999999999999999E-2</c:v>
                </c:pt>
                <c:pt idx="16">
                  <c:v>0.162165</c:v>
                </c:pt>
                <c:pt idx="17">
                  <c:v>0.103943666666667</c:v>
                </c:pt>
                <c:pt idx="18">
                  <c:v>0.11122133333333301</c:v>
                </c:pt>
                <c:pt idx="19">
                  <c:v>0.15488733333333299</c:v>
                </c:pt>
                <c:pt idx="20">
                  <c:v>5.2999999999999999E-2</c:v>
                </c:pt>
                <c:pt idx="21">
                  <c:v>0.213108666666667</c:v>
                </c:pt>
                <c:pt idx="22">
                  <c:v>5.2999999999999999E-2</c:v>
                </c:pt>
                <c:pt idx="23">
                  <c:v>0.213108666666667</c:v>
                </c:pt>
                <c:pt idx="24">
                  <c:v>5.2999999999999999E-2</c:v>
                </c:pt>
                <c:pt idx="25">
                  <c:v>5.2999999999999999E-2</c:v>
                </c:pt>
                <c:pt idx="26">
                  <c:v>7.4832999999999997E-2</c:v>
                </c:pt>
                <c:pt idx="27">
                  <c:v>0.19127566666666701</c:v>
                </c:pt>
                <c:pt idx="28">
                  <c:v>5.2999999999999999E-2</c:v>
                </c:pt>
                <c:pt idx="29">
                  <c:v>5.2999999999999999E-2</c:v>
                </c:pt>
                <c:pt idx="30">
                  <c:v>0.198553333333333</c:v>
                </c:pt>
                <c:pt idx="31">
                  <c:v>6.7555333333333301E-2</c:v>
                </c:pt>
                <c:pt idx="32">
                  <c:v>8.4922233333333305E-2</c:v>
                </c:pt>
                <c:pt idx="33">
                  <c:v>0.31872800000000001</c:v>
                </c:pt>
                <c:pt idx="34">
                  <c:v>6.2E-2</c:v>
                </c:pt>
                <c:pt idx="35">
                  <c:v>8.2110666666666707E-2</c:v>
                </c:pt>
                <c:pt idx="36">
                  <c:v>0.20935833333333301</c:v>
                </c:pt>
                <c:pt idx="37">
                  <c:v>5.2999999999999999E-2</c:v>
                </c:pt>
                <c:pt idx="38">
                  <c:v>0.17384133333333299</c:v>
                </c:pt>
                <c:pt idx="39">
                  <c:v>0.68028066666666698</c:v>
                </c:pt>
                <c:pt idx="40">
                  <c:v>0.55113699999999999</c:v>
                </c:pt>
                <c:pt idx="41">
                  <c:v>0.51871133333333297</c:v>
                </c:pt>
                <c:pt idx="42">
                  <c:v>0.56989800000000002</c:v>
                </c:pt>
                <c:pt idx="43">
                  <c:v>0.37709666666666702</c:v>
                </c:pt>
                <c:pt idx="44">
                  <c:v>0.33511866666666701</c:v>
                </c:pt>
                <c:pt idx="45">
                  <c:v>5.2999999999999999E-2</c:v>
                </c:pt>
                <c:pt idx="46">
                  <c:v>0.162165</c:v>
                </c:pt>
                <c:pt idx="47">
                  <c:v>0.103943666666667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D9C-4FEC-802D-770E276DA49E}"/>
            </c:ext>
          </c:extLst>
        </c:ser>
        <c:ser>
          <c:idx val="23"/>
          <c:order val="23"/>
          <c:tx>
            <c:v>BES_TR4_one590_A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Demand_kW!$Z$2:$Z$49</c:f>
              <c:numCache>
                <c:formatCode>#,##0.000</c:formatCode>
                <c:ptCount val="48"/>
                <c:pt idx="0">
                  <c:v>7.2213333333333296E-2</c:v>
                </c:pt>
                <c:pt idx="1">
                  <c:v>0.310265333333333</c:v>
                </c:pt>
                <c:pt idx="2">
                  <c:v>0.14901700000000001</c:v>
                </c:pt>
                <c:pt idx="3">
                  <c:v>0.380496</c:v>
                </c:pt>
                <c:pt idx="4">
                  <c:v>0.154775</c:v>
                </c:pt>
                <c:pt idx="5">
                  <c:v>0.104809</c:v>
                </c:pt>
                <c:pt idx="6">
                  <c:v>0.45100000000000001</c:v>
                </c:pt>
                <c:pt idx="7">
                  <c:v>0.100774533333333</c:v>
                </c:pt>
                <c:pt idx="8">
                  <c:v>0.27714666666666699</c:v>
                </c:pt>
                <c:pt idx="9">
                  <c:v>0.27866200000000002</c:v>
                </c:pt>
                <c:pt idx="10">
                  <c:v>0.13493233333333299</c:v>
                </c:pt>
                <c:pt idx="11">
                  <c:v>0.30658633333333302</c:v>
                </c:pt>
                <c:pt idx="12">
                  <c:v>0.229854</c:v>
                </c:pt>
                <c:pt idx="13">
                  <c:v>0.124048666666667</c:v>
                </c:pt>
                <c:pt idx="14">
                  <c:v>0.214740666666667</c:v>
                </c:pt>
                <c:pt idx="15">
                  <c:v>0.15430133333333301</c:v>
                </c:pt>
                <c:pt idx="16">
                  <c:v>8.5461700000000002E-2</c:v>
                </c:pt>
                <c:pt idx="17">
                  <c:v>0.14685799999999999</c:v>
                </c:pt>
                <c:pt idx="18">
                  <c:v>0.20372066666666699</c:v>
                </c:pt>
                <c:pt idx="19">
                  <c:v>0.29846899999999998</c:v>
                </c:pt>
                <c:pt idx="20">
                  <c:v>0.22336466666666699</c:v>
                </c:pt>
                <c:pt idx="21">
                  <c:v>9.1473666666666703E-2</c:v>
                </c:pt>
                <c:pt idx="22">
                  <c:v>0.351586333333333</c:v>
                </c:pt>
                <c:pt idx="23">
                  <c:v>0.28237299999999999</c:v>
                </c:pt>
                <c:pt idx="24">
                  <c:v>0.16515933333333299</c:v>
                </c:pt>
                <c:pt idx="25">
                  <c:v>0.347156666666667</c:v>
                </c:pt>
                <c:pt idx="26">
                  <c:v>1.20671533333333</c:v>
                </c:pt>
                <c:pt idx="27">
                  <c:v>1.2152609999999999</c:v>
                </c:pt>
                <c:pt idx="28">
                  <c:v>0.59227233333333296</c:v>
                </c:pt>
                <c:pt idx="29">
                  <c:v>0.72847899999999999</c:v>
                </c:pt>
                <c:pt idx="30">
                  <c:v>0.68300899999999998</c:v>
                </c:pt>
                <c:pt idx="31">
                  <c:v>0.38213133333333299</c:v>
                </c:pt>
                <c:pt idx="32">
                  <c:v>0.30437433333333302</c:v>
                </c:pt>
                <c:pt idx="33">
                  <c:v>0.50120133333333305</c:v>
                </c:pt>
                <c:pt idx="34">
                  <c:v>0.51238173333333403</c:v>
                </c:pt>
                <c:pt idx="35">
                  <c:v>0.17748193333333301</c:v>
                </c:pt>
                <c:pt idx="36">
                  <c:v>0.48487000000000002</c:v>
                </c:pt>
                <c:pt idx="37">
                  <c:v>0.63020726666666704</c:v>
                </c:pt>
                <c:pt idx="38">
                  <c:v>0.20764949999999999</c:v>
                </c:pt>
                <c:pt idx="39">
                  <c:v>0.395099066666667</c:v>
                </c:pt>
                <c:pt idx="40">
                  <c:v>0.469069666666667</c:v>
                </c:pt>
                <c:pt idx="41">
                  <c:v>0.74582499999999996</c:v>
                </c:pt>
                <c:pt idx="42">
                  <c:v>0.69794466666666599</c:v>
                </c:pt>
                <c:pt idx="43">
                  <c:v>0.37253133333333299</c:v>
                </c:pt>
                <c:pt idx="44">
                  <c:v>0.57369499999999995</c:v>
                </c:pt>
                <c:pt idx="45">
                  <c:v>9.8038666666666593E-2</c:v>
                </c:pt>
                <c:pt idx="46">
                  <c:v>0.306761333333333</c:v>
                </c:pt>
                <c:pt idx="47">
                  <c:v>0.22322166666666701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D9C-4FEC-802D-770E276DA49E}"/>
            </c:ext>
          </c:extLst>
        </c:ser>
        <c:ser>
          <c:idx val="24"/>
          <c:order val="24"/>
          <c:tx>
            <c:v>BES_TR4_one617_A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Demand_kW!$AA$2:$AA$49</c:f>
              <c:numCache>
                <c:formatCode>#,##0.000</c:formatCode>
                <c:ptCount val="48"/>
                <c:pt idx="0">
                  <c:v>4.3999999999999997E-2</c:v>
                </c:pt>
                <c:pt idx="1">
                  <c:v>4.3999999999999997E-2</c:v>
                </c:pt>
                <c:pt idx="2">
                  <c:v>0.109946</c:v>
                </c:pt>
                <c:pt idx="3">
                  <c:v>4.3999999999999997E-2</c:v>
                </c:pt>
                <c:pt idx="4">
                  <c:v>4.3999999999999997E-2</c:v>
                </c:pt>
                <c:pt idx="5">
                  <c:v>8.7964000000000001E-2</c:v>
                </c:pt>
                <c:pt idx="6">
                  <c:v>0.52819766666666701</c:v>
                </c:pt>
                <c:pt idx="7">
                  <c:v>0.26051600000000003</c:v>
                </c:pt>
                <c:pt idx="8">
                  <c:v>0.10628233333333301</c:v>
                </c:pt>
                <c:pt idx="9">
                  <c:v>4.3999999999999997E-2</c:v>
                </c:pt>
                <c:pt idx="10">
                  <c:v>8.7964000000000001E-2</c:v>
                </c:pt>
                <c:pt idx="11">
                  <c:v>6.5981999999999999E-2</c:v>
                </c:pt>
                <c:pt idx="12">
                  <c:v>0.102618666666667</c:v>
                </c:pt>
                <c:pt idx="13">
                  <c:v>5.1327333333333398E-2</c:v>
                </c:pt>
                <c:pt idx="14">
                  <c:v>4.3999999999999997E-2</c:v>
                </c:pt>
                <c:pt idx="15">
                  <c:v>4.3999999999999997E-2</c:v>
                </c:pt>
                <c:pt idx="16">
                  <c:v>6.2318333333333302E-2</c:v>
                </c:pt>
                <c:pt idx="17">
                  <c:v>9.1627666666666704E-2</c:v>
                </c:pt>
                <c:pt idx="18">
                  <c:v>4.3999999999999997E-2</c:v>
                </c:pt>
                <c:pt idx="19">
                  <c:v>4.3999999999999997E-2</c:v>
                </c:pt>
                <c:pt idx="20">
                  <c:v>0.34540533333333301</c:v>
                </c:pt>
                <c:pt idx="21">
                  <c:v>0.57687866666666698</c:v>
                </c:pt>
                <c:pt idx="22">
                  <c:v>2.60894</c:v>
                </c:pt>
                <c:pt idx="23">
                  <c:v>2.70929333333333</c:v>
                </c:pt>
                <c:pt idx="24">
                  <c:v>0.66346166666666695</c:v>
                </c:pt>
                <c:pt idx="25">
                  <c:v>0.17531566666666701</c:v>
                </c:pt>
                <c:pt idx="26">
                  <c:v>0.14661533333333299</c:v>
                </c:pt>
                <c:pt idx="27">
                  <c:v>6.0666666666666702E-2</c:v>
                </c:pt>
                <c:pt idx="28">
                  <c:v>4.3999999999999997E-2</c:v>
                </c:pt>
                <c:pt idx="29">
                  <c:v>8.0636666666666704E-2</c:v>
                </c:pt>
                <c:pt idx="30">
                  <c:v>7.3309333333333407E-2</c:v>
                </c:pt>
                <c:pt idx="31">
                  <c:v>5.1327333333333398E-2</c:v>
                </c:pt>
                <c:pt idx="32">
                  <c:v>0.102618666666667</c:v>
                </c:pt>
                <c:pt idx="33">
                  <c:v>4.3999999999999997E-2</c:v>
                </c:pt>
                <c:pt idx="34">
                  <c:v>0.109946</c:v>
                </c:pt>
                <c:pt idx="35">
                  <c:v>4.3999999999999997E-2</c:v>
                </c:pt>
                <c:pt idx="36">
                  <c:v>8.7964000000000001E-2</c:v>
                </c:pt>
                <c:pt idx="37">
                  <c:v>6.5981999999999999E-2</c:v>
                </c:pt>
                <c:pt idx="38">
                  <c:v>4.3999999999999997E-2</c:v>
                </c:pt>
                <c:pt idx="39">
                  <c:v>5.1327333333333398E-2</c:v>
                </c:pt>
                <c:pt idx="40">
                  <c:v>0.102618666666667</c:v>
                </c:pt>
                <c:pt idx="41">
                  <c:v>5.1327333333333398E-2</c:v>
                </c:pt>
                <c:pt idx="42">
                  <c:v>0.102618666666667</c:v>
                </c:pt>
                <c:pt idx="43">
                  <c:v>0.128292666666667</c:v>
                </c:pt>
                <c:pt idx="44">
                  <c:v>4.3999999999999997E-2</c:v>
                </c:pt>
                <c:pt idx="45">
                  <c:v>4.3999999999999997E-2</c:v>
                </c:pt>
                <c:pt idx="46">
                  <c:v>0.12678666666666699</c:v>
                </c:pt>
                <c:pt idx="47">
                  <c:v>0.264481666666667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D9C-4FEC-802D-770E276DA49E}"/>
            </c:ext>
          </c:extLst>
        </c:ser>
        <c:ser>
          <c:idx val="25"/>
          <c:order val="25"/>
          <c:tx>
            <c:v>BES_TR4_one76_A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Demand_kW!$AB$2:$AB$49</c:f>
              <c:numCache>
                <c:formatCode>#,##0.000</c:formatCode>
                <c:ptCount val="48"/>
                <c:pt idx="0">
                  <c:v>0.121736</c:v>
                </c:pt>
                <c:pt idx="1">
                  <c:v>8.3625333333333302E-2</c:v>
                </c:pt>
                <c:pt idx="2">
                  <c:v>0.33210200000000001</c:v>
                </c:pt>
                <c:pt idx="3">
                  <c:v>4.9000000000000002E-2</c:v>
                </c:pt>
                <c:pt idx="4">
                  <c:v>0.21347033333333301</c:v>
                </c:pt>
                <c:pt idx="5">
                  <c:v>7.4968999999999897E-2</c:v>
                </c:pt>
                <c:pt idx="6">
                  <c:v>4.9000000000000002E-2</c:v>
                </c:pt>
                <c:pt idx="7">
                  <c:v>0.340758333333334</c:v>
                </c:pt>
                <c:pt idx="8">
                  <c:v>7.4968999999999897E-2</c:v>
                </c:pt>
                <c:pt idx="9">
                  <c:v>4.9000000000000002E-2</c:v>
                </c:pt>
                <c:pt idx="10">
                  <c:v>0.176288</c:v>
                </c:pt>
                <c:pt idx="11">
                  <c:v>6.68946333333333E-2</c:v>
                </c:pt>
                <c:pt idx="12">
                  <c:v>7.2130166666666606E-2</c:v>
                </c:pt>
                <c:pt idx="13">
                  <c:v>0.58919266666666603</c:v>
                </c:pt>
                <c:pt idx="14">
                  <c:v>4.9000000000000002E-2</c:v>
                </c:pt>
                <c:pt idx="15">
                  <c:v>0.222126666666667</c:v>
                </c:pt>
                <c:pt idx="16">
                  <c:v>0.193600666666667</c:v>
                </c:pt>
                <c:pt idx="17">
                  <c:v>4.9000000000000002E-2</c:v>
                </c:pt>
                <c:pt idx="18">
                  <c:v>0.36672733333333302</c:v>
                </c:pt>
                <c:pt idx="19">
                  <c:v>4.9000000000000002E-2</c:v>
                </c:pt>
                <c:pt idx="20">
                  <c:v>7.6275999999999997E-2</c:v>
                </c:pt>
                <c:pt idx="21">
                  <c:v>0.14901200000000001</c:v>
                </c:pt>
                <c:pt idx="22">
                  <c:v>0.239439333333333</c:v>
                </c:pt>
                <c:pt idx="23">
                  <c:v>6.7183999999999994E-2</c:v>
                </c:pt>
                <c:pt idx="24">
                  <c:v>0.296605333333334</c:v>
                </c:pt>
                <c:pt idx="25">
                  <c:v>0.100938</c:v>
                </c:pt>
                <c:pt idx="26">
                  <c:v>0.17987973333333299</c:v>
                </c:pt>
                <c:pt idx="27">
                  <c:v>0.32807399999999998</c:v>
                </c:pt>
                <c:pt idx="28">
                  <c:v>5.3741400000000002E-2</c:v>
                </c:pt>
                <c:pt idx="29">
                  <c:v>0.527258</c:v>
                </c:pt>
                <c:pt idx="30">
                  <c:v>0.66172466666666696</c:v>
                </c:pt>
                <c:pt idx="31">
                  <c:v>0.51651866666666701</c:v>
                </c:pt>
                <c:pt idx="32">
                  <c:v>1.2369906666666699</c:v>
                </c:pt>
                <c:pt idx="33">
                  <c:v>0.489371</c:v>
                </c:pt>
                <c:pt idx="34">
                  <c:v>0.17569399999999999</c:v>
                </c:pt>
                <c:pt idx="35">
                  <c:v>0.37606333333333303</c:v>
                </c:pt>
                <c:pt idx="36">
                  <c:v>0.22648799999999999</c:v>
                </c:pt>
                <c:pt idx="37">
                  <c:v>0.19287599999999999</c:v>
                </c:pt>
                <c:pt idx="38">
                  <c:v>0.21988666666666701</c:v>
                </c:pt>
                <c:pt idx="39">
                  <c:v>1.3225483333333301</c:v>
                </c:pt>
                <c:pt idx="40">
                  <c:v>0.56259733333333395</c:v>
                </c:pt>
                <c:pt idx="41">
                  <c:v>0.44172033333333299</c:v>
                </c:pt>
                <c:pt idx="42">
                  <c:v>0.40029999999999999</c:v>
                </c:pt>
                <c:pt idx="43">
                  <c:v>0.85707</c:v>
                </c:pt>
                <c:pt idx="44">
                  <c:v>0.36686233333333301</c:v>
                </c:pt>
                <c:pt idx="45">
                  <c:v>0.222126666666667</c:v>
                </c:pt>
                <c:pt idx="46">
                  <c:v>0.193600666666667</c:v>
                </c:pt>
                <c:pt idx="47">
                  <c:v>0.109594333333333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D9C-4FEC-802D-770E276DA49E}"/>
            </c:ext>
          </c:extLst>
        </c:ser>
        <c:ser>
          <c:idx val="26"/>
          <c:order val="26"/>
          <c:tx>
            <c:v>BES_TR4_one133_A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Demand_kW!$AC$2:$AC$49</c:f>
              <c:numCache>
                <c:formatCode>#,##0.000</c:formatCode>
                <c:ptCount val="48"/>
                <c:pt idx="0">
                  <c:v>0.20697333333333301</c:v>
                </c:pt>
                <c:pt idx="1">
                  <c:v>9.3207999999999902E-2</c:v>
                </c:pt>
                <c:pt idx="2">
                  <c:v>5.8000000000000003E-2</c:v>
                </c:pt>
                <c:pt idx="3">
                  <c:v>8.4405999999999995E-2</c:v>
                </c:pt>
                <c:pt idx="4">
                  <c:v>0.11081199999999999</c:v>
                </c:pt>
                <c:pt idx="5">
                  <c:v>0.10201</c:v>
                </c:pt>
                <c:pt idx="6">
                  <c:v>9.3207999999999902E-2</c:v>
                </c:pt>
                <c:pt idx="7">
                  <c:v>5.8000000000000003E-2</c:v>
                </c:pt>
                <c:pt idx="8">
                  <c:v>0.13721800000000001</c:v>
                </c:pt>
                <c:pt idx="9">
                  <c:v>5.8000000000000003E-2</c:v>
                </c:pt>
                <c:pt idx="10">
                  <c:v>5.8000000000000003E-2</c:v>
                </c:pt>
                <c:pt idx="11">
                  <c:v>5.8000000000000003E-2</c:v>
                </c:pt>
                <c:pt idx="12">
                  <c:v>0.10641100000000001</c:v>
                </c:pt>
                <c:pt idx="13">
                  <c:v>8.88069999999999E-2</c:v>
                </c:pt>
                <c:pt idx="14">
                  <c:v>0.40808966666666702</c:v>
                </c:pt>
                <c:pt idx="15">
                  <c:v>0.35261300000000001</c:v>
                </c:pt>
                <c:pt idx="16">
                  <c:v>0.21871533333333301</c:v>
                </c:pt>
                <c:pt idx="17">
                  <c:v>0.45888766666666703</c:v>
                </c:pt>
                <c:pt idx="18">
                  <c:v>0.233046</c:v>
                </c:pt>
                <c:pt idx="19">
                  <c:v>0.63569066666666696</c:v>
                </c:pt>
                <c:pt idx="20">
                  <c:v>1.250912</c:v>
                </c:pt>
                <c:pt idx="21">
                  <c:v>0.87982666666666698</c:v>
                </c:pt>
                <c:pt idx="22">
                  <c:v>2.1499533333333298</c:v>
                </c:pt>
                <c:pt idx="23">
                  <c:v>1.4408746666666701</c:v>
                </c:pt>
                <c:pt idx="24">
                  <c:v>0.10201</c:v>
                </c:pt>
                <c:pt idx="25">
                  <c:v>5.8000000000000003E-2</c:v>
                </c:pt>
                <c:pt idx="26">
                  <c:v>0.10201</c:v>
                </c:pt>
                <c:pt idx="27">
                  <c:v>9.3207999999999902E-2</c:v>
                </c:pt>
                <c:pt idx="28">
                  <c:v>0.150793333333333</c:v>
                </c:pt>
                <c:pt idx="29">
                  <c:v>0.41583100000000001</c:v>
                </c:pt>
                <c:pt idx="30">
                  <c:v>0.29997000000000001</c:v>
                </c:pt>
                <c:pt idx="31">
                  <c:v>0.58330633333333304</c:v>
                </c:pt>
                <c:pt idx="32">
                  <c:v>1.0207550000000001</c:v>
                </c:pt>
                <c:pt idx="33">
                  <c:v>0.19823666666666701</c:v>
                </c:pt>
                <c:pt idx="34">
                  <c:v>0.2414202</c:v>
                </c:pt>
                <c:pt idx="35">
                  <c:v>0.1137517</c:v>
                </c:pt>
                <c:pt idx="36">
                  <c:v>0.36176213333333301</c:v>
                </c:pt>
                <c:pt idx="37">
                  <c:v>1.3095766666666699</c:v>
                </c:pt>
                <c:pt idx="38">
                  <c:v>0.13506399999999999</c:v>
                </c:pt>
                <c:pt idx="39">
                  <c:v>0.46140100000000001</c:v>
                </c:pt>
                <c:pt idx="40">
                  <c:v>0.55225199999999997</c:v>
                </c:pt>
                <c:pt idx="41">
                  <c:v>0.272376333333333</c:v>
                </c:pt>
                <c:pt idx="42">
                  <c:v>1.350039</c:v>
                </c:pt>
                <c:pt idx="43">
                  <c:v>0.50521199999999999</c:v>
                </c:pt>
                <c:pt idx="44">
                  <c:v>0.59461633333333297</c:v>
                </c:pt>
                <c:pt idx="45">
                  <c:v>1.5479653333333301</c:v>
                </c:pt>
                <c:pt idx="46">
                  <c:v>0.76127533333333297</c:v>
                </c:pt>
                <c:pt idx="47">
                  <c:v>1.1250726666666699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D9C-4FEC-802D-770E276DA49E}"/>
            </c:ext>
          </c:extLst>
        </c:ser>
        <c:ser>
          <c:idx val="27"/>
          <c:order val="27"/>
          <c:tx>
            <c:v>BES_TR4_one137_A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Demand_kW!$AD$2:$AD$49</c:f>
              <c:numCache>
                <c:formatCode>#,##0.000</c:formatCode>
                <c:ptCount val="48"/>
                <c:pt idx="0">
                  <c:v>0.59929133333333295</c:v>
                </c:pt>
                <c:pt idx="1">
                  <c:v>0.10152799999999999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6.3588000000000006E-2</c:v>
                </c:pt>
                <c:pt idx="5">
                  <c:v>0.21534800000000001</c:v>
                </c:pt>
                <c:pt idx="6">
                  <c:v>5.6000000000000001E-2</c:v>
                </c:pt>
                <c:pt idx="7">
                  <c:v>0.222936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0.16982</c:v>
                </c:pt>
                <c:pt idx="11">
                  <c:v>0.109116</c:v>
                </c:pt>
                <c:pt idx="12">
                  <c:v>5.6000000000000001E-2</c:v>
                </c:pt>
                <c:pt idx="13">
                  <c:v>0.19258400000000001</c:v>
                </c:pt>
                <c:pt idx="14">
                  <c:v>8.6351999999999998E-2</c:v>
                </c:pt>
                <c:pt idx="15">
                  <c:v>0.109316</c:v>
                </c:pt>
                <c:pt idx="16">
                  <c:v>0.20776</c:v>
                </c:pt>
                <c:pt idx="17">
                  <c:v>0.25627</c:v>
                </c:pt>
                <c:pt idx="18">
                  <c:v>1.4736154666666701</c:v>
                </c:pt>
                <c:pt idx="19">
                  <c:v>2.0163120000000001</c:v>
                </c:pt>
                <c:pt idx="20">
                  <c:v>1.0017164000000001</c:v>
                </c:pt>
                <c:pt idx="21">
                  <c:v>5.6000000000000001E-2</c:v>
                </c:pt>
                <c:pt idx="22">
                  <c:v>9.3940000000000107E-2</c:v>
                </c:pt>
                <c:pt idx="23">
                  <c:v>0.18499599999999999</c:v>
                </c:pt>
                <c:pt idx="24">
                  <c:v>5.6000000000000001E-2</c:v>
                </c:pt>
                <c:pt idx="25">
                  <c:v>6.3588000000000006E-2</c:v>
                </c:pt>
                <c:pt idx="26">
                  <c:v>0.21534800000000001</c:v>
                </c:pt>
                <c:pt idx="27">
                  <c:v>5.6000000000000001E-2</c:v>
                </c:pt>
                <c:pt idx="28">
                  <c:v>5.6000000000000001E-2</c:v>
                </c:pt>
                <c:pt idx="29">
                  <c:v>0.222936</c:v>
                </c:pt>
                <c:pt idx="30">
                  <c:v>5.6000000000000001E-2</c:v>
                </c:pt>
                <c:pt idx="31">
                  <c:v>5.6000000000000001E-2</c:v>
                </c:pt>
                <c:pt idx="32">
                  <c:v>0.25707980000000002</c:v>
                </c:pt>
                <c:pt idx="33">
                  <c:v>0.191769466666667</c:v>
                </c:pt>
                <c:pt idx="34">
                  <c:v>0.18377563333333299</c:v>
                </c:pt>
                <c:pt idx="35">
                  <c:v>0.30241733333333298</c:v>
                </c:pt>
                <c:pt idx="36">
                  <c:v>0.20526900000000001</c:v>
                </c:pt>
                <c:pt idx="37">
                  <c:v>0.32351600000000003</c:v>
                </c:pt>
                <c:pt idx="38">
                  <c:v>0.176564733333333</c:v>
                </c:pt>
                <c:pt idx="39">
                  <c:v>0.68947239999999999</c:v>
                </c:pt>
                <c:pt idx="40">
                  <c:v>0.67292033333333401</c:v>
                </c:pt>
                <c:pt idx="41">
                  <c:v>0.65127833333333296</c:v>
                </c:pt>
                <c:pt idx="42">
                  <c:v>0.72426999999999997</c:v>
                </c:pt>
                <c:pt idx="43">
                  <c:v>0.56550366666666696</c:v>
                </c:pt>
                <c:pt idx="44">
                  <c:v>0.42766999999999999</c:v>
                </c:pt>
                <c:pt idx="45">
                  <c:v>0.398036</c:v>
                </c:pt>
                <c:pt idx="46">
                  <c:v>0.70295166666666697</c:v>
                </c:pt>
                <c:pt idx="47">
                  <c:v>0.720248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D9C-4FEC-802D-770E276DA49E}"/>
            </c:ext>
          </c:extLst>
        </c:ser>
        <c:ser>
          <c:idx val="28"/>
          <c:order val="28"/>
          <c:tx>
            <c:v>BES_TR4_one176_A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Demand_kW!$AE$2:$AE$49</c:f>
              <c:numCache>
                <c:formatCode>#,##0.000</c:formatCode>
                <c:ptCount val="48"/>
                <c:pt idx="0">
                  <c:v>0.03</c:v>
                </c:pt>
                <c:pt idx="1">
                  <c:v>0.15909599999999999</c:v>
                </c:pt>
                <c:pt idx="2">
                  <c:v>0.03</c:v>
                </c:pt>
                <c:pt idx="3">
                  <c:v>0.11802</c:v>
                </c:pt>
                <c:pt idx="4">
                  <c:v>7.1076E-2</c:v>
                </c:pt>
                <c:pt idx="5">
                  <c:v>0.03</c:v>
                </c:pt>
                <c:pt idx="6">
                  <c:v>0.15909599999999999</c:v>
                </c:pt>
                <c:pt idx="7">
                  <c:v>0.03</c:v>
                </c:pt>
                <c:pt idx="8">
                  <c:v>0.13562399999999999</c:v>
                </c:pt>
                <c:pt idx="9">
                  <c:v>5.3471999999999999E-2</c:v>
                </c:pt>
                <c:pt idx="10">
                  <c:v>0.03</c:v>
                </c:pt>
                <c:pt idx="11">
                  <c:v>0.14735999999999999</c:v>
                </c:pt>
                <c:pt idx="12">
                  <c:v>4.1736000000000002E-2</c:v>
                </c:pt>
                <c:pt idx="13">
                  <c:v>0.03</c:v>
                </c:pt>
                <c:pt idx="14">
                  <c:v>0.03</c:v>
                </c:pt>
                <c:pt idx="15">
                  <c:v>5.3471999999999999E-2</c:v>
                </c:pt>
                <c:pt idx="16">
                  <c:v>0.13562399999999999</c:v>
                </c:pt>
                <c:pt idx="17">
                  <c:v>0.03</c:v>
                </c:pt>
                <c:pt idx="18">
                  <c:v>0.15909599999999999</c:v>
                </c:pt>
                <c:pt idx="19">
                  <c:v>3.4298666666666699E-2</c:v>
                </c:pt>
                <c:pt idx="20">
                  <c:v>6.5208000000000002E-2</c:v>
                </c:pt>
                <c:pt idx="21">
                  <c:v>0.123888</c:v>
                </c:pt>
                <c:pt idx="22">
                  <c:v>0.03</c:v>
                </c:pt>
                <c:pt idx="23">
                  <c:v>5.9339999999999997E-2</c:v>
                </c:pt>
                <c:pt idx="24">
                  <c:v>0.12975600000000001</c:v>
                </c:pt>
                <c:pt idx="25">
                  <c:v>0.03</c:v>
                </c:pt>
                <c:pt idx="26">
                  <c:v>8.8679999999999995E-2</c:v>
                </c:pt>
                <c:pt idx="27">
                  <c:v>0.10041600000000001</c:v>
                </c:pt>
                <c:pt idx="28">
                  <c:v>0.03</c:v>
                </c:pt>
                <c:pt idx="29">
                  <c:v>0.03</c:v>
                </c:pt>
                <c:pt idx="30">
                  <c:v>0.15909599999999999</c:v>
                </c:pt>
                <c:pt idx="31">
                  <c:v>0.03</c:v>
                </c:pt>
                <c:pt idx="32">
                  <c:v>0.03</c:v>
                </c:pt>
                <c:pt idx="33">
                  <c:v>0.184396</c:v>
                </c:pt>
                <c:pt idx="34">
                  <c:v>0.36314999999999997</c:v>
                </c:pt>
                <c:pt idx="35">
                  <c:v>7.6343666666666699E-2</c:v>
                </c:pt>
                <c:pt idx="36">
                  <c:v>0.14716599999999999</c:v>
                </c:pt>
                <c:pt idx="37">
                  <c:v>0.12909266666666699</c:v>
                </c:pt>
                <c:pt idx="38">
                  <c:v>9.6333333333333299E-2</c:v>
                </c:pt>
                <c:pt idx="39">
                  <c:v>0.59546866666666698</c:v>
                </c:pt>
                <c:pt idx="40">
                  <c:v>0.43319999999999997</c:v>
                </c:pt>
                <c:pt idx="41">
                  <c:v>0.52744933333333299</c:v>
                </c:pt>
                <c:pt idx="42">
                  <c:v>0.57525433333333298</c:v>
                </c:pt>
                <c:pt idx="43">
                  <c:v>0.44066666666666598</c:v>
                </c:pt>
                <c:pt idx="44">
                  <c:v>0.15909599999999999</c:v>
                </c:pt>
                <c:pt idx="45">
                  <c:v>0.03</c:v>
                </c:pt>
                <c:pt idx="46">
                  <c:v>0.15909599999999999</c:v>
                </c:pt>
                <c:pt idx="4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D9C-4FEC-802D-770E276DA49E}"/>
            </c:ext>
          </c:extLst>
        </c:ser>
        <c:ser>
          <c:idx val="29"/>
          <c:order val="29"/>
          <c:tx>
            <c:v>BES_TR4_three64_A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Demand_kW!$AF$2:$AF$49</c:f>
              <c:numCache>
                <c:formatCode>#,##0.000</c:formatCode>
                <c:ptCount val="48"/>
                <c:pt idx="0">
                  <c:v>6.6483333333333297E-2</c:v>
                </c:pt>
                <c:pt idx="1">
                  <c:v>0.20583333333333301</c:v>
                </c:pt>
                <c:pt idx="2">
                  <c:v>5.0999999999999997E-2</c:v>
                </c:pt>
                <c:pt idx="3">
                  <c:v>0.15938333333333299</c:v>
                </c:pt>
                <c:pt idx="4">
                  <c:v>0.112933333333333</c:v>
                </c:pt>
                <c:pt idx="5">
                  <c:v>5.0999999999999997E-2</c:v>
                </c:pt>
                <c:pt idx="6">
                  <c:v>0.22131666666666699</c:v>
                </c:pt>
                <c:pt idx="7">
                  <c:v>5.0999999999999997E-2</c:v>
                </c:pt>
                <c:pt idx="8">
                  <c:v>0.15164166666666701</c:v>
                </c:pt>
                <c:pt idx="9">
                  <c:v>0.120675</c:v>
                </c:pt>
                <c:pt idx="10">
                  <c:v>5.0999999999999997E-2</c:v>
                </c:pt>
                <c:pt idx="11">
                  <c:v>0.18260833333333301</c:v>
                </c:pt>
                <c:pt idx="12">
                  <c:v>8.9708333333333404E-2</c:v>
                </c:pt>
                <c:pt idx="13">
                  <c:v>5.0999999999999997E-2</c:v>
                </c:pt>
                <c:pt idx="14">
                  <c:v>0.120675</c:v>
                </c:pt>
                <c:pt idx="15">
                  <c:v>0.15164166666666701</c:v>
                </c:pt>
                <c:pt idx="16">
                  <c:v>5.0999999999999997E-2</c:v>
                </c:pt>
                <c:pt idx="17">
                  <c:v>8.9708333333333307E-2</c:v>
                </c:pt>
                <c:pt idx="18">
                  <c:v>0.18260833333333301</c:v>
                </c:pt>
                <c:pt idx="19">
                  <c:v>5.0999999999999997E-2</c:v>
                </c:pt>
                <c:pt idx="20">
                  <c:v>0.41361666666666702</c:v>
                </c:pt>
                <c:pt idx="21">
                  <c:v>5.0999999999999997E-2</c:v>
                </c:pt>
                <c:pt idx="22">
                  <c:v>0.24220700000000001</c:v>
                </c:pt>
                <c:pt idx="23">
                  <c:v>0.37018166666666702</c:v>
                </c:pt>
                <c:pt idx="24">
                  <c:v>0.14238293333333299</c:v>
                </c:pt>
                <c:pt idx="25">
                  <c:v>0.28101500000000001</c:v>
                </c:pt>
                <c:pt idx="26">
                  <c:v>1.4220886666666701</c:v>
                </c:pt>
                <c:pt idx="27">
                  <c:v>5.0999999999999997E-2</c:v>
                </c:pt>
                <c:pt idx="28">
                  <c:v>5.0999999999999997E-2</c:v>
                </c:pt>
                <c:pt idx="29">
                  <c:v>0.22131666666666699</c:v>
                </c:pt>
                <c:pt idx="30">
                  <c:v>5.0999999999999997E-2</c:v>
                </c:pt>
                <c:pt idx="31">
                  <c:v>0.15938333333333299</c:v>
                </c:pt>
                <c:pt idx="32">
                  <c:v>0.112933333333333</c:v>
                </c:pt>
                <c:pt idx="33">
                  <c:v>5.0999999999999997E-2</c:v>
                </c:pt>
                <c:pt idx="34">
                  <c:v>0.30153733333333299</c:v>
                </c:pt>
                <c:pt idx="35">
                  <c:v>0.16087000000000001</c:v>
                </c:pt>
                <c:pt idx="36">
                  <c:v>0.264286666666667</c:v>
                </c:pt>
                <c:pt idx="37">
                  <c:v>0.30485166666666702</c:v>
                </c:pt>
                <c:pt idx="38">
                  <c:v>0.74263333333333204</c:v>
                </c:pt>
                <c:pt idx="39">
                  <c:v>1.04270833333333</c:v>
                </c:pt>
                <c:pt idx="40">
                  <c:v>0.98477066666666702</c:v>
                </c:pt>
                <c:pt idx="41">
                  <c:v>0.457002666666667</c:v>
                </c:pt>
                <c:pt idx="42">
                  <c:v>0.55825266666666695</c:v>
                </c:pt>
                <c:pt idx="43">
                  <c:v>0.61966666666666703</c:v>
                </c:pt>
                <c:pt idx="44">
                  <c:v>0.94668733333333299</c:v>
                </c:pt>
                <c:pt idx="45">
                  <c:v>0.71983133333333305</c:v>
                </c:pt>
                <c:pt idx="46">
                  <c:v>0.561643</c:v>
                </c:pt>
                <c:pt idx="47">
                  <c:v>0.40501399999999999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D9C-4FEC-802D-770E276DA49E}"/>
            </c:ext>
          </c:extLst>
        </c:ser>
        <c:ser>
          <c:idx val="30"/>
          <c:order val="30"/>
          <c:tx>
            <c:v>BES_TR4_three193_A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Demand_kW!$AG$2:$AG$49</c:f>
              <c:numCache>
                <c:formatCode>#,##0.000</c:formatCode>
                <c:ptCount val="48"/>
                <c:pt idx="0">
                  <c:v>0.14010566666666699</c:v>
                </c:pt>
                <c:pt idx="1">
                  <c:v>0.212309</c:v>
                </c:pt>
                <c:pt idx="2">
                  <c:v>7.8115000000000004E-2</c:v>
                </c:pt>
                <c:pt idx="3">
                  <c:v>0.195499333333333</c:v>
                </c:pt>
                <c:pt idx="4">
                  <c:v>0.171384333333333</c:v>
                </c:pt>
                <c:pt idx="5">
                  <c:v>0.10223</c:v>
                </c:pt>
                <c:pt idx="6">
                  <c:v>0.19315866666666701</c:v>
                </c:pt>
                <c:pt idx="7">
                  <c:v>0.15925600000000001</c:v>
                </c:pt>
                <c:pt idx="8">
                  <c:v>0.12634500000000001</c:v>
                </c:pt>
                <c:pt idx="9">
                  <c:v>0.226069666666667</c:v>
                </c:pt>
                <c:pt idx="10">
                  <c:v>9.2584E-2</c:v>
                </c:pt>
                <c:pt idx="11">
                  <c:v>0.22401233333333301</c:v>
                </c:pt>
                <c:pt idx="12">
                  <c:v>8.9818333333333306E-2</c:v>
                </c:pt>
                <c:pt idx="13">
                  <c:v>6.2681000000000001E-2</c:v>
                </c:pt>
                <c:pt idx="14">
                  <c:v>0.9495825</c:v>
                </c:pt>
                <c:pt idx="15">
                  <c:v>0.19983643333333301</c:v>
                </c:pt>
                <c:pt idx="16">
                  <c:v>9.2584E-2</c:v>
                </c:pt>
                <c:pt idx="17">
                  <c:v>0.138048333333333</c:v>
                </c:pt>
                <c:pt idx="18">
                  <c:v>0.23784746666666701</c:v>
                </c:pt>
                <c:pt idx="19">
                  <c:v>0.1208877</c:v>
                </c:pt>
                <c:pt idx="20">
                  <c:v>0.24733630000000001</c:v>
                </c:pt>
                <c:pt idx="21">
                  <c:v>0.123862666666667</c:v>
                </c:pt>
                <c:pt idx="22">
                  <c:v>0.99303536666666703</c:v>
                </c:pt>
                <c:pt idx="23">
                  <c:v>0.70345999999999997</c:v>
                </c:pt>
                <c:pt idx="24">
                  <c:v>0.27208533333333301</c:v>
                </c:pt>
                <c:pt idx="25">
                  <c:v>0.31405796666666602</c:v>
                </c:pt>
                <c:pt idx="26">
                  <c:v>0.42462576666666701</c:v>
                </c:pt>
                <c:pt idx="27">
                  <c:v>7.4237600000000001E-2</c:v>
                </c:pt>
                <c:pt idx="28">
                  <c:v>0.2202962</c:v>
                </c:pt>
                <c:pt idx="29">
                  <c:v>5.3999999999999999E-2</c:v>
                </c:pt>
                <c:pt idx="30">
                  <c:v>0.190959666666667</c:v>
                </c:pt>
                <c:pt idx="31">
                  <c:v>0.16145499999999999</c:v>
                </c:pt>
                <c:pt idx="32">
                  <c:v>0.14081399999999999</c:v>
                </c:pt>
                <c:pt idx="33">
                  <c:v>5.3999999999999999E-2</c:v>
                </c:pt>
                <c:pt idx="34">
                  <c:v>0.16145499999999999</c:v>
                </c:pt>
                <c:pt idx="35">
                  <c:v>0.190959666666667</c:v>
                </c:pt>
                <c:pt idx="36">
                  <c:v>5.3999999999999999E-2</c:v>
                </c:pt>
                <c:pt idx="37">
                  <c:v>5.3999999999999999E-2</c:v>
                </c:pt>
                <c:pt idx="38">
                  <c:v>7.8115000000000004E-2</c:v>
                </c:pt>
                <c:pt idx="39">
                  <c:v>0.116699</c:v>
                </c:pt>
                <c:pt idx="40">
                  <c:v>7.5491000000000003E-2</c:v>
                </c:pt>
                <c:pt idx="41">
                  <c:v>0.27692366666666701</c:v>
                </c:pt>
                <c:pt idx="42">
                  <c:v>5.3999999999999999E-2</c:v>
                </c:pt>
                <c:pt idx="43">
                  <c:v>0.29841466666666699</c:v>
                </c:pt>
                <c:pt idx="44">
                  <c:v>5.3999999999999999E-2</c:v>
                </c:pt>
                <c:pt idx="45">
                  <c:v>0.19010966666666701</c:v>
                </c:pt>
                <c:pt idx="46">
                  <c:v>0.162305</c:v>
                </c:pt>
                <c:pt idx="47">
                  <c:v>0.104145666666667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D9C-4FEC-802D-770E276DA49E}"/>
            </c:ext>
          </c:extLst>
        </c:ser>
        <c:ser>
          <c:idx val="31"/>
          <c:order val="31"/>
          <c:tx>
            <c:v>BES_TR4_three232_C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Demand_kW!$AH$2:$AH$49</c:f>
              <c:numCache>
                <c:formatCode>#,##0.000</c:formatCode>
                <c:ptCount val="48"/>
                <c:pt idx="0">
                  <c:v>7.13293333333333E-2</c:v>
                </c:pt>
                <c:pt idx="1">
                  <c:v>0.285530333333333</c:v>
                </c:pt>
                <c:pt idx="2">
                  <c:v>0.13997299999999999</c:v>
                </c:pt>
                <c:pt idx="3">
                  <c:v>4.1000000000000002E-2</c:v>
                </c:pt>
                <c:pt idx="4">
                  <c:v>0.13867599999999999</c:v>
                </c:pt>
                <c:pt idx="5">
                  <c:v>0.23805899999999999</c:v>
                </c:pt>
                <c:pt idx="6">
                  <c:v>0.1201</c:v>
                </c:pt>
                <c:pt idx="7">
                  <c:v>4.1000000000000002E-2</c:v>
                </c:pt>
                <c:pt idx="8">
                  <c:v>0.17912033333333299</c:v>
                </c:pt>
                <c:pt idx="9">
                  <c:v>0.211150333333333</c:v>
                </c:pt>
                <c:pt idx="10">
                  <c:v>0.106562</c:v>
                </c:pt>
                <c:pt idx="11">
                  <c:v>0.246440666666667</c:v>
                </c:pt>
                <c:pt idx="12">
                  <c:v>0.20939199999999999</c:v>
                </c:pt>
                <c:pt idx="13">
                  <c:v>0.127974333333333</c:v>
                </c:pt>
                <c:pt idx="14">
                  <c:v>0.201301333333333</c:v>
                </c:pt>
                <c:pt idx="15">
                  <c:v>0.52205800000000002</c:v>
                </c:pt>
                <c:pt idx="16">
                  <c:v>0.40202133333333301</c:v>
                </c:pt>
                <c:pt idx="17">
                  <c:v>1.4971840000000001</c:v>
                </c:pt>
                <c:pt idx="18">
                  <c:v>0.42157699999999998</c:v>
                </c:pt>
                <c:pt idx="19">
                  <c:v>0.28916399999999998</c:v>
                </c:pt>
                <c:pt idx="20">
                  <c:v>0.46323700000000001</c:v>
                </c:pt>
                <c:pt idx="21">
                  <c:v>0.48065000000000002</c:v>
                </c:pt>
                <c:pt idx="22">
                  <c:v>0.31299933333333302</c:v>
                </c:pt>
                <c:pt idx="23">
                  <c:v>0.116985333333333</c:v>
                </c:pt>
                <c:pt idx="24">
                  <c:v>0.32771600000000001</c:v>
                </c:pt>
                <c:pt idx="25">
                  <c:v>0.30265066666666701</c:v>
                </c:pt>
                <c:pt idx="26">
                  <c:v>0.30026766666666699</c:v>
                </c:pt>
                <c:pt idx="27">
                  <c:v>0.208451</c:v>
                </c:pt>
                <c:pt idx="28">
                  <c:v>0.34467466666666702</c:v>
                </c:pt>
                <c:pt idx="29">
                  <c:v>0.28731533333333298</c:v>
                </c:pt>
                <c:pt idx="30">
                  <c:v>0.13733899999999999</c:v>
                </c:pt>
                <c:pt idx="31">
                  <c:v>0.28587366666666703</c:v>
                </c:pt>
                <c:pt idx="32">
                  <c:v>0.49351066666666699</c:v>
                </c:pt>
                <c:pt idx="33">
                  <c:v>0.28986666666666699</c:v>
                </c:pt>
                <c:pt idx="34">
                  <c:v>0.28865666666666701</c:v>
                </c:pt>
                <c:pt idx="35">
                  <c:v>0.39442966666666701</c:v>
                </c:pt>
                <c:pt idx="36">
                  <c:v>0.22263333333333299</c:v>
                </c:pt>
                <c:pt idx="37">
                  <c:v>0.60329900000000003</c:v>
                </c:pt>
                <c:pt idx="38">
                  <c:v>0.18745746666666699</c:v>
                </c:pt>
                <c:pt idx="39">
                  <c:v>0.41123799999999999</c:v>
                </c:pt>
                <c:pt idx="40">
                  <c:v>0.29694100000000001</c:v>
                </c:pt>
                <c:pt idx="41">
                  <c:v>4.1000000000000002E-2</c:v>
                </c:pt>
                <c:pt idx="42">
                  <c:v>0.21179400000000001</c:v>
                </c:pt>
                <c:pt idx="43">
                  <c:v>0.24403866666666699</c:v>
                </c:pt>
                <c:pt idx="44">
                  <c:v>0.101879</c:v>
                </c:pt>
                <c:pt idx="45">
                  <c:v>7.3780999999999902E-2</c:v>
                </c:pt>
                <c:pt idx="46">
                  <c:v>0.14715266666666699</c:v>
                </c:pt>
                <c:pt idx="47">
                  <c:v>0.29286000000000001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D9C-4FEC-802D-770E276DA49E}"/>
            </c:ext>
          </c:extLst>
        </c:ser>
        <c:ser>
          <c:idx val="32"/>
          <c:order val="32"/>
          <c:tx>
            <c:v>BES_TR4_three233_A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Demand_kW!$AI$2:$AI$49</c:f>
              <c:numCache>
                <c:formatCode>#,##0.000</c:formatCode>
                <c:ptCount val="48"/>
                <c:pt idx="0">
                  <c:v>0.43863799999999997</c:v>
                </c:pt>
                <c:pt idx="1">
                  <c:v>6.0824000000000003E-2</c:v>
                </c:pt>
                <c:pt idx="2">
                  <c:v>0.15500466666666701</c:v>
                </c:pt>
                <c:pt idx="3">
                  <c:v>0.171822</c:v>
                </c:pt>
                <c:pt idx="4">
                  <c:v>0.15077399999999999</c:v>
                </c:pt>
                <c:pt idx="5">
                  <c:v>0.19800066666666699</c:v>
                </c:pt>
                <c:pt idx="6">
                  <c:v>0.164656</c:v>
                </c:pt>
                <c:pt idx="7">
                  <c:v>0.18026066666666701</c:v>
                </c:pt>
                <c:pt idx="8">
                  <c:v>0.24734</c:v>
                </c:pt>
                <c:pt idx="9">
                  <c:v>0.05</c:v>
                </c:pt>
                <c:pt idx="10">
                  <c:v>0.15832833333333299</c:v>
                </c:pt>
                <c:pt idx="11">
                  <c:v>0.18328033333333299</c:v>
                </c:pt>
                <c:pt idx="12">
                  <c:v>0.161248</c:v>
                </c:pt>
                <c:pt idx="13">
                  <c:v>0.19469266666666701</c:v>
                </c:pt>
                <c:pt idx="14">
                  <c:v>0.207652</c:v>
                </c:pt>
                <c:pt idx="15">
                  <c:v>0.114944</c:v>
                </c:pt>
                <c:pt idx="16">
                  <c:v>0.37189800000000001</c:v>
                </c:pt>
                <c:pt idx="17">
                  <c:v>1.284545</c:v>
                </c:pt>
                <c:pt idx="18">
                  <c:v>1.03345966666667</c:v>
                </c:pt>
                <c:pt idx="19">
                  <c:v>0.45079633333333302</c:v>
                </c:pt>
                <c:pt idx="20">
                  <c:v>0.75866566666666702</c:v>
                </c:pt>
                <c:pt idx="21">
                  <c:v>8.0001333333333299E-2</c:v>
                </c:pt>
                <c:pt idx="22">
                  <c:v>0.15032400000000001</c:v>
                </c:pt>
                <c:pt idx="23">
                  <c:v>0.25138066666666697</c:v>
                </c:pt>
                <c:pt idx="24">
                  <c:v>0.34576166666666702</c:v>
                </c:pt>
                <c:pt idx="25">
                  <c:v>0.369943666666667</c:v>
                </c:pt>
                <c:pt idx="26">
                  <c:v>0.30672433333333299</c:v>
                </c:pt>
                <c:pt idx="27">
                  <c:v>0.52841000000000005</c:v>
                </c:pt>
                <c:pt idx="28">
                  <c:v>0.23137766666666701</c:v>
                </c:pt>
                <c:pt idx="29">
                  <c:v>1.34084686666667</c:v>
                </c:pt>
                <c:pt idx="30">
                  <c:v>0.37277466666666698</c:v>
                </c:pt>
                <c:pt idx="31">
                  <c:v>0.29660773333333401</c:v>
                </c:pt>
                <c:pt idx="32">
                  <c:v>1.12422</c:v>
                </c:pt>
                <c:pt idx="33">
                  <c:v>0.58030599999999999</c:v>
                </c:pt>
                <c:pt idx="34">
                  <c:v>0.35342733333333298</c:v>
                </c:pt>
                <c:pt idx="35">
                  <c:v>1.14396066666667</c:v>
                </c:pt>
                <c:pt idx="36">
                  <c:v>0.785899666666667</c:v>
                </c:pt>
                <c:pt idx="37">
                  <c:v>2.7890933333333301</c:v>
                </c:pt>
                <c:pt idx="38">
                  <c:v>0.31706966666666703</c:v>
                </c:pt>
                <c:pt idx="39">
                  <c:v>0.76806166666666698</c:v>
                </c:pt>
                <c:pt idx="40">
                  <c:v>0.75938000000000005</c:v>
                </c:pt>
                <c:pt idx="41">
                  <c:v>1.0231779999999999</c:v>
                </c:pt>
                <c:pt idx="42">
                  <c:v>0.99936899999999995</c:v>
                </c:pt>
                <c:pt idx="43">
                  <c:v>0.69443100000000002</c:v>
                </c:pt>
                <c:pt idx="44">
                  <c:v>0.94588499999999998</c:v>
                </c:pt>
                <c:pt idx="45">
                  <c:v>0.58516500000000005</c:v>
                </c:pt>
                <c:pt idx="46">
                  <c:v>0.88541433333333297</c:v>
                </c:pt>
                <c:pt idx="47">
                  <c:v>0.55756666666666699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D9C-4FEC-802D-770E276DA49E}"/>
            </c:ext>
          </c:extLst>
        </c:ser>
        <c:ser>
          <c:idx val="33"/>
          <c:order val="33"/>
          <c:tx>
            <c:v>BES_TR4_three248_C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Demand_kW!$AJ$2:$AJ$49</c:f>
              <c:numCache>
                <c:formatCode>#,##0.000</c:formatCode>
                <c:ptCount val="48"/>
                <c:pt idx="0">
                  <c:v>2.5999999999999999E-2</c:v>
                </c:pt>
                <c:pt idx="1">
                  <c:v>2.5999999999999999E-2</c:v>
                </c:pt>
                <c:pt idx="2">
                  <c:v>0.144073333333333</c:v>
                </c:pt>
                <c:pt idx="3">
                  <c:v>2.5999999999999999E-2</c:v>
                </c:pt>
                <c:pt idx="4">
                  <c:v>2.5999999999999999E-2</c:v>
                </c:pt>
                <c:pt idx="5">
                  <c:v>0.114555</c:v>
                </c:pt>
                <c:pt idx="6">
                  <c:v>5.5518333333333399E-2</c:v>
                </c:pt>
                <c:pt idx="7">
                  <c:v>2.5999999999999999E-2</c:v>
                </c:pt>
                <c:pt idx="8">
                  <c:v>2.5999999999999999E-2</c:v>
                </c:pt>
                <c:pt idx="9">
                  <c:v>0.144073333333333</c:v>
                </c:pt>
                <c:pt idx="10">
                  <c:v>2.5999999999999999E-2</c:v>
                </c:pt>
                <c:pt idx="11">
                  <c:v>5.5518333333333399E-2</c:v>
                </c:pt>
                <c:pt idx="12">
                  <c:v>0.114555</c:v>
                </c:pt>
                <c:pt idx="13">
                  <c:v>7.7666666666666606E-2</c:v>
                </c:pt>
                <c:pt idx="14">
                  <c:v>0.15361900000000001</c:v>
                </c:pt>
                <c:pt idx="15">
                  <c:v>0.13226599999999999</c:v>
                </c:pt>
                <c:pt idx="16">
                  <c:v>3.7807333333333401E-2</c:v>
                </c:pt>
                <c:pt idx="17">
                  <c:v>0.14832999999999999</c:v>
                </c:pt>
                <c:pt idx="18">
                  <c:v>0.14832999999999999</c:v>
                </c:pt>
                <c:pt idx="19">
                  <c:v>0.14953866666666699</c:v>
                </c:pt>
                <c:pt idx="20">
                  <c:v>1.20495</c:v>
                </c:pt>
                <c:pt idx="21">
                  <c:v>0.37745200000000001</c:v>
                </c:pt>
                <c:pt idx="22">
                  <c:v>0.217948</c:v>
                </c:pt>
                <c:pt idx="23">
                  <c:v>0.29905100000000001</c:v>
                </c:pt>
                <c:pt idx="24">
                  <c:v>0.20553199999999999</c:v>
                </c:pt>
                <c:pt idx="25">
                  <c:v>0.241948</c:v>
                </c:pt>
                <c:pt idx="26">
                  <c:v>0.43703033333333302</c:v>
                </c:pt>
                <c:pt idx="27">
                  <c:v>1.73142366666667</c:v>
                </c:pt>
                <c:pt idx="28">
                  <c:v>0.60010766666666704</c:v>
                </c:pt>
                <c:pt idx="29">
                  <c:v>0.32798133333333301</c:v>
                </c:pt>
                <c:pt idx="30">
                  <c:v>0.85489466666666702</c:v>
                </c:pt>
                <c:pt idx="31">
                  <c:v>0.44420500000000002</c:v>
                </c:pt>
                <c:pt idx="32">
                  <c:v>0.15059266666666701</c:v>
                </c:pt>
                <c:pt idx="33">
                  <c:v>0.40892666666666699</c:v>
                </c:pt>
                <c:pt idx="34">
                  <c:v>0.513822</c:v>
                </c:pt>
                <c:pt idx="35">
                  <c:v>3.0567833333333301</c:v>
                </c:pt>
                <c:pt idx="36">
                  <c:v>3.96319133333333</c:v>
                </c:pt>
                <c:pt idx="37">
                  <c:v>0.514834666666667</c:v>
                </c:pt>
                <c:pt idx="38">
                  <c:v>0.175603333333333</c:v>
                </c:pt>
                <c:pt idx="39">
                  <c:v>0.37099300000000002</c:v>
                </c:pt>
                <c:pt idx="40">
                  <c:v>0.68125333333333304</c:v>
                </c:pt>
                <c:pt idx="41">
                  <c:v>0.50505800000000001</c:v>
                </c:pt>
                <c:pt idx="42">
                  <c:v>0.89855933333333404</c:v>
                </c:pt>
                <c:pt idx="43">
                  <c:v>0.68441366666666703</c:v>
                </c:pt>
                <c:pt idx="44">
                  <c:v>0.57078233333333295</c:v>
                </c:pt>
                <c:pt idx="45">
                  <c:v>0.56262900000000005</c:v>
                </c:pt>
                <c:pt idx="46">
                  <c:v>0.32549333333333302</c:v>
                </c:pt>
                <c:pt idx="47">
                  <c:v>0.66861333333333395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D9C-4FEC-802D-770E276DA49E}"/>
            </c:ext>
          </c:extLst>
        </c:ser>
        <c:ser>
          <c:idx val="34"/>
          <c:order val="34"/>
          <c:tx>
            <c:v>BES_TR4_three253_C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Demand_kW!$AK$2:$AK$49</c:f>
              <c:numCache>
                <c:formatCode>#,##0.000</c:formatCode>
                <c:ptCount val="48"/>
                <c:pt idx="0">
                  <c:v>0.21235266666666699</c:v>
                </c:pt>
                <c:pt idx="1">
                  <c:v>0.14049466666666699</c:v>
                </c:pt>
                <c:pt idx="2">
                  <c:v>0.40708266666666698</c:v>
                </c:pt>
                <c:pt idx="3">
                  <c:v>0.45254266666666698</c:v>
                </c:pt>
                <c:pt idx="4">
                  <c:v>0.33166733333333398</c:v>
                </c:pt>
                <c:pt idx="5">
                  <c:v>0.50854666666666704</c:v>
                </c:pt>
                <c:pt idx="6">
                  <c:v>0.39883200000000002</c:v>
                </c:pt>
                <c:pt idx="7">
                  <c:v>0.41393566666666698</c:v>
                </c:pt>
                <c:pt idx="8">
                  <c:v>0.122917</c:v>
                </c:pt>
                <c:pt idx="9">
                  <c:v>6.0999999999999999E-2</c:v>
                </c:pt>
                <c:pt idx="10">
                  <c:v>0.21235266666666699</c:v>
                </c:pt>
                <c:pt idx="11">
                  <c:v>6.0999999999999999E-2</c:v>
                </c:pt>
                <c:pt idx="12">
                  <c:v>6.0999999999999999E-2</c:v>
                </c:pt>
                <c:pt idx="13">
                  <c:v>0.21235266666666699</c:v>
                </c:pt>
                <c:pt idx="14">
                  <c:v>6.0999999999999999E-2</c:v>
                </c:pt>
                <c:pt idx="15">
                  <c:v>6.7879666666666602E-2</c:v>
                </c:pt>
                <c:pt idx="16">
                  <c:v>0.20547299999999999</c:v>
                </c:pt>
                <c:pt idx="17">
                  <c:v>6.0999999999999999E-2</c:v>
                </c:pt>
                <c:pt idx="18">
                  <c:v>1.2678136666666699</c:v>
                </c:pt>
                <c:pt idx="19">
                  <c:v>0.78876000000000002</c:v>
                </c:pt>
                <c:pt idx="20">
                  <c:v>3.008276</c:v>
                </c:pt>
                <c:pt idx="21">
                  <c:v>0.40979266666666597</c:v>
                </c:pt>
                <c:pt idx="22">
                  <c:v>0.25778366666666702</c:v>
                </c:pt>
                <c:pt idx="23">
                  <c:v>0.31873499999999999</c:v>
                </c:pt>
                <c:pt idx="24">
                  <c:v>0.50304899999999997</c:v>
                </c:pt>
                <c:pt idx="25">
                  <c:v>1.658798</c:v>
                </c:pt>
                <c:pt idx="26">
                  <c:v>0.3145</c:v>
                </c:pt>
                <c:pt idx="27">
                  <c:v>0.21235266666666699</c:v>
                </c:pt>
                <c:pt idx="28">
                  <c:v>6.0999999999999999E-2</c:v>
                </c:pt>
                <c:pt idx="29">
                  <c:v>6.0999999999999999E-2</c:v>
                </c:pt>
                <c:pt idx="30">
                  <c:v>0.21235266666666699</c:v>
                </c:pt>
                <c:pt idx="31">
                  <c:v>0.26273333333333299</c:v>
                </c:pt>
                <c:pt idx="32">
                  <c:v>0.37557833333333301</c:v>
                </c:pt>
                <c:pt idx="33">
                  <c:v>0.38205</c:v>
                </c:pt>
                <c:pt idx="34">
                  <c:v>0.26676433333333299</c:v>
                </c:pt>
                <c:pt idx="35">
                  <c:v>0.254444</c:v>
                </c:pt>
                <c:pt idx="36">
                  <c:v>0.15329499999999999</c:v>
                </c:pt>
                <c:pt idx="37">
                  <c:v>2.1194929999999998</c:v>
                </c:pt>
                <c:pt idx="38">
                  <c:v>1.7594953333333301</c:v>
                </c:pt>
                <c:pt idx="39">
                  <c:v>2.2800076666666702</c:v>
                </c:pt>
                <c:pt idx="40">
                  <c:v>0.85130933333333303</c:v>
                </c:pt>
                <c:pt idx="41">
                  <c:v>0.75200199999999995</c:v>
                </c:pt>
                <c:pt idx="42">
                  <c:v>0.74897066666666701</c:v>
                </c:pt>
                <c:pt idx="43">
                  <c:v>0.51106733333333298</c:v>
                </c:pt>
                <c:pt idx="44">
                  <c:v>0.72182866666666701</c:v>
                </c:pt>
                <c:pt idx="45">
                  <c:v>0.66106433333333403</c:v>
                </c:pt>
                <c:pt idx="46">
                  <c:v>1.4864646666666701</c:v>
                </c:pt>
                <c:pt idx="47">
                  <c:v>0.47833933333333301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D9C-4FEC-802D-770E276DA49E}"/>
            </c:ext>
          </c:extLst>
        </c:ser>
        <c:ser>
          <c:idx val="35"/>
          <c:order val="35"/>
          <c:tx>
            <c:v>BES_TR4_three66_C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Demand_kW!$AL$2:$AL$49</c:f>
              <c:numCache>
                <c:formatCode>#,##0.000</c:formatCode>
                <c:ptCount val="48"/>
                <c:pt idx="0">
                  <c:v>6.0285333333333302E-2</c:v>
                </c:pt>
                <c:pt idx="1">
                  <c:v>0.21679699999999999</c:v>
                </c:pt>
                <c:pt idx="2">
                  <c:v>4.9000000000000002E-2</c:v>
                </c:pt>
                <c:pt idx="3">
                  <c:v>7.7516000000000002E-2</c:v>
                </c:pt>
                <c:pt idx="4">
                  <c:v>0.22216066666666701</c:v>
                </c:pt>
                <c:pt idx="5">
                  <c:v>0.13926266666666701</c:v>
                </c:pt>
                <c:pt idx="6">
                  <c:v>0.170771333333333</c:v>
                </c:pt>
                <c:pt idx="7">
                  <c:v>0.18693133333333301</c:v>
                </c:pt>
                <c:pt idx="8">
                  <c:v>0.103807333333333</c:v>
                </c:pt>
                <c:pt idx="9">
                  <c:v>0.15487566666666699</c:v>
                </c:pt>
                <c:pt idx="10">
                  <c:v>0.21249100000000001</c:v>
                </c:pt>
                <c:pt idx="11">
                  <c:v>0.16185333333333299</c:v>
                </c:pt>
                <c:pt idx="12">
                  <c:v>0.15716533333333299</c:v>
                </c:pt>
                <c:pt idx="13">
                  <c:v>0.159419333333333</c:v>
                </c:pt>
                <c:pt idx="14">
                  <c:v>0.193947333333333</c:v>
                </c:pt>
                <c:pt idx="15">
                  <c:v>0.14524633333333301</c:v>
                </c:pt>
                <c:pt idx="16">
                  <c:v>0.159504333333333</c:v>
                </c:pt>
                <c:pt idx="17">
                  <c:v>0.17240900000000001</c:v>
                </c:pt>
                <c:pt idx="18">
                  <c:v>0.13926266666666701</c:v>
                </c:pt>
                <c:pt idx="19">
                  <c:v>9.2076666666666696E-2</c:v>
                </c:pt>
                <c:pt idx="20">
                  <c:v>0.27287800000000001</c:v>
                </c:pt>
                <c:pt idx="21">
                  <c:v>9.0239533333333302E-2</c:v>
                </c:pt>
                <c:pt idx="22">
                  <c:v>0.20532133333333299</c:v>
                </c:pt>
                <c:pt idx="23">
                  <c:v>0.2135706</c:v>
                </c:pt>
                <c:pt idx="24">
                  <c:v>0.30145783333333298</c:v>
                </c:pt>
                <c:pt idx="25">
                  <c:v>0.273527666666667</c:v>
                </c:pt>
                <c:pt idx="26">
                  <c:v>0.11835066666666701</c:v>
                </c:pt>
                <c:pt idx="27">
                  <c:v>0.209436333333333</c:v>
                </c:pt>
                <c:pt idx="28">
                  <c:v>0.33982566666666703</c:v>
                </c:pt>
                <c:pt idx="29">
                  <c:v>0.25240699999999999</c:v>
                </c:pt>
                <c:pt idx="30">
                  <c:v>0.26271099999999997</c:v>
                </c:pt>
                <c:pt idx="31">
                  <c:v>6.8342E-2</c:v>
                </c:pt>
                <c:pt idx="32">
                  <c:v>0.38056933333333298</c:v>
                </c:pt>
                <c:pt idx="33">
                  <c:v>0.35025600000000001</c:v>
                </c:pt>
                <c:pt idx="34">
                  <c:v>0.57864199999999999</c:v>
                </c:pt>
                <c:pt idx="35">
                  <c:v>0.41709733333333299</c:v>
                </c:pt>
                <c:pt idx="36">
                  <c:v>0.35961666666666697</c:v>
                </c:pt>
                <c:pt idx="37">
                  <c:v>0.46758</c:v>
                </c:pt>
                <c:pt idx="38">
                  <c:v>0.14588000000000001</c:v>
                </c:pt>
                <c:pt idx="39">
                  <c:v>0.21584600000000001</c:v>
                </c:pt>
                <c:pt idx="40">
                  <c:v>9.8751666666666599E-2</c:v>
                </c:pt>
                <c:pt idx="41">
                  <c:v>0.22911699999999999</c:v>
                </c:pt>
                <c:pt idx="42">
                  <c:v>0.139282666666667</c:v>
                </c:pt>
                <c:pt idx="43">
                  <c:v>9.6384333333333405E-2</c:v>
                </c:pt>
                <c:pt idx="44">
                  <c:v>0.51224499999999995</c:v>
                </c:pt>
                <c:pt idx="45">
                  <c:v>1.1948259999999999</c:v>
                </c:pt>
                <c:pt idx="46">
                  <c:v>0.50245566666666697</c:v>
                </c:pt>
                <c:pt idx="47">
                  <c:v>0.57932033333333299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D9C-4FEC-802D-770E276DA49E}"/>
            </c:ext>
          </c:extLst>
        </c:ser>
        <c:ser>
          <c:idx val="36"/>
          <c:order val="36"/>
          <c:tx>
            <c:v>BES_TR4_three312_A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Demand_kW!$AM$2:$AM$49</c:f>
              <c:numCache>
                <c:formatCode>#,##0.000</c:formatCode>
                <c:ptCount val="48"/>
                <c:pt idx="0">
                  <c:v>0.13771800000000001</c:v>
                </c:pt>
                <c:pt idx="1">
                  <c:v>0.17603333333333299</c:v>
                </c:pt>
                <c:pt idx="2">
                  <c:v>4.8000000000000001E-2</c:v>
                </c:pt>
                <c:pt idx="3">
                  <c:v>0.26574700000000001</c:v>
                </c:pt>
                <c:pt idx="4">
                  <c:v>4.8000000000000001E-2</c:v>
                </c:pt>
                <c:pt idx="5">
                  <c:v>0.16963166666666701</c:v>
                </c:pt>
                <c:pt idx="6">
                  <c:v>0.14411966666666701</c:v>
                </c:pt>
                <c:pt idx="7">
                  <c:v>6.0803333333333397E-2</c:v>
                </c:pt>
                <c:pt idx="8">
                  <c:v>0.16322999999999999</c:v>
                </c:pt>
                <c:pt idx="9">
                  <c:v>0.13771800000000001</c:v>
                </c:pt>
                <c:pt idx="10">
                  <c:v>5.2984333333333397E-2</c:v>
                </c:pt>
                <c:pt idx="11">
                  <c:v>0.132733666666667</c:v>
                </c:pt>
                <c:pt idx="12">
                  <c:v>0.93018333333333303</c:v>
                </c:pt>
                <c:pt idx="13">
                  <c:v>0.59946566666666701</c:v>
                </c:pt>
                <c:pt idx="14">
                  <c:v>1.0096366666666701</c:v>
                </c:pt>
                <c:pt idx="15">
                  <c:v>2.6866733333333301</c:v>
                </c:pt>
                <c:pt idx="16">
                  <c:v>1.99965666666667</c:v>
                </c:pt>
                <c:pt idx="17">
                  <c:v>0.92199339999999996</c:v>
                </c:pt>
                <c:pt idx="18">
                  <c:v>0.67586559999999996</c:v>
                </c:pt>
                <c:pt idx="19">
                  <c:v>0.15042666666666701</c:v>
                </c:pt>
                <c:pt idx="20">
                  <c:v>6.9941233333333394E-2</c:v>
                </c:pt>
                <c:pt idx="21">
                  <c:v>0.26499566666666702</c:v>
                </c:pt>
                <c:pt idx="22">
                  <c:v>6.7813100000000001E-2</c:v>
                </c:pt>
                <c:pt idx="23">
                  <c:v>1.12432833333333</c:v>
                </c:pt>
                <c:pt idx="24">
                  <c:v>1.216386</c:v>
                </c:pt>
                <c:pt idx="25">
                  <c:v>0.28874</c:v>
                </c:pt>
                <c:pt idx="26">
                  <c:v>0.13252249999999999</c:v>
                </c:pt>
                <c:pt idx="27">
                  <c:v>2.1276160000000002</c:v>
                </c:pt>
                <c:pt idx="28">
                  <c:v>2.9897433333333301</c:v>
                </c:pt>
                <c:pt idx="29">
                  <c:v>0.89244833333333295</c:v>
                </c:pt>
                <c:pt idx="30">
                  <c:v>0.442253333333333</c:v>
                </c:pt>
                <c:pt idx="31">
                  <c:v>1.3085089999999999</c:v>
                </c:pt>
                <c:pt idx="32">
                  <c:v>1.73897833333333</c:v>
                </c:pt>
                <c:pt idx="33">
                  <c:v>0.21502333333333301</c:v>
                </c:pt>
                <c:pt idx="34">
                  <c:v>0.307649333333333</c:v>
                </c:pt>
                <c:pt idx="35">
                  <c:v>0.14561499999999999</c:v>
                </c:pt>
                <c:pt idx="36">
                  <c:v>0.337065</c:v>
                </c:pt>
                <c:pt idx="37">
                  <c:v>0.19827466666666699</c:v>
                </c:pt>
                <c:pt idx="38">
                  <c:v>1.982578</c:v>
                </c:pt>
                <c:pt idx="39">
                  <c:v>0.41593833333333402</c:v>
                </c:pt>
                <c:pt idx="40">
                  <c:v>0.54423466666666698</c:v>
                </c:pt>
                <c:pt idx="41">
                  <c:v>0.50650066666666704</c:v>
                </c:pt>
                <c:pt idx="42">
                  <c:v>0.57078399999999996</c:v>
                </c:pt>
                <c:pt idx="43">
                  <c:v>0.89193666666666704</c:v>
                </c:pt>
                <c:pt idx="44">
                  <c:v>0.91535633333333399</c:v>
                </c:pt>
                <c:pt idx="45">
                  <c:v>1.0162053333333301</c:v>
                </c:pt>
                <c:pt idx="46">
                  <c:v>0.18892999999999999</c:v>
                </c:pt>
                <c:pt idx="47">
                  <c:v>0.12482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D9C-4FEC-802D-770E276DA49E}"/>
            </c:ext>
          </c:extLst>
        </c:ser>
        <c:ser>
          <c:idx val="37"/>
          <c:order val="37"/>
          <c:tx>
            <c:v>BES_TR4_three321_B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Demand_kW!$AN$2:$AN$49</c:f>
              <c:numCache>
                <c:formatCode>#,##0.000</c:formatCode>
                <c:ptCount val="48"/>
                <c:pt idx="0">
                  <c:v>0.124759333333333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0.124759333333333</c:v>
                </c:pt>
                <c:pt idx="6">
                  <c:v>6.0044666666666698E-2</c:v>
                </c:pt>
                <c:pt idx="7">
                  <c:v>0.120714666666667</c:v>
                </c:pt>
                <c:pt idx="8">
                  <c:v>6.4089333333333401E-2</c:v>
                </c:pt>
                <c:pt idx="9">
                  <c:v>0.17512666666666701</c:v>
                </c:pt>
                <c:pt idx="10">
                  <c:v>0.41338000000000003</c:v>
                </c:pt>
                <c:pt idx="11">
                  <c:v>0.63763199999999998</c:v>
                </c:pt>
                <c:pt idx="12">
                  <c:v>0.49506666666666699</c:v>
                </c:pt>
                <c:pt idx="13">
                  <c:v>2.62778</c:v>
                </c:pt>
                <c:pt idx="14">
                  <c:v>2.5674999999999999</c:v>
                </c:pt>
                <c:pt idx="15">
                  <c:v>0.512946666666666</c:v>
                </c:pt>
                <c:pt idx="16">
                  <c:v>8.8357333333333399E-2</c:v>
                </c:pt>
                <c:pt idx="17">
                  <c:v>0.28439999999999999</c:v>
                </c:pt>
                <c:pt idx="18">
                  <c:v>5.6000000000000001E-2</c:v>
                </c:pt>
                <c:pt idx="19">
                  <c:v>0.27526333333333303</c:v>
                </c:pt>
                <c:pt idx="20">
                  <c:v>0.123284666666667</c:v>
                </c:pt>
                <c:pt idx="21">
                  <c:v>7.6223333333333407E-2</c:v>
                </c:pt>
                <c:pt idx="22">
                  <c:v>0.28602919999999998</c:v>
                </c:pt>
                <c:pt idx="23">
                  <c:v>0.167973333333333</c:v>
                </c:pt>
                <c:pt idx="24">
                  <c:v>0.15366433333333299</c:v>
                </c:pt>
                <c:pt idx="25">
                  <c:v>0.436423333333333</c:v>
                </c:pt>
                <c:pt idx="26">
                  <c:v>0.50041533333333399</c:v>
                </c:pt>
                <c:pt idx="27">
                  <c:v>0.58524666666666703</c:v>
                </c:pt>
                <c:pt idx="28">
                  <c:v>0.49578433333333299</c:v>
                </c:pt>
                <c:pt idx="29">
                  <c:v>0.46325766666666701</c:v>
                </c:pt>
                <c:pt idx="30">
                  <c:v>0.45588533333333398</c:v>
                </c:pt>
                <c:pt idx="31">
                  <c:v>0.54189766666666705</c:v>
                </c:pt>
                <c:pt idx="32">
                  <c:v>0.33400999999999997</c:v>
                </c:pt>
                <c:pt idx="33">
                  <c:v>2.03797433333333</c:v>
                </c:pt>
                <c:pt idx="34">
                  <c:v>0.69312300000000004</c:v>
                </c:pt>
                <c:pt idx="35">
                  <c:v>0.56174299999999999</c:v>
                </c:pt>
                <c:pt idx="36">
                  <c:v>0.56987733333333401</c:v>
                </c:pt>
                <c:pt idx="37">
                  <c:v>0.306145</c:v>
                </c:pt>
                <c:pt idx="38">
                  <c:v>0.19083866666666699</c:v>
                </c:pt>
                <c:pt idx="39">
                  <c:v>0.332322333333333</c:v>
                </c:pt>
                <c:pt idx="40">
                  <c:v>0.53509566666666697</c:v>
                </c:pt>
                <c:pt idx="41">
                  <c:v>0.78062466666666697</c:v>
                </c:pt>
                <c:pt idx="42">
                  <c:v>0.44105733333333302</c:v>
                </c:pt>
                <c:pt idx="43">
                  <c:v>0.95440400000000003</c:v>
                </c:pt>
                <c:pt idx="44">
                  <c:v>0.51206200000000002</c:v>
                </c:pt>
                <c:pt idx="45">
                  <c:v>0.34421000000000002</c:v>
                </c:pt>
                <c:pt idx="46">
                  <c:v>0.50359533333333295</c:v>
                </c:pt>
                <c:pt idx="47">
                  <c:v>0.421831333333333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D9C-4FEC-802D-770E276DA49E}"/>
            </c:ext>
          </c:extLst>
        </c:ser>
        <c:ser>
          <c:idx val="38"/>
          <c:order val="38"/>
          <c:tx>
            <c:v>BES_TR4_three368_A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Demand_kW!$AO$2:$AO$49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0.17059133333333301</c:v>
                </c:pt>
                <c:pt idx="2">
                  <c:v>4.2999999999999997E-2</c:v>
                </c:pt>
                <c:pt idx="3">
                  <c:v>4.2999999999999997E-2</c:v>
                </c:pt>
                <c:pt idx="4">
                  <c:v>0.17059133333333301</c:v>
                </c:pt>
                <c:pt idx="5">
                  <c:v>4.2999999999999997E-2</c:v>
                </c:pt>
                <c:pt idx="6">
                  <c:v>0.17059133333333301</c:v>
                </c:pt>
                <c:pt idx="7">
                  <c:v>4.2999999999999997E-2</c:v>
                </c:pt>
                <c:pt idx="8">
                  <c:v>4.2999999999999997E-2</c:v>
                </c:pt>
                <c:pt idx="9">
                  <c:v>7.0341000000000001E-2</c:v>
                </c:pt>
                <c:pt idx="10">
                  <c:v>0.14325033333333301</c:v>
                </c:pt>
                <c:pt idx="11">
                  <c:v>4.2999999999999997E-2</c:v>
                </c:pt>
                <c:pt idx="12">
                  <c:v>0.17059133333333301</c:v>
                </c:pt>
                <c:pt idx="13">
                  <c:v>4.2999999999999997E-2</c:v>
                </c:pt>
                <c:pt idx="14">
                  <c:v>9.7682000000000005E-2</c:v>
                </c:pt>
                <c:pt idx="15">
                  <c:v>0.115909333333333</c:v>
                </c:pt>
                <c:pt idx="16">
                  <c:v>4.2999999999999997E-2</c:v>
                </c:pt>
                <c:pt idx="17">
                  <c:v>0.17059133333333301</c:v>
                </c:pt>
                <c:pt idx="18">
                  <c:v>4.2999999999999997E-2</c:v>
                </c:pt>
                <c:pt idx="19">
                  <c:v>0.14325033333333301</c:v>
                </c:pt>
                <c:pt idx="20">
                  <c:v>7.0341000000000001E-2</c:v>
                </c:pt>
                <c:pt idx="21">
                  <c:v>4.2999999999999997E-2</c:v>
                </c:pt>
                <c:pt idx="22">
                  <c:v>4.2999999999999997E-2</c:v>
                </c:pt>
                <c:pt idx="23">
                  <c:v>4.2999999999999997E-2</c:v>
                </c:pt>
                <c:pt idx="24">
                  <c:v>4.2999999999999997E-2</c:v>
                </c:pt>
                <c:pt idx="25">
                  <c:v>0.17059133333333301</c:v>
                </c:pt>
                <c:pt idx="26">
                  <c:v>4.2999999999999997E-2</c:v>
                </c:pt>
                <c:pt idx="27">
                  <c:v>0.125023</c:v>
                </c:pt>
                <c:pt idx="28">
                  <c:v>8.8568333333333402E-2</c:v>
                </c:pt>
                <c:pt idx="29">
                  <c:v>0.21410999999999999</c:v>
                </c:pt>
                <c:pt idx="30">
                  <c:v>0.29045716666666699</c:v>
                </c:pt>
                <c:pt idx="31">
                  <c:v>0.30271049999999999</c:v>
                </c:pt>
                <c:pt idx="32">
                  <c:v>7.7744999999999995E-2</c:v>
                </c:pt>
                <c:pt idx="33">
                  <c:v>9.2811333333333301E-2</c:v>
                </c:pt>
                <c:pt idx="34">
                  <c:v>0.13799</c:v>
                </c:pt>
                <c:pt idx="35">
                  <c:v>5.5665333333333303E-2</c:v>
                </c:pt>
                <c:pt idx="36">
                  <c:v>0.1801972</c:v>
                </c:pt>
                <c:pt idx="37">
                  <c:v>6.0740433333333302E-2</c:v>
                </c:pt>
                <c:pt idx="38">
                  <c:v>0.120689333333333</c:v>
                </c:pt>
                <c:pt idx="39">
                  <c:v>0.106795666666667</c:v>
                </c:pt>
                <c:pt idx="40">
                  <c:v>4.2999999999999997E-2</c:v>
                </c:pt>
                <c:pt idx="41">
                  <c:v>4.2999999999999997E-2</c:v>
                </c:pt>
                <c:pt idx="42">
                  <c:v>0.17059133333333301</c:v>
                </c:pt>
                <c:pt idx="43">
                  <c:v>4.2999999999999997E-2</c:v>
                </c:pt>
                <c:pt idx="44">
                  <c:v>4.2999999999999997E-2</c:v>
                </c:pt>
                <c:pt idx="45">
                  <c:v>0.17059133333333301</c:v>
                </c:pt>
                <c:pt idx="46">
                  <c:v>4.2999999999999997E-2</c:v>
                </c:pt>
                <c:pt idx="47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D9C-4FEC-802D-770E276DA49E}"/>
            </c:ext>
          </c:extLst>
        </c:ser>
        <c:ser>
          <c:idx val="39"/>
          <c:order val="39"/>
          <c:tx>
            <c:v>BES_TR4_three388_A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Demand_kW!$AP$2:$AP$49</c:f>
              <c:numCache>
                <c:formatCode>#,##0.000</c:formatCode>
                <c:ptCount val="48"/>
                <c:pt idx="0">
                  <c:v>0.29802800000000002</c:v>
                </c:pt>
                <c:pt idx="1">
                  <c:v>6.8335000000000007E-2</c:v>
                </c:pt>
                <c:pt idx="2">
                  <c:v>0.112262</c:v>
                </c:pt>
                <c:pt idx="3">
                  <c:v>0.25410533333333302</c:v>
                </c:pt>
                <c:pt idx="4">
                  <c:v>0.05</c:v>
                </c:pt>
                <c:pt idx="5">
                  <c:v>0.285401666666667</c:v>
                </c:pt>
                <c:pt idx="6">
                  <c:v>8.0961333333333302E-2</c:v>
                </c:pt>
                <c:pt idx="7">
                  <c:v>8.4589999999999999E-2</c:v>
                </c:pt>
                <c:pt idx="8">
                  <c:v>0.20756666666666701</c:v>
                </c:pt>
                <c:pt idx="9">
                  <c:v>0.124212666666667</c:v>
                </c:pt>
                <c:pt idx="10">
                  <c:v>5.6918000000000003E-2</c:v>
                </c:pt>
                <c:pt idx="11">
                  <c:v>0.28661433333333303</c:v>
                </c:pt>
                <c:pt idx="12">
                  <c:v>7.28346666666667E-2</c:v>
                </c:pt>
                <c:pt idx="13">
                  <c:v>0.13563</c:v>
                </c:pt>
                <c:pt idx="14">
                  <c:v>7.8543333333333298E-2</c:v>
                </c:pt>
                <c:pt idx="15">
                  <c:v>0.18144199999999999</c:v>
                </c:pt>
                <c:pt idx="16">
                  <c:v>0.18492700000000001</c:v>
                </c:pt>
                <c:pt idx="17">
                  <c:v>0.11040333333333301</c:v>
                </c:pt>
                <c:pt idx="18">
                  <c:v>1.3232106666666701</c:v>
                </c:pt>
                <c:pt idx="19">
                  <c:v>0.24657533333333301</c:v>
                </c:pt>
                <c:pt idx="20">
                  <c:v>1.4553496666666701</c:v>
                </c:pt>
                <c:pt idx="21">
                  <c:v>1.5940333333333301</c:v>
                </c:pt>
                <c:pt idx="22">
                  <c:v>0.39701200000000098</c:v>
                </c:pt>
                <c:pt idx="23">
                  <c:v>0.164173333333333</c:v>
                </c:pt>
                <c:pt idx="24">
                  <c:v>0.05</c:v>
                </c:pt>
                <c:pt idx="25">
                  <c:v>0.31636266666666701</c:v>
                </c:pt>
                <c:pt idx="26">
                  <c:v>0.05</c:v>
                </c:pt>
                <c:pt idx="27">
                  <c:v>0.05</c:v>
                </c:pt>
                <c:pt idx="28">
                  <c:v>0.249942</c:v>
                </c:pt>
                <c:pt idx="29">
                  <c:v>1.0744199999999999</c:v>
                </c:pt>
                <c:pt idx="30">
                  <c:v>0.42885299999999998</c:v>
                </c:pt>
                <c:pt idx="31">
                  <c:v>0.57559133333333401</c:v>
                </c:pt>
                <c:pt idx="32">
                  <c:v>0.374753</c:v>
                </c:pt>
                <c:pt idx="33">
                  <c:v>0.31192366666666699</c:v>
                </c:pt>
                <c:pt idx="34">
                  <c:v>0.29649366666666699</c:v>
                </c:pt>
                <c:pt idx="35">
                  <c:v>1.7234353333333301</c:v>
                </c:pt>
                <c:pt idx="36">
                  <c:v>1.3910693333333299</c:v>
                </c:pt>
                <c:pt idx="37">
                  <c:v>0.656411999999999</c:v>
                </c:pt>
                <c:pt idx="38">
                  <c:v>0.291706666666667</c:v>
                </c:pt>
                <c:pt idx="39">
                  <c:v>0.59235499999999996</c:v>
                </c:pt>
                <c:pt idx="40">
                  <c:v>0.453791</c:v>
                </c:pt>
                <c:pt idx="41">
                  <c:v>0.67605800000000005</c:v>
                </c:pt>
                <c:pt idx="42">
                  <c:v>1.3817060000000001</c:v>
                </c:pt>
                <c:pt idx="43">
                  <c:v>0.85398066666666705</c:v>
                </c:pt>
                <c:pt idx="44">
                  <c:v>0.63662966666666698</c:v>
                </c:pt>
                <c:pt idx="45">
                  <c:v>0.33354866666666699</c:v>
                </c:pt>
                <c:pt idx="46">
                  <c:v>0.19580766666666699</c:v>
                </c:pt>
                <c:pt idx="47">
                  <c:v>0.17055500000000001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D9C-4FEC-802D-770E276DA49E}"/>
            </c:ext>
          </c:extLst>
        </c:ser>
        <c:ser>
          <c:idx val="40"/>
          <c:order val="40"/>
          <c:tx>
            <c:v>BES_TR4_three409_C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Demand_kW!$AQ$2:$AQ$49</c:f>
              <c:numCache>
                <c:formatCode>#,##0.000</c:formatCode>
                <c:ptCount val="48"/>
                <c:pt idx="0">
                  <c:v>0.48496166666666601</c:v>
                </c:pt>
                <c:pt idx="1">
                  <c:v>4.2000000000000003E-2</c:v>
                </c:pt>
                <c:pt idx="2">
                  <c:v>0.154366</c:v>
                </c:pt>
                <c:pt idx="3">
                  <c:v>5.9742000000000003E-2</c:v>
                </c:pt>
                <c:pt idx="4">
                  <c:v>4.2000000000000003E-2</c:v>
                </c:pt>
                <c:pt idx="5">
                  <c:v>0.136624</c:v>
                </c:pt>
                <c:pt idx="6">
                  <c:v>7.7483999999999997E-2</c:v>
                </c:pt>
                <c:pt idx="7">
                  <c:v>4.2000000000000003E-2</c:v>
                </c:pt>
                <c:pt idx="8">
                  <c:v>0.17210800000000001</c:v>
                </c:pt>
                <c:pt idx="9">
                  <c:v>4.2000000000000003E-2</c:v>
                </c:pt>
                <c:pt idx="10">
                  <c:v>4.2000000000000003E-2</c:v>
                </c:pt>
                <c:pt idx="11">
                  <c:v>0.17210800000000001</c:v>
                </c:pt>
                <c:pt idx="12">
                  <c:v>4.2000000000000003E-2</c:v>
                </c:pt>
                <c:pt idx="13">
                  <c:v>0.136624</c:v>
                </c:pt>
                <c:pt idx="14">
                  <c:v>0.176426</c:v>
                </c:pt>
                <c:pt idx="15">
                  <c:v>0.223482666666667</c:v>
                </c:pt>
                <c:pt idx="16">
                  <c:v>0.264208</c:v>
                </c:pt>
                <c:pt idx="17">
                  <c:v>4.2000000000000003E-2</c:v>
                </c:pt>
                <c:pt idx="18">
                  <c:v>0.136624</c:v>
                </c:pt>
                <c:pt idx="19">
                  <c:v>7.7483999999999997E-2</c:v>
                </c:pt>
                <c:pt idx="20">
                  <c:v>4.2000000000000003E-2</c:v>
                </c:pt>
                <c:pt idx="21">
                  <c:v>6.5656000000000006E-2</c:v>
                </c:pt>
                <c:pt idx="22">
                  <c:v>0.148452</c:v>
                </c:pt>
                <c:pt idx="23">
                  <c:v>4.2000000000000003E-2</c:v>
                </c:pt>
                <c:pt idx="24">
                  <c:v>0.136624</c:v>
                </c:pt>
                <c:pt idx="25">
                  <c:v>7.7483999999999997E-2</c:v>
                </c:pt>
                <c:pt idx="26">
                  <c:v>0.45042833333333399</c:v>
                </c:pt>
                <c:pt idx="27">
                  <c:v>0.68608133333333299</c:v>
                </c:pt>
                <c:pt idx="28">
                  <c:v>0.82986066666666702</c:v>
                </c:pt>
                <c:pt idx="29">
                  <c:v>1.6617166666666701</c:v>
                </c:pt>
                <c:pt idx="30">
                  <c:v>0.41025800000000001</c:v>
                </c:pt>
                <c:pt idx="31">
                  <c:v>0.17737</c:v>
                </c:pt>
                <c:pt idx="32">
                  <c:v>0.1759</c:v>
                </c:pt>
                <c:pt idx="33">
                  <c:v>0.24601166666666699</c:v>
                </c:pt>
                <c:pt idx="34">
                  <c:v>0.124212</c:v>
                </c:pt>
                <c:pt idx="35">
                  <c:v>0.19614999999999999</c:v>
                </c:pt>
                <c:pt idx="36">
                  <c:v>0.18015</c:v>
                </c:pt>
                <c:pt idx="37">
                  <c:v>0.369612</c:v>
                </c:pt>
                <c:pt idx="38">
                  <c:v>0.32433333333333297</c:v>
                </c:pt>
                <c:pt idx="39">
                  <c:v>0.280403333333333</c:v>
                </c:pt>
                <c:pt idx="40">
                  <c:v>0.13070999999999999</c:v>
                </c:pt>
                <c:pt idx="41">
                  <c:v>8.3397999999999903E-2</c:v>
                </c:pt>
                <c:pt idx="42">
                  <c:v>4.2000000000000003E-2</c:v>
                </c:pt>
                <c:pt idx="43">
                  <c:v>0.17210800000000001</c:v>
                </c:pt>
                <c:pt idx="44">
                  <c:v>4.2000000000000003E-2</c:v>
                </c:pt>
                <c:pt idx="45">
                  <c:v>0.10113999999999999</c:v>
                </c:pt>
                <c:pt idx="46">
                  <c:v>0.112968</c:v>
                </c:pt>
                <c:pt idx="47">
                  <c:v>4.2000000000000003E-2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D9C-4FEC-802D-770E276DA49E}"/>
            </c:ext>
          </c:extLst>
        </c:ser>
        <c:ser>
          <c:idx val="41"/>
          <c:order val="41"/>
          <c:tx>
            <c:v>BES_TR4_three76_A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Demand_kW!$AR$2:$AR$49</c:f>
              <c:numCache>
                <c:formatCode>#,##0.000</c:formatCode>
                <c:ptCount val="48"/>
                <c:pt idx="0">
                  <c:v>0.97896666666666698</c:v>
                </c:pt>
                <c:pt idx="1">
                  <c:v>0.463088</c:v>
                </c:pt>
                <c:pt idx="2">
                  <c:v>7.0000000000000007E-2</c:v>
                </c:pt>
                <c:pt idx="3">
                  <c:v>0.19374266666666701</c:v>
                </c:pt>
                <c:pt idx="4">
                  <c:v>7.1012000000000006E-2</c:v>
                </c:pt>
                <c:pt idx="5">
                  <c:v>4.8000000000000001E-2</c:v>
                </c:pt>
                <c:pt idx="6">
                  <c:v>0.101694666666667</c:v>
                </c:pt>
                <c:pt idx="7">
                  <c:v>0.16306000000000001</c:v>
                </c:pt>
                <c:pt idx="8">
                  <c:v>5.5670666666666702E-2</c:v>
                </c:pt>
                <c:pt idx="9">
                  <c:v>0.20908399999999999</c:v>
                </c:pt>
                <c:pt idx="10">
                  <c:v>4.8000000000000001E-2</c:v>
                </c:pt>
                <c:pt idx="11">
                  <c:v>0.147718666666667</c:v>
                </c:pt>
                <c:pt idx="12">
                  <c:v>0.117036</c:v>
                </c:pt>
                <c:pt idx="13">
                  <c:v>4.8000000000000001E-2</c:v>
                </c:pt>
                <c:pt idx="14">
                  <c:v>0.65924466666666703</c:v>
                </c:pt>
                <c:pt idx="15">
                  <c:v>0.81230666666666596</c:v>
                </c:pt>
                <c:pt idx="16">
                  <c:v>5.8266666666666599E-2</c:v>
                </c:pt>
                <c:pt idx="17">
                  <c:v>1.32070466666667</c:v>
                </c:pt>
                <c:pt idx="18">
                  <c:v>4.8000000000000001E-2</c:v>
                </c:pt>
                <c:pt idx="19">
                  <c:v>7.1012000000000006E-2</c:v>
                </c:pt>
                <c:pt idx="20">
                  <c:v>0.19374266666666701</c:v>
                </c:pt>
                <c:pt idx="21">
                  <c:v>4.8000000000000001E-2</c:v>
                </c:pt>
                <c:pt idx="22">
                  <c:v>0.117036</c:v>
                </c:pt>
                <c:pt idx="23">
                  <c:v>0.147718666666667</c:v>
                </c:pt>
                <c:pt idx="24">
                  <c:v>5.5670666666666702E-2</c:v>
                </c:pt>
                <c:pt idx="25">
                  <c:v>0.20908399999999999</c:v>
                </c:pt>
                <c:pt idx="26">
                  <c:v>4.8000000000000001E-2</c:v>
                </c:pt>
                <c:pt idx="27">
                  <c:v>0.21675466666666701</c:v>
                </c:pt>
                <c:pt idx="28">
                  <c:v>4.8000000000000001E-2</c:v>
                </c:pt>
                <c:pt idx="29">
                  <c:v>0.78015999999999897</c:v>
                </c:pt>
                <c:pt idx="30">
                  <c:v>0.228090866666667</c:v>
                </c:pt>
                <c:pt idx="31">
                  <c:v>0.2622139</c:v>
                </c:pt>
                <c:pt idx="32">
                  <c:v>0.134058866666667</c:v>
                </c:pt>
                <c:pt idx="33">
                  <c:v>0.1726356</c:v>
                </c:pt>
                <c:pt idx="34">
                  <c:v>0.55797633333333296</c:v>
                </c:pt>
                <c:pt idx="35">
                  <c:v>1.3010489999999999</c:v>
                </c:pt>
                <c:pt idx="36">
                  <c:v>0.27793833333333301</c:v>
                </c:pt>
                <c:pt idx="37">
                  <c:v>0.29837133333333299</c:v>
                </c:pt>
                <c:pt idx="38">
                  <c:v>0.353829</c:v>
                </c:pt>
                <c:pt idx="39">
                  <c:v>0.38884200000000002</c:v>
                </c:pt>
                <c:pt idx="40">
                  <c:v>0.17895366666666701</c:v>
                </c:pt>
                <c:pt idx="41">
                  <c:v>0.52692666666666699</c:v>
                </c:pt>
                <c:pt idx="42">
                  <c:v>0.30991833333333302</c:v>
                </c:pt>
                <c:pt idx="43">
                  <c:v>0.64641266666666697</c:v>
                </c:pt>
                <c:pt idx="44">
                  <c:v>0.52633666666666701</c:v>
                </c:pt>
                <c:pt idx="45">
                  <c:v>0.69357433333333296</c:v>
                </c:pt>
                <c:pt idx="46">
                  <c:v>0.170730666666667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D9C-4FEC-802D-770E276DA49E}"/>
            </c:ext>
          </c:extLst>
        </c:ser>
        <c:ser>
          <c:idx val="42"/>
          <c:order val="42"/>
          <c:tx>
            <c:v>BES_TR4_three81_A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Demand_kW!$AS$2:$AS$49</c:f>
              <c:numCache>
                <c:formatCode>#,##0.000</c:formatCode>
                <c:ptCount val="48"/>
                <c:pt idx="0">
                  <c:v>0.24482799999999999</c:v>
                </c:pt>
                <c:pt idx="1">
                  <c:v>6.5037999999999999E-2</c:v>
                </c:pt>
                <c:pt idx="2">
                  <c:v>0.20800199999999999</c:v>
                </c:pt>
                <c:pt idx="3">
                  <c:v>0.13022800000000001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0.138463</c:v>
                </c:pt>
                <c:pt idx="7">
                  <c:v>0.199767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0.28622999999999998</c:v>
                </c:pt>
                <c:pt idx="11">
                  <c:v>6.5037999999999999E-2</c:v>
                </c:pt>
                <c:pt idx="12">
                  <c:v>0.11719</c:v>
                </c:pt>
                <c:pt idx="13">
                  <c:v>6.6182000000000005E-2</c:v>
                </c:pt>
                <c:pt idx="14">
                  <c:v>0.27204800000000001</c:v>
                </c:pt>
                <c:pt idx="15">
                  <c:v>5.1999999999999998E-2</c:v>
                </c:pt>
                <c:pt idx="16">
                  <c:v>0.44209266666666602</c:v>
                </c:pt>
                <c:pt idx="17">
                  <c:v>0.24178433333333299</c:v>
                </c:pt>
                <c:pt idx="18">
                  <c:v>0.20482666666666699</c:v>
                </c:pt>
                <c:pt idx="19">
                  <c:v>0.19994666666666699</c:v>
                </c:pt>
                <c:pt idx="20">
                  <c:v>0.42554999999999998</c:v>
                </c:pt>
                <c:pt idx="21">
                  <c:v>0.133214</c:v>
                </c:pt>
                <c:pt idx="22">
                  <c:v>0.25462493333333303</c:v>
                </c:pt>
                <c:pt idx="23">
                  <c:v>0.16917080000000001</c:v>
                </c:pt>
                <c:pt idx="24">
                  <c:v>0.63500639999999997</c:v>
                </c:pt>
                <c:pt idx="25">
                  <c:v>0.40256900000000001</c:v>
                </c:pt>
                <c:pt idx="26">
                  <c:v>0.17143</c:v>
                </c:pt>
                <c:pt idx="27">
                  <c:v>0.38678600000000002</c:v>
                </c:pt>
                <c:pt idx="28">
                  <c:v>0.49195866666666699</c:v>
                </c:pt>
                <c:pt idx="29">
                  <c:v>0.34411766666666699</c:v>
                </c:pt>
                <c:pt idx="30">
                  <c:v>0.29322466666666702</c:v>
                </c:pt>
                <c:pt idx="31">
                  <c:v>5.1999999999999998E-2</c:v>
                </c:pt>
                <c:pt idx="32">
                  <c:v>1.3057799999999999</c:v>
                </c:pt>
                <c:pt idx="33">
                  <c:v>1.0518206666666701</c:v>
                </c:pt>
                <c:pt idx="34">
                  <c:v>1.83143566666667</c:v>
                </c:pt>
                <c:pt idx="35">
                  <c:v>0.41742763333333299</c:v>
                </c:pt>
                <c:pt idx="36">
                  <c:v>0.383322</c:v>
                </c:pt>
                <c:pt idx="37">
                  <c:v>0.56776033333333398</c:v>
                </c:pt>
                <c:pt idx="38">
                  <c:v>0.46176499999999998</c:v>
                </c:pt>
                <c:pt idx="39">
                  <c:v>0.25396166666666697</c:v>
                </c:pt>
                <c:pt idx="40">
                  <c:v>0.76921466666666705</c:v>
                </c:pt>
                <c:pt idx="41">
                  <c:v>0.88432200000000005</c:v>
                </c:pt>
                <c:pt idx="42">
                  <c:v>0.750060333333333</c:v>
                </c:pt>
                <c:pt idx="43">
                  <c:v>0.85384133333333301</c:v>
                </c:pt>
                <c:pt idx="44">
                  <c:v>0.67956133333333402</c:v>
                </c:pt>
                <c:pt idx="45">
                  <c:v>0.83885500000000002</c:v>
                </c:pt>
                <c:pt idx="46">
                  <c:v>0.39210060000000002</c:v>
                </c:pt>
                <c:pt idx="47">
                  <c:v>8.7455000000000102E-2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D9C-4FEC-802D-770E276DA49E}"/>
            </c:ext>
          </c:extLst>
        </c:ser>
        <c:ser>
          <c:idx val="43"/>
          <c:order val="43"/>
          <c:tx>
            <c:v>BES_TR4_three90_C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Demand_kW!$AT$2:$AT$49</c:f>
              <c:numCache>
                <c:formatCode>#,##0.000</c:formatCode>
                <c:ptCount val="48"/>
                <c:pt idx="0">
                  <c:v>9.5666666666666705E-2</c:v>
                </c:pt>
                <c:pt idx="1">
                  <c:v>0.18990799999999999</c:v>
                </c:pt>
                <c:pt idx="2">
                  <c:v>0.157248</c:v>
                </c:pt>
                <c:pt idx="3">
                  <c:v>3.4000000000000002E-2</c:v>
                </c:pt>
                <c:pt idx="4">
                  <c:v>0.26693733333333303</c:v>
                </c:pt>
                <c:pt idx="5">
                  <c:v>8.02179999999999E-2</c:v>
                </c:pt>
                <c:pt idx="6">
                  <c:v>3.4000000000000002E-2</c:v>
                </c:pt>
                <c:pt idx="7">
                  <c:v>0.20346600000000001</c:v>
                </c:pt>
                <c:pt idx="8">
                  <c:v>0.14369000000000001</c:v>
                </c:pt>
                <c:pt idx="9">
                  <c:v>0.103327</c:v>
                </c:pt>
                <c:pt idx="10">
                  <c:v>0.173314</c:v>
                </c:pt>
                <c:pt idx="11">
                  <c:v>0.104515</c:v>
                </c:pt>
                <c:pt idx="12">
                  <c:v>3.4000000000000002E-2</c:v>
                </c:pt>
                <c:pt idx="13">
                  <c:v>0.21222233333333301</c:v>
                </c:pt>
                <c:pt idx="14">
                  <c:v>0.13492899999999999</c:v>
                </c:pt>
                <c:pt idx="15">
                  <c:v>3.4000000000000002E-2</c:v>
                </c:pt>
                <c:pt idx="16">
                  <c:v>0.14369000000000001</c:v>
                </c:pt>
                <c:pt idx="17">
                  <c:v>0.103327</c:v>
                </c:pt>
                <c:pt idx="18">
                  <c:v>0.24382899999999999</c:v>
                </c:pt>
                <c:pt idx="19">
                  <c:v>3.4000000000000002E-2</c:v>
                </c:pt>
                <c:pt idx="20">
                  <c:v>0.20346600000000001</c:v>
                </c:pt>
                <c:pt idx="21">
                  <c:v>0.14369000000000001</c:v>
                </c:pt>
                <c:pt idx="22">
                  <c:v>3.4000000000000002E-2</c:v>
                </c:pt>
                <c:pt idx="23">
                  <c:v>0.25047433333333302</c:v>
                </c:pt>
                <c:pt idx="24">
                  <c:v>9.6679999999999905E-2</c:v>
                </c:pt>
                <c:pt idx="25">
                  <c:v>3.4000000000000002E-2</c:v>
                </c:pt>
                <c:pt idx="26">
                  <c:v>0.313151333333334</c:v>
                </c:pt>
                <c:pt idx="27">
                  <c:v>3.4000000000000002E-2</c:v>
                </c:pt>
                <c:pt idx="28">
                  <c:v>0.104515</c:v>
                </c:pt>
                <c:pt idx="29">
                  <c:v>0.22723499999999999</c:v>
                </c:pt>
                <c:pt idx="30">
                  <c:v>4.9405999999999999E-2</c:v>
                </c:pt>
                <c:pt idx="31">
                  <c:v>3.4000000000000002E-2</c:v>
                </c:pt>
                <c:pt idx="32">
                  <c:v>0.20346600000000001</c:v>
                </c:pt>
                <c:pt idx="33">
                  <c:v>0.14369000000000001</c:v>
                </c:pt>
                <c:pt idx="34">
                  <c:v>0.157248</c:v>
                </c:pt>
                <c:pt idx="35">
                  <c:v>0.111558</c:v>
                </c:pt>
                <c:pt idx="36">
                  <c:v>0.17397399999999999</c:v>
                </c:pt>
                <c:pt idx="37">
                  <c:v>0.141842</c:v>
                </c:pt>
                <c:pt idx="38">
                  <c:v>0.14369000000000001</c:v>
                </c:pt>
                <c:pt idx="39">
                  <c:v>0.51097333333333295</c:v>
                </c:pt>
                <c:pt idx="40">
                  <c:v>0.286827</c:v>
                </c:pt>
                <c:pt idx="41">
                  <c:v>0.25848833333333299</c:v>
                </c:pt>
                <c:pt idx="42">
                  <c:v>0.103327</c:v>
                </c:pt>
                <c:pt idx="43">
                  <c:v>0.16547899999999999</c:v>
                </c:pt>
                <c:pt idx="44">
                  <c:v>0.11235000000000001</c:v>
                </c:pt>
                <c:pt idx="45">
                  <c:v>0.27940809999999999</c:v>
                </c:pt>
                <c:pt idx="46">
                  <c:v>0.1993895</c:v>
                </c:pt>
                <c:pt idx="47">
                  <c:v>0.51028799999999996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D9C-4FEC-802D-770E276DA49E}"/>
            </c:ext>
          </c:extLst>
        </c:ser>
        <c:ser>
          <c:idx val="44"/>
          <c:order val="44"/>
          <c:tx>
            <c:v>BES_TR4_three97_B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Demand_kW!$AU$2:$AU$49</c:f>
              <c:numCache>
                <c:formatCode>#,##0.000</c:formatCode>
                <c:ptCount val="48"/>
                <c:pt idx="0">
                  <c:v>0.131071666666667</c:v>
                </c:pt>
                <c:pt idx="1">
                  <c:v>0.20060700000000001</c:v>
                </c:pt>
                <c:pt idx="2">
                  <c:v>5.5E-2</c:v>
                </c:pt>
                <c:pt idx="3">
                  <c:v>0.20754066666666701</c:v>
                </c:pt>
                <c:pt idx="4">
                  <c:v>0.124138</c:v>
                </c:pt>
                <c:pt idx="5">
                  <c:v>9.6601999999999993E-2</c:v>
                </c:pt>
                <c:pt idx="6">
                  <c:v>0.23507666666666699</c:v>
                </c:pt>
                <c:pt idx="7">
                  <c:v>5.5E-2</c:v>
                </c:pt>
                <c:pt idx="8">
                  <c:v>5.5E-2</c:v>
                </c:pt>
                <c:pt idx="9">
                  <c:v>0.27667866666666702</c:v>
                </c:pt>
                <c:pt idx="10">
                  <c:v>5.5E-2</c:v>
                </c:pt>
                <c:pt idx="11">
                  <c:v>5.5E-2</c:v>
                </c:pt>
                <c:pt idx="12">
                  <c:v>0.193673333333333</c:v>
                </c:pt>
                <c:pt idx="13">
                  <c:v>9.1913333333333305E-2</c:v>
                </c:pt>
                <c:pt idx="14">
                  <c:v>0.17736233333333301</c:v>
                </c:pt>
                <c:pt idx="15">
                  <c:v>0.13127033333333299</c:v>
                </c:pt>
                <c:pt idx="16">
                  <c:v>0.108774</c:v>
                </c:pt>
                <c:pt idx="17">
                  <c:v>1.35110666666667</c:v>
                </c:pt>
                <c:pt idx="18">
                  <c:v>0.33280900000000002</c:v>
                </c:pt>
                <c:pt idx="19">
                  <c:v>0.14091899999999999</c:v>
                </c:pt>
                <c:pt idx="20">
                  <c:v>0.328330333333333</c:v>
                </c:pt>
                <c:pt idx="21">
                  <c:v>0.22122</c:v>
                </c:pt>
                <c:pt idx="22">
                  <c:v>0.13576033333333301</c:v>
                </c:pt>
                <c:pt idx="23">
                  <c:v>0.195918333333333</c:v>
                </c:pt>
                <c:pt idx="24">
                  <c:v>7.0363999999999996E-2</c:v>
                </c:pt>
                <c:pt idx="25">
                  <c:v>0.26131466666666697</c:v>
                </c:pt>
                <c:pt idx="26">
                  <c:v>5.5E-2</c:v>
                </c:pt>
                <c:pt idx="27">
                  <c:v>0.152071333333333</c:v>
                </c:pt>
                <c:pt idx="28">
                  <c:v>0.110469333333333</c:v>
                </c:pt>
                <c:pt idx="29">
                  <c:v>0.124138</c:v>
                </c:pt>
                <c:pt idx="30">
                  <c:v>0.20754066666666701</c:v>
                </c:pt>
                <c:pt idx="31">
                  <c:v>5.5E-2</c:v>
                </c:pt>
                <c:pt idx="32">
                  <c:v>0.18654100000000001</c:v>
                </c:pt>
                <c:pt idx="33">
                  <c:v>0.145137666666667</c:v>
                </c:pt>
                <c:pt idx="34">
                  <c:v>0.124138</c:v>
                </c:pt>
                <c:pt idx="35">
                  <c:v>5.5E-2</c:v>
                </c:pt>
                <c:pt idx="36">
                  <c:v>0.11721040000000001</c:v>
                </c:pt>
                <c:pt idx="37">
                  <c:v>0.251170333333333</c:v>
                </c:pt>
                <c:pt idx="38">
                  <c:v>0.32176233333333298</c:v>
                </c:pt>
                <c:pt idx="39">
                  <c:v>0.31904833333333299</c:v>
                </c:pt>
                <c:pt idx="40">
                  <c:v>2.27769666666667</c:v>
                </c:pt>
                <c:pt idx="41">
                  <c:v>0.47198000000000001</c:v>
                </c:pt>
                <c:pt idx="42">
                  <c:v>0.47933599999999998</c:v>
                </c:pt>
                <c:pt idx="43">
                  <c:v>0.29967333333333301</c:v>
                </c:pt>
                <c:pt idx="44">
                  <c:v>0.54696999999999996</c:v>
                </c:pt>
                <c:pt idx="45">
                  <c:v>0.81162000000000001</c:v>
                </c:pt>
                <c:pt idx="46">
                  <c:v>0.962940666666667</c:v>
                </c:pt>
                <c:pt idx="47">
                  <c:v>7.0363999999999996E-2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D9C-4FEC-802D-770E276DA49E}"/>
            </c:ext>
          </c:extLst>
        </c:ser>
        <c:ser>
          <c:idx val="45"/>
          <c:order val="45"/>
          <c:tx>
            <c:v>BES_TR4_three160_C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Demand_kW!$AV$2:$AV$49</c:f>
              <c:numCache>
                <c:formatCode>#,##0.000</c:formatCode>
                <c:ptCount val="48"/>
                <c:pt idx="0">
                  <c:v>0.13968533333333299</c:v>
                </c:pt>
                <c:pt idx="1">
                  <c:v>1.6504573333333299</c:v>
                </c:pt>
                <c:pt idx="2">
                  <c:v>0.37192399999999998</c:v>
                </c:pt>
                <c:pt idx="3">
                  <c:v>0.15352533333333299</c:v>
                </c:pt>
                <c:pt idx="4">
                  <c:v>0.35552800000000001</c:v>
                </c:pt>
                <c:pt idx="5">
                  <c:v>6.4526E-2</c:v>
                </c:pt>
                <c:pt idx="6">
                  <c:v>0.16500400000000001</c:v>
                </c:pt>
                <c:pt idx="7">
                  <c:v>0.27960800000000002</c:v>
                </c:pt>
                <c:pt idx="8">
                  <c:v>5.7000000000000002E-2</c:v>
                </c:pt>
                <c:pt idx="9">
                  <c:v>0.38761200000000001</c:v>
                </c:pt>
                <c:pt idx="10">
                  <c:v>5.7000000000000002E-2</c:v>
                </c:pt>
                <c:pt idx="11">
                  <c:v>0.109682</c:v>
                </c:pt>
                <c:pt idx="12">
                  <c:v>0.179396</c:v>
                </c:pt>
                <c:pt idx="13">
                  <c:v>0.212534</c:v>
                </c:pt>
                <c:pt idx="14">
                  <c:v>5.7000000000000002E-2</c:v>
                </c:pt>
                <c:pt idx="15">
                  <c:v>0.147312</c:v>
                </c:pt>
                <c:pt idx="16">
                  <c:v>0.29730000000000001</c:v>
                </c:pt>
                <c:pt idx="17">
                  <c:v>5.7000000000000002E-2</c:v>
                </c:pt>
                <c:pt idx="18">
                  <c:v>0.14704600000000001</c:v>
                </c:pt>
                <c:pt idx="19">
                  <c:v>0.297566</c:v>
                </c:pt>
                <c:pt idx="20">
                  <c:v>5.7000000000000002E-2</c:v>
                </c:pt>
                <c:pt idx="21">
                  <c:v>0.24929200000000001</c:v>
                </c:pt>
                <c:pt idx="22">
                  <c:v>1.74224333333333</c:v>
                </c:pt>
                <c:pt idx="23">
                  <c:v>0.276308</c:v>
                </c:pt>
                <c:pt idx="24">
                  <c:v>0.13171796666666699</c:v>
                </c:pt>
                <c:pt idx="25">
                  <c:v>0.21865596666666701</c:v>
                </c:pt>
                <c:pt idx="26">
                  <c:v>0.69525099999999895</c:v>
                </c:pt>
                <c:pt idx="27">
                  <c:v>0.36979600000000001</c:v>
                </c:pt>
                <c:pt idx="28">
                  <c:v>0.448411333333333</c:v>
                </c:pt>
                <c:pt idx="29">
                  <c:v>0.193646333333333</c:v>
                </c:pt>
                <c:pt idx="30">
                  <c:v>1.21677533333333</c:v>
                </c:pt>
                <c:pt idx="31">
                  <c:v>1.2794049999999999</c:v>
                </c:pt>
                <c:pt idx="32">
                  <c:v>0.272849333333333</c:v>
                </c:pt>
                <c:pt idx="33">
                  <c:v>0.32872000000000001</c:v>
                </c:pt>
                <c:pt idx="34">
                  <c:v>0.49402600000000002</c:v>
                </c:pt>
                <c:pt idx="35">
                  <c:v>0.57550766666666697</c:v>
                </c:pt>
                <c:pt idx="36">
                  <c:v>0.16989000000000001</c:v>
                </c:pt>
                <c:pt idx="37">
                  <c:v>5.7000000000000002E-2</c:v>
                </c:pt>
                <c:pt idx="38">
                  <c:v>0.38761200000000001</c:v>
                </c:pt>
                <c:pt idx="39">
                  <c:v>5.7000000000000002E-2</c:v>
                </c:pt>
                <c:pt idx="40">
                  <c:v>5.7000000000000002E-2</c:v>
                </c:pt>
                <c:pt idx="41">
                  <c:v>0.244618</c:v>
                </c:pt>
                <c:pt idx="42">
                  <c:v>0.19999400000000001</c:v>
                </c:pt>
                <c:pt idx="43">
                  <c:v>0.196162</c:v>
                </c:pt>
                <c:pt idx="44">
                  <c:v>0.24845</c:v>
                </c:pt>
                <c:pt idx="45">
                  <c:v>0.13067400000000001</c:v>
                </c:pt>
                <c:pt idx="46">
                  <c:v>0.31393799999999999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D9C-4FEC-802D-770E276DA49E}"/>
            </c:ext>
          </c:extLst>
        </c:ser>
        <c:ser>
          <c:idx val="46"/>
          <c:order val="46"/>
          <c:tx>
            <c:v>fleet average</c:v>
          </c:tx>
          <c:spPr>
            <a:ln w="28575">
              <a:solidFill>
                <a:srgbClr val="2D7BD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0.21448885507246374</c:v>
                </c:pt>
                <c:pt idx="1">
                  <c:v>0.19292378985507233</c:v>
                </c:pt>
                <c:pt idx="2">
                  <c:v>0.12976925362318839</c:v>
                </c:pt>
                <c:pt idx="3">
                  <c:v>0.1441979275362319</c:v>
                </c:pt>
                <c:pt idx="4">
                  <c:v>0.13008457246376812</c:v>
                </c:pt>
                <c:pt idx="5">
                  <c:v>0.1368114130434783</c:v>
                </c:pt>
                <c:pt idx="6">
                  <c:v>0.14601992028985505</c:v>
                </c:pt>
                <c:pt idx="7">
                  <c:v>0.14897438115942033</c:v>
                </c:pt>
                <c:pt idx="8">
                  <c:v>0.11271969565217388</c:v>
                </c:pt>
                <c:pt idx="9">
                  <c:v>0.13013576811594199</c:v>
                </c:pt>
                <c:pt idx="10">
                  <c:v>0.12538938550724635</c:v>
                </c:pt>
                <c:pt idx="11">
                  <c:v>0.14318600362318837</c:v>
                </c:pt>
                <c:pt idx="12">
                  <c:v>0.1601343108695652</c:v>
                </c:pt>
                <c:pt idx="13">
                  <c:v>0.21931695797101461</c:v>
                </c:pt>
                <c:pt idx="14">
                  <c:v>0.28569331884057975</c:v>
                </c:pt>
                <c:pt idx="15">
                  <c:v>0.2777691369565215</c:v>
                </c:pt>
                <c:pt idx="16">
                  <c:v>0.26974430724637682</c:v>
                </c:pt>
                <c:pt idx="17">
                  <c:v>0.34997221666666672</c:v>
                </c:pt>
                <c:pt idx="18">
                  <c:v>0.36487536739130477</c:v>
                </c:pt>
                <c:pt idx="19">
                  <c:v>0.31273148478260848</c:v>
                </c:pt>
                <c:pt idx="20">
                  <c:v>0.39183757608695652</c:v>
                </c:pt>
                <c:pt idx="21">
                  <c:v>0.26979317826086968</c:v>
                </c:pt>
                <c:pt idx="22">
                  <c:v>0.36461873115942012</c:v>
                </c:pt>
                <c:pt idx="23">
                  <c:v>0.41573286521739128</c:v>
                </c:pt>
                <c:pt idx="24">
                  <c:v>0.24871455797101447</c:v>
                </c:pt>
                <c:pt idx="25">
                  <c:v>0.29813913550724663</c:v>
                </c:pt>
                <c:pt idx="26">
                  <c:v>0.3462196326086957</c:v>
                </c:pt>
                <c:pt idx="27">
                  <c:v>0.38798157536231903</c:v>
                </c:pt>
                <c:pt idx="28">
                  <c:v>0.31858088840579685</c:v>
                </c:pt>
                <c:pt idx="29">
                  <c:v>0.31092222971014505</c:v>
                </c:pt>
                <c:pt idx="30">
                  <c:v>0.34229660362318826</c:v>
                </c:pt>
                <c:pt idx="31">
                  <c:v>0.30779848695652151</c:v>
                </c:pt>
                <c:pt idx="32">
                  <c:v>0.36788155217391288</c:v>
                </c:pt>
                <c:pt idx="33">
                  <c:v>0.35186747391304346</c:v>
                </c:pt>
                <c:pt idx="34">
                  <c:v>0.38569457753623199</c:v>
                </c:pt>
                <c:pt idx="35">
                  <c:v>0.43298272391304338</c:v>
                </c:pt>
                <c:pt idx="36">
                  <c:v>0.44075992028985489</c:v>
                </c:pt>
                <c:pt idx="37">
                  <c:v>0.45052164130434774</c:v>
                </c:pt>
                <c:pt idx="38">
                  <c:v>0.33338675434782594</c:v>
                </c:pt>
                <c:pt idx="39">
                  <c:v>0.4306040014492753</c:v>
                </c:pt>
                <c:pt idx="40">
                  <c:v>0.49386517898550747</c:v>
                </c:pt>
                <c:pt idx="41">
                  <c:v>0.51547871014492752</c:v>
                </c:pt>
                <c:pt idx="42">
                  <c:v>0.55162682608695679</c:v>
                </c:pt>
                <c:pt idx="43">
                  <c:v>0.46422213768115955</c:v>
                </c:pt>
                <c:pt idx="44">
                  <c:v>0.48840197101449301</c:v>
                </c:pt>
                <c:pt idx="45">
                  <c:v>0.48415688478260871</c:v>
                </c:pt>
                <c:pt idx="46">
                  <c:v>0.44280923550724649</c:v>
                </c:pt>
                <c:pt idx="47">
                  <c:v>0.29912049275362318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D9C-4FEC-802D-770E276DA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4.8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Demand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PV generation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BES_TR4_one195_C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9-4476-8BEF-21153C55315A}"/>
            </c:ext>
          </c:extLst>
        </c:ser>
        <c:ser>
          <c:idx val="1"/>
          <c:order val="1"/>
          <c:tx>
            <c:v>BES_TR4_one223_B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9-4476-8BEF-21153C55315A}"/>
            </c:ext>
          </c:extLst>
        </c:ser>
        <c:ser>
          <c:idx val="2"/>
          <c:order val="2"/>
          <c:tx>
            <c:v>BES_TR4_one235_A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9-4476-8BEF-21153C55315A}"/>
            </c:ext>
          </c:extLst>
        </c:ser>
        <c:ser>
          <c:idx val="3"/>
          <c:order val="3"/>
          <c:tx>
            <c:v>BES_TR4_one242_B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A9-4476-8BEF-21153C55315A}"/>
            </c:ext>
          </c:extLst>
        </c:ser>
        <c:ser>
          <c:idx val="4"/>
          <c:order val="4"/>
          <c:tx>
            <c:v>BES_TR4_one252_C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A9-4476-8BEF-21153C55315A}"/>
            </c:ext>
          </c:extLst>
        </c:ser>
        <c:ser>
          <c:idx val="5"/>
          <c:order val="5"/>
          <c:tx>
            <c:v>BES_TR4_one260_C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A9-4476-8BEF-21153C55315A}"/>
            </c:ext>
          </c:extLst>
        </c:ser>
        <c:ser>
          <c:idx val="6"/>
          <c:order val="6"/>
          <c:tx>
            <c:v>BES_TR4_one299_B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A9-4476-8BEF-21153C55315A}"/>
            </c:ext>
          </c:extLst>
        </c:ser>
        <c:ser>
          <c:idx val="7"/>
          <c:order val="7"/>
          <c:tx>
            <c:v>BES_TR4_one320_B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A9-4476-8BEF-21153C55315A}"/>
            </c:ext>
          </c:extLst>
        </c:ser>
        <c:ser>
          <c:idx val="8"/>
          <c:order val="8"/>
          <c:tx>
            <c:v>BES_TR4_one321_C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A9-4476-8BEF-21153C55315A}"/>
            </c:ext>
          </c:extLst>
        </c:ser>
        <c:ser>
          <c:idx val="9"/>
          <c:order val="9"/>
          <c:tx>
            <c:v>BES_TR4_one328_A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BA9-4476-8BEF-21153C55315A}"/>
            </c:ext>
          </c:extLst>
        </c:ser>
        <c:ser>
          <c:idx val="10"/>
          <c:order val="10"/>
          <c:tx>
            <c:v>BES_TR4_one345_A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A9-4476-8BEF-21153C55315A}"/>
            </c:ext>
          </c:extLst>
        </c:ser>
        <c:ser>
          <c:idx val="11"/>
          <c:order val="11"/>
          <c:tx>
            <c:v>BES_TR4_one366_B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BA9-4476-8BEF-21153C55315A}"/>
            </c:ext>
          </c:extLst>
        </c:ser>
        <c:ser>
          <c:idx val="12"/>
          <c:order val="12"/>
          <c:tx>
            <c:v>BES_TR4_one410_B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A9-4476-8BEF-21153C55315A}"/>
            </c:ext>
          </c:extLst>
        </c:ser>
        <c:ser>
          <c:idx val="13"/>
          <c:order val="13"/>
          <c:tx>
            <c:v>BES_TR4_one50_A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BA9-4476-8BEF-21153C55315A}"/>
            </c:ext>
          </c:extLst>
        </c:ser>
        <c:ser>
          <c:idx val="14"/>
          <c:order val="14"/>
          <c:tx>
            <c:v>BES_TR4_one416_C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A9-4476-8BEF-21153C55315A}"/>
            </c:ext>
          </c:extLst>
        </c:ser>
        <c:ser>
          <c:idx val="15"/>
          <c:order val="15"/>
          <c:tx>
            <c:v>BES_TR4_one423_B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BA9-4476-8BEF-21153C55315A}"/>
            </c:ext>
          </c:extLst>
        </c:ser>
        <c:ser>
          <c:idx val="16"/>
          <c:order val="16"/>
          <c:tx>
            <c:v>BES_TR4_one446_B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A9-4476-8BEF-21153C55315A}"/>
            </c:ext>
          </c:extLst>
        </c:ser>
        <c:ser>
          <c:idx val="17"/>
          <c:order val="17"/>
          <c:tx>
            <c:v>BES_TR4_one480_A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BA9-4476-8BEF-21153C55315A}"/>
            </c:ext>
          </c:extLst>
        </c:ser>
        <c:ser>
          <c:idx val="18"/>
          <c:order val="18"/>
          <c:tx>
            <c:v>BES_TR4_one61_A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A9-4476-8BEF-21153C55315A}"/>
            </c:ext>
          </c:extLst>
        </c:ser>
        <c:ser>
          <c:idx val="19"/>
          <c:order val="19"/>
          <c:tx>
            <c:v>BES_TR4_one544_A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BA9-4476-8BEF-21153C55315A}"/>
            </c:ext>
          </c:extLst>
        </c:ser>
        <c:ser>
          <c:idx val="20"/>
          <c:order val="20"/>
          <c:tx>
            <c:v>BES_TR4_one560_C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BA9-4476-8BEF-21153C55315A}"/>
            </c:ext>
          </c:extLst>
        </c:ser>
        <c:ser>
          <c:idx val="21"/>
          <c:order val="21"/>
          <c:tx>
            <c:v>BES_TR4_one570_B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BA9-4476-8BEF-21153C55315A}"/>
            </c:ext>
          </c:extLst>
        </c:ser>
        <c:ser>
          <c:idx val="22"/>
          <c:order val="22"/>
          <c:tx>
            <c:v>BES_TR4_one585_A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BA9-4476-8BEF-21153C55315A}"/>
            </c:ext>
          </c:extLst>
        </c:ser>
        <c:ser>
          <c:idx val="23"/>
          <c:order val="23"/>
          <c:tx>
            <c:v>BES_TR4_one590_A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BA9-4476-8BEF-21153C55315A}"/>
            </c:ext>
          </c:extLst>
        </c:ser>
        <c:ser>
          <c:idx val="24"/>
          <c:order val="24"/>
          <c:tx>
            <c:v>BES_TR4_one617_A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BA9-4476-8BEF-21153C55315A}"/>
            </c:ext>
          </c:extLst>
        </c:ser>
        <c:ser>
          <c:idx val="25"/>
          <c:order val="25"/>
          <c:tx>
            <c:v>BES_TR4_one76_A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BA9-4476-8BEF-21153C55315A}"/>
            </c:ext>
          </c:extLst>
        </c:ser>
        <c:ser>
          <c:idx val="26"/>
          <c:order val="26"/>
          <c:tx>
            <c:v>BES_TR4_one133_A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BA9-4476-8BEF-21153C55315A}"/>
            </c:ext>
          </c:extLst>
        </c:ser>
        <c:ser>
          <c:idx val="27"/>
          <c:order val="27"/>
          <c:tx>
            <c:v>BES_TR4_one137_A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BA9-4476-8BEF-21153C55315A}"/>
            </c:ext>
          </c:extLst>
        </c:ser>
        <c:ser>
          <c:idx val="28"/>
          <c:order val="28"/>
          <c:tx>
            <c:v>BES_TR4_one176_A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BA9-4476-8BEF-21153C55315A}"/>
            </c:ext>
          </c:extLst>
        </c:ser>
        <c:ser>
          <c:idx val="29"/>
          <c:order val="29"/>
          <c:tx>
            <c:v>BES_TR4_three64_A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BA9-4476-8BEF-21153C55315A}"/>
            </c:ext>
          </c:extLst>
        </c:ser>
        <c:ser>
          <c:idx val="30"/>
          <c:order val="30"/>
          <c:tx>
            <c:v>BES_TR4_three193_A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BA9-4476-8BEF-21153C55315A}"/>
            </c:ext>
          </c:extLst>
        </c:ser>
        <c:ser>
          <c:idx val="31"/>
          <c:order val="31"/>
          <c:tx>
            <c:v>BES_TR4_three232_C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BA9-4476-8BEF-21153C55315A}"/>
            </c:ext>
          </c:extLst>
        </c:ser>
        <c:ser>
          <c:idx val="32"/>
          <c:order val="32"/>
          <c:tx>
            <c:v>BES_TR4_three233_A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BA9-4476-8BEF-21153C55315A}"/>
            </c:ext>
          </c:extLst>
        </c:ser>
        <c:ser>
          <c:idx val="33"/>
          <c:order val="33"/>
          <c:tx>
            <c:v>BES_TR4_three248_C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BA9-4476-8BEF-21153C55315A}"/>
            </c:ext>
          </c:extLst>
        </c:ser>
        <c:ser>
          <c:idx val="34"/>
          <c:order val="34"/>
          <c:tx>
            <c:v>BES_TR4_three253_C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BA9-4476-8BEF-21153C55315A}"/>
            </c:ext>
          </c:extLst>
        </c:ser>
        <c:ser>
          <c:idx val="35"/>
          <c:order val="35"/>
          <c:tx>
            <c:v>BES_TR4_three66_C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BA9-4476-8BEF-21153C55315A}"/>
            </c:ext>
          </c:extLst>
        </c:ser>
        <c:ser>
          <c:idx val="36"/>
          <c:order val="36"/>
          <c:tx>
            <c:v>BES_TR4_three312_A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BA9-4476-8BEF-21153C55315A}"/>
            </c:ext>
          </c:extLst>
        </c:ser>
        <c:ser>
          <c:idx val="37"/>
          <c:order val="37"/>
          <c:tx>
            <c:v>BES_TR4_three321_B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BA9-4476-8BEF-21153C55315A}"/>
            </c:ext>
          </c:extLst>
        </c:ser>
        <c:ser>
          <c:idx val="38"/>
          <c:order val="38"/>
          <c:tx>
            <c:v>BES_TR4_three368_A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BA9-4476-8BEF-21153C55315A}"/>
            </c:ext>
          </c:extLst>
        </c:ser>
        <c:ser>
          <c:idx val="39"/>
          <c:order val="39"/>
          <c:tx>
            <c:v>BES_TR4_three388_A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BA9-4476-8BEF-21153C55315A}"/>
            </c:ext>
          </c:extLst>
        </c:ser>
        <c:ser>
          <c:idx val="40"/>
          <c:order val="40"/>
          <c:tx>
            <c:v>BES_TR4_three409_C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BA9-4476-8BEF-21153C55315A}"/>
            </c:ext>
          </c:extLst>
        </c:ser>
        <c:ser>
          <c:idx val="41"/>
          <c:order val="41"/>
          <c:tx>
            <c:v>BES_TR4_three76_A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BA9-4476-8BEF-21153C55315A}"/>
            </c:ext>
          </c:extLst>
        </c:ser>
        <c:ser>
          <c:idx val="42"/>
          <c:order val="42"/>
          <c:tx>
            <c:v>BES_TR4_three81_A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BA9-4476-8BEF-21153C55315A}"/>
            </c:ext>
          </c:extLst>
        </c:ser>
        <c:ser>
          <c:idx val="43"/>
          <c:order val="43"/>
          <c:tx>
            <c:v>BES_TR4_three90_C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BA9-4476-8BEF-21153C55315A}"/>
            </c:ext>
          </c:extLst>
        </c:ser>
        <c:ser>
          <c:idx val="44"/>
          <c:order val="44"/>
          <c:tx>
            <c:v>BES_TR4_three97_B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BA9-4476-8BEF-21153C55315A}"/>
            </c:ext>
          </c:extLst>
        </c:ser>
        <c:ser>
          <c:idx val="45"/>
          <c:order val="45"/>
          <c:tx>
            <c:v>BES_TR4_three160_C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BA9-4476-8BEF-21153C55315A}"/>
            </c:ext>
          </c:extLst>
        </c:ser>
        <c:ser>
          <c:idx val="46"/>
          <c:order val="46"/>
          <c:tx>
            <c:v>fleet average</c:v>
          </c:tx>
          <c:spPr>
            <a:ln w="28575">
              <a:solidFill>
                <a:srgbClr val="E6A000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2.6928027130434799E-3</c:v>
                </c:pt>
                <c:pt idx="8">
                  <c:v>3.8922646330434678E-2</c:v>
                </c:pt>
                <c:pt idx="9">
                  <c:v>0.18201408824347834</c:v>
                </c:pt>
                <c:pt idx="10">
                  <c:v>0.36104892125217491</c:v>
                </c:pt>
                <c:pt idx="11">
                  <c:v>0.58058450337391199</c:v>
                </c:pt>
                <c:pt idx="12">
                  <c:v>0.82011020295652304</c:v>
                </c:pt>
                <c:pt idx="13">
                  <c:v>1.062580044313042</c:v>
                </c:pt>
                <c:pt idx="14">
                  <c:v>1.3037943559304352</c:v>
                </c:pt>
                <c:pt idx="15">
                  <c:v>1.5453595486956524</c:v>
                </c:pt>
                <c:pt idx="16">
                  <c:v>1.7720838769043492</c:v>
                </c:pt>
                <c:pt idx="17">
                  <c:v>1.9852050784695652</c:v>
                </c:pt>
                <c:pt idx="18">
                  <c:v>2.1667111533913057</c:v>
                </c:pt>
                <c:pt idx="19">
                  <c:v>2.3215174482782599</c:v>
                </c:pt>
                <c:pt idx="20">
                  <c:v>2.4573983032695645</c:v>
                </c:pt>
                <c:pt idx="21">
                  <c:v>2.5695431383304355</c:v>
                </c:pt>
                <c:pt idx="22">
                  <c:v>2.6491131584347842</c:v>
                </c:pt>
                <c:pt idx="23">
                  <c:v>2.684008728626087</c:v>
                </c:pt>
                <c:pt idx="24">
                  <c:v>2.6941158227478268</c:v>
                </c:pt>
                <c:pt idx="25">
                  <c:v>2.6752082650434792</c:v>
                </c:pt>
                <c:pt idx="26">
                  <c:v>2.6116892467826101</c:v>
                </c:pt>
                <c:pt idx="27">
                  <c:v>2.5147833867130451</c:v>
                </c:pt>
                <c:pt idx="28">
                  <c:v>2.3990931338086963</c:v>
                </c:pt>
                <c:pt idx="29">
                  <c:v>2.2524966571826104</c:v>
                </c:pt>
                <c:pt idx="30">
                  <c:v>2.0967092567999996</c:v>
                </c:pt>
                <c:pt idx="31">
                  <c:v>1.9092395378086964</c:v>
                </c:pt>
                <c:pt idx="32">
                  <c:v>1.6981043926956512</c:v>
                </c:pt>
                <c:pt idx="33">
                  <c:v>1.4431862135999993</c:v>
                </c:pt>
                <c:pt idx="34">
                  <c:v>1.2046004822608685</c:v>
                </c:pt>
                <c:pt idx="35">
                  <c:v>0.95943883398260899</c:v>
                </c:pt>
                <c:pt idx="36">
                  <c:v>0.72228281843478326</c:v>
                </c:pt>
                <c:pt idx="37">
                  <c:v>0.49363100295652174</c:v>
                </c:pt>
                <c:pt idx="38">
                  <c:v>0.28825101996521724</c:v>
                </c:pt>
                <c:pt idx="39">
                  <c:v>8.3864307443478281E-2</c:v>
                </c:pt>
                <c:pt idx="40">
                  <c:v>1.5467303165217406E-2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BA9-4476-8BEF-21153C553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PV generation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BES_TR4_one195_C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7.8E-2</c:v>
                </c:pt>
                <c:pt idx="10">
                  <c:v>0.26300000000000001</c:v>
                </c:pt>
                <c:pt idx="11">
                  <c:v>0.46800000000000003</c:v>
                </c:pt>
                <c:pt idx="12">
                  <c:v>0.76300000000000001</c:v>
                </c:pt>
                <c:pt idx="13">
                  <c:v>1.1379999999999999</c:v>
                </c:pt>
                <c:pt idx="14">
                  <c:v>0.32700000000000001</c:v>
                </c:pt>
                <c:pt idx="15">
                  <c:v>1.4430000000000001</c:v>
                </c:pt>
                <c:pt idx="16">
                  <c:v>1.742</c:v>
                </c:pt>
                <c:pt idx="17">
                  <c:v>0</c:v>
                </c:pt>
                <c:pt idx="18">
                  <c:v>0</c:v>
                </c:pt>
                <c:pt idx="19">
                  <c:v>1.413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E-4C50-B9D3-507E93452CE6}"/>
            </c:ext>
          </c:extLst>
        </c:ser>
        <c:ser>
          <c:idx val="1"/>
          <c:order val="1"/>
          <c:tx>
            <c:v>BES_TR4_one223_B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0.11899999999999999</c:v>
                </c:pt>
                <c:pt idx="10">
                  <c:v>0.05</c:v>
                </c:pt>
                <c:pt idx="11">
                  <c:v>0.496</c:v>
                </c:pt>
                <c:pt idx="12">
                  <c:v>0.53</c:v>
                </c:pt>
                <c:pt idx="13">
                  <c:v>0.91799999999999993</c:v>
                </c:pt>
                <c:pt idx="14">
                  <c:v>1.2050000000000001</c:v>
                </c:pt>
                <c:pt idx="15">
                  <c:v>1.327</c:v>
                </c:pt>
                <c:pt idx="16">
                  <c:v>1.4950000000000001</c:v>
                </c:pt>
                <c:pt idx="17">
                  <c:v>0.44800000000000001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0.48799999999999999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0.17199999999999999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E-4C50-B9D3-507E93452CE6}"/>
            </c:ext>
          </c:extLst>
        </c:ser>
        <c:ser>
          <c:idx val="2"/>
          <c:order val="2"/>
          <c:tx>
            <c:v>BES_TR4_one235_A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0.183</c:v>
                </c:pt>
                <c:pt idx="10">
                  <c:v>0.38700000000000001</c:v>
                </c:pt>
                <c:pt idx="11">
                  <c:v>0.53900000000000003</c:v>
                </c:pt>
                <c:pt idx="12">
                  <c:v>0.998</c:v>
                </c:pt>
                <c:pt idx="13">
                  <c:v>1.1299999999999999</c:v>
                </c:pt>
                <c:pt idx="14">
                  <c:v>1.6160000000000001</c:v>
                </c:pt>
                <c:pt idx="15">
                  <c:v>1.6180000000000001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0E-4C50-B9D3-507E93452CE6}"/>
            </c:ext>
          </c:extLst>
        </c:ser>
        <c:ser>
          <c:idx val="3"/>
          <c:order val="3"/>
          <c:tx>
            <c:v>BES_TR4_one242_B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6.2E-2</c:v>
                </c:pt>
                <c:pt idx="10">
                  <c:v>0.40300000000000002</c:v>
                </c:pt>
                <c:pt idx="11">
                  <c:v>0.58799999999999997</c:v>
                </c:pt>
                <c:pt idx="12">
                  <c:v>0.86199999999999999</c:v>
                </c:pt>
                <c:pt idx="13">
                  <c:v>1.169</c:v>
                </c:pt>
                <c:pt idx="14">
                  <c:v>1.5740000000000001</c:v>
                </c:pt>
                <c:pt idx="15">
                  <c:v>1.72</c:v>
                </c:pt>
                <c:pt idx="16">
                  <c:v>0.373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0E-4C50-B9D3-507E93452CE6}"/>
            </c:ext>
          </c:extLst>
        </c:ser>
        <c:ser>
          <c:idx val="4"/>
          <c:order val="4"/>
          <c:tx>
            <c:v>BES_TR4_one252_C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0.11899999999999999</c:v>
                </c:pt>
                <c:pt idx="10">
                  <c:v>0.29099999999999998</c:v>
                </c:pt>
                <c:pt idx="11">
                  <c:v>0.501</c:v>
                </c:pt>
                <c:pt idx="12">
                  <c:v>0.73099999999999998</c:v>
                </c:pt>
                <c:pt idx="13">
                  <c:v>0.83399999999999996</c:v>
                </c:pt>
                <c:pt idx="14">
                  <c:v>0.96599999999999997</c:v>
                </c:pt>
                <c:pt idx="15">
                  <c:v>1.2989999999999999</c:v>
                </c:pt>
                <c:pt idx="16">
                  <c:v>1.006</c:v>
                </c:pt>
                <c:pt idx="17">
                  <c:v>1.0820000000000001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0E-4C50-B9D3-507E93452CE6}"/>
            </c:ext>
          </c:extLst>
        </c:ser>
        <c:ser>
          <c:idx val="5"/>
          <c:order val="5"/>
          <c:tx>
            <c:v>BES_TR4_one260_C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1.4999999999999999E-2</c:v>
                </c:pt>
                <c:pt idx="9">
                  <c:v>0.19800000000000001</c:v>
                </c:pt>
                <c:pt idx="10">
                  <c:v>0.27</c:v>
                </c:pt>
                <c:pt idx="11">
                  <c:v>0.63900000000000001</c:v>
                </c:pt>
                <c:pt idx="12">
                  <c:v>1.0129999999999999</c:v>
                </c:pt>
                <c:pt idx="13">
                  <c:v>1.119</c:v>
                </c:pt>
                <c:pt idx="14">
                  <c:v>1.611</c:v>
                </c:pt>
                <c:pt idx="15">
                  <c:v>1.35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0E-4C50-B9D3-507E93452CE6}"/>
            </c:ext>
          </c:extLst>
        </c:ser>
        <c:ser>
          <c:idx val="6"/>
          <c:order val="6"/>
          <c:tx>
            <c:v>BES_TR4_one299_B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0.18099999999999999</c:v>
                </c:pt>
                <c:pt idx="10">
                  <c:v>0.23400000000000001</c:v>
                </c:pt>
                <c:pt idx="11">
                  <c:v>0.57300000000000006</c:v>
                </c:pt>
                <c:pt idx="12">
                  <c:v>0.80599999999999994</c:v>
                </c:pt>
                <c:pt idx="13">
                  <c:v>1.083</c:v>
                </c:pt>
                <c:pt idx="14">
                  <c:v>1.3340000000000001</c:v>
                </c:pt>
                <c:pt idx="15">
                  <c:v>1.5049999999999999</c:v>
                </c:pt>
                <c:pt idx="16">
                  <c:v>1.351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0E-4C50-B9D3-507E93452CE6}"/>
            </c:ext>
          </c:extLst>
        </c:ser>
        <c:ser>
          <c:idx val="7"/>
          <c:order val="7"/>
          <c:tx>
            <c:v>BES_TR4_one320_B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2.5999999999999999E-2</c:v>
                </c:pt>
                <c:pt idx="10">
                  <c:v>0.23200000000000001</c:v>
                </c:pt>
                <c:pt idx="11">
                  <c:v>0.4</c:v>
                </c:pt>
                <c:pt idx="12">
                  <c:v>0.43099999999999999</c:v>
                </c:pt>
                <c:pt idx="13">
                  <c:v>0.79299999999999993</c:v>
                </c:pt>
                <c:pt idx="14">
                  <c:v>0.98499999999999999</c:v>
                </c:pt>
                <c:pt idx="15">
                  <c:v>1.1140000000000001</c:v>
                </c:pt>
                <c:pt idx="16">
                  <c:v>1.2470000000000001</c:v>
                </c:pt>
                <c:pt idx="17">
                  <c:v>1.3160000000000001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5.6000000000000001E-2</c:v>
                </c:pt>
                <c:pt idx="38">
                  <c:v>5.8999999999999997E-2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A0E-4C50-B9D3-507E93452CE6}"/>
            </c:ext>
          </c:extLst>
        </c:ser>
        <c:ser>
          <c:idx val="8"/>
          <c:order val="8"/>
          <c:tx>
            <c:v>BES_TR4_one321_C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0.23300000000000001</c:v>
                </c:pt>
                <c:pt idx="11">
                  <c:v>0.32300000000000001</c:v>
                </c:pt>
                <c:pt idx="12">
                  <c:v>0.57700000000000007</c:v>
                </c:pt>
                <c:pt idx="13">
                  <c:v>0.79400000000000004</c:v>
                </c:pt>
                <c:pt idx="14">
                  <c:v>0.98599999999999988</c:v>
                </c:pt>
                <c:pt idx="15">
                  <c:v>1.07</c:v>
                </c:pt>
                <c:pt idx="16">
                  <c:v>1.36</c:v>
                </c:pt>
                <c:pt idx="17">
                  <c:v>1.37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0E-4C50-B9D3-507E93452CE6}"/>
            </c:ext>
          </c:extLst>
        </c:ser>
        <c:ser>
          <c:idx val="9"/>
          <c:order val="9"/>
          <c:tx>
            <c:v>BES_TR4_one328_A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0.157</c:v>
                </c:pt>
                <c:pt idx="10">
                  <c:v>0.253</c:v>
                </c:pt>
                <c:pt idx="11">
                  <c:v>0.60899999999999999</c:v>
                </c:pt>
                <c:pt idx="12">
                  <c:v>0.90900000000000003</c:v>
                </c:pt>
                <c:pt idx="13">
                  <c:v>1.2330000000000001</c:v>
                </c:pt>
                <c:pt idx="14">
                  <c:v>1.6120000000000001</c:v>
                </c:pt>
                <c:pt idx="15">
                  <c:v>1.8779999999999999</c:v>
                </c:pt>
                <c:pt idx="16">
                  <c:v>0.73399999999999999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A0E-4C50-B9D3-507E93452CE6}"/>
            </c:ext>
          </c:extLst>
        </c:ser>
        <c:ser>
          <c:idx val="10"/>
          <c:order val="10"/>
          <c:tx>
            <c:v>BES_TR4_one345_A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0.23699999999999999</c:v>
                </c:pt>
                <c:pt idx="11">
                  <c:v>0.501</c:v>
                </c:pt>
                <c:pt idx="12">
                  <c:v>0.53300000000000003</c:v>
                </c:pt>
                <c:pt idx="13">
                  <c:v>0.96299999999999997</c:v>
                </c:pt>
                <c:pt idx="14">
                  <c:v>1.1419999999999999</c:v>
                </c:pt>
                <c:pt idx="15">
                  <c:v>1.2589999999999999</c:v>
                </c:pt>
                <c:pt idx="16">
                  <c:v>1.0980000000000001</c:v>
                </c:pt>
                <c:pt idx="17">
                  <c:v>1.147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0.39100000000000001</c:v>
                </c:pt>
                <c:pt idx="38">
                  <c:v>5.0999999999999997E-2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0E-4C50-B9D3-507E93452CE6}"/>
            </c:ext>
          </c:extLst>
        </c:ser>
        <c:ser>
          <c:idx val="11"/>
          <c:order val="11"/>
          <c:tx>
            <c:v>BES_TR4_one366_B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4.5999999999999999E-2</c:v>
                </c:pt>
                <c:pt idx="10">
                  <c:v>0.25600000000000001</c:v>
                </c:pt>
                <c:pt idx="11">
                  <c:v>0.623</c:v>
                </c:pt>
                <c:pt idx="12">
                  <c:v>0.79</c:v>
                </c:pt>
                <c:pt idx="13">
                  <c:v>1.248</c:v>
                </c:pt>
                <c:pt idx="14">
                  <c:v>1.556</c:v>
                </c:pt>
                <c:pt idx="15">
                  <c:v>1.7809999999999999</c:v>
                </c:pt>
                <c:pt idx="16">
                  <c:v>0.76100000000000001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0E-4C50-B9D3-507E93452CE6}"/>
            </c:ext>
          </c:extLst>
        </c:ser>
        <c:ser>
          <c:idx val="12"/>
          <c:order val="12"/>
          <c:tx>
            <c:v>BES_TR4_one410_B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0.14099999999999999</c:v>
                </c:pt>
                <c:pt idx="12">
                  <c:v>0.22600000000000001</c:v>
                </c:pt>
                <c:pt idx="13">
                  <c:v>0.46300000000000002</c:v>
                </c:pt>
                <c:pt idx="14">
                  <c:v>0.47699999999999998</c:v>
                </c:pt>
                <c:pt idx="15">
                  <c:v>0.61199999999999999</c:v>
                </c:pt>
                <c:pt idx="16">
                  <c:v>0.628</c:v>
                </c:pt>
                <c:pt idx="17">
                  <c:v>0.88700000000000001</c:v>
                </c:pt>
                <c:pt idx="18">
                  <c:v>0.87</c:v>
                </c:pt>
                <c:pt idx="19">
                  <c:v>0.51700000000000002</c:v>
                </c:pt>
                <c:pt idx="20">
                  <c:v>0.56499999999999995</c:v>
                </c:pt>
                <c:pt idx="21">
                  <c:v>0.78700000000000003</c:v>
                </c:pt>
                <c:pt idx="22">
                  <c:v>0.69899999999999995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0E-4C50-B9D3-507E93452CE6}"/>
            </c:ext>
          </c:extLst>
        </c:ser>
        <c:ser>
          <c:idx val="13"/>
          <c:order val="13"/>
          <c:tx>
            <c:v>BES_TR4_one50_A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1.2E-2</c:v>
                </c:pt>
                <c:pt idx="10">
                  <c:v>0.123</c:v>
                </c:pt>
                <c:pt idx="11">
                  <c:v>0</c:v>
                </c:pt>
                <c:pt idx="12">
                  <c:v>0.45400000000000001</c:v>
                </c:pt>
                <c:pt idx="13">
                  <c:v>0.48299999999999998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1.1040000000000001</c:v>
                </c:pt>
                <c:pt idx="18">
                  <c:v>1.1499999999999999</c:v>
                </c:pt>
                <c:pt idx="19">
                  <c:v>1.444</c:v>
                </c:pt>
                <c:pt idx="20">
                  <c:v>1.3069999999999999</c:v>
                </c:pt>
                <c:pt idx="21">
                  <c:v>1.5289999999999999</c:v>
                </c:pt>
                <c:pt idx="22">
                  <c:v>0.45300000000000001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0E-4C50-B9D3-507E93452CE6}"/>
            </c:ext>
          </c:extLst>
        </c:ser>
        <c:ser>
          <c:idx val="14"/>
          <c:order val="14"/>
          <c:tx>
            <c:v>BES_TR4_one416_C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0.18099999999999999</c:v>
                </c:pt>
                <c:pt idx="10">
                  <c:v>0.40899999999999997</c:v>
                </c:pt>
                <c:pt idx="11">
                  <c:v>0.69</c:v>
                </c:pt>
                <c:pt idx="12">
                  <c:v>0.99599999999999989</c:v>
                </c:pt>
                <c:pt idx="13">
                  <c:v>1.306</c:v>
                </c:pt>
                <c:pt idx="14">
                  <c:v>1.5580000000000001</c:v>
                </c:pt>
                <c:pt idx="15">
                  <c:v>0.63400000000000001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A0E-4C50-B9D3-507E93452CE6}"/>
            </c:ext>
          </c:extLst>
        </c:ser>
        <c:ser>
          <c:idx val="15"/>
          <c:order val="15"/>
          <c:tx>
            <c:v>BES_TR4_one423_B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4.5000000000000012E-2</c:v>
                </c:pt>
                <c:pt idx="10">
                  <c:v>5.8000000000000003E-2</c:v>
                </c:pt>
                <c:pt idx="11">
                  <c:v>0.40899999999999997</c:v>
                </c:pt>
                <c:pt idx="12">
                  <c:v>0.6</c:v>
                </c:pt>
                <c:pt idx="13">
                  <c:v>0.79400000000000004</c:v>
                </c:pt>
                <c:pt idx="14">
                  <c:v>0.7649999999999999</c:v>
                </c:pt>
                <c:pt idx="15">
                  <c:v>1.179</c:v>
                </c:pt>
                <c:pt idx="16">
                  <c:v>1.2569999999999999</c:v>
                </c:pt>
                <c:pt idx="17">
                  <c:v>1.413</c:v>
                </c:pt>
                <c:pt idx="18">
                  <c:v>0.28799999999999998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A0E-4C50-B9D3-507E93452CE6}"/>
            </c:ext>
          </c:extLst>
        </c:ser>
        <c:ser>
          <c:idx val="16"/>
          <c:order val="16"/>
          <c:tx>
            <c:v>BES_TR4_one446_B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0.11600000000000001</c:v>
                </c:pt>
                <c:pt idx="11">
                  <c:v>0.221</c:v>
                </c:pt>
                <c:pt idx="12">
                  <c:v>0.20300000000000001</c:v>
                </c:pt>
                <c:pt idx="13">
                  <c:v>0</c:v>
                </c:pt>
                <c:pt idx="14">
                  <c:v>0.39500000000000002</c:v>
                </c:pt>
                <c:pt idx="15">
                  <c:v>0.55900000000000005</c:v>
                </c:pt>
                <c:pt idx="16">
                  <c:v>0.74099999999999999</c:v>
                </c:pt>
                <c:pt idx="17">
                  <c:v>0.433</c:v>
                </c:pt>
                <c:pt idx="18">
                  <c:v>0.8630000000000001</c:v>
                </c:pt>
                <c:pt idx="19">
                  <c:v>0.95299999999999996</c:v>
                </c:pt>
                <c:pt idx="20">
                  <c:v>1.1080000000000001</c:v>
                </c:pt>
                <c:pt idx="21">
                  <c:v>0.184</c:v>
                </c:pt>
                <c:pt idx="22">
                  <c:v>0.441</c:v>
                </c:pt>
                <c:pt idx="23">
                  <c:v>0</c:v>
                </c:pt>
                <c:pt idx="24">
                  <c:v>0.86799999999999999</c:v>
                </c:pt>
                <c:pt idx="25">
                  <c:v>0.76800000000000002</c:v>
                </c:pt>
                <c:pt idx="26">
                  <c:v>0.56599999999999995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A0E-4C50-B9D3-507E93452CE6}"/>
            </c:ext>
          </c:extLst>
        </c:ser>
        <c:ser>
          <c:idx val="17"/>
          <c:order val="17"/>
          <c:tx>
            <c:v>BES_TR4_one480_A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7.5999999999999998E-2</c:v>
                </c:pt>
                <c:pt idx="10">
                  <c:v>0.30299999999999999</c:v>
                </c:pt>
                <c:pt idx="11">
                  <c:v>0.623</c:v>
                </c:pt>
                <c:pt idx="12">
                  <c:v>0.79400000000000004</c:v>
                </c:pt>
                <c:pt idx="13">
                  <c:v>1.3180000000000001</c:v>
                </c:pt>
                <c:pt idx="14">
                  <c:v>1.5449999999999999</c:v>
                </c:pt>
                <c:pt idx="15">
                  <c:v>1.6970000000000001</c:v>
                </c:pt>
                <c:pt idx="16">
                  <c:v>0.317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A0E-4C50-B9D3-507E93452CE6}"/>
            </c:ext>
          </c:extLst>
        </c:ser>
        <c:ser>
          <c:idx val="18"/>
          <c:order val="18"/>
          <c:tx>
            <c:v>BES_TR4_one61_A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2.1000000000000001E-2</c:v>
                </c:pt>
                <c:pt idx="10">
                  <c:v>0.38800000000000001</c:v>
                </c:pt>
                <c:pt idx="11">
                  <c:v>0.66799999999999993</c:v>
                </c:pt>
                <c:pt idx="12">
                  <c:v>0.83600000000000008</c:v>
                </c:pt>
                <c:pt idx="13">
                  <c:v>1.2609999999999999</c:v>
                </c:pt>
                <c:pt idx="14">
                  <c:v>1.3069999999999999</c:v>
                </c:pt>
                <c:pt idx="15">
                  <c:v>1.901</c:v>
                </c:pt>
                <c:pt idx="16">
                  <c:v>0.46100000000000002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A0E-4C50-B9D3-507E93452CE6}"/>
            </c:ext>
          </c:extLst>
        </c:ser>
        <c:ser>
          <c:idx val="19"/>
          <c:order val="19"/>
          <c:tx>
            <c:v>BES_TR4_one544_A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0.17499999999999999</c:v>
                </c:pt>
                <c:pt idx="11">
                  <c:v>0.375</c:v>
                </c:pt>
                <c:pt idx="12">
                  <c:v>0.55400000000000005</c:v>
                </c:pt>
                <c:pt idx="13">
                  <c:v>0.72499999999999998</c:v>
                </c:pt>
                <c:pt idx="14">
                  <c:v>0.81200000000000006</c:v>
                </c:pt>
                <c:pt idx="15">
                  <c:v>1.133</c:v>
                </c:pt>
                <c:pt idx="16">
                  <c:v>1.38</c:v>
                </c:pt>
                <c:pt idx="17">
                  <c:v>1.492</c:v>
                </c:pt>
                <c:pt idx="18">
                  <c:v>0.85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0.13600000000000001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A0E-4C50-B9D3-507E93452CE6}"/>
            </c:ext>
          </c:extLst>
        </c:ser>
        <c:ser>
          <c:idx val="20"/>
          <c:order val="20"/>
          <c:tx>
            <c:v>BES_TR4_one560_C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8.3999999999999991E-2</c:v>
                </c:pt>
                <c:pt idx="10">
                  <c:v>0.35499999999999998</c:v>
                </c:pt>
                <c:pt idx="11">
                  <c:v>0.50800000000000001</c:v>
                </c:pt>
                <c:pt idx="12">
                  <c:v>0.80400000000000005</c:v>
                </c:pt>
                <c:pt idx="13">
                  <c:v>1.139</c:v>
                </c:pt>
                <c:pt idx="14">
                  <c:v>1.409</c:v>
                </c:pt>
                <c:pt idx="15">
                  <c:v>1.5649999999999999</c:v>
                </c:pt>
                <c:pt idx="16">
                  <c:v>0.501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A0E-4C50-B9D3-507E93452CE6}"/>
            </c:ext>
          </c:extLst>
        </c:ser>
        <c:ser>
          <c:idx val="21"/>
          <c:order val="21"/>
          <c:tx>
            <c:v>BES_TR4_one570_B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9.4E-2</c:v>
                </c:pt>
                <c:pt idx="10">
                  <c:v>0.23699999999999999</c:v>
                </c:pt>
                <c:pt idx="11">
                  <c:v>0.13800000000000001</c:v>
                </c:pt>
                <c:pt idx="12">
                  <c:v>0.35</c:v>
                </c:pt>
                <c:pt idx="13">
                  <c:v>0.628</c:v>
                </c:pt>
                <c:pt idx="14">
                  <c:v>0.83</c:v>
                </c:pt>
                <c:pt idx="15">
                  <c:v>0.91</c:v>
                </c:pt>
                <c:pt idx="16">
                  <c:v>1.3420000000000001</c:v>
                </c:pt>
                <c:pt idx="17">
                  <c:v>1.2829999999999999</c:v>
                </c:pt>
                <c:pt idx="18">
                  <c:v>1.3560000000000001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A0E-4C50-B9D3-507E93452CE6}"/>
            </c:ext>
          </c:extLst>
        </c:ser>
        <c:ser>
          <c:idx val="22"/>
          <c:order val="22"/>
          <c:tx>
            <c:v>BES_TR4_one585_A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0.158</c:v>
                </c:pt>
                <c:pt idx="10">
                  <c:v>0.27</c:v>
                </c:pt>
                <c:pt idx="11">
                  <c:v>0.68900000000000006</c:v>
                </c:pt>
                <c:pt idx="12">
                  <c:v>0.97299999999999998</c:v>
                </c:pt>
                <c:pt idx="13">
                  <c:v>1.1659999999999999</c:v>
                </c:pt>
                <c:pt idx="14">
                  <c:v>1.613</c:v>
                </c:pt>
                <c:pt idx="15">
                  <c:v>1.448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A0E-4C50-B9D3-507E93452CE6}"/>
            </c:ext>
          </c:extLst>
        </c:ser>
        <c:ser>
          <c:idx val="23"/>
          <c:order val="23"/>
          <c:tx>
            <c:v>BES_TR4_one590_A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0.153</c:v>
                </c:pt>
                <c:pt idx="11">
                  <c:v>0.157</c:v>
                </c:pt>
                <c:pt idx="12">
                  <c:v>0.42499999999999999</c:v>
                </c:pt>
                <c:pt idx="13">
                  <c:v>0.72499999999999998</c:v>
                </c:pt>
                <c:pt idx="14">
                  <c:v>0.82600000000000007</c:v>
                </c:pt>
                <c:pt idx="15">
                  <c:v>1.08</c:v>
                </c:pt>
                <c:pt idx="16">
                  <c:v>1.33</c:v>
                </c:pt>
                <c:pt idx="17">
                  <c:v>1.4390000000000001</c:v>
                </c:pt>
                <c:pt idx="18">
                  <c:v>1.512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2.3E-2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A0E-4C50-B9D3-507E93452CE6}"/>
            </c:ext>
          </c:extLst>
        </c:ser>
        <c:ser>
          <c:idx val="24"/>
          <c:order val="24"/>
          <c:tx>
            <c:v>BES_TR4_one617_A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0.16</c:v>
                </c:pt>
                <c:pt idx="10">
                  <c:v>0.316</c:v>
                </c:pt>
                <c:pt idx="11">
                  <c:v>0.58299999999999996</c:v>
                </c:pt>
                <c:pt idx="12">
                  <c:v>0.81400000000000006</c:v>
                </c:pt>
                <c:pt idx="13">
                  <c:v>1.137</c:v>
                </c:pt>
                <c:pt idx="14">
                  <c:v>1.4139999999999999</c:v>
                </c:pt>
                <c:pt idx="15">
                  <c:v>1.6839999999999999</c:v>
                </c:pt>
                <c:pt idx="16">
                  <c:v>0.56400000000000006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A0E-4C50-B9D3-507E93452CE6}"/>
            </c:ext>
          </c:extLst>
        </c:ser>
        <c:ser>
          <c:idx val="25"/>
          <c:order val="25"/>
          <c:tx>
            <c:v>BES_TR4_one76_A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9.6000000000000002E-2</c:v>
                </c:pt>
                <c:pt idx="10">
                  <c:v>0.112</c:v>
                </c:pt>
                <c:pt idx="11">
                  <c:v>0.39700000000000002</c:v>
                </c:pt>
                <c:pt idx="12">
                  <c:v>0.58299999999999996</c:v>
                </c:pt>
                <c:pt idx="13">
                  <c:v>0.25900000000000001</c:v>
                </c:pt>
                <c:pt idx="14">
                  <c:v>0.99199999999999999</c:v>
                </c:pt>
                <c:pt idx="15">
                  <c:v>1.012</c:v>
                </c:pt>
                <c:pt idx="16">
                  <c:v>1.222</c:v>
                </c:pt>
                <c:pt idx="17">
                  <c:v>1.536</c:v>
                </c:pt>
                <c:pt idx="18">
                  <c:v>0.55400000000000005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A0E-4C50-B9D3-507E93452CE6}"/>
            </c:ext>
          </c:extLst>
        </c:ser>
        <c:ser>
          <c:idx val="26"/>
          <c:order val="26"/>
          <c:tx>
            <c:v>BES_TR4_one133_A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0.17499999999999999</c:v>
                </c:pt>
                <c:pt idx="10">
                  <c:v>0.40300000000000002</c:v>
                </c:pt>
                <c:pt idx="11">
                  <c:v>0.68400000000000005</c:v>
                </c:pt>
                <c:pt idx="12">
                  <c:v>0.94200000000000006</c:v>
                </c:pt>
                <c:pt idx="13">
                  <c:v>1.2689999999999999</c:v>
                </c:pt>
                <c:pt idx="14">
                  <c:v>1.258</c:v>
                </c:pt>
                <c:pt idx="15">
                  <c:v>1.5720000000000001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0.23300000000000001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A0E-4C50-B9D3-507E93452CE6}"/>
            </c:ext>
          </c:extLst>
        </c:ser>
        <c:ser>
          <c:idx val="27"/>
          <c:order val="27"/>
          <c:tx>
            <c:v>BES_TR4_one137_A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0.06</c:v>
                </c:pt>
                <c:pt idx="10">
                  <c:v>6.0999999999999999E-2</c:v>
                </c:pt>
                <c:pt idx="11">
                  <c:v>0.26200000000000001</c:v>
                </c:pt>
                <c:pt idx="12">
                  <c:v>0.46800000000000003</c:v>
                </c:pt>
                <c:pt idx="13">
                  <c:v>0.48599999999999999</c:v>
                </c:pt>
                <c:pt idx="14">
                  <c:v>0.747</c:v>
                </c:pt>
                <c:pt idx="15">
                  <c:v>0.878</c:v>
                </c:pt>
                <c:pt idx="16">
                  <c:v>0.92400000000000004</c:v>
                </c:pt>
                <c:pt idx="17">
                  <c:v>1.012</c:v>
                </c:pt>
                <c:pt idx="18">
                  <c:v>0</c:v>
                </c:pt>
                <c:pt idx="19">
                  <c:v>0</c:v>
                </c:pt>
                <c:pt idx="20">
                  <c:v>0.56800000000000006</c:v>
                </c:pt>
                <c:pt idx="21">
                  <c:v>1.5860000000000001</c:v>
                </c:pt>
                <c:pt idx="22">
                  <c:v>0.50800000000000001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8.0000000000000002E-3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A0E-4C50-B9D3-507E93452CE6}"/>
            </c:ext>
          </c:extLst>
        </c:ser>
        <c:ser>
          <c:idx val="28"/>
          <c:order val="28"/>
          <c:tx>
            <c:v>BES_TR4_one176_A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9.1999999999999998E-2</c:v>
                </c:pt>
                <c:pt idx="10">
                  <c:v>0.25800000000000001</c:v>
                </c:pt>
                <c:pt idx="11">
                  <c:v>0.316</c:v>
                </c:pt>
                <c:pt idx="12">
                  <c:v>0.6130000000000001</c:v>
                </c:pt>
                <c:pt idx="13">
                  <c:v>0.81899999999999995</c:v>
                </c:pt>
                <c:pt idx="14">
                  <c:v>1.0109999999999999</c:v>
                </c:pt>
                <c:pt idx="15">
                  <c:v>1.181</c:v>
                </c:pt>
                <c:pt idx="16">
                  <c:v>1.28</c:v>
                </c:pt>
                <c:pt idx="17">
                  <c:v>0.55300000000000005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A0E-4C50-B9D3-507E93452CE6}"/>
            </c:ext>
          </c:extLst>
        </c:ser>
        <c:ser>
          <c:idx val="29"/>
          <c:order val="29"/>
          <c:tx>
            <c:v>BES_TR4_three64_A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0.112</c:v>
                </c:pt>
                <c:pt idx="10">
                  <c:v>0.41</c:v>
                </c:pt>
                <c:pt idx="11">
                  <c:v>0.55900000000000005</c:v>
                </c:pt>
                <c:pt idx="12">
                  <c:v>0.95799999999999996</c:v>
                </c:pt>
                <c:pt idx="13">
                  <c:v>1.3069999999999999</c:v>
                </c:pt>
                <c:pt idx="14">
                  <c:v>1.5449999999999999</c:v>
                </c:pt>
                <c:pt idx="15">
                  <c:v>1.5509999999999999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A0E-4C50-B9D3-507E93452CE6}"/>
            </c:ext>
          </c:extLst>
        </c:ser>
        <c:ser>
          <c:idx val="30"/>
          <c:order val="30"/>
          <c:tx>
            <c:v>BES_TR4_three193_A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7.0000000000000001E-3</c:v>
                </c:pt>
                <c:pt idx="10">
                  <c:v>0.36900000000000011</c:v>
                </c:pt>
                <c:pt idx="11">
                  <c:v>0.51800000000000002</c:v>
                </c:pt>
                <c:pt idx="12">
                  <c:v>0.95799999999999996</c:v>
                </c:pt>
                <c:pt idx="13">
                  <c:v>1.2949999999999999</c:v>
                </c:pt>
                <c:pt idx="14">
                  <c:v>0.71599999999999997</c:v>
                </c:pt>
                <c:pt idx="15">
                  <c:v>1.7749999999999999</c:v>
                </c:pt>
                <c:pt idx="16">
                  <c:v>1.1479999999999999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A0E-4C50-B9D3-507E93452CE6}"/>
            </c:ext>
          </c:extLst>
        </c:ser>
        <c:ser>
          <c:idx val="31"/>
          <c:order val="31"/>
          <c:tx>
            <c:v>BES_TR4_three232_C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0.29699999999999999</c:v>
                </c:pt>
                <c:pt idx="11">
                  <c:v>0.40300000000000002</c:v>
                </c:pt>
                <c:pt idx="12">
                  <c:v>0.70799999999999996</c:v>
                </c:pt>
                <c:pt idx="13">
                  <c:v>1.06</c:v>
                </c:pt>
                <c:pt idx="14">
                  <c:v>1.256</c:v>
                </c:pt>
                <c:pt idx="15">
                  <c:v>1.206</c:v>
                </c:pt>
                <c:pt idx="16">
                  <c:v>1.579</c:v>
                </c:pt>
                <c:pt idx="17">
                  <c:v>0.155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5.7000000000000002E-2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A0E-4C50-B9D3-507E93452CE6}"/>
            </c:ext>
          </c:extLst>
        </c:ser>
        <c:ser>
          <c:idx val="32"/>
          <c:order val="32"/>
          <c:tx>
            <c:v>BES_TR4_three233_A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3.6999999999999998E-2</c:v>
                </c:pt>
                <c:pt idx="10">
                  <c:v>1.4999999999999999E-2</c:v>
                </c:pt>
                <c:pt idx="11">
                  <c:v>9.5000000000000001E-2</c:v>
                </c:pt>
                <c:pt idx="12">
                  <c:v>0.23200000000000001</c:v>
                </c:pt>
                <c:pt idx="13">
                  <c:v>0.314</c:v>
                </c:pt>
                <c:pt idx="14">
                  <c:v>0.41699999999999998</c:v>
                </c:pt>
                <c:pt idx="15">
                  <c:v>0.626</c:v>
                </c:pt>
                <c:pt idx="16">
                  <c:v>0.47699999999999998</c:v>
                </c:pt>
                <c:pt idx="17">
                  <c:v>0</c:v>
                </c:pt>
                <c:pt idx="18">
                  <c:v>5.0000000000000001E-3</c:v>
                </c:pt>
                <c:pt idx="19">
                  <c:v>0.66200000000000003</c:v>
                </c:pt>
                <c:pt idx="20">
                  <c:v>0.41899999999999998</c:v>
                </c:pt>
                <c:pt idx="21">
                  <c:v>1.151</c:v>
                </c:pt>
                <c:pt idx="22">
                  <c:v>1.119</c:v>
                </c:pt>
                <c:pt idx="23">
                  <c:v>1.0349999999999999</c:v>
                </c:pt>
                <c:pt idx="24">
                  <c:v>0.94499999999999995</c:v>
                </c:pt>
                <c:pt idx="25">
                  <c:v>7.5999999999999998E-2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0.29099999999999998</c:v>
                </c:pt>
                <c:pt idx="31">
                  <c:v>0</c:v>
                </c:pt>
                <c:pt idx="32">
                  <c:v>0</c:v>
                </c:pt>
                <c:pt idx="33">
                  <c:v>0.111</c:v>
                </c:pt>
                <c:pt idx="34">
                  <c:v>0.224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A0E-4C50-B9D3-507E93452CE6}"/>
            </c:ext>
          </c:extLst>
        </c:ser>
        <c:ser>
          <c:idx val="33"/>
          <c:order val="33"/>
          <c:tx>
            <c:v>BES_TR4_three248_C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1.0999999999999999E-2</c:v>
                </c:pt>
                <c:pt idx="9">
                  <c:v>0.03</c:v>
                </c:pt>
                <c:pt idx="10">
                  <c:v>0.32</c:v>
                </c:pt>
                <c:pt idx="11">
                  <c:v>0.501</c:v>
                </c:pt>
                <c:pt idx="12">
                  <c:v>0.67100000000000004</c:v>
                </c:pt>
                <c:pt idx="13">
                  <c:v>0.94099999999999995</c:v>
                </c:pt>
                <c:pt idx="14">
                  <c:v>1.0960000000000001</c:v>
                </c:pt>
                <c:pt idx="15">
                  <c:v>1.349</c:v>
                </c:pt>
                <c:pt idx="16">
                  <c:v>0.88400000000000001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0.10100000000000001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A0E-4C50-B9D3-507E93452CE6}"/>
            </c:ext>
          </c:extLst>
        </c:ser>
        <c:ser>
          <c:idx val="34"/>
          <c:order val="34"/>
          <c:tx>
            <c:v>BES_TR4_three253_C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5.5E-2</c:v>
                </c:pt>
                <c:pt idx="10">
                  <c:v>1.7999999999999999E-2</c:v>
                </c:pt>
                <c:pt idx="11">
                  <c:v>0.31</c:v>
                </c:pt>
                <c:pt idx="12">
                  <c:v>0.46300000000000002</c:v>
                </c:pt>
                <c:pt idx="13">
                  <c:v>0.46700000000000003</c:v>
                </c:pt>
                <c:pt idx="14">
                  <c:v>0.77200000000000002</c:v>
                </c:pt>
                <c:pt idx="15">
                  <c:v>0.91900000000000004</c:v>
                </c:pt>
                <c:pt idx="16">
                  <c:v>0.92699999999999994</c:v>
                </c:pt>
                <c:pt idx="17">
                  <c:v>1.2070000000000001</c:v>
                </c:pt>
                <c:pt idx="18">
                  <c:v>0.11600000000000001</c:v>
                </c:pt>
                <c:pt idx="19">
                  <c:v>0.69399999999999995</c:v>
                </c:pt>
                <c:pt idx="20">
                  <c:v>0</c:v>
                </c:pt>
                <c:pt idx="21">
                  <c:v>1.232</c:v>
                </c:pt>
                <c:pt idx="22">
                  <c:v>1.4350000000000001</c:v>
                </c:pt>
                <c:pt idx="23">
                  <c:v>0.95100000000000007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A0E-4C50-B9D3-507E93452CE6}"/>
            </c:ext>
          </c:extLst>
        </c:ser>
        <c:ser>
          <c:idx val="35"/>
          <c:order val="35"/>
          <c:tx>
            <c:v>BES_TR4_three66_C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1.7999999999999999E-2</c:v>
                </c:pt>
                <c:pt idx="11">
                  <c:v>0.20899999999999999</c:v>
                </c:pt>
                <c:pt idx="12">
                  <c:v>0.36699999999999999</c:v>
                </c:pt>
                <c:pt idx="13">
                  <c:v>0.51900000000000002</c:v>
                </c:pt>
                <c:pt idx="14">
                  <c:v>0.63900000000000001</c:v>
                </c:pt>
                <c:pt idx="15">
                  <c:v>0.84199999999999997</c:v>
                </c:pt>
                <c:pt idx="16">
                  <c:v>0.97299999999999998</c:v>
                </c:pt>
                <c:pt idx="17">
                  <c:v>1.0960000000000001</c:v>
                </c:pt>
                <c:pt idx="18">
                  <c:v>1.2450000000000001</c:v>
                </c:pt>
                <c:pt idx="19">
                  <c:v>0.78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3.7999999999999999E-2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A0E-4C50-B9D3-507E93452CE6}"/>
            </c:ext>
          </c:extLst>
        </c:ser>
        <c:ser>
          <c:idx val="36"/>
          <c:order val="36"/>
          <c:tx>
            <c:v>BES_TR4_three312_A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9.5000000000000001E-2</c:v>
                </c:pt>
                <c:pt idx="10">
                  <c:v>0.40799999999999997</c:v>
                </c:pt>
                <c:pt idx="11">
                  <c:v>0.60899999999999999</c:v>
                </c:pt>
                <c:pt idx="12">
                  <c:v>0.11799999999999999</c:v>
                </c:pt>
                <c:pt idx="13">
                  <c:v>0.75800000000000001</c:v>
                </c:pt>
                <c:pt idx="14">
                  <c:v>0.65600000000000003</c:v>
                </c:pt>
                <c:pt idx="15">
                  <c:v>0</c:v>
                </c:pt>
                <c:pt idx="16">
                  <c:v>0.26500000000000001</c:v>
                </c:pt>
                <c:pt idx="17">
                  <c:v>1.615</c:v>
                </c:pt>
                <c:pt idx="18">
                  <c:v>2.093</c:v>
                </c:pt>
                <c:pt idx="19">
                  <c:v>0.77600000000000002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A0E-4C50-B9D3-507E93452CE6}"/>
            </c:ext>
          </c:extLst>
        </c:ser>
        <c:ser>
          <c:idx val="37"/>
          <c:order val="37"/>
          <c:tx>
            <c:v>BES_TR4_three321_B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5.7000000000000002E-2</c:v>
                </c:pt>
                <c:pt idx="10">
                  <c:v>4.8000000000000001E-2</c:v>
                </c:pt>
                <c:pt idx="11">
                  <c:v>0.104</c:v>
                </c:pt>
                <c:pt idx="12">
                  <c:v>0.55300000000000005</c:v>
                </c:pt>
                <c:pt idx="13">
                  <c:v>0</c:v>
                </c:pt>
                <c:pt idx="14">
                  <c:v>0</c:v>
                </c:pt>
                <c:pt idx="15">
                  <c:v>1.462</c:v>
                </c:pt>
                <c:pt idx="16">
                  <c:v>2.1760000000000002</c:v>
                </c:pt>
                <c:pt idx="17">
                  <c:v>2.2519999999999998</c:v>
                </c:pt>
                <c:pt idx="18">
                  <c:v>1.8120000000000001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0.215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A0E-4C50-B9D3-507E93452CE6}"/>
            </c:ext>
          </c:extLst>
        </c:ser>
        <c:ser>
          <c:idx val="38"/>
          <c:order val="38"/>
          <c:tx>
            <c:v>BES_TR4_three368_A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1.7000000000000001E-2</c:v>
                </c:pt>
                <c:pt idx="10">
                  <c:v>0.03</c:v>
                </c:pt>
                <c:pt idx="11">
                  <c:v>0.23499999999999999</c:v>
                </c:pt>
                <c:pt idx="12">
                  <c:v>0.222</c:v>
                </c:pt>
                <c:pt idx="13">
                  <c:v>0.46600000000000003</c:v>
                </c:pt>
                <c:pt idx="14">
                  <c:v>0.52700000000000002</c:v>
                </c:pt>
                <c:pt idx="15">
                  <c:v>0.625</c:v>
                </c:pt>
                <c:pt idx="16">
                  <c:v>0.80599999999999994</c:v>
                </c:pt>
                <c:pt idx="17">
                  <c:v>0.78100000000000003</c:v>
                </c:pt>
                <c:pt idx="18">
                  <c:v>0.995</c:v>
                </c:pt>
                <c:pt idx="19">
                  <c:v>0.96899999999999997</c:v>
                </c:pt>
                <c:pt idx="20">
                  <c:v>0.47299999999999998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A0E-4C50-B9D3-507E93452CE6}"/>
            </c:ext>
          </c:extLst>
        </c:ser>
        <c:ser>
          <c:idx val="39"/>
          <c:order val="39"/>
          <c:tx>
            <c:v>BES_TR4_three388_A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0.11600000000000001</c:v>
                </c:pt>
                <c:pt idx="11">
                  <c:v>0</c:v>
                </c:pt>
                <c:pt idx="12">
                  <c:v>0.32</c:v>
                </c:pt>
                <c:pt idx="13">
                  <c:v>0.374</c:v>
                </c:pt>
                <c:pt idx="14">
                  <c:v>0.54600000000000004</c:v>
                </c:pt>
                <c:pt idx="15">
                  <c:v>0.55900000000000005</c:v>
                </c:pt>
                <c:pt idx="16">
                  <c:v>0.66400000000000003</c:v>
                </c:pt>
                <c:pt idx="17">
                  <c:v>0.84099999999999997</c:v>
                </c:pt>
                <c:pt idx="18">
                  <c:v>0</c:v>
                </c:pt>
                <c:pt idx="19">
                  <c:v>0.86599999999999999</c:v>
                </c:pt>
                <c:pt idx="20">
                  <c:v>0</c:v>
                </c:pt>
                <c:pt idx="21">
                  <c:v>0</c:v>
                </c:pt>
                <c:pt idx="22">
                  <c:v>0.87200000000000011</c:v>
                </c:pt>
                <c:pt idx="23">
                  <c:v>1.1220000000000001</c:v>
                </c:pt>
                <c:pt idx="24">
                  <c:v>1.2410000000000001</c:v>
                </c:pt>
                <c:pt idx="25">
                  <c:v>0.45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A0E-4C50-B9D3-507E93452CE6}"/>
            </c:ext>
          </c:extLst>
        </c:ser>
        <c:ser>
          <c:idx val="40"/>
          <c:order val="40"/>
          <c:tx>
            <c:v>BES_TR4_three409_C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0.191</c:v>
                </c:pt>
                <c:pt idx="10">
                  <c:v>0.41899999999999998</c:v>
                </c:pt>
                <c:pt idx="11">
                  <c:v>0.56999999999999995</c:v>
                </c:pt>
                <c:pt idx="12">
                  <c:v>1.006</c:v>
                </c:pt>
                <c:pt idx="13">
                  <c:v>1.2210000000000001</c:v>
                </c:pt>
                <c:pt idx="14">
                  <c:v>1.49</c:v>
                </c:pt>
                <c:pt idx="15">
                  <c:v>1.7030000000000001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A0E-4C50-B9D3-507E93452CE6}"/>
            </c:ext>
          </c:extLst>
        </c:ser>
        <c:ser>
          <c:idx val="41"/>
          <c:order val="41"/>
          <c:tx>
            <c:v>BES_TR4_three76_A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2.3E-2</c:v>
                </c:pt>
                <c:pt idx="10">
                  <c:v>0.41299999999999998</c:v>
                </c:pt>
                <c:pt idx="11">
                  <c:v>0.59399999999999997</c:v>
                </c:pt>
                <c:pt idx="12">
                  <c:v>0.93099999999999994</c:v>
                </c:pt>
                <c:pt idx="13">
                  <c:v>1.31</c:v>
                </c:pt>
                <c:pt idx="14">
                  <c:v>1.0069999999999999</c:v>
                </c:pt>
                <c:pt idx="15">
                  <c:v>1.1619999999999999</c:v>
                </c:pt>
                <c:pt idx="16">
                  <c:v>2.1960000000000002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8.3000000000000004E-2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A0E-4C50-B9D3-507E93452CE6}"/>
            </c:ext>
          </c:extLst>
        </c:ser>
        <c:ser>
          <c:idx val="42"/>
          <c:order val="42"/>
          <c:tx>
            <c:v>BES_TR4_three81_A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0.18099999999999999</c:v>
                </c:pt>
                <c:pt idx="10">
                  <c:v>0.17499999999999999</c:v>
                </c:pt>
                <c:pt idx="11">
                  <c:v>0.67699999999999994</c:v>
                </c:pt>
                <c:pt idx="12">
                  <c:v>0.93099999999999994</c:v>
                </c:pt>
                <c:pt idx="13">
                  <c:v>1.292</c:v>
                </c:pt>
                <c:pt idx="14">
                  <c:v>1.3939999999999999</c:v>
                </c:pt>
                <c:pt idx="15">
                  <c:v>1.8740000000000001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0.32500000000000001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A0E-4C50-B9D3-507E93452CE6}"/>
            </c:ext>
          </c:extLst>
        </c:ser>
        <c:ser>
          <c:idx val="43"/>
          <c:order val="43"/>
          <c:tx>
            <c:v>BES_TR4_three90_C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4.2000000000000003E-2</c:v>
                </c:pt>
                <c:pt idx="10">
                  <c:v>0.115</c:v>
                </c:pt>
                <c:pt idx="11">
                  <c:v>0.35899999999999999</c:v>
                </c:pt>
                <c:pt idx="12">
                  <c:v>0.621</c:v>
                </c:pt>
                <c:pt idx="13">
                  <c:v>0.63600000000000001</c:v>
                </c:pt>
                <c:pt idx="14">
                  <c:v>0.90600000000000003</c:v>
                </c:pt>
                <c:pt idx="15">
                  <c:v>1.2</c:v>
                </c:pt>
                <c:pt idx="16">
                  <c:v>1.272</c:v>
                </c:pt>
                <c:pt idx="17">
                  <c:v>1.4630000000000001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A0E-4C50-B9D3-507E93452CE6}"/>
            </c:ext>
          </c:extLst>
        </c:ser>
        <c:ser>
          <c:idx val="44"/>
          <c:order val="44"/>
          <c:tx>
            <c:v>BES_TR4_three97_B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0.40600000000000003</c:v>
                </c:pt>
                <c:pt idx="11">
                  <c:v>0.68700000000000006</c:v>
                </c:pt>
                <c:pt idx="12">
                  <c:v>0.85400000000000009</c:v>
                </c:pt>
                <c:pt idx="13">
                  <c:v>1.266</c:v>
                </c:pt>
                <c:pt idx="14">
                  <c:v>1.4890000000000001</c:v>
                </c:pt>
                <c:pt idx="15">
                  <c:v>1.843</c:v>
                </c:pt>
                <c:pt idx="16">
                  <c:v>4.5999999999999999E-2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A0E-4C50-B9D3-507E93452CE6}"/>
            </c:ext>
          </c:extLst>
        </c:ser>
        <c:ser>
          <c:idx val="45"/>
          <c:order val="45"/>
          <c:tx>
            <c:v>BES_TR4_three160_C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0.40400000000000003</c:v>
                </c:pt>
                <c:pt idx="11">
                  <c:v>0.63200000000000001</c:v>
                </c:pt>
                <c:pt idx="12">
                  <c:v>0.86899999999999999</c:v>
                </c:pt>
                <c:pt idx="13">
                  <c:v>1.145</c:v>
                </c:pt>
                <c:pt idx="14">
                  <c:v>1.609</c:v>
                </c:pt>
                <c:pt idx="15">
                  <c:v>1.827</c:v>
                </c:pt>
                <c:pt idx="16">
                  <c:v>1.482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2.1000000000000001E-2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A0E-4C50-B9D3-507E93452CE6}"/>
            </c:ext>
          </c:extLst>
        </c:ser>
        <c:ser>
          <c:idx val="46"/>
          <c:order val="46"/>
          <c:tx>
            <c:v>fleet average</c:v>
          </c:tx>
          <c:spPr>
            <a:ln w="28575">
              <a:solidFill>
                <a:srgbClr val="19A974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5.6521739130434778E-4</c:v>
                </c:pt>
                <c:pt idx="9">
                  <c:v>7.1086956521739131E-2</c:v>
                </c:pt>
                <c:pt idx="10">
                  <c:v>0.23558695652173914</c:v>
                </c:pt>
                <c:pt idx="11">
                  <c:v>0.43876086956521754</c:v>
                </c:pt>
                <c:pt idx="12">
                  <c:v>0.66</c:v>
                </c:pt>
                <c:pt idx="13">
                  <c:v>0.88632608695652193</c:v>
                </c:pt>
                <c:pt idx="14">
                  <c:v>1.0421304347826088</c:v>
                </c:pt>
                <c:pt idx="15">
                  <c:v>1.2376521739130435</c:v>
                </c:pt>
                <c:pt idx="16">
                  <c:v>0.82628260869565218</c:v>
                </c:pt>
                <c:pt idx="17">
                  <c:v>0.56358695652173918</c:v>
                </c:pt>
                <c:pt idx="18">
                  <c:v>0.29802173913043473</c:v>
                </c:pt>
                <c:pt idx="19">
                  <c:v>0.19726086956521738</c:v>
                </c:pt>
                <c:pt idx="20">
                  <c:v>9.6521739130434797E-2</c:v>
                </c:pt>
                <c:pt idx="21">
                  <c:v>0.1406304347826087</c:v>
                </c:pt>
                <c:pt idx="22">
                  <c:v>0.12015217391304346</c:v>
                </c:pt>
                <c:pt idx="23">
                  <c:v>6.7565217391304347E-2</c:v>
                </c:pt>
                <c:pt idx="24">
                  <c:v>6.6391304347826099E-2</c:v>
                </c:pt>
                <c:pt idx="25">
                  <c:v>2.8130434782608696E-2</c:v>
                </c:pt>
                <c:pt idx="26">
                  <c:v>1.2304347826086956E-2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6.3260869565217384E-3</c:v>
                </c:pt>
                <c:pt idx="31">
                  <c:v>1.0608695652173913E-2</c:v>
                </c:pt>
                <c:pt idx="32">
                  <c:v>0</c:v>
                </c:pt>
                <c:pt idx="33">
                  <c:v>2.4130434782608694E-3</c:v>
                </c:pt>
                <c:pt idx="34">
                  <c:v>9.5434782608695649E-3</c:v>
                </c:pt>
                <c:pt idx="35">
                  <c:v>7.0652173913043478E-3</c:v>
                </c:pt>
                <c:pt idx="36">
                  <c:v>1.8043478260869566E-3</c:v>
                </c:pt>
                <c:pt idx="37">
                  <c:v>9.717391304347827E-3</c:v>
                </c:pt>
                <c:pt idx="38">
                  <c:v>1.9086956521739133E-2</c:v>
                </c:pt>
                <c:pt idx="39">
                  <c:v>4.565217391304348E-4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A0E-4C50-B9D3-507E93452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2.8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discharging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BES_TR4_one195_C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Discharge_kW!$C$2:$C$49</c:f>
              <c:numCache>
                <c:formatCode>#,##0.000</c:formatCode>
                <c:ptCount val="48"/>
                <c:pt idx="0">
                  <c:v>0.37</c:v>
                </c:pt>
                <c:pt idx="1">
                  <c:v>4.9000000000000002E-2</c:v>
                </c:pt>
                <c:pt idx="2">
                  <c:v>0.12</c:v>
                </c:pt>
                <c:pt idx="3">
                  <c:v>0.17799999999999999</c:v>
                </c:pt>
                <c:pt idx="4">
                  <c:v>8.6999999999999994E-2</c:v>
                </c:pt>
                <c:pt idx="5">
                  <c:v>0.21099999999999999</c:v>
                </c:pt>
                <c:pt idx="6">
                  <c:v>0.124</c:v>
                </c:pt>
                <c:pt idx="7">
                  <c:v>0.14499999999999999</c:v>
                </c:pt>
                <c:pt idx="8">
                  <c:v>7.3999999999999996E-2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0.435</c:v>
                </c:pt>
                <c:pt idx="18">
                  <c:v>0.29899999999999999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0.16800000000000001</c:v>
                </c:pt>
                <c:pt idx="40">
                  <c:v>0.28999999999999998</c:v>
                </c:pt>
                <c:pt idx="41">
                  <c:v>0.30599999999999999</c:v>
                </c:pt>
                <c:pt idx="42">
                  <c:v>0.18099999999999999</c:v>
                </c:pt>
                <c:pt idx="43">
                  <c:v>0.53799999999999992</c:v>
                </c:pt>
                <c:pt idx="44">
                  <c:v>0.58699999999999997</c:v>
                </c:pt>
                <c:pt idx="45">
                  <c:v>0.48599999999999999</c:v>
                </c:pt>
                <c:pt idx="46">
                  <c:v>0.65300000000000002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9-41EE-8A2E-E50DB2961207}"/>
            </c:ext>
          </c:extLst>
        </c:ser>
        <c:ser>
          <c:idx val="1"/>
          <c:order val="1"/>
          <c:tx>
            <c:v>BES_TR4_one223_B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Discharge_kW!$D$2:$D$49</c:f>
              <c:numCache>
                <c:formatCode>#,##0.000</c:formatCode>
                <c:ptCount val="48"/>
                <c:pt idx="0">
                  <c:v>0.20100000000000001</c:v>
                </c:pt>
                <c:pt idx="1">
                  <c:v>4.3999999999999997E-2</c:v>
                </c:pt>
                <c:pt idx="2">
                  <c:v>4.3999999999999997E-2</c:v>
                </c:pt>
                <c:pt idx="3">
                  <c:v>0.183</c:v>
                </c:pt>
                <c:pt idx="4">
                  <c:v>0.17399999999999999</c:v>
                </c:pt>
                <c:pt idx="5">
                  <c:v>4.3999999999999997E-2</c:v>
                </c:pt>
                <c:pt idx="6">
                  <c:v>0.23300000000000001</c:v>
                </c:pt>
                <c:pt idx="7">
                  <c:v>0.121</c:v>
                </c:pt>
                <c:pt idx="8">
                  <c:v>0.105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0.439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1.9790000000000001</c:v>
                </c:pt>
                <c:pt idx="38">
                  <c:v>0</c:v>
                </c:pt>
                <c:pt idx="39">
                  <c:v>0.36299999999999999</c:v>
                </c:pt>
                <c:pt idx="40">
                  <c:v>0.28799999999999998</c:v>
                </c:pt>
                <c:pt idx="41">
                  <c:v>0.41</c:v>
                </c:pt>
                <c:pt idx="42">
                  <c:v>0.36900000000000011</c:v>
                </c:pt>
                <c:pt idx="43">
                  <c:v>0.27100000000000002</c:v>
                </c:pt>
                <c:pt idx="44">
                  <c:v>0.17899999999999999</c:v>
                </c:pt>
                <c:pt idx="45">
                  <c:v>0.42799999999999999</c:v>
                </c:pt>
                <c:pt idx="46">
                  <c:v>0.38</c:v>
                </c:pt>
                <c:pt idx="47">
                  <c:v>0.187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39-41EE-8A2E-E50DB2961207}"/>
            </c:ext>
          </c:extLst>
        </c:ser>
        <c:ser>
          <c:idx val="2"/>
          <c:order val="2"/>
          <c:tx>
            <c:v>BES_TR4_one235_A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Discharge_kW!$E$2:$E$49</c:f>
              <c:numCache>
                <c:formatCode>#,##0.000</c:formatCode>
                <c:ptCount val="48"/>
                <c:pt idx="0">
                  <c:v>0.16300000000000001</c:v>
                </c:pt>
                <c:pt idx="1">
                  <c:v>0.05</c:v>
                </c:pt>
                <c:pt idx="2">
                  <c:v>0.22800000000000001</c:v>
                </c:pt>
                <c:pt idx="3">
                  <c:v>0.05</c:v>
                </c:pt>
                <c:pt idx="4">
                  <c:v>0.20300000000000001</c:v>
                </c:pt>
                <c:pt idx="5">
                  <c:v>7.3999999999999996E-2</c:v>
                </c:pt>
                <c:pt idx="6">
                  <c:v>8.2000000000000003E-2</c:v>
                </c:pt>
                <c:pt idx="7">
                  <c:v>0.192</c:v>
                </c:pt>
                <c:pt idx="8">
                  <c:v>2.6551279999999998E-4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0.28799999999999998</c:v>
                </c:pt>
                <c:pt idx="40">
                  <c:v>0.34899999999999998</c:v>
                </c:pt>
                <c:pt idx="41">
                  <c:v>0.57700000000000007</c:v>
                </c:pt>
                <c:pt idx="42">
                  <c:v>0.70399999999999996</c:v>
                </c:pt>
                <c:pt idx="43">
                  <c:v>0.378</c:v>
                </c:pt>
                <c:pt idx="44">
                  <c:v>0.57300000000000006</c:v>
                </c:pt>
                <c:pt idx="45">
                  <c:v>0.16700000000000001</c:v>
                </c:pt>
                <c:pt idx="46">
                  <c:v>0.155</c:v>
                </c:pt>
                <c:pt idx="47">
                  <c:v>0.123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39-41EE-8A2E-E50DB2961207}"/>
            </c:ext>
          </c:extLst>
        </c:ser>
        <c:ser>
          <c:idx val="3"/>
          <c:order val="3"/>
          <c:tx>
            <c:v>BES_TR4_one242_B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Discharge_kW!$F$2:$F$49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0.255</c:v>
                </c:pt>
                <c:pt idx="2">
                  <c:v>0.13700000000000001</c:v>
                </c:pt>
                <c:pt idx="3">
                  <c:v>5.8000000000000003E-2</c:v>
                </c:pt>
                <c:pt idx="4">
                  <c:v>0.252</c:v>
                </c:pt>
                <c:pt idx="5">
                  <c:v>0.14000000000000001</c:v>
                </c:pt>
                <c:pt idx="6">
                  <c:v>5.8000000000000003E-2</c:v>
                </c:pt>
                <c:pt idx="7">
                  <c:v>0.19</c:v>
                </c:pt>
                <c:pt idx="8">
                  <c:v>0.14899999999999999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0.42799999999999999</c:v>
                </c:pt>
                <c:pt idx="41">
                  <c:v>0.247</c:v>
                </c:pt>
                <c:pt idx="42">
                  <c:v>0.63300000000000001</c:v>
                </c:pt>
                <c:pt idx="43">
                  <c:v>0.27300000000000002</c:v>
                </c:pt>
                <c:pt idx="44">
                  <c:v>0.51800000000000002</c:v>
                </c:pt>
                <c:pt idx="45">
                  <c:v>0.58200000000000007</c:v>
                </c:pt>
                <c:pt idx="46">
                  <c:v>0.71100000000000008</c:v>
                </c:pt>
                <c:pt idx="47">
                  <c:v>0.54900000000000004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39-41EE-8A2E-E50DB2961207}"/>
            </c:ext>
          </c:extLst>
        </c:ser>
        <c:ser>
          <c:idx val="4"/>
          <c:order val="4"/>
          <c:tx>
            <c:v>BES_TR4_one252_C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Discharge_kW!$G$2:$G$49</c:f>
              <c:numCache>
                <c:formatCode>#,##0.000</c:formatCode>
                <c:ptCount val="48"/>
                <c:pt idx="0">
                  <c:v>0.24299999999999999</c:v>
                </c:pt>
                <c:pt idx="1">
                  <c:v>0.32900000000000001</c:v>
                </c:pt>
                <c:pt idx="2">
                  <c:v>0.32800000000000001</c:v>
                </c:pt>
                <c:pt idx="3">
                  <c:v>0.23100000000000001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5.1999999999999998E-2</c:v>
                </c:pt>
                <c:pt idx="8">
                  <c:v>1.7999999999999999E-2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0.105</c:v>
                </c:pt>
                <c:pt idx="40">
                  <c:v>0.127</c:v>
                </c:pt>
                <c:pt idx="41">
                  <c:v>5.5E-2</c:v>
                </c:pt>
                <c:pt idx="42">
                  <c:v>5.5E-2</c:v>
                </c:pt>
                <c:pt idx="43">
                  <c:v>5.5E-2</c:v>
                </c:pt>
                <c:pt idx="44">
                  <c:v>5.5E-2</c:v>
                </c:pt>
                <c:pt idx="45">
                  <c:v>5.5E-2</c:v>
                </c:pt>
                <c:pt idx="46">
                  <c:v>5.5E-2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39-41EE-8A2E-E50DB2961207}"/>
            </c:ext>
          </c:extLst>
        </c:ser>
        <c:ser>
          <c:idx val="5"/>
          <c:order val="5"/>
          <c:tx>
            <c:v>BES_TR4_one260_C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Discharge_kW!$H$2:$H$49</c:f>
              <c:numCache>
                <c:formatCode>#,##0.000</c:formatCode>
                <c:ptCount val="48"/>
                <c:pt idx="0">
                  <c:v>0.124</c:v>
                </c:pt>
                <c:pt idx="1">
                  <c:v>3.5000000000000003E-2</c:v>
                </c:pt>
                <c:pt idx="2">
                  <c:v>3.5000000000000003E-2</c:v>
                </c:pt>
                <c:pt idx="3">
                  <c:v>0.20499999999999999</c:v>
                </c:pt>
                <c:pt idx="4">
                  <c:v>8.8999999999999996E-2</c:v>
                </c:pt>
                <c:pt idx="5">
                  <c:v>7.2000000000000008E-2</c:v>
                </c:pt>
                <c:pt idx="6">
                  <c:v>0.221</c:v>
                </c:pt>
                <c:pt idx="7">
                  <c:v>3.2000000000000001E-2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</c:v>
                </c:pt>
                <c:pt idx="40">
                  <c:v>0.33900000000000002</c:v>
                </c:pt>
                <c:pt idx="41">
                  <c:v>0.39100000000000001</c:v>
                </c:pt>
                <c:pt idx="42">
                  <c:v>3.5000000000000003E-2</c:v>
                </c:pt>
                <c:pt idx="43">
                  <c:v>0.115</c:v>
                </c:pt>
                <c:pt idx="44">
                  <c:v>0.45300000000000001</c:v>
                </c:pt>
                <c:pt idx="45">
                  <c:v>0.159</c:v>
                </c:pt>
                <c:pt idx="46">
                  <c:v>0.13900000000000001</c:v>
                </c:pt>
                <c:pt idx="47">
                  <c:v>0.155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39-41EE-8A2E-E50DB2961207}"/>
            </c:ext>
          </c:extLst>
        </c:ser>
        <c:ser>
          <c:idx val="6"/>
          <c:order val="6"/>
          <c:tx>
            <c:v>BES_TR4_one299_B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Discharge_kW!$I$2:$I$49</c:f>
              <c:numCache>
                <c:formatCode>#,##0.000</c:formatCode>
                <c:ptCount val="48"/>
                <c:pt idx="0">
                  <c:v>0.33800000000000002</c:v>
                </c:pt>
                <c:pt idx="1">
                  <c:v>5.1999999999999998E-2</c:v>
                </c:pt>
                <c:pt idx="2">
                  <c:v>0.28899999999999998</c:v>
                </c:pt>
                <c:pt idx="3">
                  <c:v>0.108</c:v>
                </c:pt>
                <c:pt idx="4">
                  <c:v>0.10199999999999999</c:v>
                </c:pt>
                <c:pt idx="5">
                  <c:v>0.254</c:v>
                </c:pt>
                <c:pt idx="6">
                  <c:v>9.2999999999999999E-2</c:v>
                </c:pt>
                <c:pt idx="7">
                  <c:v>0.152</c:v>
                </c:pt>
                <c:pt idx="8">
                  <c:v>0.192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0.67599999999999993</c:v>
                </c:pt>
                <c:pt idx="39">
                  <c:v>0.252</c:v>
                </c:pt>
                <c:pt idx="40">
                  <c:v>0.191</c:v>
                </c:pt>
                <c:pt idx="41">
                  <c:v>0.13700000000000001</c:v>
                </c:pt>
                <c:pt idx="42">
                  <c:v>0.114</c:v>
                </c:pt>
                <c:pt idx="43">
                  <c:v>0.127</c:v>
                </c:pt>
                <c:pt idx="44">
                  <c:v>0.20799999999999999</c:v>
                </c:pt>
                <c:pt idx="45">
                  <c:v>0.114</c:v>
                </c:pt>
                <c:pt idx="46">
                  <c:v>0.127</c:v>
                </c:pt>
                <c:pt idx="47">
                  <c:v>0.17899999999999999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39-41EE-8A2E-E50DB2961207}"/>
            </c:ext>
          </c:extLst>
        </c:ser>
        <c:ser>
          <c:idx val="7"/>
          <c:order val="7"/>
          <c:tx>
            <c:v>BES_TR4_one320_B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Discharge_kW!$J$2:$J$49</c:f>
              <c:numCache>
                <c:formatCode>#,##0.000</c:formatCode>
                <c:ptCount val="48"/>
                <c:pt idx="0">
                  <c:v>0.23200000000000001</c:v>
                </c:pt>
                <c:pt idx="1">
                  <c:v>5.6000000000000001E-2</c:v>
                </c:pt>
                <c:pt idx="2">
                  <c:v>0.16800000000000001</c:v>
                </c:pt>
                <c:pt idx="3">
                  <c:v>0.12</c:v>
                </c:pt>
                <c:pt idx="4">
                  <c:v>5.6000000000000001E-2</c:v>
                </c:pt>
                <c:pt idx="5">
                  <c:v>0.152</c:v>
                </c:pt>
                <c:pt idx="6">
                  <c:v>0.13600000000000001</c:v>
                </c:pt>
                <c:pt idx="7">
                  <c:v>5.3999999999999999E-2</c:v>
                </c:pt>
                <c:pt idx="8">
                  <c:v>0.13700000000000001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1.1439999999999999</c:v>
                </c:pt>
                <c:pt idx="35">
                  <c:v>2.331</c:v>
                </c:pt>
                <c:pt idx="36">
                  <c:v>2.0459999999999998</c:v>
                </c:pt>
                <c:pt idx="37">
                  <c:v>0</c:v>
                </c:pt>
                <c:pt idx="38">
                  <c:v>0</c:v>
                </c:pt>
                <c:pt idx="39">
                  <c:v>0.14899999999999999</c:v>
                </c:pt>
                <c:pt idx="40">
                  <c:v>0.99400000000000011</c:v>
                </c:pt>
                <c:pt idx="41">
                  <c:v>0.61199999999999999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39-41EE-8A2E-E50DB2961207}"/>
            </c:ext>
          </c:extLst>
        </c:ser>
        <c:ser>
          <c:idx val="8"/>
          <c:order val="8"/>
          <c:tx>
            <c:v>BES_TR4_one321_C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Discharge_kW!$K$2:$K$49</c:f>
              <c:numCache>
                <c:formatCode>#,##0.000</c:formatCode>
                <c:ptCount val="48"/>
                <c:pt idx="0">
                  <c:v>0.214</c:v>
                </c:pt>
                <c:pt idx="1">
                  <c:v>0.45900000000000002</c:v>
                </c:pt>
                <c:pt idx="2">
                  <c:v>5.5E-2</c:v>
                </c:pt>
                <c:pt idx="3">
                  <c:v>0.16400000000000001</c:v>
                </c:pt>
                <c:pt idx="4">
                  <c:v>5.5E-2</c:v>
                </c:pt>
                <c:pt idx="5">
                  <c:v>5.5E-2</c:v>
                </c:pt>
                <c:pt idx="6">
                  <c:v>0.125</c:v>
                </c:pt>
                <c:pt idx="7">
                  <c:v>9.1999999999999998E-2</c:v>
                </c:pt>
                <c:pt idx="8">
                  <c:v>2.4E-2</c:v>
                </c:pt>
                <c:pt idx="9">
                  <c:v>1.7999999999999999E-2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0.46400000000000002</c:v>
                </c:pt>
                <c:pt idx="40">
                  <c:v>0.96399999999999997</c:v>
                </c:pt>
                <c:pt idx="41">
                  <c:v>0.91400000000000003</c:v>
                </c:pt>
                <c:pt idx="42">
                  <c:v>0.78500000000000003</c:v>
                </c:pt>
                <c:pt idx="43">
                  <c:v>0.77600000000000002</c:v>
                </c:pt>
                <c:pt idx="44">
                  <c:v>0.79100000000000004</c:v>
                </c:pt>
                <c:pt idx="45">
                  <c:v>0.68700000000000006</c:v>
                </c:pt>
                <c:pt idx="46">
                  <c:v>6.3E-2</c:v>
                </c:pt>
                <c:pt idx="47">
                  <c:v>0.156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39-41EE-8A2E-E50DB2961207}"/>
            </c:ext>
          </c:extLst>
        </c:ser>
        <c:ser>
          <c:idx val="9"/>
          <c:order val="9"/>
          <c:tx>
            <c:v>BES_TR4_one328_A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Discharge_kW!$L$2:$L$49</c:f>
              <c:numCache>
                <c:formatCode>#,##0.000</c:formatCode>
                <c:ptCount val="48"/>
                <c:pt idx="0">
                  <c:v>0.48799999999999999</c:v>
                </c:pt>
                <c:pt idx="1">
                  <c:v>0.374</c:v>
                </c:pt>
                <c:pt idx="2">
                  <c:v>0.20899999999999999</c:v>
                </c:pt>
                <c:pt idx="3">
                  <c:v>5.3999999999999999E-2</c:v>
                </c:pt>
                <c:pt idx="4">
                  <c:v>0.13300000000000001</c:v>
                </c:pt>
                <c:pt idx="5">
                  <c:v>0.20899999999999999</c:v>
                </c:pt>
                <c:pt idx="6">
                  <c:v>0.129</c:v>
                </c:pt>
                <c:pt idx="7">
                  <c:v>0.16</c:v>
                </c:pt>
                <c:pt idx="8">
                  <c:v>0.111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0.26700000000000002</c:v>
                </c:pt>
                <c:pt idx="41">
                  <c:v>0.43099999999999999</c:v>
                </c:pt>
                <c:pt idx="42">
                  <c:v>0.112</c:v>
                </c:pt>
                <c:pt idx="43">
                  <c:v>0.159</c:v>
                </c:pt>
                <c:pt idx="44">
                  <c:v>0.17399999999999999</c:v>
                </c:pt>
                <c:pt idx="45">
                  <c:v>7.2000000000000008E-2</c:v>
                </c:pt>
                <c:pt idx="46">
                  <c:v>0.24199999999999999</c:v>
                </c:pt>
                <c:pt idx="47">
                  <c:v>8.2000000000000003E-2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239-41EE-8A2E-E50DB2961207}"/>
            </c:ext>
          </c:extLst>
        </c:ser>
        <c:ser>
          <c:idx val="10"/>
          <c:order val="10"/>
          <c:tx>
            <c:v>BES_TR4_one345_A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Discharge_kW!$M$2:$M$49</c:f>
              <c:numCache>
                <c:formatCode>#,##0.000</c:formatCode>
                <c:ptCount val="48"/>
                <c:pt idx="0">
                  <c:v>0.312</c:v>
                </c:pt>
                <c:pt idx="1">
                  <c:v>0.253</c:v>
                </c:pt>
                <c:pt idx="2">
                  <c:v>5.5E-2</c:v>
                </c:pt>
                <c:pt idx="3">
                  <c:v>5.5E-2</c:v>
                </c:pt>
                <c:pt idx="4">
                  <c:v>0.22600000000000001</c:v>
                </c:pt>
                <c:pt idx="5">
                  <c:v>8.2000000000000003E-2</c:v>
                </c:pt>
                <c:pt idx="6">
                  <c:v>9.0999999999999998E-2</c:v>
                </c:pt>
                <c:pt idx="7">
                  <c:v>0.214</c:v>
                </c:pt>
                <c:pt idx="8">
                  <c:v>1.7999999999999999E-2</c:v>
                </c:pt>
                <c:pt idx="9">
                  <c:v>0.108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0.39800000000000002</c:v>
                </c:pt>
                <c:pt idx="37">
                  <c:v>0</c:v>
                </c:pt>
                <c:pt idx="38">
                  <c:v>0</c:v>
                </c:pt>
                <c:pt idx="39">
                  <c:v>0.36599999999999999</c:v>
                </c:pt>
                <c:pt idx="40">
                  <c:v>0.70499999999999996</c:v>
                </c:pt>
                <c:pt idx="41">
                  <c:v>0.78700000000000003</c:v>
                </c:pt>
                <c:pt idx="42">
                  <c:v>0.78900000000000003</c:v>
                </c:pt>
                <c:pt idx="43">
                  <c:v>0.874</c:v>
                </c:pt>
                <c:pt idx="44">
                  <c:v>0.56800000000000006</c:v>
                </c:pt>
                <c:pt idx="45">
                  <c:v>0.94200000000000006</c:v>
                </c:pt>
                <c:pt idx="46">
                  <c:v>0.60699999999999998</c:v>
                </c:pt>
                <c:pt idx="47">
                  <c:v>0.11799999999999999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239-41EE-8A2E-E50DB2961207}"/>
            </c:ext>
          </c:extLst>
        </c:ser>
        <c:ser>
          <c:idx val="11"/>
          <c:order val="11"/>
          <c:tx>
            <c:v>BES_TR4_one366_B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Discharge_kW!$N$2:$N$49</c:f>
              <c:numCache>
                <c:formatCode>#,##0.000</c:formatCode>
                <c:ptCount val="48"/>
                <c:pt idx="0">
                  <c:v>0.21</c:v>
                </c:pt>
                <c:pt idx="1">
                  <c:v>0.17699999999999999</c:v>
                </c:pt>
                <c:pt idx="2">
                  <c:v>0.21099999999999999</c:v>
                </c:pt>
                <c:pt idx="3">
                  <c:v>0.126</c:v>
                </c:pt>
                <c:pt idx="4">
                  <c:v>0.29199999999999998</c:v>
                </c:pt>
                <c:pt idx="5">
                  <c:v>0.11600000000000001</c:v>
                </c:pt>
                <c:pt idx="6">
                  <c:v>6.8000000000000005E-2</c:v>
                </c:pt>
                <c:pt idx="7">
                  <c:v>0.36199999999999999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5.8000000000000003E-2</c:v>
                </c:pt>
                <c:pt idx="40">
                  <c:v>0.2</c:v>
                </c:pt>
                <c:pt idx="41">
                  <c:v>9.1999999999999998E-2</c:v>
                </c:pt>
                <c:pt idx="42">
                  <c:v>0.23200000000000001</c:v>
                </c:pt>
                <c:pt idx="43">
                  <c:v>0.193</c:v>
                </c:pt>
                <c:pt idx="44">
                  <c:v>7.5999999999999998E-2</c:v>
                </c:pt>
                <c:pt idx="45">
                  <c:v>0.28199999999999997</c:v>
                </c:pt>
                <c:pt idx="46">
                  <c:v>0.14199999999999999</c:v>
                </c:pt>
                <c:pt idx="47">
                  <c:v>0.24399999999999999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239-41EE-8A2E-E50DB2961207}"/>
            </c:ext>
          </c:extLst>
        </c:ser>
        <c:ser>
          <c:idx val="12"/>
          <c:order val="12"/>
          <c:tx>
            <c:v>BES_TR4_one410_B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Discharge_kW!$O$2:$O$49</c:f>
              <c:numCache>
                <c:formatCode>#,##0.000</c:formatCode>
                <c:ptCount val="48"/>
                <c:pt idx="0">
                  <c:v>0.316</c:v>
                </c:pt>
                <c:pt idx="1">
                  <c:v>0.14799999999999999</c:v>
                </c:pt>
                <c:pt idx="2">
                  <c:v>4.5999999999999999E-2</c:v>
                </c:pt>
                <c:pt idx="3">
                  <c:v>0.128</c:v>
                </c:pt>
                <c:pt idx="4">
                  <c:v>0.23200000000000001</c:v>
                </c:pt>
                <c:pt idx="5">
                  <c:v>4.5999999999999999E-2</c:v>
                </c:pt>
                <c:pt idx="6">
                  <c:v>0.129</c:v>
                </c:pt>
                <c:pt idx="7">
                  <c:v>0.23</c:v>
                </c:pt>
                <c:pt idx="8">
                  <c:v>2.7E-2</c:v>
                </c:pt>
                <c:pt idx="9">
                  <c:v>0.111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0.42299999999999999</c:v>
                </c:pt>
                <c:pt idx="39">
                  <c:v>0.26700000000000002</c:v>
                </c:pt>
                <c:pt idx="40">
                  <c:v>0.38800000000000001</c:v>
                </c:pt>
                <c:pt idx="41">
                  <c:v>0.45600000000000002</c:v>
                </c:pt>
                <c:pt idx="42">
                  <c:v>0.43600000000000011</c:v>
                </c:pt>
                <c:pt idx="43">
                  <c:v>0.36099999999999999</c:v>
                </c:pt>
                <c:pt idx="44">
                  <c:v>0.60199999999999998</c:v>
                </c:pt>
                <c:pt idx="45">
                  <c:v>0.40300000000000002</c:v>
                </c:pt>
                <c:pt idx="46">
                  <c:v>0.22</c:v>
                </c:pt>
                <c:pt idx="47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239-41EE-8A2E-E50DB2961207}"/>
            </c:ext>
          </c:extLst>
        </c:ser>
        <c:ser>
          <c:idx val="13"/>
          <c:order val="13"/>
          <c:tx>
            <c:v>BES_TR4_one50_A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Discharge_kW!$P$2:$P$49</c:f>
              <c:numCache>
                <c:formatCode>#,##0.000</c:formatCode>
                <c:ptCount val="48"/>
                <c:pt idx="0">
                  <c:v>6.0999999999999999E-2</c:v>
                </c:pt>
                <c:pt idx="1">
                  <c:v>0.185</c:v>
                </c:pt>
                <c:pt idx="2">
                  <c:v>0.13500000000000001</c:v>
                </c:pt>
                <c:pt idx="3">
                  <c:v>0.161</c:v>
                </c:pt>
                <c:pt idx="4">
                  <c:v>0.14899999999999999</c:v>
                </c:pt>
                <c:pt idx="5">
                  <c:v>0.22700000000000001</c:v>
                </c:pt>
                <c:pt idx="6">
                  <c:v>6.8999999999999992E-2</c:v>
                </c:pt>
                <c:pt idx="7">
                  <c:v>0.20699999999999999</c:v>
                </c:pt>
                <c:pt idx="8">
                  <c:v>1.7999999999999999E-2</c:v>
                </c:pt>
                <c:pt idx="9">
                  <c:v>0</c:v>
                </c:pt>
                <c:pt idx="10">
                  <c:v>0</c:v>
                </c:pt>
                <c:pt idx="11">
                  <c:v>5.5E-2</c:v>
                </c:pt>
                <c:pt idx="12">
                  <c:v>0</c:v>
                </c:pt>
                <c:pt idx="13">
                  <c:v>0</c:v>
                </c:pt>
                <c:pt idx="14">
                  <c:v>0.20599999999999999</c:v>
                </c:pt>
                <c:pt idx="15">
                  <c:v>0.69899999999999995</c:v>
                </c:pt>
                <c:pt idx="16">
                  <c:v>0.3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9.2999999999999999E-2</c:v>
                </c:pt>
                <c:pt idx="40">
                  <c:v>0.14000000000000001</c:v>
                </c:pt>
                <c:pt idx="41">
                  <c:v>0.10199999999999999</c:v>
                </c:pt>
                <c:pt idx="42">
                  <c:v>0.23</c:v>
                </c:pt>
                <c:pt idx="43">
                  <c:v>7.8E-2</c:v>
                </c:pt>
                <c:pt idx="44">
                  <c:v>0.29199999999999998</c:v>
                </c:pt>
                <c:pt idx="45">
                  <c:v>0.495</c:v>
                </c:pt>
                <c:pt idx="46">
                  <c:v>9.0999999999999998E-2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239-41EE-8A2E-E50DB2961207}"/>
            </c:ext>
          </c:extLst>
        </c:ser>
        <c:ser>
          <c:idx val="14"/>
          <c:order val="14"/>
          <c:tx>
            <c:v>BES_TR4_one416_C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Discharge_kW!$Q$2:$Q$49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4.9000000000000002E-2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0.35</c:v>
                </c:pt>
                <c:pt idx="40">
                  <c:v>0.58399999999999996</c:v>
                </c:pt>
                <c:pt idx="41">
                  <c:v>0.47499999999999998</c:v>
                </c:pt>
                <c:pt idx="42">
                  <c:v>0.68099999999999994</c:v>
                </c:pt>
                <c:pt idx="43">
                  <c:v>0.82899999999999996</c:v>
                </c:pt>
                <c:pt idx="44">
                  <c:v>0.83600000000000008</c:v>
                </c:pt>
                <c:pt idx="45">
                  <c:v>0.61799999999999999</c:v>
                </c:pt>
                <c:pt idx="46">
                  <c:v>0.46300000000000002</c:v>
                </c:pt>
                <c:pt idx="47">
                  <c:v>0.47699999999999998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239-41EE-8A2E-E50DB2961207}"/>
            </c:ext>
          </c:extLst>
        </c:ser>
        <c:ser>
          <c:idx val="15"/>
          <c:order val="15"/>
          <c:tx>
            <c:v>BES_TR4_one423_B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Discharge_kW!$R$2:$R$49</c:f>
              <c:numCache>
                <c:formatCode>#,##0.000</c:formatCode>
                <c:ptCount val="48"/>
                <c:pt idx="0">
                  <c:v>0.20599999999999999</c:v>
                </c:pt>
                <c:pt idx="1">
                  <c:v>0.124</c:v>
                </c:pt>
                <c:pt idx="2">
                  <c:v>0.158</c:v>
                </c:pt>
                <c:pt idx="3">
                  <c:v>0.14199999999999999</c:v>
                </c:pt>
                <c:pt idx="4">
                  <c:v>0.13400000000000001</c:v>
                </c:pt>
                <c:pt idx="5">
                  <c:v>0.17399999999999999</c:v>
                </c:pt>
                <c:pt idx="6">
                  <c:v>0.109</c:v>
                </c:pt>
                <c:pt idx="7">
                  <c:v>0.23899999999999999</c:v>
                </c:pt>
                <c:pt idx="8">
                  <c:v>5.8999999999999997E-2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0.46</c:v>
                </c:pt>
                <c:pt idx="39">
                  <c:v>0.374</c:v>
                </c:pt>
                <c:pt idx="40">
                  <c:v>0.89100000000000001</c:v>
                </c:pt>
                <c:pt idx="41">
                  <c:v>0.39</c:v>
                </c:pt>
                <c:pt idx="42">
                  <c:v>0.53100000000000003</c:v>
                </c:pt>
                <c:pt idx="43">
                  <c:v>0.59699999999999998</c:v>
                </c:pt>
                <c:pt idx="44">
                  <c:v>0.42599999999999999</c:v>
                </c:pt>
                <c:pt idx="45">
                  <c:v>1.099</c:v>
                </c:pt>
                <c:pt idx="46">
                  <c:v>0.47199999999999998</c:v>
                </c:pt>
                <c:pt idx="47">
                  <c:v>0.78400000000000003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239-41EE-8A2E-E50DB2961207}"/>
            </c:ext>
          </c:extLst>
        </c:ser>
        <c:ser>
          <c:idx val="16"/>
          <c:order val="16"/>
          <c:tx>
            <c:v>BES_TR4_one446_B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Discharge_kW!$S$2:$S$49</c:f>
              <c:numCache>
                <c:formatCode>#,##0.000</c:formatCode>
                <c:ptCount val="48"/>
                <c:pt idx="0">
                  <c:v>0.252</c:v>
                </c:pt>
                <c:pt idx="1">
                  <c:v>5.7000000000000002E-2</c:v>
                </c:pt>
                <c:pt idx="2">
                  <c:v>0.22600000000000001</c:v>
                </c:pt>
                <c:pt idx="3">
                  <c:v>8.3999999999999991E-2</c:v>
                </c:pt>
                <c:pt idx="4">
                  <c:v>0.128</c:v>
                </c:pt>
                <c:pt idx="5">
                  <c:v>0.18099999999999999</c:v>
                </c:pt>
                <c:pt idx="6">
                  <c:v>7.4999999999999997E-2</c:v>
                </c:pt>
                <c:pt idx="7">
                  <c:v>0.23300000000000001</c:v>
                </c:pt>
                <c:pt idx="8">
                  <c:v>3.7999999999999999E-2</c:v>
                </c:pt>
                <c:pt idx="9">
                  <c:v>0.16500000000000001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0.71100000000000008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0.64499999999999991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6.9999999999999993E-2</c:v>
                </c:pt>
                <c:pt idx="37">
                  <c:v>0.40500000000000003</c:v>
                </c:pt>
                <c:pt idx="38">
                  <c:v>0.19700000000000001</c:v>
                </c:pt>
                <c:pt idx="39">
                  <c:v>0.34300000000000003</c:v>
                </c:pt>
                <c:pt idx="40">
                  <c:v>0.372</c:v>
                </c:pt>
                <c:pt idx="41">
                  <c:v>0.69099999999999995</c:v>
                </c:pt>
                <c:pt idx="42">
                  <c:v>0.41</c:v>
                </c:pt>
                <c:pt idx="43">
                  <c:v>0.99199999999999999</c:v>
                </c:pt>
                <c:pt idx="44">
                  <c:v>0.55099999999999993</c:v>
                </c:pt>
                <c:pt idx="45">
                  <c:v>0.81800000000000006</c:v>
                </c:pt>
                <c:pt idx="46">
                  <c:v>0.66400000000000003</c:v>
                </c:pt>
                <c:pt idx="47">
                  <c:v>0.30599999999999999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239-41EE-8A2E-E50DB2961207}"/>
            </c:ext>
          </c:extLst>
        </c:ser>
        <c:ser>
          <c:idx val="17"/>
          <c:order val="17"/>
          <c:tx>
            <c:v>BES_TR4_one480_A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Discharge_kW!$T$2:$T$49</c:f>
              <c:numCache>
                <c:formatCode>#,##0.000</c:formatCode>
                <c:ptCount val="48"/>
                <c:pt idx="0">
                  <c:v>0.105</c:v>
                </c:pt>
                <c:pt idx="1">
                  <c:v>0.28599999999999998</c:v>
                </c:pt>
                <c:pt idx="2">
                  <c:v>0.04</c:v>
                </c:pt>
                <c:pt idx="3">
                  <c:v>0.27300000000000002</c:v>
                </c:pt>
                <c:pt idx="4">
                  <c:v>0.11700000000000001</c:v>
                </c:pt>
                <c:pt idx="5">
                  <c:v>7.2000000000000008E-2</c:v>
                </c:pt>
                <c:pt idx="6">
                  <c:v>0.21199999999999999</c:v>
                </c:pt>
                <c:pt idx="7">
                  <c:v>3.6999999999999998E-2</c:v>
                </c:pt>
                <c:pt idx="8">
                  <c:v>8.3000000000000004E-2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0.17499999999999999</c:v>
                </c:pt>
                <c:pt idx="39">
                  <c:v>0.34699999999999998</c:v>
                </c:pt>
                <c:pt idx="40">
                  <c:v>0.371</c:v>
                </c:pt>
                <c:pt idx="41">
                  <c:v>0.39100000000000001</c:v>
                </c:pt>
                <c:pt idx="42">
                  <c:v>0.499</c:v>
                </c:pt>
                <c:pt idx="43">
                  <c:v>0.32800000000000001</c:v>
                </c:pt>
                <c:pt idx="44">
                  <c:v>0.23200000000000001</c:v>
                </c:pt>
                <c:pt idx="45">
                  <c:v>9.7000000000000003E-2</c:v>
                </c:pt>
                <c:pt idx="46">
                  <c:v>0.224</c:v>
                </c:pt>
                <c:pt idx="47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239-41EE-8A2E-E50DB2961207}"/>
            </c:ext>
          </c:extLst>
        </c:ser>
        <c:ser>
          <c:idx val="18"/>
          <c:order val="18"/>
          <c:tx>
            <c:v>BES_TR4_one61_A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Discharge_kW!$U$2:$U$49</c:f>
              <c:numCache>
                <c:formatCode>#,##0.000</c:formatCode>
                <c:ptCount val="48"/>
                <c:pt idx="0">
                  <c:v>0.45200000000000001</c:v>
                </c:pt>
                <c:pt idx="1">
                  <c:v>6.6000000000000003E-2</c:v>
                </c:pt>
                <c:pt idx="2">
                  <c:v>0.13500000000000001</c:v>
                </c:pt>
                <c:pt idx="3">
                  <c:v>0.15</c:v>
                </c:pt>
                <c:pt idx="4">
                  <c:v>8.1000000000000003E-2</c:v>
                </c:pt>
                <c:pt idx="5">
                  <c:v>0.20399999999999999</c:v>
                </c:pt>
                <c:pt idx="6">
                  <c:v>5.8000000000000003E-2</c:v>
                </c:pt>
                <c:pt idx="7">
                  <c:v>0.224</c:v>
                </c:pt>
                <c:pt idx="8">
                  <c:v>8.0000000000000002E-3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0.23200000000000001</c:v>
                </c:pt>
                <c:pt idx="40">
                  <c:v>0.7380000000000001</c:v>
                </c:pt>
                <c:pt idx="41">
                  <c:v>0.82200000000000006</c:v>
                </c:pt>
                <c:pt idx="42">
                  <c:v>0.84199999999999997</c:v>
                </c:pt>
                <c:pt idx="43">
                  <c:v>0.82200000000000006</c:v>
                </c:pt>
                <c:pt idx="44">
                  <c:v>0.73</c:v>
                </c:pt>
                <c:pt idx="45">
                  <c:v>0.77100000000000002</c:v>
                </c:pt>
                <c:pt idx="46">
                  <c:v>0.92</c:v>
                </c:pt>
                <c:pt idx="47">
                  <c:v>0.78299999999999992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239-41EE-8A2E-E50DB2961207}"/>
            </c:ext>
          </c:extLst>
        </c:ser>
        <c:ser>
          <c:idx val="19"/>
          <c:order val="19"/>
          <c:tx>
            <c:v>BES_TR4_one544_A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Discharge_kW!$V$2:$V$49</c:f>
              <c:numCache>
                <c:formatCode>#,##0.000</c:formatCode>
                <c:ptCount val="48"/>
                <c:pt idx="0">
                  <c:v>0.17599999999999999</c:v>
                </c:pt>
                <c:pt idx="1">
                  <c:v>0.151</c:v>
                </c:pt>
                <c:pt idx="2">
                  <c:v>0.112</c:v>
                </c:pt>
                <c:pt idx="3">
                  <c:v>0.19</c:v>
                </c:pt>
                <c:pt idx="4">
                  <c:v>0.10100000000000001</c:v>
                </c:pt>
                <c:pt idx="5">
                  <c:v>0.41199999999999998</c:v>
                </c:pt>
                <c:pt idx="6">
                  <c:v>0.439</c:v>
                </c:pt>
                <c:pt idx="7">
                  <c:v>0.22900000000000001</c:v>
                </c:pt>
                <c:pt idx="8">
                  <c:v>9.1999999999999998E-2</c:v>
                </c:pt>
                <c:pt idx="9">
                  <c:v>6.2E-2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0.122</c:v>
                </c:pt>
                <c:pt idx="38">
                  <c:v>0</c:v>
                </c:pt>
                <c:pt idx="39">
                  <c:v>0.35199999999999998</c:v>
                </c:pt>
                <c:pt idx="40">
                  <c:v>0.58899999999999997</c:v>
                </c:pt>
                <c:pt idx="41">
                  <c:v>0.94099999999999995</c:v>
                </c:pt>
                <c:pt idx="42">
                  <c:v>1.5349999999999999</c:v>
                </c:pt>
                <c:pt idx="43">
                  <c:v>0.78100000000000003</c:v>
                </c:pt>
                <c:pt idx="44">
                  <c:v>1.506</c:v>
                </c:pt>
                <c:pt idx="45">
                  <c:v>0.76200000000000001</c:v>
                </c:pt>
                <c:pt idx="46">
                  <c:v>0.70600000000000007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239-41EE-8A2E-E50DB2961207}"/>
            </c:ext>
          </c:extLst>
        </c:ser>
        <c:ser>
          <c:idx val="20"/>
          <c:order val="20"/>
          <c:tx>
            <c:v>BES_TR4_one560_C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Discharge_kW!$W$2:$W$49</c:f>
              <c:numCache>
                <c:formatCode>#,##0.000</c:formatCode>
                <c:ptCount val="48"/>
                <c:pt idx="0">
                  <c:v>0.14099999999999999</c:v>
                </c:pt>
                <c:pt idx="1">
                  <c:v>0.113</c:v>
                </c:pt>
                <c:pt idx="2">
                  <c:v>4.9000000000000002E-2</c:v>
                </c:pt>
                <c:pt idx="3">
                  <c:v>0.20499999999999999</c:v>
                </c:pt>
                <c:pt idx="4">
                  <c:v>4.9000000000000002E-2</c:v>
                </c:pt>
                <c:pt idx="5">
                  <c:v>0.155</c:v>
                </c:pt>
                <c:pt idx="6">
                  <c:v>9.8999999999999991E-2</c:v>
                </c:pt>
                <c:pt idx="7">
                  <c:v>4.5999999999999999E-2</c:v>
                </c:pt>
                <c:pt idx="8">
                  <c:v>9.0000000000000011E-2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0.28199999999999997</c:v>
                </c:pt>
                <c:pt idx="40">
                  <c:v>0.59599999999999997</c:v>
                </c:pt>
                <c:pt idx="41">
                  <c:v>0.84900000000000009</c:v>
                </c:pt>
                <c:pt idx="42">
                  <c:v>0.79299999999999993</c:v>
                </c:pt>
                <c:pt idx="43">
                  <c:v>0.73199999999999998</c:v>
                </c:pt>
                <c:pt idx="44">
                  <c:v>1.5209999999999999</c:v>
                </c:pt>
                <c:pt idx="45">
                  <c:v>1.5649999999999999</c:v>
                </c:pt>
                <c:pt idx="46">
                  <c:v>0.83399999999999996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239-41EE-8A2E-E50DB2961207}"/>
            </c:ext>
          </c:extLst>
        </c:ser>
        <c:ser>
          <c:idx val="21"/>
          <c:order val="21"/>
          <c:tx>
            <c:v>BES_TR4_one570_B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Discharge_kW!$X$2:$X$49</c:f>
              <c:numCache>
                <c:formatCode>#,##0.000</c:formatCode>
                <c:ptCount val="48"/>
                <c:pt idx="0">
                  <c:v>0.26800000000000002</c:v>
                </c:pt>
                <c:pt idx="1">
                  <c:v>0.39100000000000001</c:v>
                </c:pt>
                <c:pt idx="2">
                  <c:v>5.0999999999999997E-2</c:v>
                </c:pt>
                <c:pt idx="3">
                  <c:v>0.316</c:v>
                </c:pt>
                <c:pt idx="4">
                  <c:v>5.0999999999999997E-2</c:v>
                </c:pt>
                <c:pt idx="5">
                  <c:v>0.186</c:v>
                </c:pt>
                <c:pt idx="6">
                  <c:v>7.2000000000000008E-2</c:v>
                </c:pt>
                <c:pt idx="7">
                  <c:v>6.4000000000000001E-2</c:v>
                </c:pt>
                <c:pt idx="8">
                  <c:v>0.27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9.0000000000000011E-2</c:v>
                </c:pt>
                <c:pt idx="39">
                  <c:v>0.185</c:v>
                </c:pt>
                <c:pt idx="40">
                  <c:v>0.19500000000000001</c:v>
                </c:pt>
                <c:pt idx="41">
                  <c:v>0.193</c:v>
                </c:pt>
                <c:pt idx="42">
                  <c:v>0.45400000000000001</c:v>
                </c:pt>
                <c:pt idx="43">
                  <c:v>0.183</c:v>
                </c:pt>
                <c:pt idx="44">
                  <c:v>0.53</c:v>
                </c:pt>
                <c:pt idx="45">
                  <c:v>0.39900000000000002</c:v>
                </c:pt>
                <c:pt idx="46">
                  <c:v>0.24</c:v>
                </c:pt>
                <c:pt idx="47">
                  <c:v>0.38200000000000001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239-41EE-8A2E-E50DB2961207}"/>
            </c:ext>
          </c:extLst>
        </c:ser>
        <c:ser>
          <c:idx val="22"/>
          <c:order val="22"/>
          <c:tx>
            <c:v>BES_TR4_one585_A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Discharge_kW!$Y$2:$Y$49</c:f>
              <c:numCache>
                <c:formatCode>#,##0.000</c:formatCode>
                <c:ptCount val="48"/>
                <c:pt idx="0">
                  <c:v>0.11799999999999999</c:v>
                </c:pt>
                <c:pt idx="1">
                  <c:v>0.14799999999999999</c:v>
                </c:pt>
                <c:pt idx="2">
                  <c:v>5.2999999999999999E-2</c:v>
                </c:pt>
                <c:pt idx="3">
                  <c:v>0.14799999999999999</c:v>
                </c:pt>
                <c:pt idx="4">
                  <c:v>0.11799999999999999</c:v>
                </c:pt>
                <c:pt idx="5">
                  <c:v>5.2999999999999999E-2</c:v>
                </c:pt>
                <c:pt idx="6">
                  <c:v>0.11799999999999999</c:v>
                </c:pt>
                <c:pt idx="7">
                  <c:v>0.14399999999999999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0.57300000000000006</c:v>
                </c:pt>
                <c:pt idx="40">
                  <c:v>0.53100000000000003</c:v>
                </c:pt>
                <c:pt idx="41">
                  <c:v>0.51900000000000002</c:v>
                </c:pt>
                <c:pt idx="42">
                  <c:v>0.56999999999999995</c:v>
                </c:pt>
                <c:pt idx="43">
                  <c:v>0.377</c:v>
                </c:pt>
                <c:pt idx="44">
                  <c:v>0.33500000000000002</c:v>
                </c:pt>
                <c:pt idx="45">
                  <c:v>5.2999999999999999E-2</c:v>
                </c:pt>
                <c:pt idx="46">
                  <c:v>0.16200000000000001</c:v>
                </c:pt>
                <c:pt idx="47">
                  <c:v>0.104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239-41EE-8A2E-E50DB2961207}"/>
            </c:ext>
          </c:extLst>
        </c:ser>
        <c:ser>
          <c:idx val="23"/>
          <c:order val="23"/>
          <c:tx>
            <c:v>BES_TR4_one590_A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Discharge_kW!$Z$2:$Z$49</c:f>
              <c:numCache>
                <c:formatCode>#,##0.000</c:formatCode>
                <c:ptCount val="48"/>
                <c:pt idx="0">
                  <c:v>7.2000000000000008E-2</c:v>
                </c:pt>
                <c:pt idx="1">
                  <c:v>0.31</c:v>
                </c:pt>
                <c:pt idx="2">
                  <c:v>0.14899999999999999</c:v>
                </c:pt>
                <c:pt idx="3">
                  <c:v>0.38</c:v>
                </c:pt>
                <c:pt idx="4">
                  <c:v>0.155</c:v>
                </c:pt>
                <c:pt idx="5">
                  <c:v>0.105</c:v>
                </c:pt>
                <c:pt idx="6">
                  <c:v>0.45100000000000001</c:v>
                </c:pt>
                <c:pt idx="7">
                  <c:v>9.8999999999999991E-2</c:v>
                </c:pt>
                <c:pt idx="8">
                  <c:v>0.246</c:v>
                </c:pt>
                <c:pt idx="9">
                  <c:v>0.13300000000000001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0.23599999999999999</c:v>
                </c:pt>
                <c:pt idx="38">
                  <c:v>0</c:v>
                </c:pt>
                <c:pt idx="39">
                  <c:v>0.32800000000000001</c:v>
                </c:pt>
                <c:pt idx="40">
                  <c:v>0.45700000000000002</c:v>
                </c:pt>
                <c:pt idx="41">
                  <c:v>0.746</c:v>
                </c:pt>
                <c:pt idx="42">
                  <c:v>0.69800000000000006</c:v>
                </c:pt>
                <c:pt idx="43">
                  <c:v>0.373</c:v>
                </c:pt>
                <c:pt idx="44">
                  <c:v>0.57399999999999995</c:v>
                </c:pt>
                <c:pt idx="45">
                  <c:v>9.8000000000000004E-2</c:v>
                </c:pt>
                <c:pt idx="46">
                  <c:v>0.307</c:v>
                </c:pt>
                <c:pt idx="47">
                  <c:v>0.223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239-41EE-8A2E-E50DB2961207}"/>
            </c:ext>
          </c:extLst>
        </c:ser>
        <c:ser>
          <c:idx val="24"/>
          <c:order val="24"/>
          <c:tx>
            <c:v>BES_TR4_one617_A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Discharge_kW!$AA$2:$AA$49</c:f>
              <c:numCache>
                <c:formatCode>#,##0.000</c:formatCode>
                <c:ptCount val="48"/>
                <c:pt idx="0">
                  <c:v>4.3999999999999997E-2</c:v>
                </c:pt>
                <c:pt idx="1">
                  <c:v>4.3999999999999997E-2</c:v>
                </c:pt>
                <c:pt idx="2">
                  <c:v>0.11</c:v>
                </c:pt>
                <c:pt idx="3">
                  <c:v>4.3999999999999997E-2</c:v>
                </c:pt>
                <c:pt idx="4">
                  <c:v>4.3999999999999997E-2</c:v>
                </c:pt>
                <c:pt idx="5">
                  <c:v>8.7999999999999995E-2</c:v>
                </c:pt>
                <c:pt idx="6">
                  <c:v>0.52800000000000002</c:v>
                </c:pt>
                <c:pt idx="7">
                  <c:v>0.25800000000000001</c:v>
                </c:pt>
                <c:pt idx="8">
                  <c:v>6.3E-2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8.5000000000000006E-2</c:v>
                </c:pt>
                <c:pt idx="41">
                  <c:v>5.0999999999999997E-2</c:v>
                </c:pt>
                <c:pt idx="42">
                  <c:v>0.10299999999999999</c:v>
                </c:pt>
                <c:pt idx="43">
                  <c:v>0.128</c:v>
                </c:pt>
                <c:pt idx="44">
                  <c:v>4.3999999999999997E-2</c:v>
                </c:pt>
                <c:pt idx="45">
                  <c:v>4.3999999999999997E-2</c:v>
                </c:pt>
                <c:pt idx="46">
                  <c:v>0.127</c:v>
                </c:pt>
                <c:pt idx="47">
                  <c:v>0.26400000000000001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239-41EE-8A2E-E50DB2961207}"/>
            </c:ext>
          </c:extLst>
        </c:ser>
        <c:ser>
          <c:idx val="25"/>
          <c:order val="25"/>
          <c:tx>
            <c:v>BES_TR4_one76_A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Discharge_kW!$AB$2:$AB$49</c:f>
              <c:numCache>
                <c:formatCode>#,##0.000</c:formatCode>
                <c:ptCount val="48"/>
                <c:pt idx="0">
                  <c:v>0.122</c:v>
                </c:pt>
                <c:pt idx="1">
                  <c:v>8.3999999999999991E-2</c:v>
                </c:pt>
                <c:pt idx="2">
                  <c:v>0.33200000000000002</c:v>
                </c:pt>
                <c:pt idx="3">
                  <c:v>4.9000000000000002E-2</c:v>
                </c:pt>
                <c:pt idx="4">
                  <c:v>0.21299999999999999</c:v>
                </c:pt>
                <c:pt idx="5">
                  <c:v>7.4999999999999997E-2</c:v>
                </c:pt>
                <c:pt idx="6">
                  <c:v>4.9000000000000002E-2</c:v>
                </c:pt>
                <c:pt idx="7">
                  <c:v>0.33900000000000002</c:v>
                </c:pt>
                <c:pt idx="8">
                  <c:v>4.3999999999999997E-2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1.256</c:v>
                </c:pt>
                <c:pt idx="40">
                  <c:v>0.55000000000000004</c:v>
                </c:pt>
                <c:pt idx="41">
                  <c:v>0.442</c:v>
                </c:pt>
                <c:pt idx="42">
                  <c:v>0.4</c:v>
                </c:pt>
                <c:pt idx="43">
                  <c:v>0.85699999999999998</c:v>
                </c:pt>
                <c:pt idx="44">
                  <c:v>0.36699999999999999</c:v>
                </c:pt>
                <c:pt idx="45">
                  <c:v>0.222</c:v>
                </c:pt>
                <c:pt idx="46">
                  <c:v>0.19400000000000001</c:v>
                </c:pt>
                <c:pt idx="47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239-41EE-8A2E-E50DB2961207}"/>
            </c:ext>
          </c:extLst>
        </c:ser>
        <c:ser>
          <c:idx val="26"/>
          <c:order val="26"/>
          <c:tx>
            <c:v>BES_TR4_one133_A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Discharge_kW!$AC$2:$AC$49</c:f>
              <c:numCache>
                <c:formatCode>#,##0.000</c:formatCode>
                <c:ptCount val="48"/>
                <c:pt idx="0">
                  <c:v>0.20699999999999999</c:v>
                </c:pt>
                <c:pt idx="1">
                  <c:v>9.2999999999999999E-2</c:v>
                </c:pt>
                <c:pt idx="2">
                  <c:v>5.8000000000000003E-2</c:v>
                </c:pt>
                <c:pt idx="3">
                  <c:v>8.3999999999999991E-2</c:v>
                </c:pt>
                <c:pt idx="4">
                  <c:v>0.111</c:v>
                </c:pt>
                <c:pt idx="5">
                  <c:v>0.10199999999999999</c:v>
                </c:pt>
                <c:pt idx="6">
                  <c:v>9.2999999999999999E-2</c:v>
                </c:pt>
                <c:pt idx="7">
                  <c:v>5.5E-2</c:v>
                </c:pt>
                <c:pt idx="8">
                  <c:v>8.6999999999999994E-2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0.67900000000000005</c:v>
                </c:pt>
                <c:pt idx="38">
                  <c:v>0</c:v>
                </c:pt>
                <c:pt idx="39">
                  <c:v>0.35399999999999998</c:v>
                </c:pt>
                <c:pt idx="40">
                  <c:v>0.53200000000000003</c:v>
                </c:pt>
                <c:pt idx="41">
                  <c:v>0.27200000000000002</c:v>
                </c:pt>
                <c:pt idx="42">
                  <c:v>1.35</c:v>
                </c:pt>
                <c:pt idx="43">
                  <c:v>0.505</c:v>
                </c:pt>
                <c:pt idx="44">
                  <c:v>0.59500000000000008</c:v>
                </c:pt>
                <c:pt idx="45">
                  <c:v>1.548</c:v>
                </c:pt>
                <c:pt idx="46">
                  <c:v>0.76100000000000001</c:v>
                </c:pt>
                <c:pt idx="47">
                  <c:v>0.78500000000000003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239-41EE-8A2E-E50DB2961207}"/>
            </c:ext>
          </c:extLst>
        </c:ser>
        <c:ser>
          <c:idx val="27"/>
          <c:order val="27"/>
          <c:tx>
            <c:v>BES_TR4_one137_A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Discharge_kW!$AD$2:$AD$49</c:f>
              <c:numCache>
                <c:formatCode>#,##0.000</c:formatCode>
                <c:ptCount val="48"/>
                <c:pt idx="0">
                  <c:v>0.59899999999999998</c:v>
                </c:pt>
                <c:pt idx="1">
                  <c:v>0.10199999999999999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6.4000000000000001E-2</c:v>
                </c:pt>
                <c:pt idx="5">
                  <c:v>0.215</c:v>
                </c:pt>
                <c:pt idx="6">
                  <c:v>5.6000000000000001E-2</c:v>
                </c:pt>
                <c:pt idx="7">
                  <c:v>0.221</c:v>
                </c:pt>
                <c:pt idx="8">
                  <c:v>3.1E-2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8.8999999999999996E-2</c:v>
                </c:pt>
                <c:pt idx="19">
                  <c:v>0.53300000000000003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8.0000000000000002E-3</c:v>
                </c:pt>
                <c:pt idx="38">
                  <c:v>0</c:v>
                </c:pt>
                <c:pt idx="39">
                  <c:v>0.63600000000000001</c:v>
                </c:pt>
                <c:pt idx="40">
                  <c:v>0.66299999999999992</c:v>
                </c:pt>
                <c:pt idx="41">
                  <c:v>0.65100000000000002</c:v>
                </c:pt>
                <c:pt idx="42">
                  <c:v>0.72400000000000009</c:v>
                </c:pt>
                <c:pt idx="43">
                  <c:v>0.56599999999999995</c:v>
                </c:pt>
                <c:pt idx="44">
                  <c:v>0.42799999999999999</c:v>
                </c:pt>
                <c:pt idx="45">
                  <c:v>0.39800000000000002</c:v>
                </c:pt>
                <c:pt idx="46">
                  <c:v>0.70299999999999996</c:v>
                </c:pt>
                <c:pt idx="47">
                  <c:v>0.72000000000000008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239-41EE-8A2E-E50DB2961207}"/>
            </c:ext>
          </c:extLst>
        </c:ser>
        <c:ser>
          <c:idx val="28"/>
          <c:order val="28"/>
          <c:tx>
            <c:v>BES_TR4_one176_A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Discharge_kW!$AE$2:$AE$49</c:f>
              <c:numCache>
                <c:formatCode>#,##0.000</c:formatCode>
                <c:ptCount val="48"/>
                <c:pt idx="0">
                  <c:v>0.03</c:v>
                </c:pt>
                <c:pt idx="1">
                  <c:v>0.159</c:v>
                </c:pt>
                <c:pt idx="2">
                  <c:v>0.03</c:v>
                </c:pt>
                <c:pt idx="3">
                  <c:v>0.11799999999999999</c:v>
                </c:pt>
                <c:pt idx="4">
                  <c:v>7.1000000000000008E-2</c:v>
                </c:pt>
                <c:pt idx="5">
                  <c:v>0.03</c:v>
                </c:pt>
                <c:pt idx="6">
                  <c:v>0.159</c:v>
                </c:pt>
                <c:pt idx="7">
                  <c:v>2.8000000000000001E-2</c:v>
                </c:pt>
                <c:pt idx="8">
                  <c:v>0.105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0.52800000000000002</c:v>
                </c:pt>
                <c:pt idx="40">
                  <c:v>0.42099999999999999</c:v>
                </c:pt>
                <c:pt idx="41">
                  <c:v>0.52700000000000002</c:v>
                </c:pt>
                <c:pt idx="42">
                  <c:v>0.57499999999999996</c:v>
                </c:pt>
                <c:pt idx="43">
                  <c:v>0.441</c:v>
                </c:pt>
                <c:pt idx="44">
                  <c:v>0.159</c:v>
                </c:pt>
                <c:pt idx="45">
                  <c:v>0.03</c:v>
                </c:pt>
                <c:pt idx="46">
                  <c:v>0.159</c:v>
                </c:pt>
                <c:pt idx="4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239-41EE-8A2E-E50DB2961207}"/>
            </c:ext>
          </c:extLst>
        </c:ser>
        <c:ser>
          <c:idx val="29"/>
          <c:order val="29"/>
          <c:tx>
            <c:v>BES_TR4_three64_A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Discharge_kW!$AF$2:$AF$49</c:f>
              <c:numCache>
                <c:formatCode>#,##0.000</c:formatCode>
                <c:ptCount val="48"/>
                <c:pt idx="0">
                  <c:v>6.6000000000000003E-2</c:v>
                </c:pt>
                <c:pt idx="1">
                  <c:v>0.20599999999999999</c:v>
                </c:pt>
                <c:pt idx="2">
                  <c:v>5.0999999999999997E-2</c:v>
                </c:pt>
                <c:pt idx="3">
                  <c:v>0.159</c:v>
                </c:pt>
                <c:pt idx="4">
                  <c:v>0.113</c:v>
                </c:pt>
                <c:pt idx="5">
                  <c:v>5.0999999999999997E-2</c:v>
                </c:pt>
                <c:pt idx="6">
                  <c:v>0.221</c:v>
                </c:pt>
                <c:pt idx="7">
                  <c:v>4.8000000000000001E-2</c:v>
                </c:pt>
                <c:pt idx="8">
                  <c:v>0.10199999999999999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0.374</c:v>
                </c:pt>
                <c:pt idx="39">
                  <c:v>0.93599999999999994</c:v>
                </c:pt>
                <c:pt idx="40">
                  <c:v>0.96500000000000008</c:v>
                </c:pt>
                <c:pt idx="41">
                  <c:v>0.45700000000000002</c:v>
                </c:pt>
                <c:pt idx="42">
                  <c:v>0.55800000000000005</c:v>
                </c:pt>
                <c:pt idx="43">
                  <c:v>0.62</c:v>
                </c:pt>
                <c:pt idx="44">
                  <c:v>0.94700000000000006</c:v>
                </c:pt>
                <c:pt idx="45">
                  <c:v>0.72000000000000008</c:v>
                </c:pt>
                <c:pt idx="46">
                  <c:v>0.56200000000000006</c:v>
                </c:pt>
                <c:pt idx="47">
                  <c:v>0.40500000000000003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239-41EE-8A2E-E50DB2961207}"/>
            </c:ext>
          </c:extLst>
        </c:ser>
        <c:ser>
          <c:idx val="30"/>
          <c:order val="30"/>
          <c:tx>
            <c:v>BES_TR4_three193_A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Discharge_kW!$AG$2:$AG$49</c:f>
              <c:numCache>
                <c:formatCode>#,##0.000</c:formatCode>
                <c:ptCount val="48"/>
                <c:pt idx="0">
                  <c:v>0.14000000000000001</c:v>
                </c:pt>
                <c:pt idx="1">
                  <c:v>0.21199999999999999</c:v>
                </c:pt>
                <c:pt idx="2">
                  <c:v>7.8E-2</c:v>
                </c:pt>
                <c:pt idx="3">
                  <c:v>0.19500000000000001</c:v>
                </c:pt>
                <c:pt idx="4">
                  <c:v>0.17100000000000001</c:v>
                </c:pt>
                <c:pt idx="5">
                  <c:v>0.10199999999999999</c:v>
                </c:pt>
                <c:pt idx="6">
                  <c:v>0.193</c:v>
                </c:pt>
                <c:pt idx="7">
                  <c:v>0.156</c:v>
                </c:pt>
                <c:pt idx="8">
                  <c:v>7.6999999999999999E-2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0.01</c:v>
                </c:pt>
                <c:pt idx="40">
                  <c:v>5.6000000000000001E-2</c:v>
                </c:pt>
                <c:pt idx="41">
                  <c:v>0.27700000000000002</c:v>
                </c:pt>
                <c:pt idx="42">
                  <c:v>5.3999999999999999E-2</c:v>
                </c:pt>
                <c:pt idx="43">
                  <c:v>0.29799999999999999</c:v>
                </c:pt>
                <c:pt idx="44">
                  <c:v>5.3999999999999999E-2</c:v>
                </c:pt>
                <c:pt idx="45">
                  <c:v>0.19</c:v>
                </c:pt>
                <c:pt idx="46">
                  <c:v>0.16200000000000001</c:v>
                </c:pt>
                <c:pt idx="47">
                  <c:v>0.104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239-41EE-8A2E-E50DB2961207}"/>
            </c:ext>
          </c:extLst>
        </c:ser>
        <c:ser>
          <c:idx val="31"/>
          <c:order val="31"/>
          <c:tx>
            <c:v>BES_TR4_three232_C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Discharge_kW!$AH$2:$AH$49</c:f>
              <c:numCache>
                <c:formatCode>#,##0.000</c:formatCode>
                <c:ptCount val="48"/>
                <c:pt idx="0">
                  <c:v>7.1000000000000008E-2</c:v>
                </c:pt>
                <c:pt idx="1">
                  <c:v>0.28599999999999998</c:v>
                </c:pt>
                <c:pt idx="2">
                  <c:v>0.14000000000000001</c:v>
                </c:pt>
                <c:pt idx="3">
                  <c:v>4.1000000000000002E-2</c:v>
                </c:pt>
                <c:pt idx="4">
                  <c:v>0.13900000000000001</c:v>
                </c:pt>
                <c:pt idx="5">
                  <c:v>0.23799999999999999</c:v>
                </c:pt>
                <c:pt idx="6">
                  <c:v>0.12</c:v>
                </c:pt>
                <c:pt idx="7">
                  <c:v>3.7999999999999999E-2</c:v>
                </c:pt>
                <c:pt idx="8">
                  <c:v>0.13600000000000001</c:v>
                </c:pt>
                <c:pt idx="9">
                  <c:v>8.0000000000000002E-3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5.0999999999999997E-2</c:v>
                </c:pt>
                <c:pt idx="38">
                  <c:v>0</c:v>
                </c:pt>
                <c:pt idx="39">
                  <c:v>0.317</c:v>
                </c:pt>
                <c:pt idx="40">
                  <c:v>0.28000000000000003</c:v>
                </c:pt>
                <c:pt idx="41">
                  <c:v>4.1000000000000002E-2</c:v>
                </c:pt>
                <c:pt idx="42">
                  <c:v>0.21199999999999999</c:v>
                </c:pt>
                <c:pt idx="43">
                  <c:v>0.24399999999999999</c:v>
                </c:pt>
                <c:pt idx="44">
                  <c:v>0.10199999999999999</c:v>
                </c:pt>
                <c:pt idx="45">
                  <c:v>7.3999999999999996E-2</c:v>
                </c:pt>
                <c:pt idx="46">
                  <c:v>0.14699999999999999</c:v>
                </c:pt>
                <c:pt idx="47">
                  <c:v>0.29299999999999998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239-41EE-8A2E-E50DB2961207}"/>
            </c:ext>
          </c:extLst>
        </c:ser>
        <c:ser>
          <c:idx val="32"/>
          <c:order val="32"/>
          <c:tx>
            <c:v>BES_TR4_three233_A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Discharge_kW!$AI$2:$AI$49</c:f>
              <c:numCache>
                <c:formatCode>#,##0.000</c:formatCode>
                <c:ptCount val="48"/>
                <c:pt idx="0">
                  <c:v>0.439</c:v>
                </c:pt>
                <c:pt idx="1">
                  <c:v>6.0999999999999999E-2</c:v>
                </c:pt>
                <c:pt idx="2">
                  <c:v>0.155</c:v>
                </c:pt>
                <c:pt idx="3">
                  <c:v>0.17199999999999999</c:v>
                </c:pt>
                <c:pt idx="4">
                  <c:v>0.151</c:v>
                </c:pt>
                <c:pt idx="5">
                  <c:v>0.19800000000000001</c:v>
                </c:pt>
                <c:pt idx="6">
                  <c:v>0.16500000000000001</c:v>
                </c:pt>
                <c:pt idx="7">
                  <c:v>0.17899999999999999</c:v>
                </c:pt>
                <c:pt idx="8">
                  <c:v>0.22900000000000001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0.33300000000000002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0.26200000000000001</c:v>
                </c:pt>
                <c:pt idx="30">
                  <c:v>0</c:v>
                </c:pt>
                <c:pt idx="31">
                  <c:v>0</c:v>
                </c:pt>
                <c:pt idx="32">
                  <c:v>0.311</c:v>
                </c:pt>
                <c:pt idx="33">
                  <c:v>0</c:v>
                </c:pt>
                <c:pt idx="34">
                  <c:v>0</c:v>
                </c:pt>
                <c:pt idx="35">
                  <c:v>0.68400000000000005</c:v>
                </c:pt>
                <c:pt idx="36">
                  <c:v>0.44</c:v>
                </c:pt>
                <c:pt idx="37">
                  <c:v>2.5529999999999999</c:v>
                </c:pt>
                <c:pt idx="38">
                  <c:v>0.17899999999999999</c:v>
                </c:pt>
                <c:pt idx="39">
                  <c:v>0.72799999999999998</c:v>
                </c:pt>
                <c:pt idx="40">
                  <c:v>0.752</c:v>
                </c:pt>
                <c:pt idx="41">
                  <c:v>1.0229999999999999</c:v>
                </c:pt>
                <c:pt idx="42">
                  <c:v>0.80500000000000005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239-41EE-8A2E-E50DB2961207}"/>
            </c:ext>
          </c:extLst>
        </c:ser>
        <c:ser>
          <c:idx val="33"/>
          <c:order val="33"/>
          <c:tx>
            <c:v>BES_TR4_three248_C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Discharge_kW!$AJ$2:$AJ$49</c:f>
              <c:numCache>
                <c:formatCode>#,##0.000</c:formatCode>
                <c:ptCount val="48"/>
                <c:pt idx="0">
                  <c:v>2.5999999999999999E-2</c:v>
                </c:pt>
                <c:pt idx="1">
                  <c:v>2.5999999999999999E-2</c:v>
                </c:pt>
                <c:pt idx="2">
                  <c:v>0.14399999999999999</c:v>
                </c:pt>
                <c:pt idx="3">
                  <c:v>2.5999999999999999E-2</c:v>
                </c:pt>
                <c:pt idx="4">
                  <c:v>2.5999999999999999E-2</c:v>
                </c:pt>
                <c:pt idx="5">
                  <c:v>0.115</c:v>
                </c:pt>
                <c:pt idx="6">
                  <c:v>5.6000000000000001E-2</c:v>
                </c:pt>
                <c:pt idx="7">
                  <c:v>2.3E-2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2.137</c:v>
                </c:pt>
                <c:pt idx="36">
                  <c:v>3.2709999999999999</c:v>
                </c:pt>
                <c:pt idx="37">
                  <c:v>4.2000000000000003E-2</c:v>
                </c:pt>
                <c:pt idx="38">
                  <c:v>0</c:v>
                </c:pt>
                <c:pt idx="39">
                  <c:v>0.29099999999999998</c:v>
                </c:pt>
                <c:pt idx="40">
                  <c:v>0.66600000000000004</c:v>
                </c:pt>
                <c:pt idx="41">
                  <c:v>0.505</c:v>
                </c:pt>
                <c:pt idx="42">
                  <c:v>0.35099999999999998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239-41EE-8A2E-E50DB2961207}"/>
            </c:ext>
          </c:extLst>
        </c:ser>
        <c:ser>
          <c:idx val="34"/>
          <c:order val="34"/>
          <c:tx>
            <c:v>BES_TR4_three253_C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Discharge_kW!$AK$2:$AK$49</c:f>
              <c:numCache>
                <c:formatCode>#,##0.000</c:formatCode>
                <c:ptCount val="48"/>
                <c:pt idx="0">
                  <c:v>0.21199999999999999</c:v>
                </c:pt>
                <c:pt idx="1">
                  <c:v>0.14000000000000001</c:v>
                </c:pt>
                <c:pt idx="2">
                  <c:v>0.40699999999999997</c:v>
                </c:pt>
                <c:pt idx="3">
                  <c:v>0.45300000000000001</c:v>
                </c:pt>
                <c:pt idx="4">
                  <c:v>0.33200000000000002</c:v>
                </c:pt>
                <c:pt idx="5">
                  <c:v>0.50900000000000001</c:v>
                </c:pt>
                <c:pt idx="6">
                  <c:v>0.33800000000000002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1.4379999999999999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1.804</c:v>
                </c:pt>
                <c:pt idx="38">
                  <c:v>1.575</c:v>
                </c:pt>
                <c:pt idx="39">
                  <c:v>2.226</c:v>
                </c:pt>
                <c:pt idx="40">
                  <c:v>0.84099999999999997</c:v>
                </c:pt>
                <c:pt idx="41">
                  <c:v>0.72499999999999998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239-41EE-8A2E-E50DB2961207}"/>
            </c:ext>
          </c:extLst>
        </c:ser>
        <c:ser>
          <c:idx val="35"/>
          <c:order val="35"/>
          <c:tx>
            <c:v>BES_TR4_three66_C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Discharge_kW!$AL$2:$AL$49</c:f>
              <c:numCache>
                <c:formatCode>#,##0.000</c:formatCode>
                <c:ptCount val="48"/>
                <c:pt idx="0">
                  <c:v>0.06</c:v>
                </c:pt>
                <c:pt idx="1">
                  <c:v>0.217</c:v>
                </c:pt>
                <c:pt idx="2">
                  <c:v>4.9000000000000002E-2</c:v>
                </c:pt>
                <c:pt idx="3">
                  <c:v>7.8E-2</c:v>
                </c:pt>
                <c:pt idx="4">
                  <c:v>0.222</c:v>
                </c:pt>
                <c:pt idx="5">
                  <c:v>0.13900000000000001</c:v>
                </c:pt>
                <c:pt idx="6">
                  <c:v>0.17100000000000001</c:v>
                </c:pt>
                <c:pt idx="7">
                  <c:v>0.185</c:v>
                </c:pt>
                <c:pt idx="8">
                  <c:v>7.9000000000000001E-2</c:v>
                </c:pt>
                <c:pt idx="9">
                  <c:v>3.9E-2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0.152</c:v>
                </c:pt>
                <c:pt idx="38">
                  <c:v>0</c:v>
                </c:pt>
                <c:pt idx="39">
                  <c:v>0.16200000000000001</c:v>
                </c:pt>
                <c:pt idx="40">
                  <c:v>8.8999999999999996E-2</c:v>
                </c:pt>
                <c:pt idx="41">
                  <c:v>0.22900000000000001</c:v>
                </c:pt>
                <c:pt idx="42">
                  <c:v>0.13900000000000001</c:v>
                </c:pt>
                <c:pt idx="43">
                  <c:v>9.6000000000000002E-2</c:v>
                </c:pt>
                <c:pt idx="44">
                  <c:v>0.51200000000000001</c:v>
                </c:pt>
                <c:pt idx="45">
                  <c:v>1.1950000000000001</c:v>
                </c:pt>
                <c:pt idx="46">
                  <c:v>0.502</c:v>
                </c:pt>
                <c:pt idx="47">
                  <c:v>0.57899999999999996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239-41EE-8A2E-E50DB2961207}"/>
            </c:ext>
          </c:extLst>
        </c:ser>
        <c:ser>
          <c:idx val="36"/>
          <c:order val="36"/>
          <c:tx>
            <c:v>BES_TR4_three312_A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Discharge_kW!$AM$2:$AM$49</c:f>
              <c:numCache>
                <c:formatCode>#,##0.000</c:formatCode>
                <c:ptCount val="48"/>
                <c:pt idx="0">
                  <c:v>0.13800000000000001</c:v>
                </c:pt>
                <c:pt idx="1">
                  <c:v>0.17599999999999999</c:v>
                </c:pt>
                <c:pt idx="2">
                  <c:v>4.8000000000000001E-2</c:v>
                </c:pt>
                <c:pt idx="3">
                  <c:v>0.26600000000000001</c:v>
                </c:pt>
                <c:pt idx="4">
                  <c:v>4.8000000000000001E-2</c:v>
                </c:pt>
                <c:pt idx="5">
                  <c:v>0.17</c:v>
                </c:pt>
                <c:pt idx="6">
                  <c:v>0.14399999999999999</c:v>
                </c:pt>
                <c:pt idx="7">
                  <c:v>5.7000000000000002E-2</c:v>
                </c:pt>
                <c:pt idx="8">
                  <c:v>0.113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0.71199999999999997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1.6140000000000001</c:v>
                </c:pt>
                <c:pt idx="39">
                  <c:v>0.309</c:v>
                </c:pt>
                <c:pt idx="40">
                  <c:v>0.52400000000000002</c:v>
                </c:pt>
                <c:pt idx="41">
                  <c:v>0.50700000000000001</c:v>
                </c:pt>
                <c:pt idx="42">
                  <c:v>0.57099999999999995</c:v>
                </c:pt>
                <c:pt idx="43">
                  <c:v>0.89200000000000002</c:v>
                </c:pt>
                <c:pt idx="44">
                  <c:v>0.91500000000000004</c:v>
                </c:pt>
                <c:pt idx="45">
                  <c:v>1.016</c:v>
                </c:pt>
                <c:pt idx="46">
                  <c:v>0.189</c:v>
                </c:pt>
                <c:pt idx="47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239-41EE-8A2E-E50DB2961207}"/>
            </c:ext>
          </c:extLst>
        </c:ser>
        <c:ser>
          <c:idx val="37"/>
          <c:order val="37"/>
          <c:tx>
            <c:v>BES_TR4_three321_B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Discharge_kW!$AN$2:$AN$49</c:f>
              <c:numCache>
                <c:formatCode>#,##0.000</c:formatCode>
                <c:ptCount val="48"/>
                <c:pt idx="0">
                  <c:v>0.125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0.125</c:v>
                </c:pt>
                <c:pt idx="6">
                  <c:v>0.06</c:v>
                </c:pt>
                <c:pt idx="7">
                  <c:v>0.11700000000000001</c:v>
                </c:pt>
                <c:pt idx="8">
                  <c:v>1.4E-2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1.27</c:v>
                </c:pt>
                <c:pt idx="14">
                  <c:v>0.90200000000000002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0.19400000000000001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0.22500000000000001</c:v>
                </c:pt>
                <c:pt idx="40">
                  <c:v>0.51500000000000001</c:v>
                </c:pt>
                <c:pt idx="41">
                  <c:v>0.78100000000000003</c:v>
                </c:pt>
                <c:pt idx="42">
                  <c:v>0.441</c:v>
                </c:pt>
                <c:pt idx="43">
                  <c:v>0.95399999999999996</c:v>
                </c:pt>
                <c:pt idx="44">
                  <c:v>0.51200000000000001</c:v>
                </c:pt>
                <c:pt idx="45">
                  <c:v>0.34399999999999997</c:v>
                </c:pt>
                <c:pt idx="46">
                  <c:v>0.504</c:v>
                </c:pt>
                <c:pt idx="47">
                  <c:v>0.42199999999999999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239-41EE-8A2E-E50DB2961207}"/>
            </c:ext>
          </c:extLst>
        </c:ser>
        <c:ser>
          <c:idx val="38"/>
          <c:order val="38"/>
          <c:tx>
            <c:v>BES_TR4_three368_A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Discharge_kW!$AO$2:$AO$49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0.17100000000000001</c:v>
                </c:pt>
                <c:pt idx="2">
                  <c:v>4.2999999999999997E-2</c:v>
                </c:pt>
                <c:pt idx="3">
                  <c:v>4.2999999999999997E-2</c:v>
                </c:pt>
                <c:pt idx="4">
                  <c:v>0.17100000000000001</c:v>
                </c:pt>
                <c:pt idx="5">
                  <c:v>4.2999999999999997E-2</c:v>
                </c:pt>
                <c:pt idx="6">
                  <c:v>0.17100000000000001</c:v>
                </c:pt>
                <c:pt idx="7">
                  <c:v>4.2000000000000003E-2</c:v>
                </c:pt>
                <c:pt idx="8">
                  <c:v>2.4E-2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6.7000000000000004E-2</c:v>
                </c:pt>
                <c:pt idx="40">
                  <c:v>3.5999999999999997E-2</c:v>
                </c:pt>
                <c:pt idx="41">
                  <c:v>4.2999999999999997E-2</c:v>
                </c:pt>
                <c:pt idx="42">
                  <c:v>0.17100000000000001</c:v>
                </c:pt>
                <c:pt idx="43">
                  <c:v>4.2999999999999997E-2</c:v>
                </c:pt>
                <c:pt idx="44">
                  <c:v>4.2999999999999997E-2</c:v>
                </c:pt>
                <c:pt idx="45">
                  <c:v>0.17100000000000001</c:v>
                </c:pt>
                <c:pt idx="46">
                  <c:v>4.2999999999999997E-2</c:v>
                </c:pt>
                <c:pt idx="47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239-41EE-8A2E-E50DB2961207}"/>
            </c:ext>
          </c:extLst>
        </c:ser>
        <c:ser>
          <c:idx val="39"/>
          <c:order val="39"/>
          <c:tx>
            <c:v>BES_TR4_three388_A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Discharge_kW!$AP$2:$AP$49</c:f>
              <c:numCache>
                <c:formatCode>#,##0.000</c:formatCode>
                <c:ptCount val="48"/>
                <c:pt idx="0">
                  <c:v>0.29799999999999999</c:v>
                </c:pt>
                <c:pt idx="1">
                  <c:v>6.8000000000000005E-2</c:v>
                </c:pt>
                <c:pt idx="2">
                  <c:v>0.112</c:v>
                </c:pt>
                <c:pt idx="3">
                  <c:v>0.254</c:v>
                </c:pt>
                <c:pt idx="4">
                  <c:v>0.05</c:v>
                </c:pt>
                <c:pt idx="5">
                  <c:v>0.28499999999999998</c:v>
                </c:pt>
                <c:pt idx="6">
                  <c:v>8.1000000000000003E-2</c:v>
                </c:pt>
                <c:pt idx="7">
                  <c:v>8.3000000000000004E-2</c:v>
                </c:pt>
                <c:pt idx="8">
                  <c:v>0.189</c:v>
                </c:pt>
                <c:pt idx="9">
                  <c:v>3.6999999999999998E-2</c:v>
                </c:pt>
                <c:pt idx="10">
                  <c:v>0</c:v>
                </c:pt>
                <c:pt idx="11">
                  <c:v>8.0000000000000002E-3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0.28499999999999998</c:v>
                </c:pt>
                <c:pt idx="19">
                  <c:v>0</c:v>
                </c:pt>
                <c:pt idx="20">
                  <c:v>0.27800000000000002</c:v>
                </c:pt>
                <c:pt idx="21">
                  <c:v>0.36299999999999999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1.264</c:v>
                </c:pt>
                <c:pt idx="36">
                  <c:v>1.0449999999999999</c:v>
                </c:pt>
                <c:pt idx="37">
                  <c:v>0.42</c:v>
                </c:pt>
                <c:pt idx="38">
                  <c:v>0.154</c:v>
                </c:pt>
                <c:pt idx="39">
                  <c:v>0.55199999999999994</c:v>
                </c:pt>
                <c:pt idx="40">
                  <c:v>0.44600000000000001</c:v>
                </c:pt>
                <c:pt idx="41">
                  <c:v>0.67599999999999993</c:v>
                </c:pt>
                <c:pt idx="42">
                  <c:v>1.3819999999999999</c:v>
                </c:pt>
                <c:pt idx="43">
                  <c:v>0.85400000000000009</c:v>
                </c:pt>
                <c:pt idx="44">
                  <c:v>0.38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239-41EE-8A2E-E50DB2961207}"/>
            </c:ext>
          </c:extLst>
        </c:ser>
        <c:ser>
          <c:idx val="40"/>
          <c:order val="40"/>
          <c:tx>
            <c:v>BES_TR4_three409_C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Discharge_kW!$AQ$2:$AQ$49</c:f>
              <c:numCache>
                <c:formatCode>#,##0.000</c:formatCode>
                <c:ptCount val="48"/>
                <c:pt idx="0">
                  <c:v>0.48499999999999999</c:v>
                </c:pt>
                <c:pt idx="1">
                  <c:v>4.2000000000000003E-2</c:v>
                </c:pt>
                <c:pt idx="2">
                  <c:v>0.154</c:v>
                </c:pt>
                <c:pt idx="3">
                  <c:v>0.06</c:v>
                </c:pt>
                <c:pt idx="4">
                  <c:v>4.2000000000000003E-2</c:v>
                </c:pt>
                <c:pt idx="5">
                  <c:v>0.13700000000000001</c:v>
                </c:pt>
                <c:pt idx="6">
                  <c:v>7.6999999999999999E-2</c:v>
                </c:pt>
                <c:pt idx="7">
                  <c:v>3.9E-2</c:v>
                </c:pt>
                <c:pt idx="8">
                  <c:v>0.122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0.17299999999999999</c:v>
                </c:pt>
                <c:pt idx="40">
                  <c:v>0.111</c:v>
                </c:pt>
                <c:pt idx="41">
                  <c:v>8.3000000000000004E-2</c:v>
                </c:pt>
                <c:pt idx="42">
                  <c:v>4.2000000000000003E-2</c:v>
                </c:pt>
                <c:pt idx="43">
                  <c:v>0.17199999999999999</c:v>
                </c:pt>
                <c:pt idx="44">
                  <c:v>4.2000000000000003E-2</c:v>
                </c:pt>
                <c:pt idx="45">
                  <c:v>0.10100000000000001</c:v>
                </c:pt>
                <c:pt idx="46">
                  <c:v>0.113</c:v>
                </c:pt>
                <c:pt idx="47">
                  <c:v>4.2000000000000003E-2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239-41EE-8A2E-E50DB2961207}"/>
            </c:ext>
          </c:extLst>
        </c:ser>
        <c:ser>
          <c:idx val="41"/>
          <c:order val="41"/>
          <c:tx>
            <c:v>BES_TR4_three76_A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Discharge_kW!$AR$2:$AR$49</c:f>
              <c:numCache>
                <c:formatCode>#,##0.000</c:formatCode>
                <c:ptCount val="48"/>
                <c:pt idx="0">
                  <c:v>0.97900000000000009</c:v>
                </c:pt>
                <c:pt idx="1">
                  <c:v>0.46300000000000002</c:v>
                </c:pt>
                <c:pt idx="2">
                  <c:v>6.9999999999999993E-2</c:v>
                </c:pt>
                <c:pt idx="3">
                  <c:v>0.19400000000000001</c:v>
                </c:pt>
                <c:pt idx="4">
                  <c:v>7.1000000000000008E-2</c:v>
                </c:pt>
                <c:pt idx="5">
                  <c:v>4.8000000000000001E-2</c:v>
                </c:pt>
                <c:pt idx="6">
                  <c:v>0.10199999999999999</c:v>
                </c:pt>
                <c:pt idx="7">
                  <c:v>0.16</c:v>
                </c:pt>
                <c:pt idx="8">
                  <c:v>6.0000000000000001E-3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7.4999999999999997E-2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0.28199999999999997</c:v>
                </c:pt>
                <c:pt idx="40">
                  <c:v>0.159</c:v>
                </c:pt>
                <c:pt idx="41">
                  <c:v>0.52700000000000002</c:v>
                </c:pt>
                <c:pt idx="42">
                  <c:v>0.31</c:v>
                </c:pt>
                <c:pt idx="43">
                  <c:v>0.64600000000000002</c:v>
                </c:pt>
                <c:pt idx="44">
                  <c:v>0.52600000000000002</c:v>
                </c:pt>
                <c:pt idx="45">
                  <c:v>0.69399999999999995</c:v>
                </c:pt>
                <c:pt idx="46">
                  <c:v>0.17100000000000001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239-41EE-8A2E-E50DB2961207}"/>
            </c:ext>
          </c:extLst>
        </c:ser>
        <c:ser>
          <c:idx val="42"/>
          <c:order val="42"/>
          <c:tx>
            <c:v>BES_TR4_three81_A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Discharge_kW!$AS$2:$AS$49</c:f>
              <c:numCache>
                <c:formatCode>#,##0.000</c:formatCode>
                <c:ptCount val="48"/>
                <c:pt idx="0">
                  <c:v>0.245</c:v>
                </c:pt>
                <c:pt idx="1">
                  <c:v>6.4999999999999988E-2</c:v>
                </c:pt>
                <c:pt idx="2">
                  <c:v>0.20799999999999999</c:v>
                </c:pt>
                <c:pt idx="3">
                  <c:v>0.13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0.13800000000000001</c:v>
                </c:pt>
                <c:pt idx="7">
                  <c:v>0.19600000000000001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0.29199999999999998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9.2999999999999999E-2</c:v>
                </c:pt>
                <c:pt idx="39">
                  <c:v>0.14699999999999999</c:v>
                </c:pt>
                <c:pt idx="40">
                  <c:v>0.749</c:v>
                </c:pt>
                <c:pt idx="41">
                  <c:v>0.88400000000000001</c:v>
                </c:pt>
                <c:pt idx="42">
                  <c:v>0.75</c:v>
                </c:pt>
                <c:pt idx="43">
                  <c:v>0.85400000000000009</c:v>
                </c:pt>
                <c:pt idx="44">
                  <c:v>0.68</c:v>
                </c:pt>
                <c:pt idx="45">
                  <c:v>0.83899999999999997</c:v>
                </c:pt>
                <c:pt idx="46">
                  <c:v>0.39200000000000002</c:v>
                </c:pt>
                <c:pt idx="47">
                  <c:v>8.6999999999999994E-2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239-41EE-8A2E-E50DB2961207}"/>
            </c:ext>
          </c:extLst>
        </c:ser>
        <c:ser>
          <c:idx val="43"/>
          <c:order val="43"/>
          <c:tx>
            <c:v>BES_TR4_three90_C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Discharge_kW!$AT$2:$AT$49</c:f>
              <c:numCache>
                <c:formatCode>#,##0.000</c:formatCode>
                <c:ptCount val="48"/>
                <c:pt idx="0">
                  <c:v>9.6000000000000002E-2</c:v>
                </c:pt>
                <c:pt idx="1">
                  <c:v>0.19</c:v>
                </c:pt>
                <c:pt idx="2">
                  <c:v>0.157</c:v>
                </c:pt>
                <c:pt idx="3">
                  <c:v>3.4000000000000002E-2</c:v>
                </c:pt>
                <c:pt idx="4">
                  <c:v>0.26700000000000002</c:v>
                </c:pt>
                <c:pt idx="5">
                  <c:v>0.08</c:v>
                </c:pt>
                <c:pt idx="6">
                  <c:v>3.4000000000000002E-2</c:v>
                </c:pt>
                <c:pt idx="7">
                  <c:v>0.20100000000000001</c:v>
                </c:pt>
                <c:pt idx="8">
                  <c:v>0.113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0.44400000000000001</c:v>
                </c:pt>
                <c:pt idx="40">
                  <c:v>0.27400000000000002</c:v>
                </c:pt>
                <c:pt idx="41">
                  <c:v>0.25800000000000001</c:v>
                </c:pt>
                <c:pt idx="42">
                  <c:v>0.10299999999999999</c:v>
                </c:pt>
                <c:pt idx="43">
                  <c:v>0.16500000000000001</c:v>
                </c:pt>
                <c:pt idx="44">
                  <c:v>0.112</c:v>
                </c:pt>
                <c:pt idx="45">
                  <c:v>0.27900000000000003</c:v>
                </c:pt>
                <c:pt idx="46">
                  <c:v>0.19900000000000001</c:v>
                </c:pt>
                <c:pt idx="47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239-41EE-8A2E-E50DB2961207}"/>
            </c:ext>
          </c:extLst>
        </c:ser>
        <c:ser>
          <c:idx val="44"/>
          <c:order val="44"/>
          <c:tx>
            <c:v>BES_TR4_three97_B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Discharge_kW!$AU$2:$AU$49</c:f>
              <c:numCache>
                <c:formatCode>#,##0.000</c:formatCode>
                <c:ptCount val="48"/>
                <c:pt idx="0">
                  <c:v>0.13100000000000001</c:v>
                </c:pt>
                <c:pt idx="1">
                  <c:v>0.20100000000000001</c:v>
                </c:pt>
                <c:pt idx="2">
                  <c:v>5.5E-2</c:v>
                </c:pt>
                <c:pt idx="3">
                  <c:v>0.20799999999999999</c:v>
                </c:pt>
                <c:pt idx="4">
                  <c:v>0.124</c:v>
                </c:pt>
                <c:pt idx="5">
                  <c:v>9.7000000000000003E-2</c:v>
                </c:pt>
                <c:pt idx="6">
                  <c:v>0.23499999999999999</c:v>
                </c:pt>
                <c:pt idx="7">
                  <c:v>5.1999999999999998E-2</c:v>
                </c:pt>
                <c:pt idx="8">
                  <c:v>5.0000000000000001E-3</c:v>
                </c:pt>
                <c:pt idx="9">
                  <c:v>4.3999999999999997E-2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0.21199999999999999</c:v>
                </c:pt>
                <c:pt idx="40">
                  <c:v>2.258</c:v>
                </c:pt>
                <c:pt idx="41">
                  <c:v>0.47199999999999998</c:v>
                </c:pt>
                <c:pt idx="42">
                  <c:v>0.47899999999999998</c:v>
                </c:pt>
                <c:pt idx="43">
                  <c:v>0.3</c:v>
                </c:pt>
                <c:pt idx="44">
                  <c:v>0.54699999999999993</c:v>
                </c:pt>
                <c:pt idx="45">
                  <c:v>0.81200000000000006</c:v>
                </c:pt>
                <c:pt idx="46">
                  <c:v>0.96299999999999997</c:v>
                </c:pt>
                <c:pt idx="47">
                  <c:v>6.9999999999999993E-2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239-41EE-8A2E-E50DB2961207}"/>
            </c:ext>
          </c:extLst>
        </c:ser>
        <c:ser>
          <c:idx val="45"/>
          <c:order val="45"/>
          <c:tx>
            <c:v>BES_TR4_three160_C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Discharge_kW!$AV$2:$AV$49</c:f>
              <c:numCache>
                <c:formatCode>#,##0.000</c:formatCode>
                <c:ptCount val="48"/>
                <c:pt idx="0">
                  <c:v>0.14000000000000001</c:v>
                </c:pt>
                <c:pt idx="1">
                  <c:v>1.65</c:v>
                </c:pt>
                <c:pt idx="2">
                  <c:v>0.372</c:v>
                </c:pt>
                <c:pt idx="3">
                  <c:v>0.154</c:v>
                </c:pt>
                <c:pt idx="4">
                  <c:v>7.4999999999999997E-2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1.9E-2</c:v>
                </c:pt>
                <c:pt idx="39">
                  <c:v>0</c:v>
                </c:pt>
                <c:pt idx="40">
                  <c:v>3.6999999999999998E-2</c:v>
                </c:pt>
                <c:pt idx="41">
                  <c:v>0.245</c:v>
                </c:pt>
                <c:pt idx="42">
                  <c:v>0.2</c:v>
                </c:pt>
                <c:pt idx="43">
                  <c:v>0.19600000000000001</c:v>
                </c:pt>
                <c:pt idx="44">
                  <c:v>0.248</c:v>
                </c:pt>
                <c:pt idx="45">
                  <c:v>0.13100000000000001</c:v>
                </c:pt>
                <c:pt idx="46">
                  <c:v>0.314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239-41EE-8A2E-E50DB2961207}"/>
            </c:ext>
          </c:extLst>
        </c:ser>
        <c:ser>
          <c:idx val="46"/>
          <c:order val="46"/>
          <c:tx>
            <c:v>fleet average</c:v>
          </c:tx>
          <c:spPr>
            <a:ln w="28575">
              <a:solidFill>
                <a:srgbClr val="F05A2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0.21452173913043479</c:v>
                </c:pt>
                <c:pt idx="1">
                  <c:v>0.19295652173913042</c:v>
                </c:pt>
                <c:pt idx="2">
                  <c:v>0.1297826086956522</c:v>
                </c:pt>
                <c:pt idx="3">
                  <c:v>0.14423913043478259</c:v>
                </c:pt>
                <c:pt idx="4">
                  <c:v>0.124</c:v>
                </c:pt>
                <c:pt idx="5">
                  <c:v>0.13543478260869568</c:v>
                </c:pt>
                <c:pt idx="6">
                  <c:v>0.14106521739130437</c:v>
                </c:pt>
                <c:pt idx="7">
                  <c:v>0.13139130434782606</c:v>
                </c:pt>
                <c:pt idx="8">
                  <c:v>7.2070989408695635E-2</c:v>
                </c:pt>
                <c:pt idx="9">
                  <c:v>1.5760869565217394E-2</c:v>
                </c:pt>
                <c:pt idx="10">
                  <c:v>0</c:v>
                </c:pt>
                <c:pt idx="11">
                  <c:v>1.3695652173913043E-3</c:v>
                </c:pt>
                <c:pt idx="12">
                  <c:v>0</c:v>
                </c:pt>
                <c:pt idx="13">
                  <c:v>4.3065217391304353E-2</c:v>
                </c:pt>
                <c:pt idx="14">
                  <c:v>2.4086956521739134E-2</c:v>
                </c:pt>
                <c:pt idx="15">
                  <c:v>3.0673913043478263E-2</c:v>
                </c:pt>
                <c:pt idx="16">
                  <c:v>6.5217391304347823E-3</c:v>
                </c:pt>
                <c:pt idx="17">
                  <c:v>1.6695652173913045E-2</c:v>
                </c:pt>
                <c:pt idx="18">
                  <c:v>1.4630434782608696E-2</c:v>
                </c:pt>
                <c:pt idx="19">
                  <c:v>1.1586956521739132E-2</c:v>
                </c:pt>
                <c:pt idx="20">
                  <c:v>3.7304347826086957E-2</c:v>
                </c:pt>
                <c:pt idx="21">
                  <c:v>7.8913043478260874E-3</c:v>
                </c:pt>
                <c:pt idx="22">
                  <c:v>0</c:v>
                </c:pt>
                <c:pt idx="23">
                  <c:v>1.4021739130434781E-2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5.6956521739130435E-3</c:v>
                </c:pt>
                <c:pt idx="30">
                  <c:v>9.5434782608695649E-3</c:v>
                </c:pt>
                <c:pt idx="31">
                  <c:v>0</c:v>
                </c:pt>
                <c:pt idx="32">
                  <c:v>6.7608695652173912E-3</c:v>
                </c:pt>
                <c:pt idx="33">
                  <c:v>4.2173913043478265E-3</c:v>
                </c:pt>
                <c:pt idx="34">
                  <c:v>3.1217391304347825E-2</c:v>
                </c:pt>
                <c:pt idx="35">
                  <c:v>0.14110869565217393</c:v>
                </c:pt>
                <c:pt idx="36">
                  <c:v>0.15804347826086956</c:v>
                </c:pt>
                <c:pt idx="37">
                  <c:v>0.18371739130434783</c:v>
                </c:pt>
                <c:pt idx="38">
                  <c:v>0.13106521739130433</c:v>
                </c:pt>
                <c:pt idx="39">
                  <c:v>0.34986956521739132</c:v>
                </c:pt>
                <c:pt idx="40">
                  <c:v>0.47832608695652185</c:v>
                </c:pt>
                <c:pt idx="41">
                  <c:v>0.46108695652173914</c:v>
                </c:pt>
                <c:pt idx="42">
                  <c:v>0.46539130434782611</c:v>
                </c:pt>
                <c:pt idx="43">
                  <c:v>0.4139782608695653</c:v>
                </c:pt>
                <c:pt idx="44">
                  <c:v>0.42456521739130443</c:v>
                </c:pt>
                <c:pt idx="45">
                  <c:v>0.43391304347826087</c:v>
                </c:pt>
                <c:pt idx="46">
                  <c:v>0.3213478260869565</c:v>
                </c:pt>
                <c:pt idx="47">
                  <c:v>0.22439130434782611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239-41EE-8A2E-E50DB2961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Discharging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59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showGridLines="0" workbookViewId="0"/>
  </sheetViews>
  <sheetFormatPr defaultRowHeight="15" x14ac:dyDescent="0.25"/>
  <cols>
    <col min="1" max="1" width="118" customWidth="1"/>
  </cols>
  <sheetData>
    <row r="1" spans="1:1" ht="27.95" customHeight="1" x14ac:dyDescent="0.25">
      <c r="A1" s="1" t="s">
        <v>0</v>
      </c>
    </row>
    <row r="2" spans="1:1" ht="33.950000000000003" customHeight="1" x14ac:dyDescent="0.25">
      <c r="A2" s="2" t="s">
        <v>1</v>
      </c>
    </row>
    <row r="3" spans="1:1" ht="33.950000000000003" customHeight="1" x14ac:dyDescent="0.25">
      <c r="A3" s="2" t="s">
        <v>2</v>
      </c>
    </row>
    <row r="4" spans="1:1" ht="33.950000000000003" customHeight="1" x14ac:dyDescent="0.25">
      <c r="A4" s="2" t="s">
        <v>3</v>
      </c>
    </row>
    <row r="5" spans="1:1" ht="33.950000000000003" customHeight="1" x14ac:dyDescent="0.25">
      <c r="A5" s="2" t="s">
        <v>4</v>
      </c>
    </row>
    <row r="6" spans="1:1" ht="33.950000000000003" customHeight="1" x14ac:dyDescent="0.25">
      <c r="A6" s="2" t="s">
        <v>5</v>
      </c>
    </row>
    <row r="7" spans="1:1" ht="33.950000000000003" customHeight="1" x14ac:dyDescent="0.25">
      <c r="A7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/>
  </sheetViews>
  <sheetFormatPr defaultRowHeight="15" x14ac:dyDescent="0.25"/>
  <cols>
    <col min="1" max="1" width="30" customWidth="1"/>
    <col min="2" max="2" width="82" customWidth="1"/>
  </cols>
  <sheetData>
    <row r="1" spans="1:2" ht="30" customHeight="1" x14ac:dyDescent="0.25">
      <c r="A1" s="8" t="s">
        <v>7</v>
      </c>
      <c r="B1" s="9" t="s">
        <v>8</v>
      </c>
    </row>
    <row r="2" spans="1:2" x14ac:dyDescent="0.25">
      <c r="A2" s="10" t="s">
        <v>9</v>
      </c>
      <c r="B2" s="13" t="s">
        <v>10</v>
      </c>
    </row>
    <row r="3" spans="1:2" x14ac:dyDescent="0.25">
      <c r="A3" s="10" t="s">
        <v>11</v>
      </c>
      <c r="B3" s="13" t="s">
        <v>12</v>
      </c>
    </row>
    <row r="4" spans="1:2" x14ac:dyDescent="0.25">
      <c r="A4" s="10" t="s">
        <v>13</v>
      </c>
      <c r="B4" s="13" t="s">
        <v>14</v>
      </c>
    </row>
    <row r="5" spans="1:2" x14ac:dyDescent="0.25">
      <c r="A5" s="14" t="s">
        <v>15</v>
      </c>
      <c r="B5" s="16">
        <v>46</v>
      </c>
    </row>
    <row r="6" spans="1:2" x14ac:dyDescent="0.25">
      <c r="A6" s="14" t="s">
        <v>16</v>
      </c>
      <c r="B6" s="16">
        <v>1163</v>
      </c>
    </row>
    <row r="7" spans="1:2" x14ac:dyDescent="0.25">
      <c r="A7" s="14" t="s">
        <v>17</v>
      </c>
      <c r="B7" s="16">
        <v>343.4</v>
      </c>
    </row>
    <row r="8" spans="1:2" x14ac:dyDescent="0.25">
      <c r="A8" s="14" t="s">
        <v>18</v>
      </c>
      <c r="B8" s="16">
        <v>802</v>
      </c>
    </row>
    <row r="9" spans="1:2" x14ac:dyDescent="0.25">
      <c r="A9" s="14" t="s">
        <v>19</v>
      </c>
      <c r="B9" s="16">
        <v>12.4</v>
      </c>
    </row>
    <row r="10" spans="1:2" x14ac:dyDescent="0.25">
      <c r="A10" s="14" t="s">
        <v>20</v>
      </c>
      <c r="B10" s="17">
        <v>31</v>
      </c>
    </row>
    <row r="11" spans="1:2" x14ac:dyDescent="0.25">
      <c r="A11" s="14" t="s">
        <v>21</v>
      </c>
      <c r="B11" s="17">
        <v>96.4</v>
      </c>
    </row>
    <row r="12" spans="1:2" x14ac:dyDescent="0.25">
      <c r="A12" s="14" t="s">
        <v>22</v>
      </c>
      <c r="B12" s="17">
        <v>56.8</v>
      </c>
    </row>
    <row r="13" spans="1:2" x14ac:dyDescent="0.25">
      <c r="A13" s="14" t="s">
        <v>23</v>
      </c>
      <c r="B13" s="11" t="s">
        <v>24</v>
      </c>
    </row>
    <row r="14" spans="1:2" x14ac:dyDescent="0.25">
      <c r="A14" s="15" t="s">
        <v>25</v>
      </c>
      <c r="B14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1" width="15" customWidth="1"/>
  </cols>
  <sheetData>
    <row r="1" spans="1:11" ht="30" customHeight="1" x14ac:dyDescent="0.25">
      <c r="A1" s="8" t="s">
        <v>26</v>
      </c>
      <c r="B1" s="21" t="s">
        <v>27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1" t="s">
        <v>33</v>
      </c>
      <c r="I1" s="21" t="s">
        <v>34</v>
      </c>
      <c r="J1" s="21" t="s">
        <v>35</v>
      </c>
      <c r="K1" s="9" t="s">
        <v>36</v>
      </c>
    </row>
    <row r="2" spans="1:11" x14ac:dyDescent="0.25">
      <c r="A2" s="24">
        <f>Demand_kW!A2</f>
        <v>1</v>
      </c>
      <c r="B2" s="26">
        <f>Demand_kW!B2</f>
        <v>0</v>
      </c>
      <c r="C2" s="28">
        <f>AVERAGE(Demand_kW!$C2:$AV2)</f>
        <v>0.21448885507246374</v>
      </c>
      <c r="D2" s="28">
        <f>AVERAGE(PV_kW!$C2:$AV2)</f>
        <v>0</v>
      </c>
      <c r="E2" s="28">
        <f>AVERAGE(Charge_kW!$C2:$AV2)</f>
        <v>0</v>
      </c>
      <c r="F2" s="28">
        <f>AVERAGE(Discharge_kW!$C2:$AV2)</f>
        <v>0.21452173913043479</v>
      </c>
      <c r="G2" s="28">
        <f t="shared" ref="G2:G49" si="0">C2-D2+E2-F2</f>
        <v>-3.2884057971055425E-5</v>
      </c>
      <c r="H2" s="26">
        <f>AVERAGE(SOC_pct!$C2:$AV2)</f>
        <v>40</v>
      </c>
      <c r="I2" s="30">
        <f>SUM(Demand_kW!$C2:$AV2)</f>
        <v>9.8664873333333318</v>
      </c>
      <c r="J2" s="30">
        <f>SUM(PV_kW!$C2:$AV2)</f>
        <v>0</v>
      </c>
      <c r="K2" s="16">
        <f>I2-J2+SUM(Charge_kW!$C2:$AV2)-SUM(Discharge_kW!$C2:$AV2)</f>
        <v>-1.512666666668494E-3</v>
      </c>
    </row>
    <row r="3" spans="1:11" x14ac:dyDescent="0.25">
      <c r="A3" s="24">
        <f>Demand_kW!A3</f>
        <v>2</v>
      </c>
      <c r="B3" s="26">
        <f>Demand_kW!B3</f>
        <v>0.5</v>
      </c>
      <c r="C3" s="28">
        <f>AVERAGE(Demand_kW!$C3:$AV3)</f>
        <v>0.19292378985507233</v>
      </c>
      <c r="D3" s="28">
        <f>AVERAGE(PV_kW!$C3:$AV3)</f>
        <v>0</v>
      </c>
      <c r="E3" s="28">
        <f>AVERAGE(Charge_kW!$C3:$AV3)</f>
        <v>0</v>
      </c>
      <c r="F3" s="28">
        <f>AVERAGE(Discharge_kW!$C3:$AV3)</f>
        <v>0.19295652173913042</v>
      </c>
      <c r="G3" s="28">
        <f t="shared" si="0"/>
        <v>-3.2731884058084804E-5</v>
      </c>
      <c r="H3" s="26">
        <f>AVERAGE(SOC_pct!$C3:$AV3)</f>
        <v>37.30848695652174</v>
      </c>
      <c r="I3" s="30">
        <f>SUM(Demand_kW!$C3:$AV3)</f>
        <v>8.8744943333333275</v>
      </c>
      <c r="J3" s="30">
        <f>SUM(PV_kW!$C3:$AV3)</f>
        <v>0</v>
      </c>
      <c r="K3" s="16">
        <f>I3-J3+SUM(Charge_kW!$C3:$AV3)-SUM(Discharge_kW!$C3:$AV3)</f>
        <v>-1.5056666666719565E-3</v>
      </c>
    </row>
    <row r="4" spans="1:11" x14ac:dyDescent="0.25">
      <c r="A4" s="24">
        <f>Demand_kW!A4</f>
        <v>3</v>
      </c>
      <c r="B4" s="26">
        <f>Demand_kW!B4</f>
        <v>1</v>
      </c>
      <c r="C4" s="28">
        <f>AVERAGE(Demand_kW!$C4:$AV4)</f>
        <v>0.12976925362318839</v>
      </c>
      <c r="D4" s="28">
        <f>AVERAGE(PV_kW!$C4:$AV4)</f>
        <v>0</v>
      </c>
      <c r="E4" s="28">
        <f>AVERAGE(Charge_kW!$C4:$AV4)</f>
        <v>0</v>
      </c>
      <c r="F4" s="28">
        <f>AVERAGE(Discharge_kW!$C4:$AV4)</f>
        <v>0.1297826086956522</v>
      </c>
      <c r="G4" s="28">
        <f t="shared" si="0"/>
        <v>-1.3355072463805406E-5</v>
      </c>
      <c r="H4" s="26">
        <f>AVERAGE(SOC_pct!$C4:$AV4)</f>
        <v>34.887580434782613</v>
      </c>
      <c r="I4" s="30">
        <f>SUM(Demand_kW!$C4:$AV4)</f>
        <v>5.9693856666666658</v>
      </c>
      <c r="J4" s="30">
        <f>SUM(PV_kW!$C4:$AV4)</f>
        <v>0</v>
      </c>
      <c r="K4" s="16">
        <f>I4-J4+SUM(Charge_kW!$C4:$AV4)-SUM(Discharge_kW!$C4:$AV4)</f>
        <v>-6.1433333333482665E-4</v>
      </c>
    </row>
    <row r="5" spans="1:11" x14ac:dyDescent="0.25">
      <c r="A5" s="24">
        <f>Demand_kW!A5</f>
        <v>4</v>
      </c>
      <c r="B5" s="26">
        <f>Demand_kW!B5</f>
        <v>1.5</v>
      </c>
      <c r="C5" s="28">
        <f>AVERAGE(Demand_kW!$C5:$AV5)</f>
        <v>0.1441979275362319</v>
      </c>
      <c r="D5" s="28">
        <f>AVERAGE(PV_kW!$C5:$AV5)</f>
        <v>0</v>
      </c>
      <c r="E5" s="28">
        <f>AVERAGE(Charge_kW!$C5:$AV5)</f>
        <v>0</v>
      </c>
      <c r="F5" s="28">
        <f>AVERAGE(Discharge_kW!$C5:$AV5)</f>
        <v>0.14423913043478259</v>
      </c>
      <c r="G5" s="28">
        <f t="shared" si="0"/>
        <v>-4.1202898550696254E-5</v>
      </c>
      <c r="H5" s="26">
        <f>AVERAGE(SOC_pct!$C5:$AV5)</f>
        <v>33.259173913043476</v>
      </c>
      <c r="I5" s="30">
        <f>SUM(Demand_kW!$C5:$AV5)</f>
        <v>6.6331046666666671</v>
      </c>
      <c r="J5" s="30">
        <f>SUM(PV_kW!$C5:$AV5)</f>
        <v>0</v>
      </c>
      <c r="K5" s="16">
        <f>I5-J5+SUM(Charge_kW!$C5:$AV5)-SUM(Discharge_kW!$C5:$AV5)</f>
        <v>-1.8953333333326938E-3</v>
      </c>
    </row>
    <row r="6" spans="1:11" x14ac:dyDescent="0.25">
      <c r="A6" s="24">
        <f>Demand_kW!A6</f>
        <v>5</v>
      </c>
      <c r="B6" s="26">
        <f>Demand_kW!B6</f>
        <v>2</v>
      </c>
      <c r="C6" s="28">
        <f>AVERAGE(Demand_kW!$C6:$AV6)</f>
        <v>0.13008457246376812</v>
      </c>
      <c r="D6" s="28">
        <f>AVERAGE(PV_kW!$C6:$AV6)</f>
        <v>0</v>
      </c>
      <c r="E6" s="28">
        <f>AVERAGE(Charge_kW!$C6:$AV6)</f>
        <v>0</v>
      </c>
      <c r="F6" s="28">
        <f>AVERAGE(Discharge_kW!$C6:$AV6)</f>
        <v>0.124</v>
      </c>
      <c r="G6" s="28">
        <f t="shared" si="0"/>
        <v>6.0845724637681176E-3</v>
      </c>
      <c r="H6" s="26">
        <f>AVERAGE(SOC_pct!$C6:$AV6)</f>
        <v>31.44970217391305</v>
      </c>
      <c r="I6" s="30">
        <f>SUM(Demand_kW!$C6:$AV6)</f>
        <v>5.9838903333333331</v>
      </c>
      <c r="J6" s="30">
        <f>SUM(PV_kW!$C6:$AV6)</f>
        <v>0</v>
      </c>
      <c r="K6" s="16">
        <f>I6-J6+SUM(Charge_kW!$C6:$AV6)-SUM(Discharge_kW!$C6:$AV6)</f>
        <v>0.27989033333333335</v>
      </c>
    </row>
    <row r="7" spans="1:11" x14ac:dyDescent="0.25">
      <c r="A7" s="24">
        <f>Demand_kW!A7</f>
        <v>6</v>
      </c>
      <c r="B7" s="26">
        <f>Demand_kW!B7</f>
        <v>2.5</v>
      </c>
      <c r="C7" s="28">
        <f>AVERAGE(Demand_kW!$C7:$AV7)</f>
        <v>0.1368114130434783</v>
      </c>
      <c r="D7" s="28">
        <f>AVERAGE(PV_kW!$C7:$AV7)</f>
        <v>0</v>
      </c>
      <c r="E7" s="28">
        <f>AVERAGE(Charge_kW!$C7:$AV7)</f>
        <v>0</v>
      </c>
      <c r="F7" s="28">
        <f>AVERAGE(Discharge_kW!$C7:$AV7)</f>
        <v>0.13543478260869568</v>
      </c>
      <c r="G7" s="28">
        <f t="shared" si="0"/>
        <v>1.3766304347826164E-3</v>
      </c>
      <c r="H7" s="26">
        <f>AVERAGE(SOC_pct!$C7:$AV7)</f>
        <v>29.893828260869551</v>
      </c>
      <c r="I7" s="30">
        <f>SUM(Demand_kW!$C7:$AV7)</f>
        <v>6.2933250000000012</v>
      </c>
      <c r="J7" s="30">
        <f>SUM(PV_kW!$C7:$AV7)</f>
        <v>0</v>
      </c>
      <c r="K7" s="16">
        <f>I7-J7+SUM(Charge_kW!$C7:$AV7)-SUM(Discharge_kW!$C7:$AV7)</f>
        <v>6.3324999999999854E-2</v>
      </c>
    </row>
    <row r="8" spans="1:11" x14ac:dyDescent="0.25">
      <c r="A8" s="24">
        <f>Demand_kW!A8</f>
        <v>7</v>
      </c>
      <c r="B8" s="26">
        <f>Demand_kW!B8</f>
        <v>3</v>
      </c>
      <c r="C8" s="28">
        <f>AVERAGE(Demand_kW!$C8:$AV8)</f>
        <v>0.14601992028985505</v>
      </c>
      <c r="D8" s="28">
        <f>AVERAGE(PV_kW!$C8:$AV8)</f>
        <v>0</v>
      </c>
      <c r="E8" s="28">
        <f>AVERAGE(Charge_kW!$C8:$AV8)</f>
        <v>0</v>
      </c>
      <c r="F8" s="28">
        <f>AVERAGE(Discharge_kW!$C8:$AV8)</f>
        <v>0.14106521739130437</v>
      </c>
      <c r="G8" s="28">
        <f t="shared" si="0"/>
        <v>4.9547028985506836E-3</v>
      </c>
      <c r="H8" s="26">
        <f>AVERAGE(SOC_pct!$C8:$AV8)</f>
        <v>28.194650000000014</v>
      </c>
      <c r="I8" s="30">
        <f>SUM(Demand_kW!$C8:$AV8)</f>
        <v>6.7169163333333319</v>
      </c>
      <c r="J8" s="30">
        <f>SUM(PV_kW!$C8:$AV8)</f>
        <v>0</v>
      </c>
      <c r="K8" s="16">
        <f>I8-J8+SUM(Charge_kW!$C8:$AV8)-SUM(Discharge_kW!$C8:$AV8)</f>
        <v>0.22791633333333117</v>
      </c>
    </row>
    <row r="9" spans="1:11" x14ac:dyDescent="0.25">
      <c r="A9" s="24">
        <f>Demand_kW!A9</f>
        <v>8</v>
      </c>
      <c r="B9" s="26">
        <f>Demand_kW!B9</f>
        <v>3.5</v>
      </c>
      <c r="C9" s="28">
        <f>AVERAGE(Demand_kW!$C9:$AV9)</f>
        <v>0.14897438115942033</v>
      </c>
      <c r="D9" s="28">
        <f>AVERAGE(PV_kW!$C9:$AV9)</f>
        <v>2.6928027130434799E-3</v>
      </c>
      <c r="E9" s="28">
        <f>AVERAGE(Charge_kW!$C9:$AV9)</f>
        <v>0</v>
      </c>
      <c r="F9" s="28">
        <f>AVERAGE(Discharge_kW!$C9:$AV9)</f>
        <v>0.13139130434782606</v>
      </c>
      <c r="G9" s="28">
        <f t="shared" si="0"/>
        <v>1.4890274098550788E-2</v>
      </c>
      <c r="H9" s="26">
        <f>AVERAGE(SOC_pct!$C9:$AV9)</f>
        <v>26.423915217391304</v>
      </c>
      <c r="I9" s="30">
        <f>SUM(Demand_kW!$C9:$AV9)</f>
        <v>6.8528215333333353</v>
      </c>
      <c r="J9" s="30">
        <f>SUM(PV_kW!$C9:$AV9)</f>
        <v>0.12386892480000007</v>
      </c>
      <c r="K9" s="16">
        <f>I9-J9+SUM(Charge_kW!$C9:$AV9)-SUM(Discharge_kW!$C9:$AV9)</f>
        <v>0.68495260853333662</v>
      </c>
    </row>
    <row r="10" spans="1:11" x14ac:dyDescent="0.25">
      <c r="A10" s="24">
        <f>Demand_kW!A10</f>
        <v>9</v>
      </c>
      <c r="B10" s="26">
        <f>Demand_kW!B10</f>
        <v>4</v>
      </c>
      <c r="C10" s="28">
        <f>AVERAGE(Demand_kW!$C10:$AV10)</f>
        <v>0.11271969565217388</v>
      </c>
      <c r="D10" s="28">
        <f>AVERAGE(PV_kW!$C10:$AV10)</f>
        <v>3.8922646330434678E-2</v>
      </c>
      <c r="E10" s="28">
        <f>AVERAGE(Charge_kW!$C10:$AV10)</f>
        <v>5.6521739130434778E-4</v>
      </c>
      <c r="F10" s="28">
        <f>AVERAGE(Discharge_kW!$C10:$AV10)</f>
        <v>7.2070989408695635E-2</v>
      </c>
      <c r="G10" s="28">
        <f t="shared" si="0"/>
        <v>2.2912773043479023E-3</v>
      </c>
      <c r="H10" s="26">
        <f>AVERAGE(SOC_pct!$C10:$AV10)</f>
        <v>24.776093478260869</v>
      </c>
      <c r="I10" s="30">
        <f>SUM(Demand_kW!$C10:$AV10)</f>
        <v>5.1851059999999984</v>
      </c>
      <c r="J10" s="30">
        <f>SUM(PV_kW!$C10:$AV10)</f>
        <v>1.7904417311999952</v>
      </c>
      <c r="K10" s="16">
        <f>I10-J10+SUM(Charge_kW!$C10:$AV10)-SUM(Discharge_kW!$C10:$AV10)</f>
        <v>0.10539875600000359</v>
      </c>
    </row>
    <row r="11" spans="1:11" x14ac:dyDescent="0.25">
      <c r="A11" s="24">
        <f>Demand_kW!A11</f>
        <v>10</v>
      </c>
      <c r="B11" s="26">
        <f>Demand_kW!B11</f>
        <v>4.5</v>
      </c>
      <c r="C11" s="28">
        <f>AVERAGE(Demand_kW!$C11:$AV11)</f>
        <v>0.13013576811594199</v>
      </c>
      <c r="D11" s="28">
        <f>AVERAGE(PV_kW!$C11:$AV11)</f>
        <v>0.18201408824347834</v>
      </c>
      <c r="E11" s="28">
        <f>AVERAGE(Charge_kW!$C11:$AV11)</f>
        <v>7.1086956521739131E-2</v>
      </c>
      <c r="F11" s="28">
        <f>AVERAGE(Discharge_kW!$C11:$AV11)</f>
        <v>1.5760869565217394E-2</v>
      </c>
      <c r="G11" s="28">
        <f t="shared" si="0"/>
        <v>3.4477668289853887E-3</v>
      </c>
      <c r="H11" s="26">
        <f>AVERAGE(SOC_pct!$C11:$AV11)</f>
        <v>23.878065217391306</v>
      </c>
      <c r="I11" s="30">
        <f>SUM(Demand_kW!$C11:$AV11)</f>
        <v>5.9862453333333319</v>
      </c>
      <c r="J11" s="30">
        <f>SUM(PV_kW!$C11:$AV11)</f>
        <v>8.372648059200003</v>
      </c>
      <c r="K11" s="16">
        <f>I11-J11+SUM(Charge_kW!$C11:$AV11)-SUM(Discharge_kW!$C11:$AV11)</f>
        <v>0.1585972741333288</v>
      </c>
    </row>
    <row r="12" spans="1:11" x14ac:dyDescent="0.25">
      <c r="A12" s="24">
        <f>Demand_kW!A12</f>
        <v>11</v>
      </c>
      <c r="B12" s="26">
        <f>Demand_kW!B12</f>
        <v>5</v>
      </c>
      <c r="C12" s="28">
        <f>AVERAGE(Demand_kW!$C12:$AV12)</f>
        <v>0.12538938550724635</v>
      </c>
      <c r="D12" s="28">
        <f>AVERAGE(PV_kW!$C12:$AV12)</f>
        <v>0.36104892125217491</v>
      </c>
      <c r="E12" s="28">
        <f>AVERAGE(Charge_kW!$C12:$AV12)</f>
        <v>0.23558695652173914</v>
      </c>
      <c r="F12" s="28">
        <f>AVERAGE(Discharge_kW!$C12:$AV12)</f>
        <v>0</v>
      </c>
      <c r="G12" s="28">
        <f t="shared" si="0"/>
        <v>-7.2579223189428443E-5</v>
      </c>
      <c r="H12" s="26">
        <f>AVERAGE(SOC_pct!$C12:$AV12)</f>
        <v>24.482263043478266</v>
      </c>
      <c r="I12" s="30">
        <f>SUM(Demand_kW!$C12:$AV12)</f>
        <v>5.7679117333333316</v>
      </c>
      <c r="J12" s="30">
        <f>SUM(PV_kW!$C12:$AV12)</f>
        <v>16.608250377600047</v>
      </c>
      <c r="K12" s="16">
        <f>I12-J12+SUM(Charge_kW!$C12:$AV12)-SUM(Discharge_kW!$C12:$AV12)</f>
        <v>-3.3386442667158178E-3</v>
      </c>
    </row>
    <row r="13" spans="1:11" x14ac:dyDescent="0.25">
      <c r="A13" s="24">
        <f>Demand_kW!A13</f>
        <v>12</v>
      </c>
      <c r="B13" s="26">
        <f>Demand_kW!B13</f>
        <v>5.5</v>
      </c>
      <c r="C13" s="28">
        <f>AVERAGE(Demand_kW!$C13:$AV13)</f>
        <v>0.14318600362318837</v>
      </c>
      <c r="D13" s="28">
        <f>AVERAGE(PV_kW!$C13:$AV13)</f>
        <v>0.58058450337391199</v>
      </c>
      <c r="E13" s="28">
        <f>AVERAGE(Charge_kW!$C13:$AV13)</f>
        <v>0.43876086956521754</v>
      </c>
      <c r="F13" s="28">
        <f>AVERAGE(Discharge_kW!$C13:$AV13)</f>
        <v>1.3695652173913043E-3</v>
      </c>
      <c r="G13" s="28">
        <f t="shared" si="0"/>
        <v>-7.1954028974131196E-6</v>
      </c>
      <c r="H13" s="26">
        <f>AVERAGE(SOC_pct!$C13:$AV13)</f>
        <v>27.143804347826091</v>
      </c>
      <c r="I13" s="30">
        <f>SUM(Demand_kW!$C13:$AV13)</f>
        <v>6.5865561666666652</v>
      </c>
      <c r="J13" s="30">
        <f>SUM(PV_kW!$C13:$AV13)</f>
        <v>26.706887155199951</v>
      </c>
      <c r="K13" s="16">
        <f>I13-J13+SUM(Charge_kW!$C13:$AV13)-SUM(Discharge_kW!$C13:$AV13)</f>
        <v>-3.3098853327945266E-4</v>
      </c>
    </row>
    <row r="14" spans="1:11" x14ac:dyDescent="0.25">
      <c r="A14" s="24">
        <f>Demand_kW!A14</f>
        <v>13</v>
      </c>
      <c r="B14" s="26">
        <f>Demand_kW!B14</f>
        <v>6</v>
      </c>
      <c r="C14" s="28">
        <f>AVERAGE(Demand_kW!$C14:$AV14)</f>
        <v>0.1601343108695652</v>
      </c>
      <c r="D14" s="28">
        <f>AVERAGE(PV_kW!$C14:$AV14)</f>
        <v>0.82011020295652304</v>
      </c>
      <c r="E14" s="28">
        <f>AVERAGE(Charge_kW!$C14:$AV14)</f>
        <v>0.66</v>
      </c>
      <c r="F14" s="28">
        <f>AVERAGE(Discharge_kW!$C14:$AV14)</f>
        <v>0</v>
      </c>
      <c r="G14" s="28">
        <f t="shared" si="0"/>
        <v>2.4107913042192841E-5</v>
      </c>
      <c r="H14" s="26">
        <f>AVERAGE(SOC_pct!$C14:$AV14)</f>
        <v>32.082078260869565</v>
      </c>
      <c r="I14" s="30">
        <f>SUM(Demand_kW!$C14:$AV14)</f>
        <v>7.3661782999999987</v>
      </c>
      <c r="J14" s="30">
        <f>SUM(PV_kW!$C14:$AV14)</f>
        <v>37.725069336000061</v>
      </c>
      <c r="K14" s="16">
        <f>I14-J14+SUM(Charge_kW!$C14:$AV14)-SUM(Discharge_kW!$C14:$AV14)</f>
        <v>1.1089639999362078E-3</v>
      </c>
    </row>
    <row r="15" spans="1:11" x14ac:dyDescent="0.25">
      <c r="A15" s="24">
        <f>Demand_kW!A15</f>
        <v>14</v>
      </c>
      <c r="B15" s="26">
        <f>Demand_kW!B15</f>
        <v>6.5</v>
      </c>
      <c r="C15" s="28">
        <f>AVERAGE(Demand_kW!$C15:$AV15)</f>
        <v>0.21931695797101461</v>
      </c>
      <c r="D15" s="28">
        <f>AVERAGE(PV_kW!$C15:$AV15)</f>
        <v>1.062580044313042</v>
      </c>
      <c r="E15" s="28">
        <f>AVERAGE(Charge_kW!$C15:$AV15)</f>
        <v>0.88632608695652193</v>
      </c>
      <c r="F15" s="28">
        <f>AVERAGE(Discharge_kW!$C15:$AV15)</f>
        <v>4.3065217391304353E-2</v>
      </c>
      <c r="G15" s="28">
        <f t="shared" si="0"/>
        <v>-2.2167768098241281E-6</v>
      </c>
      <c r="H15" s="26">
        <f>AVERAGE(SOC_pct!$C15:$AV15)</f>
        <v>39.535886956521743</v>
      </c>
      <c r="I15" s="30">
        <f>SUM(Demand_kW!$C15:$AV15)</f>
        <v>10.088580066666673</v>
      </c>
      <c r="J15" s="30">
        <f>SUM(PV_kW!$C15:$AV15)</f>
        <v>48.87868203839993</v>
      </c>
      <c r="K15" s="16">
        <f>I15-J15+SUM(Charge_kW!$C15:$AV15)-SUM(Discharge_kW!$C15:$AV15)</f>
        <v>-1.0197173324955067E-4</v>
      </c>
    </row>
    <row r="16" spans="1:11" x14ac:dyDescent="0.25">
      <c r="A16" s="24">
        <f>Demand_kW!A16</f>
        <v>15</v>
      </c>
      <c r="B16" s="26">
        <f>Demand_kW!B16</f>
        <v>7</v>
      </c>
      <c r="C16" s="28">
        <f>AVERAGE(Demand_kW!$C16:$AV16)</f>
        <v>0.28569331884057975</v>
      </c>
      <c r="D16" s="28">
        <f>AVERAGE(PV_kW!$C16:$AV16)</f>
        <v>1.3037943559304352</v>
      </c>
      <c r="E16" s="28">
        <f>AVERAGE(Charge_kW!$C16:$AV16)</f>
        <v>1.0421304347826088</v>
      </c>
      <c r="F16" s="28">
        <f>AVERAGE(Discharge_kW!$C16:$AV16)</f>
        <v>2.4086956521739134E-2</v>
      </c>
      <c r="G16" s="28">
        <f t="shared" si="0"/>
        <v>-5.7558828985882632E-5</v>
      </c>
      <c r="H16" s="26">
        <f>AVERAGE(SOC_pct!$C16:$AV16)</f>
        <v>49.005704347826089</v>
      </c>
      <c r="I16" s="30">
        <f>SUM(Demand_kW!$C16:$AV16)</f>
        <v>13.141892666666667</v>
      </c>
      <c r="J16" s="30">
        <f>SUM(PV_kW!$C16:$AV16)</f>
        <v>59.974540372800021</v>
      </c>
      <c r="K16" s="16">
        <f>I16-J16+SUM(Charge_kW!$C16:$AV16)-SUM(Discharge_kW!$C16:$AV16)</f>
        <v>-2.6477061333554097E-3</v>
      </c>
    </row>
    <row r="17" spans="1:11" x14ac:dyDescent="0.25">
      <c r="A17" s="24">
        <f>Demand_kW!A17</f>
        <v>16</v>
      </c>
      <c r="B17" s="26">
        <f>Demand_kW!B17</f>
        <v>7.5</v>
      </c>
      <c r="C17" s="28">
        <f>AVERAGE(Demand_kW!$C17:$AV17)</f>
        <v>0.2777691369565215</v>
      </c>
      <c r="D17" s="28">
        <f>AVERAGE(PV_kW!$C17:$AV17)</f>
        <v>1.5453595486956524</v>
      </c>
      <c r="E17" s="28">
        <f>AVERAGE(Charge_kW!$C17:$AV17)</f>
        <v>1.2376521739130435</v>
      </c>
      <c r="F17" s="28">
        <f>AVERAGE(Discharge_kW!$C17:$AV17)</f>
        <v>3.0673913043478263E-2</v>
      </c>
      <c r="G17" s="28">
        <f t="shared" si="0"/>
        <v>-6.061215086956577E-2</v>
      </c>
      <c r="H17" s="26">
        <f>AVERAGE(SOC_pct!$C17:$AV17)</f>
        <v>60.473984782608674</v>
      </c>
      <c r="I17" s="30">
        <f>SUM(Demand_kW!$C17:$AV17)</f>
        <v>12.77738029999999</v>
      </c>
      <c r="J17" s="30">
        <f>SUM(PV_kW!$C17:$AV17)</f>
        <v>71.086539240000008</v>
      </c>
      <c r="K17" s="16">
        <f>I17-J17+SUM(Charge_kW!$C17:$AV17)-SUM(Discharge_kW!$C17:$AV17)</f>
        <v>-2.7881589400000153</v>
      </c>
    </row>
    <row r="18" spans="1:11" x14ac:dyDescent="0.25">
      <c r="A18" s="24">
        <f>Demand_kW!A18</f>
        <v>17</v>
      </c>
      <c r="B18" s="26">
        <f>Demand_kW!B18</f>
        <v>8</v>
      </c>
      <c r="C18" s="28">
        <f>AVERAGE(Demand_kW!$C18:$AV18)</f>
        <v>0.26974430724637682</v>
      </c>
      <c r="D18" s="28">
        <f>AVERAGE(PV_kW!$C18:$AV18)</f>
        <v>1.7720838769043492</v>
      </c>
      <c r="E18" s="28">
        <f>AVERAGE(Charge_kW!$C18:$AV18)</f>
        <v>0.82628260869565218</v>
      </c>
      <c r="F18" s="28">
        <f>AVERAGE(Discharge_kW!$C18:$AV18)</f>
        <v>6.5217391304347823E-3</v>
      </c>
      <c r="G18" s="28">
        <f t="shared" si="0"/>
        <v>-0.68257870009275501</v>
      </c>
      <c r="H18" s="26">
        <f>AVERAGE(SOC_pct!$C18:$AV18)</f>
        <v>74.067473913043486</v>
      </c>
      <c r="I18" s="30">
        <f>SUM(Demand_kW!$C18:$AV18)</f>
        <v>12.408238133333333</v>
      </c>
      <c r="J18" s="30">
        <f>SUM(PV_kW!$C18:$AV18)</f>
        <v>81.515858337600065</v>
      </c>
      <c r="K18" s="16">
        <f>I18-J18+SUM(Charge_kW!$C18:$AV18)-SUM(Discharge_kW!$C18:$AV18)</f>
        <v>-31.398620204266738</v>
      </c>
    </row>
    <row r="19" spans="1:11" x14ac:dyDescent="0.25">
      <c r="A19" s="24">
        <f>Demand_kW!A19</f>
        <v>18</v>
      </c>
      <c r="B19" s="26">
        <f>Demand_kW!B19</f>
        <v>8.5</v>
      </c>
      <c r="C19" s="28">
        <f>AVERAGE(Demand_kW!$C19:$AV19)</f>
        <v>0.34997221666666672</v>
      </c>
      <c r="D19" s="28">
        <f>AVERAGE(PV_kW!$C19:$AV19)</f>
        <v>1.9852050784695652</v>
      </c>
      <c r="E19" s="28">
        <f>AVERAGE(Charge_kW!$C19:$AV19)</f>
        <v>0.56358695652173918</v>
      </c>
      <c r="F19" s="28">
        <f>AVERAGE(Discharge_kW!$C19:$AV19)</f>
        <v>1.6695652173913045E-2</v>
      </c>
      <c r="G19" s="28">
        <f t="shared" si="0"/>
        <v>-1.0883415574550721</v>
      </c>
      <c r="H19" s="26">
        <f>AVERAGE(SOC_pct!$C19:$AV19)</f>
        <v>83.318123913043479</v>
      </c>
      <c r="I19" s="30">
        <f>SUM(Demand_kW!$C19:$AV19)</f>
        <v>16.09872196666667</v>
      </c>
      <c r="J19" s="30">
        <f>SUM(PV_kW!$C19:$AV19)</f>
        <v>91.319433609599997</v>
      </c>
      <c r="K19" s="16">
        <f>I19-J19+SUM(Charge_kW!$C19:$AV19)-SUM(Discharge_kW!$C19:$AV19)</f>
        <v>-50.063711642933328</v>
      </c>
    </row>
    <row r="20" spans="1:11" x14ac:dyDescent="0.25">
      <c r="A20" s="24">
        <f>Demand_kW!A20</f>
        <v>19</v>
      </c>
      <c r="B20" s="26">
        <f>Demand_kW!B20</f>
        <v>9</v>
      </c>
      <c r="C20" s="28">
        <f>AVERAGE(Demand_kW!$C20:$AV20)</f>
        <v>0.36487536739130477</v>
      </c>
      <c r="D20" s="28">
        <f>AVERAGE(PV_kW!$C20:$AV20)</f>
        <v>2.1667111533913057</v>
      </c>
      <c r="E20" s="28">
        <f>AVERAGE(Charge_kW!$C20:$AV20)</f>
        <v>0.29802173913043473</v>
      </c>
      <c r="F20" s="28">
        <f>AVERAGE(Discharge_kW!$C20:$AV20)</f>
        <v>1.4630434782608696E-2</v>
      </c>
      <c r="G20" s="28">
        <f t="shared" si="0"/>
        <v>-1.5184444816521749</v>
      </c>
      <c r="H20" s="26">
        <f>AVERAGE(SOC_pct!$C20:$AV20)</f>
        <v>89.474186956521763</v>
      </c>
      <c r="I20" s="30">
        <f>SUM(Demand_kW!$C20:$AV20)</f>
        <v>16.78426690000002</v>
      </c>
      <c r="J20" s="30">
        <f>SUM(PV_kW!$C20:$AV20)</f>
        <v>99.668713056000072</v>
      </c>
      <c r="K20" s="16">
        <f>I20-J20+SUM(Charge_kW!$C20:$AV20)-SUM(Discharge_kW!$C20:$AV20)</f>
        <v>-69.848446156000051</v>
      </c>
    </row>
    <row r="21" spans="1:11" x14ac:dyDescent="0.25">
      <c r="A21" s="24">
        <f>Demand_kW!A21</f>
        <v>20</v>
      </c>
      <c r="B21" s="26">
        <f>Demand_kW!B21</f>
        <v>9.5</v>
      </c>
      <c r="C21" s="28">
        <f>AVERAGE(Demand_kW!$C21:$AV21)</f>
        <v>0.31273148478260848</v>
      </c>
      <c r="D21" s="28">
        <f>AVERAGE(PV_kW!$C21:$AV21)</f>
        <v>2.3215174482782599</v>
      </c>
      <c r="E21" s="28">
        <f>AVERAGE(Charge_kW!$C21:$AV21)</f>
        <v>0.19726086956521738</v>
      </c>
      <c r="F21" s="28">
        <f>AVERAGE(Discharge_kW!$C21:$AV21)</f>
        <v>1.1586956521739132E-2</v>
      </c>
      <c r="G21" s="28">
        <f t="shared" si="0"/>
        <v>-1.8231120504521729</v>
      </c>
      <c r="H21" s="26">
        <f>AVERAGE(SOC_pct!$C21:$AV21)</f>
        <v>92.656191304347843</v>
      </c>
      <c r="I21" s="30">
        <f>SUM(Demand_kW!$C21:$AV21)</f>
        <v>14.385648299999991</v>
      </c>
      <c r="J21" s="30">
        <f>SUM(PV_kW!$C21:$AV21)</f>
        <v>106.78980262079995</v>
      </c>
      <c r="K21" s="16">
        <f>I21-J21+SUM(Charge_kW!$C21:$AV21)-SUM(Discharge_kW!$C21:$AV21)</f>
        <v>-83.863154320799964</v>
      </c>
    </row>
    <row r="22" spans="1:11" x14ac:dyDescent="0.25">
      <c r="A22" s="24">
        <f>Demand_kW!A22</f>
        <v>21</v>
      </c>
      <c r="B22" s="26">
        <f>Demand_kW!B22</f>
        <v>10</v>
      </c>
      <c r="C22" s="28">
        <f>AVERAGE(Demand_kW!$C22:$AV22)</f>
        <v>0.39183757608695652</v>
      </c>
      <c r="D22" s="28">
        <f>AVERAGE(PV_kW!$C22:$AV22)</f>
        <v>2.4573983032695645</v>
      </c>
      <c r="E22" s="28">
        <f>AVERAGE(Charge_kW!$C22:$AV22)</f>
        <v>9.6521739130434797E-2</v>
      </c>
      <c r="F22" s="28">
        <f>AVERAGE(Discharge_kW!$C22:$AV22)</f>
        <v>3.7304347826086957E-2</v>
      </c>
      <c r="G22" s="28">
        <f t="shared" si="0"/>
        <v>-2.0063433358782601</v>
      </c>
      <c r="H22" s="26">
        <f>AVERAGE(SOC_pct!$C22:$AV22)</f>
        <v>94.739102173913039</v>
      </c>
      <c r="I22" s="30">
        <f>SUM(Demand_kW!$C22:$AV22)</f>
        <v>18.024528499999999</v>
      </c>
      <c r="J22" s="30">
        <f>SUM(PV_kW!$C22:$AV22)</f>
        <v>113.04032195039997</v>
      </c>
      <c r="K22" s="16">
        <f>I22-J22+SUM(Charge_kW!$C22:$AV22)-SUM(Discharge_kW!$C22:$AV22)</f>
        <v>-92.291793450399965</v>
      </c>
    </row>
    <row r="23" spans="1:11" x14ac:dyDescent="0.25">
      <c r="A23" s="24">
        <f>Demand_kW!A23</f>
        <v>22</v>
      </c>
      <c r="B23" s="26">
        <f>Demand_kW!B23</f>
        <v>10.5</v>
      </c>
      <c r="C23" s="28">
        <f>AVERAGE(Demand_kW!$C23:$AV23)</f>
        <v>0.26979317826086968</v>
      </c>
      <c r="D23" s="28">
        <f>AVERAGE(PV_kW!$C23:$AV23)</f>
        <v>2.5695431383304355</v>
      </c>
      <c r="E23" s="28">
        <f>AVERAGE(Charge_kW!$C23:$AV23)</f>
        <v>0.1406304347826087</v>
      </c>
      <c r="F23" s="28">
        <f>AVERAGE(Discharge_kW!$C23:$AV23)</f>
        <v>7.8913043478260874E-3</v>
      </c>
      <c r="G23" s="28">
        <f t="shared" si="0"/>
        <v>-2.167010829634783</v>
      </c>
      <c r="H23" s="26">
        <f>AVERAGE(SOC_pct!$C23:$AV23)</f>
        <v>95.360908695652185</v>
      </c>
      <c r="I23" s="30">
        <f>SUM(Demand_kW!$C23:$AV23)</f>
        <v>12.410486200000005</v>
      </c>
      <c r="J23" s="30">
        <f>SUM(PV_kW!$C23:$AV23)</f>
        <v>118.19898436320003</v>
      </c>
      <c r="K23" s="16">
        <f>I23-J23+SUM(Charge_kW!$C23:$AV23)-SUM(Discharge_kW!$C23:$AV23)</f>
        <v>-99.682498163200023</v>
      </c>
    </row>
    <row r="24" spans="1:11" x14ac:dyDescent="0.25">
      <c r="A24" s="24">
        <f>Demand_kW!A24</f>
        <v>23</v>
      </c>
      <c r="B24" s="26">
        <f>Demand_kW!B24</f>
        <v>11</v>
      </c>
      <c r="C24" s="28">
        <f>AVERAGE(Demand_kW!$C24:$AV24)</f>
        <v>0.36461873115942012</v>
      </c>
      <c r="D24" s="28">
        <f>AVERAGE(PV_kW!$C24:$AV24)</f>
        <v>2.6491131584347842</v>
      </c>
      <c r="E24" s="28">
        <f>AVERAGE(Charge_kW!$C24:$AV24)</f>
        <v>0.12015217391304346</v>
      </c>
      <c r="F24" s="28">
        <f>AVERAGE(Discharge_kW!$C24:$AV24)</f>
        <v>0</v>
      </c>
      <c r="G24" s="28">
        <f t="shared" si="0"/>
        <v>-2.1643422533623204</v>
      </c>
      <c r="H24" s="26">
        <f>AVERAGE(SOC_pct!$C24:$AV24)</f>
        <v>96.85009565217392</v>
      </c>
      <c r="I24" s="30">
        <f>SUM(Demand_kW!$C24:$AV24)</f>
        <v>16.772461633333325</v>
      </c>
      <c r="J24" s="30">
        <f>SUM(PV_kW!$C24:$AV24)</f>
        <v>121.85920528800008</v>
      </c>
      <c r="K24" s="16">
        <f>I24-J24+SUM(Charge_kW!$C24:$AV24)-SUM(Discharge_kW!$C24:$AV24)</f>
        <v>-99.559743654666761</v>
      </c>
    </row>
    <row r="25" spans="1:11" x14ac:dyDescent="0.25">
      <c r="A25" s="24">
        <f>Demand_kW!A25</f>
        <v>24</v>
      </c>
      <c r="B25" s="26">
        <f>Demand_kW!B25</f>
        <v>11.5</v>
      </c>
      <c r="C25" s="28">
        <f>AVERAGE(Demand_kW!$C25:$AV25)</f>
        <v>0.41573286521739128</v>
      </c>
      <c r="D25" s="28">
        <f>AVERAGE(PV_kW!$C25:$AV25)</f>
        <v>2.684008728626087</v>
      </c>
      <c r="E25" s="28">
        <f>AVERAGE(Charge_kW!$C25:$AV25)</f>
        <v>6.7565217391304347E-2</v>
      </c>
      <c r="F25" s="28">
        <f>AVERAGE(Discharge_kW!$C25:$AV25)</f>
        <v>1.4021739130434781E-2</v>
      </c>
      <c r="G25" s="28">
        <f t="shared" si="0"/>
        <v>-2.2147323851478262</v>
      </c>
      <c r="H25" s="26">
        <f>AVERAGE(SOC_pct!$C25:$AV25)</f>
        <v>98.206730434782614</v>
      </c>
      <c r="I25" s="30">
        <f>SUM(Demand_kW!$C25:$AV25)</f>
        <v>19.123711799999999</v>
      </c>
      <c r="J25" s="30">
        <f>SUM(PV_kW!$C25:$AV25)</f>
        <v>123.4644015168</v>
      </c>
      <c r="K25" s="16">
        <f>I25-J25+SUM(Charge_kW!$C25:$AV25)-SUM(Discharge_kW!$C25:$AV25)</f>
        <v>-101.87768971679999</v>
      </c>
    </row>
    <row r="26" spans="1:11" x14ac:dyDescent="0.25">
      <c r="A26" s="24">
        <f>Demand_kW!A26</f>
        <v>25</v>
      </c>
      <c r="B26" s="26">
        <f>Demand_kW!B26</f>
        <v>12</v>
      </c>
      <c r="C26" s="28">
        <f>AVERAGE(Demand_kW!$C26:$AV26)</f>
        <v>0.24871455797101447</v>
      </c>
      <c r="D26" s="28">
        <f>AVERAGE(PV_kW!$C26:$AV26)</f>
        <v>2.6941158227478268</v>
      </c>
      <c r="E26" s="28">
        <f>AVERAGE(Charge_kW!$C26:$AV26)</f>
        <v>6.6391304347826099E-2</v>
      </c>
      <c r="F26" s="28">
        <f>AVERAGE(Discharge_kW!$C26:$AV26)</f>
        <v>0</v>
      </c>
      <c r="G26" s="28">
        <f t="shared" si="0"/>
        <v>-2.3790099604289865</v>
      </c>
      <c r="H26" s="26">
        <f>AVERAGE(SOC_pct!$C26:$AV26)</f>
        <v>98.793632608695674</v>
      </c>
      <c r="I26" s="30">
        <f>SUM(Demand_kW!$C26:$AV26)</f>
        <v>11.440869666666666</v>
      </c>
      <c r="J26" s="30">
        <f>SUM(PV_kW!$C26:$AV26)</f>
        <v>123.92932784640004</v>
      </c>
      <c r="K26" s="16">
        <f>I26-J26+SUM(Charge_kW!$C26:$AV26)-SUM(Discharge_kW!$C26:$AV26)</f>
        <v>-109.43445817973337</v>
      </c>
    </row>
    <row r="27" spans="1:11" x14ac:dyDescent="0.25">
      <c r="A27" s="24">
        <f>Demand_kW!A27</f>
        <v>26</v>
      </c>
      <c r="B27" s="26">
        <f>Demand_kW!B27</f>
        <v>12.5</v>
      </c>
      <c r="C27" s="28">
        <f>AVERAGE(Demand_kW!$C27:$AV27)</f>
        <v>0.29813913550724663</v>
      </c>
      <c r="D27" s="28">
        <f>AVERAGE(PV_kW!$C27:$AV27)</f>
        <v>2.6752082650434792</v>
      </c>
      <c r="E27" s="28">
        <f>AVERAGE(Charge_kW!$C27:$AV27)</f>
        <v>2.8130434782608696E-2</v>
      </c>
      <c r="F27" s="28">
        <f>AVERAGE(Discharge_kW!$C27:$AV27)</f>
        <v>0</v>
      </c>
      <c r="G27" s="28">
        <f t="shared" si="0"/>
        <v>-2.3489386947536239</v>
      </c>
      <c r="H27" s="26">
        <f>AVERAGE(SOC_pct!$C27:$AV27)</f>
        <v>99.543586956521736</v>
      </c>
      <c r="I27" s="30">
        <f>SUM(Demand_kW!$C27:$AV27)</f>
        <v>13.714400233333345</v>
      </c>
      <c r="J27" s="30">
        <f>SUM(PV_kW!$C27:$AV27)</f>
        <v>123.05958019200004</v>
      </c>
      <c r="K27" s="16">
        <f>I27-J27+SUM(Charge_kW!$C27:$AV27)-SUM(Discharge_kW!$C27:$AV27)</f>
        <v>-108.05117995866669</v>
      </c>
    </row>
    <row r="28" spans="1:11" x14ac:dyDescent="0.25">
      <c r="A28" s="24">
        <f>Demand_kW!A28</f>
        <v>27</v>
      </c>
      <c r="B28" s="26">
        <f>Demand_kW!B28</f>
        <v>13</v>
      </c>
      <c r="C28" s="28">
        <f>AVERAGE(Demand_kW!$C28:$AV28)</f>
        <v>0.3462196326086957</v>
      </c>
      <c r="D28" s="28">
        <f>AVERAGE(PV_kW!$C28:$AV28)</f>
        <v>2.6116892467826101</v>
      </c>
      <c r="E28" s="28">
        <f>AVERAGE(Charge_kW!$C28:$AV28)</f>
        <v>1.2304347826086956E-2</v>
      </c>
      <c r="F28" s="28">
        <f>AVERAGE(Discharge_kW!$C28:$AV28)</f>
        <v>0</v>
      </c>
      <c r="G28" s="28">
        <f t="shared" si="0"/>
        <v>-2.2531652663478274</v>
      </c>
      <c r="H28" s="26">
        <f>AVERAGE(SOC_pct!$C28:$AV28)</f>
        <v>99.861147826086949</v>
      </c>
      <c r="I28" s="30">
        <f>SUM(Demand_kW!$C28:$AV28)</f>
        <v>15.926103100000002</v>
      </c>
      <c r="J28" s="30">
        <f>SUM(PV_kW!$C28:$AV28)</f>
        <v>120.13770535200005</v>
      </c>
      <c r="K28" s="16">
        <f>I28-J28+SUM(Charge_kW!$C28:$AV28)-SUM(Discharge_kW!$C28:$AV28)</f>
        <v>-103.64560225200005</v>
      </c>
    </row>
    <row r="29" spans="1:11" x14ac:dyDescent="0.25">
      <c r="A29" s="24">
        <f>Demand_kW!A29</f>
        <v>28</v>
      </c>
      <c r="B29" s="26">
        <f>Demand_kW!B29</f>
        <v>13.5</v>
      </c>
      <c r="C29" s="28">
        <f>AVERAGE(Demand_kW!$C29:$AV29)</f>
        <v>0.38798157536231903</v>
      </c>
      <c r="D29" s="28">
        <f>AVERAGE(PV_kW!$C29:$AV29)</f>
        <v>2.5147833867130451</v>
      </c>
      <c r="E29" s="28">
        <f>AVERAGE(Charge_kW!$C29:$AV29)</f>
        <v>0</v>
      </c>
      <c r="F29" s="28">
        <f>AVERAGE(Discharge_kW!$C29:$AV29)</f>
        <v>0</v>
      </c>
      <c r="G29" s="28">
        <f t="shared" si="0"/>
        <v>-2.1268018113507261</v>
      </c>
      <c r="H29" s="26">
        <f>AVERAGE(SOC_pct!$C29:$AV29)</f>
        <v>100</v>
      </c>
      <c r="I29" s="30">
        <f>SUM(Demand_kW!$C29:$AV29)</f>
        <v>17.847152466666675</v>
      </c>
      <c r="J29" s="30">
        <f>SUM(PV_kW!$C29:$AV29)</f>
        <v>115.68003578880007</v>
      </c>
      <c r="K29" s="16">
        <f>I29-J29+SUM(Charge_kW!$C29:$AV29)-SUM(Discharge_kW!$C29:$AV29)</f>
        <v>-97.832883322133398</v>
      </c>
    </row>
    <row r="30" spans="1:11" x14ac:dyDescent="0.25">
      <c r="A30" s="24">
        <f>Demand_kW!A30</f>
        <v>29</v>
      </c>
      <c r="B30" s="26">
        <f>Demand_kW!B30</f>
        <v>14</v>
      </c>
      <c r="C30" s="28">
        <f>AVERAGE(Demand_kW!$C30:$AV30)</f>
        <v>0.31858088840579685</v>
      </c>
      <c r="D30" s="28">
        <f>AVERAGE(PV_kW!$C30:$AV30)</f>
        <v>2.3990931338086963</v>
      </c>
      <c r="E30" s="28">
        <f>AVERAGE(Charge_kW!$C30:$AV30)</f>
        <v>0</v>
      </c>
      <c r="F30" s="28">
        <f>AVERAGE(Discharge_kW!$C30:$AV30)</f>
        <v>0</v>
      </c>
      <c r="G30" s="28">
        <f t="shared" si="0"/>
        <v>-2.0805122454028995</v>
      </c>
      <c r="H30" s="26">
        <f>AVERAGE(SOC_pct!$C30:$AV30)</f>
        <v>100</v>
      </c>
      <c r="I30" s="30">
        <f>SUM(Demand_kW!$C30:$AV30)</f>
        <v>14.654720866666656</v>
      </c>
      <c r="J30" s="30">
        <f>SUM(PV_kW!$C30:$AV30)</f>
        <v>110.35828415520002</v>
      </c>
      <c r="K30" s="16">
        <f>I30-J30+SUM(Charge_kW!$C30:$AV30)-SUM(Discharge_kW!$C30:$AV30)</f>
        <v>-95.703563288533374</v>
      </c>
    </row>
    <row r="31" spans="1:11" x14ac:dyDescent="0.25">
      <c r="A31" s="24">
        <f>Demand_kW!A31</f>
        <v>30</v>
      </c>
      <c r="B31" s="26">
        <f>Demand_kW!B31</f>
        <v>14.5</v>
      </c>
      <c r="C31" s="28">
        <f>AVERAGE(Demand_kW!$C31:$AV31)</f>
        <v>0.31092222971014505</v>
      </c>
      <c r="D31" s="28">
        <f>AVERAGE(PV_kW!$C31:$AV31)</f>
        <v>2.2524966571826104</v>
      </c>
      <c r="E31" s="28">
        <f>AVERAGE(Charge_kW!$C31:$AV31)</f>
        <v>0</v>
      </c>
      <c r="F31" s="28">
        <f>AVERAGE(Discharge_kW!$C31:$AV31)</f>
        <v>5.6956521739130435E-3</v>
      </c>
      <c r="G31" s="28">
        <f t="shared" si="0"/>
        <v>-1.9472700796463784</v>
      </c>
      <c r="H31" s="26">
        <f>AVERAGE(SOC_pct!$C31:$AV31)</f>
        <v>100</v>
      </c>
      <c r="I31" s="30">
        <f>SUM(Demand_kW!$C31:$AV31)</f>
        <v>14.302422566666673</v>
      </c>
      <c r="J31" s="30">
        <f>SUM(PV_kW!$C31:$AV31)</f>
        <v>103.61484623040008</v>
      </c>
      <c r="K31" s="16">
        <f>I31-J31+SUM(Charge_kW!$C31:$AV31)-SUM(Discharge_kW!$C31:$AV31)</f>
        <v>-89.574423663733398</v>
      </c>
    </row>
    <row r="32" spans="1:11" x14ac:dyDescent="0.25">
      <c r="A32" s="24">
        <f>Demand_kW!A32</f>
        <v>31</v>
      </c>
      <c r="B32" s="26">
        <f>Demand_kW!B32</f>
        <v>15</v>
      </c>
      <c r="C32" s="28">
        <f>AVERAGE(Demand_kW!$C32:$AV32)</f>
        <v>0.34229660362318826</v>
      </c>
      <c r="D32" s="28">
        <f>AVERAGE(PV_kW!$C32:$AV32)</f>
        <v>2.0967092567999996</v>
      </c>
      <c r="E32" s="28">
        <f>AVERAGE(Charge_kW!$C32:$AV32)</f>
        <v>6.3260869565217384E-3</v>
      </c>
      <c r="F32" s="28">
        <f>AVERAGE(Discharge_kW!$C32:$AV32)</f>
        <v>9.5434782608695649E-3</v>
      </c>
      <c r="G32" s="28">
        <f t="shared" si="0"/>
        <v>-1.7576300444811592</v>
      </c>
      <c r="H32" s="26">
        <f>AVERAGE(SOC_pct!$C32:$AV32)</f>
        <v>99.928656521739114</v>
      </c>
      <c r="I32" s="30">
        <f>SUM(Demand_kW!$C32:$AV32)</f>
        <v>15.74564376666666</v>
      </c>
      <c r="J32" s="30">
        <f>SUM(PV_kW!$C32:$AV32)</f>
        <v>96.448625812799989</v>
      </c>
      <c r="K32" s="16">
        <f>I32-J32+SUM(Charge_kW!$C32:$AV32)-SUM(Discharge_kW!$C32:$AV32)</f>
        <v>-80.850982046133325</v>
      </c>
    </row>
    <row r="33" spans="1:11" x14ac:dyDescent="0.25">
      <c r="A33" s="24">
        <f>Demand_kW!A33</f>
        <v>32</v>
      </c>
      <c r="B33" s="26">
        <f>Demand_kW!B33</f>
        <v>15.5</v>
      </c>
      <c r="C33" s="28">
        <f>AVERAGE(Demand_kW!$C33:$AV33)</f>
        <v>0.30779848695652151</v>
      </c>
      <c r="D33" s="28">
        <f>AVERAGE(PV_kW!$C33:$AV33)</f>
        <v>1.9092395378086964</v>
      </c>
      <c r="E33" s="28">
        <f>AVERAGE(Charge_kW!$C33:$AV33)</f>
        <v>1.0608695652173913E-2</v>
      </c>
      <c r="F33" s="28">
        <f>AVERAGE(Discharge_kW!$C33:$AV33)</f>
        <v>0</v>
      </c>
      <c r="G33" s="28">
        <f t="shared" si="0"/>
        <v>-1.590832355200001</v>
      </c>
      <c r="H33" s="26">
        <f>AVERAGE(SOC_pct!$C33:$AV33)</f>
        <v>99.880141304347831</v>
      </c>
      <c r="I33" s="30">
        <f>SUM(Demand_kW!$C33:$AV33)</f>
        <v>14.158730399999991</v>
      </c>
      <c r="J33" s="30">
        <f>SUM(PV_kW!$C33:$AV33)</f>
        <v>87.825018739200033</v>
      </c>
      <c r="K33" s="16">
        <f>I33-J33+SUM(Charge_kW!$C33:$AV33)-SUM(Discharge_kW!$C33:$AV33)</f>
        <v>-73.178288339200037</v>
      </c>
    </row>
    <row r="34" spans="1:11" x14ac:dyDescent="0.25">
      <c r="A34" s="24">
        <f>Demand_kW!A34</f>
        <v>33</v>
      </c>
      <c r="B34" s="26">
        <f>Demand_kW!B34</f>
        <v>16</v>
      </c>
      <c r="C34" s="28">
        <f>AVERAGE(Demand_kW!$C34:$AV34)</f>
        <v>0.36788155217391288</v>
      </c>
      <c r="D34" s="28">
        <f>AVERAGE(PV_kW!$C34:$AV34)</f>
        <v>1.6981043926956512</v>
      </c>
      <c r="E34" s="28">
        <f>AVERAGE(Charge_kW!$C34:$AV34)</f>
        <v>0</v>
      </c>
      <c r="F34" s="28">
        <f>AVERAGE(Discharge_kW!$C34:$AV34)</f>
        <v>6.7608695652173912E-3</v>
      </c>
      <c r="G34" s="28">
        <f t="shared" si="0"/>
        <v>-1.3369837100869557</v>
      </c>
      <c r="H34" s="26">
        <f>AVERAGE(SOC_pct!$C34:$AV34)</f>
        <v>100</v>
      </c>
      <c r="I34" s="30">
        <f>SUM(Demand_kW!$C34:$AV34)</f>
        <v>16.922551399999993</v>
      </c>
      <c r="J34" s="30">
        <f>SUM(PV_kW!$C34:$AV34)</f>
        <v>78.112802063999951</v>
      </c>
      <c r="K34" s="16">
        <f>I34-J34+SUM(Charge_kW!$C34:$AV34)-SUM(Discharge_kW!$C34:$AV34)</f>
        <v>-61.501250663999961</v>
      </c>
    </row>
    <row r="35" spans="1:11" x14ac:dyDescent="0.25">
      <c r="A35" s="24">
        <f>Demand_kW!A35</f>
        <v>34</v>
      </c>
      <c r="B35" s="26">
        <f>Demand_kW!B35</f>
        <v>16.5</v>
      </c>
      <c r="C35" s="28">
        <f>AVERAGE(Demand_kW!$C35:$AV35)</f>
        <v>0.35186747391304346</v>
      </c>
      <c r="D35" s="28">
        <f>AVERAGE(PV_kW!$C35:$AV35)</f>
        <v>1.4431862135999993</v>
      </c>
      <c r="E35" s="28">
        <f>AVERAGE(Charge_kW!$C35:$AV35)</f>
        <v>2.4130434782608694E-3</v>
      </c>
      <c r="F35" s="28">
        <f>AVERAGE(Discharge_kW!$C35:$AV35)</f>
        <v>4.2173913043478265E-3</v>
      </c>
      <c r="G35" s="28">
        <f t="shared" si="0"/>
        <v>-1.0931230875130429</v>
      </c>
      <c r="H35" s="26">
        <f>AVERAGE(SOC_pct!$C35:$AV35)</f>
        <v>99.915284782608708</v>
      </c>
      <c r="I35" s="30">
        <f>SUM(Demand_kW!$C35:$AV35)</f>
        <v>16.185903799999998</v>
      </c>
      <c r="J35" s="30">
        <f>SUM(PV_kW!$C35:$AV35)</f>
        <v>66.386565825599973</v>
      </c>
      <c r="K35" s="16">
        <f>I35-J35+SUM(Charge_kW!$C35:$AV35)-SUM(Discharge_kW!$C35:$AV35)</f>
        <v>-50.28366202559998</v>
      </c>
    </row>
    <row r="36" spans="1:11" x14ac:dyDescent="0.25">
      <c r="A36" s="24">
        <f>Demand_kW!A36</f>
        <v>35</v>
      </c>
      <c r="B36" s="26">
        <f>Demand_kW!B36</f>
        <v>17</v>
      </c>
      <c r="C36" s="28">
        <f>AVERAGE(Demand_kW!$C36:$AV36)</f>
        <v>0.38569457753623199</v>
      </c>
      <c r="D36" s="28">
        <f>AVERAGE(PV_kW!$C36:$AV36)</f>
        <v>1.2046004822608685</v>
      </c>
      <c r="E36" s="28">
        <f>AVERAGE(Charge_kW!$C36:$AV36)</f>
        <v>9.5434782608695649E-3</v>
      </c>
      <c r="F36" s="28">
        <f>AVERAGE(Discharge_kW!$C36:$AV36)</f>
        <v>3.1217391304347825E-2</v>
      </c>
      <c r="G36" s="28">
        <f t="shared" si="0"/>
        <v>-0.84057981776811486</v>
      </c>
      <c r="H36" s="26">
        <f>AVERAGE(SOC_pct!$C36:$AV36)</f>
        <v>99.889697826086973</v>
      </c>
      <c r="I36" s="30">
        <f>SUM(Demand_kW!$C36:$AV36)</f>
        <v>17.74195056666667</v>
      </c>
      <c r="J36" s="30">
        <f>SUM(PV_kW!$C36:$AV36)</f>
        <v>55.411622183999945</v>
      </c>
      <c r="K36" s="16">
        <f>I36-J36+SUM(Charge_kW!$C36:$AV36)-SUM(Discharge_kW!$C36:$AV36)</f>
        <v>-38.666671617333279</v>
      </c>
    </row>
    <row r="37" spans="1:11" x14ac:dyDescent="0.25">
      <c r="A37" s="24">
        <f>Demand_kW!A37</f>
        <v>36</v>
      </c>
      <c r="B37" s="26">
        <f>Demand_kW!B37</f>
        <v>17.5</v>
      </c>
      <c r="C37" s="28">
        <f>AVERAGE(Demand_kW!$C37:$AV37)</f>
        <v>0.43298272391304338</v>
      </c>
      <c r="D37" s="28">
        <f>AVERAGE(PV_kW!$C37:$AV37)</f>
        <v>0.95943883398260899</v>
      </c>
      <c r="E37" s="28">
        <f>AVERAGE(Charge_kW!$C37:$AV37)</f>
        <v>7.0652173913043478E-3</v>
      </c>
      <c r="F37" s="28">
        <f>AVERAGE(Discharge_kW!$C37:$AV37)</f>
        <v>0.14110869565217393</v>
      </c>
      <c r="G37" s="28">
        <f t="shared" si="0"/>
        <v>-0.66049958833043521</v>
      </c>
      <c r="H37" s="26">
        <f>AVERAGE(SOC_pct!$C37:$AV37)</f>
        <v>99.605854347826067</v>
      </c>
      <c r="I37" s="30">
        <f>SUM(Demand_kW!$C37:$AV37)</f>
        <v>19.917205299999996</v>
      </c>
      <c r="J37" s="30">
        <f>SUM(PV_kW!$C37:$AV37)</f>
        <v>44.134186363200016</v>
      </c>
      <c r="K37" s="16">
        <f>I37-J37+SUM(Charge_kW!$C37:$AV37)-SUM(Discharge_kW!$C37:$AV37)</f>
        <v>-30.38298106320002</v>
      </c>
    </row>
    <row r="38" spans="1:11" x14ac:dyDescent="0.25">
      <c r="A38" s="24">
        <f>Demand_kW!A38</f>
        <v>37</v>
      </c>
      <c r="B38" s="26">
        <f>Demand_kW!B38</f>
        <v>18</v>
      </c>
      <c r="C38" s="28">
        <f>AVERAGE(Demand_kW!$C38:$AV38)</f>
        <v>0.44075992028985489</v>
      </c>
      <c r="D38" s="28">
        <f>AVERAGE(PV_kW!$C38:$AV38)</f>
        <v>0.72228281843478326</v>
      </c>
      <c r="E38" s="28">
        <f>AVERAGE(Charge_kW!$C38:$AV38)</f>
        <v>1.8043478260869566E-3</v>
      </c>
      <c r="F38" s="28">
        <f>AVERAGE(Discharge_kW!$C38:$AV38)</f>
        <v>0.15804347826086956</v>
      </c>
      <c r="G38" s="28">
        <f t="shared" si="0"/>
        <v>-0.43776202857971097</v>
      </c>
      <c r="H38" s="26">
        <f>AVERAGE(SOC_pct!$C38:$AV38)</f>
        <v>97.914832608695647</v>
      </c>
      <c r="I38" s="30">
        <f>SUM(Demand_kW!$C38:$AV38)</f>
        <v>20.274956333333325</v>
      </c>
      <c r="J38" s="30">
        <f>SUM(PV_kW!$C38:$AV38)</f>
        <v>33.225009648000032</v>
      </c>
      <c r="K38" s="16">
        <f>I38-J38+SUM(Charge_kW!$C38:$AV38)-SUM(Discharge_kW!$C38:$AV38)</f>
        <v>-20.137053314666709</v>
      </c>
    </row>
    <row r="39" spans="1:11" x14ac:dyDescent="0.25">
      <c r="A39" s="24">
        <f>Demand_kW!A39</f>
        <v>38</v>
      </c>
      <c r="B39" s="26">
        <f>Demand_kW!B39</f>
        <v>18.5</v>
      </c>
      <c r="C39" s="28">
        <f>AVERAGE(Demand_kW!$C39:$AV39)</f>
        <v>0.45052164130434774</v>
      </c>
      <c r="D39" s="28">
        <f>AVERAGE(PV_kW!$C39:$AV39)</f>
        <v>0.49363100295652174</v>
      </c>
      <c r="E39" s="28">
        <f>AVERAGE(Charge_kW!$C39:$AV39)</f>
        <v>9.717391304347827E-3</v>
      </c>
      <c r="F39" s="28">
        <f>AVERAGE(Discharge_kW!$C39:$AV39)</f>
        <v>0.18371739130434783</v>
      </c>
      <c r="G39" s="28">
        <f t="shared" si="0"/>
        <v>-0.21710936165217398</v>
      </c>
      <c r="H39" s="26">
        <f>AVERAGE(SOC_pct!$C39:$AV39)</f>
        <v>95.95233913043478</v>
      </c>
      <c r="I39" s="30">
        <f>SUM(Demand_kW!$C39:$AV39)</f>
        <v>20.723995499999997</v>
      </c>
      <c r="J39" s="30">
        <f>SUM(PV_kW!$C39:$AV39)</f>
        <v>22.707026136</v>
      </c>
      <c r="K39" s="16">
        <f>I39-J39+SUM(Charge_kW!$C39:$AV39)-SUM(Discharge_kW!$C39:$AV39)</f>
        <v>-9.9870306360000036</v>
      </c>
    </row>
    <row r="40" spans="1:11" x14ac:dyDescent="0.25">
      <c r="A40" s="24">
        <f>Demand_kW!A40</f>
        <v>39</v>
      </c>
      <c r="B40" s="26">
        <f>Demand_kW!B40</f>
        <v>19</v>
      </c>
      <c r="C40" s="28">
        <f>AVERAGE(Demand_kW!$C40:$AV40)</f>
        <v>0.33338675434782594</v>
      </c>
      <c r="D40" s="28">
        <f>AVERAGE(PV_kW!$C40:$AV40)</f>
        <v>0.28825101996521724</v>
      </c>
      <c r="E40" s="28">
        <f>AVERAGE(Charge_kW!$C40:$AV40)</f>
        <v>1.9086956521739133E-2</v>
      </c>
      <c r="F40" s="28">
        <f>AVERAGE(Discharge_kW!$C40:$AV40)</f>
        <v>0.13106521739130433</v>
      </c>
      <c r="G40" s="28">
        <f t="shared" si="0"/>
        <v>-6.6842526486956488E-2</v>
      </c>
      <c r="H40" s="26">
        <f>AVERAGE(SOC_pct!$C40:$AV40)</f>
        <v>93.75651304347825</v>
      </c>
      <c r="I40" s="30">
        <f>SUM(Demand_kW!$C40:$AV40)</f>
        <v>15.335790699999993</v>
      </c>
      <c r="J40" s="30">
        <f>SUM(PV_kW!$C40:$AV40)</f>
        <v>13.259546918399993</v>
      </c>
      <c r="K40" s="16">
        <f>I40-J40+SUM(Charge_kW!$C40:$AV40)-SUM(Discharge_kW!$C40:$AV40)</f>
        <v>-3.0747562183999992</v>
      </c>
    </row>
    <row r="41" spans="1:11" x14ac:dyDescent="0.25">
      <c r="A41" s="24">
        <f>Demand_kW!A41</f>
        <v>40</v>
      </c>
      <c r="B41" s="26">
        <f>Demand_kW!B41</f>
        <v>19.5</v>
      </c>
      <c r="C41" s="28">
        <f>AVERAGE(Demand_kW!$C41:$AV41)</f>
        <v>0.4306040014492753</v>
      </c>
      <c r="D41" s="28">
        <f>AVERAGE(PV_kW!$C41:$AV41)</f>
        <v>8.3864307443478281E-2</v>
      </c>
      <c r="E41" s="28">
        <f>AVERAGE(Charge_kW!$C41:$AV41)</f>
        <v>4.565217391304348E-4</v>
      </c>
      <c r="F41" s="28">
        <f>AVERAGE(Discharge_kW!$C41:$AV41)</f>
        <v>0.34986956521739132</v>
      </c>
      <c r="G41" s="28">
        <f t="shared" si="0"/>
        <v>-2.6733494724638929E-3</v>
      </c>
      <c r="H41" s="26">
        <f>AVERAGE(SOC_pct!$C41:$AV41)</f>
        <v>92.326976086956506</v>
      </c>
      <c r="I41" s="30">
        <f>SUM(Demand_kW!$C41:$AV41)</f>
        <v>19.807784066666663</v>
      </c>
      <c r="J41" s="30">
        <f>SUM(PV_kW!$C41:$AV41)</f>
        <v>3.8577581424000007</v>
      </c>
      <c r="K41" s="16">
        <f>I41-J41+SUM(Charge_kW!$C41:$AV41)-SUM(Discharge_kW!$C41:$AV41)</f>
        <v>-0.12297407573333885</v>
      </c>
    </row>
    <row r="42" spans="1:11" x14ac:dyDescent="0.25">
      <c r="A42" s="24">
        <f>Demand_kW!A42</f>
        <v>41</v>
      </c>
      <c r="B42" s="26">
        <f>Demand_kW!B42</f>
        <v>20</v>
      </c>
      <c r="C42" s="28">
        <f>AVERAGE(Demand_kW!$C42:$AV42)</f>
        <v>0.49386517898550747</v>
      </c>
      <c r="D42" s="28">
        <f>AVERAGE(PV_kW!$C42:$AV42)</f>
        <v>1.5467303165217406E-2</v>
      </c>
      <c r="E42" s="28">
        <f>AVERAGE(Charge_kW!$C42:$AV42)</f>
        <v>0</v>
      </c>
      <c r="F42" s="28">
        <f>AVERAGE(Discharge_kW!$C42:$AV42)</f>
        <v>0.47832608695652185</v>
      </c>
      <c r="G42" s="28">
        <f t="shared" si="0"/>
        <v>7.1788863768240674E-5</v>
      </c>
      <c r="H42" s="26">
        <f>AVERAGE(SOC_pct!$C42:$AV42)</f>
        <v>87.941723913043489</v>
      </c>
      <c r="I42" s="30">
        <f>SUM(Demand_kW!$C42:$AV42)</f>
        <v>22.717798233333344</v>
      </c>
      <c r="J42" s="30">
        <f>SUM(PV_kW!$C42:$AV42)</f>
        <v>0.71149594560000062</v>
      </c>
      <c r="K42" s="16">
        <f>I42-J42+SUM(Charge_kW!$C42:$AV42)-SUM(Discharge_kW!$C42:$AV42)</f>
        <v>3.3022877333408474E-3</v>
      </c>
    </row>
    <row r="43" spans="1:11" x14ac:dyDescent="0.25">
      <c r="A43" s="24">
        <f>Demand_kW!A43</f>
        <v>42</v>
      </c>
      <c r="B43" s="26">
        <f>Demand_kW!B43</f>
        <v>20.5</v>
      </c>
      <c r="C43" s="28">
        <f>AVERAGE(Demand_kW!$C43:$AV43)</f>
        <v>0.51547871014492752</v>
      </c>
      <c r="D43" s="28">
        <f>AVERAGE(PV_kW!$C43:$AV43)</f>
        <v>0</v>
      </c>
      <c r="E43" s="28">
        <f>AVERAGE(Charge_kW!$C43:$AV43)</f>
        <v>0</v>
      </c>
      <c r="F43" s="28">
        <f>AVERAGE(Discharge_kW!$C43:$AV43)</f>
        <v>0.46108695652173914</v>
      </c>
      <c r="G43" s="28">
        <f t="shared" si="0"/>
        <v>5.4391753623188377E-2</v>
      </c>
      <c r="H43" s="26">
        <f>AVERAGE(SOC_pct!$C43:$AV43)</f>
        <v>81.93854782608696</v>
      </c>
      <c r="I43" s="30">
        <f>SUM(Demand_kW!$C43:$AV43)</f>
        <v>23.712020666666664</v>
      </c>
      <c r="J43" s="30">
        <f>SUM(PV_kW!$C43:$AV43)</f>
        <v>0</v>
      </c>
      <c r="K43" s="16">
        <f>I43-J43+SUM(Charge_kW!$C43:$AV43)-SUM(Discharge_kW!$C43:$AV43)</f>
        <v>2.5020206666666631</v>
      </c>
    </row>
    <row r="44" spans="1:11" x14ac:dyDescent="0.25">
      <c r="A44" s="24">
        <f>Demand_kW!A44</f>
        <v>43</v>
      </c>
      <c r="B44" s="26">
        <f>Demand_kW!B44</f>
        <v>21</v>
      </c>
      <c r="C44" s="28">
        <f>AVERAGE(Demand_kW!$C44:$AV44)</f>
        <v>0.55162682608695679</v>
      </c>
      <c r="D44" s="28">
        <f>AVERAGE(PV_kW!$C44:$AV44)</f>
        <v>0</v>
      </c>
      <c r="E44" s="28">
        <f>AVERAGE(Charge_kW!$C44:$AV44)</f>
        <v>0</v>
      </c>
      <c r="F44" s="28">
        <f>AVERAGE(Discharge_kW!$C44:$AV44)</f>
        <v>0.46539130434782611</v>
      </c>
      <c r="G44" s="28">
        <f t="shared" si="0"/>
        <v>8.6235521739130683E-2</v>
      </c>
      <c r="H44" s="26">
        <f>AVERAGE(SOC_pct!$C44:$AV44)</f>
        <v>76.152367391304352</v>
      </c>
      <c r="I44" s="30">
        <f>SUM(Demand_kW!$C44:$AV44)</f>
        <v>25.374834000000014</v>
      </c>
      <c r="J44" s="30">
        <f>SUM(PV_kW!$C44:$AV44)</f>
        <v>0</v>
      </c>
      <c r="K44" s="16">
        <f>I44-J44+SUM(Charge_kW!$C44:$AV44)-SUM(Discharge_kW!$C44:$AV44)</f>
        <v>3.9668340000000128</v>
      </c>
    </row>
    <row r="45" spans="1:11" x14ac:dyDescent="0.25">
      <c r="A45" s="24">
        <f>Demand_kW!A45</f>
        <v>44</v>
      </c>
      <c r="B45" s="26">
        <f>Demand_kW!B45</f>
        <v>21.5</v>
      </c>
      <c r="C45" s="28">
        <f>AVERAGE(Demand_kW!$C45:$AV45)</f>
        <v>0.46422213768115955</v>
      </c>
      <c r="D45" s="28">
        <f>AVERAGE(PV_kW!$C45:$AV45)</f>
        <v>0</v>
      </c>
      <c r="E45" s="28">
        <f>AVERAGE(Charge_kW!$C45:$AV45)</f>
        <v>0</v>
      </c>
      <c r="F45" s="28">
        <f>AVERAGE(Discharge_kW!$C45:$AV45)</f>
        <v>0.4139782608695653</v>
      </c>
      <c r="G45" s="28">
        <f t="shared" si="0"/>
        <v>5.0243876811594257E-2</v>
      </c>
      <c r="H45" s="26">
        <f>AVERAGE(SOC_pct!$C45:$AV45)</f>
        <v>70.312463043478274</v>
      </c>
      <c r="I45" s="30">
        <f>SUM(Demand_kW!$C45:$AV45)</f>
        <v>21.354218333333339</v>
      </c>
      <c r="J45" s="30">
        <f>SUM(PV_kW!$C45:$AV45)</f>
        <v>0</v>
      </c>
      <c r="K45" s="16">
        <f>I45-J45+SUM(Charge_kW!$C45:$AV45)-SUM(Discharge_kW!$C45:$AV45)</f>
        <v>2.3112183333333363</v>
      </c>
    </row>
    <row r="46" spans="1:11" x14ac:dyDescent="0.25">
      <c r="A46" s="24">
        <f>Demand_kW!A46</f>
        <v>45</v>
      </c>
      <c r="B46" s="26">
        <f>Demand_kW!B46</f>
        <v>22</v>
      </c>
      <c r="C46" s="28">
        <f>AVERAGE(Demand_kW!$C46:$AV46)</f>
        <v>0.48840197101449301</v>
      </c>
      <c r="D46" s="28">
        <f>AVERAGE(PV_kW!$C46:$AV46)</f>
        <v>0</v>
      </c>
      <c r="E46" s="28">
        <f>AVERAGE(Charge_kW!$C46:$AV46)</f>
        <v>0</v>
      </c>
      <c r="F46" s="28">
        <f>AVERAGE(Discharge_kW!$C46:$AV46)</f>
        <v>0.42456521739130443</v>
      </c>
      <c r="G46" s="28">
        <f t="shared" si="0"/>
        <v>6.383675362318858E-2</v>
      </c>
      <c r="H46" s="26">
        <f>AVERAGE(SOC_pct!$C46:$AV46)</f>
        <v>65.116919565217415</v>
      </c>
      <c r="I46" s="30">
        <f>SUM(Demand_kW!$C46:$AV46)</f>
        <v>22.466490666666679</v>
      </c>
      <c r="J46" s="30">
        <f>SUM(PV_kW!$C46:$AV46)</f>
        <v>0</v>
      </c>
      <c r="K46" s="16">
        <f>I46-J46+SUM(Charge_kW!$C46:$AV46)-SUM(Discharge_kW!$C46:$AV46)</f>
        <v>2.9364906666666748</v>
      </c>
    </row>
    <row r="47" spans="1:11" x14ac:dyDescent="0.25">
      <c r="A47" s="24">
        <f>Demand_kW!A47</f>
        <v>46</v>
      </c>
      <c r="B47" s="26">
        <f>Demand_kW!B47</f>
        <v>22.5</v>
      </c>
      <c r="C47" s="28">
        <f>AVERAGE(Demand_kW!$C47:$AV47)</f>
        <v>0.48415688478260871</v>
      </c>
      <c r="D47" s="28">
        <f>AVERAGE(PV_kW!$C47:$AV47)</f>
        <v>0</v>
      </c>
      <c r="E47" s="28">
        <f>AVERAGE(Charge_kW!$C47:$AV47)</f>
        <v>0</v>
      </c>
      <c r="F47" s="28">
        <f>AVERAGE(Discharge_kW!$C47:$AV47)</f>
        <v>0.43391304347826087</v>
      </c>
      <c r="G47" s="28">
        <f t="shared" si="0"/>
        <v>5.0243841304347836E-2</v>
      </c>
      <c r="H47" s="26">
        <f>AVERAGE(SOC_pct!$C47:$AV47)</f>
        <v>59.789434782608694</v>
      </c>
      <c r="I47" s="30">
        <f>SUM(Demand_kW!$C47:$AV47)</f>
        <v>22.2712167</v>
      </c>
      <c r="J47" s="30">
        <f>SUM(PV_kW!$C47:$AV47)</f>
        <v>0</v>
      </c>
      <c r="K47" s="16">
        <f>I47-J47+SUM(Charge_kW!$C47:$AV47)-SUM(Discharge_kW!$C47:$AV47)</f>
        <v>2.3112166999999992</v>
      </c>
    </row>
    <row r="48" spans="1:11" x14ac:dyDescent="0.25">
      <c r="A48" s="24">
        <f>Demand_kW!A48</f>
        <v>47</v>
      </c>
      <c r="B48" s="26">
        <f>Demand_kW!B48</f>
        <v>23</v>
      </c>
      <c r="C48" s="28">
        <f>AVERAGE(Demand_kW!$C48:$AV48)</f>
        <v>0.44280923550724649</v>
      </c>
      <c r="D48" s="28">
        <f>AVERAGE(PV_kW!$C48:$AV48)</f>
        <v>0</v>
      </c>
      <c r="E48" s="28">
        <f>AVERAGE(Charge_kW!$C48:$AV48)</f>
        <v>0</v>
      </c>
      <c r="F48" s="28">
        <f>AVERAGE(Discharge_kW!$C48:$AV48)</f>
        <v>0.3213478260869565</v>
      </c>
      <c r="G48" s="28">
        <f t="shared" si="0"/>
        <v>0.12146140942028999</v>
      </c>
      <c r="H48" s="26">
        <f>AVERAGE(SOC_pct!$C48:$AV48)</f>
        <v>54.344967391304358</v>
      </c>
      <c r="I48" s="30">
        <f>SUM(Demand_kW!$C48:$AV48)</f>
        <v>20.369224833333337</v>
      </c>
      <c r="J48" s="30">
        <f>SUM(PV_kW!$C48:$AV48)</f>
        <v>0</v>
      </c>
      <c r="K48" s="16">
        <f>I48-J48+SUM(Charge_kW!$C48:$AV48)-SUM(Discharge_kW!$C48:$AV48)</f>
        <v>5.5872248333333392</v>
      </c>
    </row>
    <row r="49" spans="1:11" x14ac:dyDescent="0.25">
      <c r="A49" s="25">
        <f>Demand_kW!A49</f>
        <v>48</v>
      </c>
      <c r="B49" s="27">
        <f>Demand_kW!B49</f>
        <v>23.5</v>
      </c>
      <c r="C49" s="29">
        <f>AVERAGE(Demand_kW!$C49:$AV49)</f>
        <v>0.29912049275362318</v>
      </c>
      <c r="D49" s="29">
        <f>AVERAGE(PV_kW!$C49:$AV49)</f>
        <v>0</v>
      </c>
      <c r="E49" s="29">
        <f>AVERAGE(Charge_kW!$C49:$AV49)</f>
        <v>0</v>
      </c>
      <c r="F49" s="29">
        <f>AVERAGE(Discharge_kW!$C49:$AV49)</f>
        <v>0.22439130434782611</v>
      </c>
      <c r="G49" s="29">
        <f t="shared" si="0"/>
        <v>7.4729188405797065E-2</v>
      </c>
      <c r="H49" s="27">
        <f>AVERAGE(SOC_pct!$C49:$AV49)</f>
        <v>50.312630434782612</v>
      </c>
      <c r="I49" s="31">
        <f>SUM(Demand_kW!$C49:$AV49)</f>
        <v>13.759542666666666</v>
      </c>
      <c r="J49" s="31">
        <f>SUM(PV_kW!$C49:$AV49)</f>
        <v>0</v>
      </c>
      <c r="K49" s="32">
        <f>I49-J49+SUM(Charge_kW!$C49:$AV49)-SUM(Discharge_kW!$C49:$AV49)</f>
        <v>3.4375426666666655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0" width="15" customWidth="1"/>
  </cols>
  <sheetData>
    <row r="1" spans="1:50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9" t="s">
        <v>84</v>
      </c>
    </row>
    <row r="2" spans="1:50" x14ac:dyDescent="0.25">
      <c r="A2" s="24">
        <v>1</v>
      </c>
      <c r="B2" s="26">
        <v>0</v>
      </c>
      <c r="C2" s="26">
        <v>40</v>
      </c>
      <c r="D2" s="26">
        <v>40</v>
      </c>
      <c r="E2" s="26">
        <v>40</v>
      </c>
      <c r="F2" s="26">
        <v>40</v>
      </c>
      <c r="G2" s="26">
        <v>40</v>
      </c>
      <c r="H2" s="26">
        <v>40</v>
      </c>
      <c r="I2" s="26">
        <v>40</v>
      </c>
      <c r="J2" s="26">
        <v>40</v>
      </c>
      <c r="K2" s="26">
        <v>40</v>
      </c>
      <c r="L2" s="26">
        <v>40</v>
      </c>
      <c r="M2" s="26">
        <v>40</v>
      </c>
      <c r="N2" s="26">
        <v>40</v>
      </c>
      <c r="O2" s="26">
        <v>40</v>
      </c>
      <c r="P2" s="26">
        <v>40</v>
      </c>
      <c r="Q2" s="26">
        <v>40</v>
      </c>
      <c r="R2" s="26">
        <v>40</v>
      </c>
      <c r="S2" s="26">
        <v>40</v>
      </c>
      <c r="T2" s="26">
        <v>40</v>
      </c>
      <c r="U2" s="26">
        <v>40</v>
      </c>
      <c r="V2" s="26">
        <v>40</v>
      </c>
      <c r="W2" s="26">
        <v>40</v>
      </c>
      <c r="X2" s="26">
        <v>40</v>
      </c>
      <c r="Y2" s="26">
        <v>40</v>
      </c>
      <c r="Z2" s="26">
        <v>40</v>
      </c>
      <c r="AA2" s="26">
        <v>40</v>
      </c>
      <c r="AB2" s="26">
        <v>40</v>
      </c>
      <c r="AC2" s="26">
        <v>40</v>
      </c>
      <c r="AD2" s="26">
        <v>40</v>
      </c>
      <c r="AE2" s="26">
        <v>40</v>
      </c>
      <c r="AF2" s="26">
        <v>40</v>
      </c>
      <c r="AG2" s="26">
        <v>40</v>
      </c>
      <c r="AH2" s="26">
        <v>40</v>
      </c>
      <c r="AI2" s="26">
        <v>40</v>
      </c>
      <c r="AJ2" s="26">
        <v>40</v>
      </c>
      <c r="AK2" s="26">
        <v>40</v>
      </c>
      <c r="AL2" s="26">
        <v>40</v>
      </c>
      <c r="AM2" s="26">
        <v>40</v>
      </c>
      <c r="AN2" s="26">
        <v>40</v>
      </c>
      <c r="AO2" s="26">
        <v>40</v>
      </c>
      <c r="AP2" s="26">
        <v>40</v>
      </c>
      <c r="AQ2" s="26">
        <v>40</v>
      </c>
      <c r="AR2" s="26">
        <v>40</v>
      </c>
      <c r="AS2" s="26">
        <v>40</v>
      </c>
      <c r="AT2" s="26">
        <v>40</v>
      </c>
      <c r="AU2" s="26">
        <v>40</v>
      </c>
      <c r="AV2" s="26">
        <v>40</v>
      </c>
      <c r="AW2" s="26">
        <v>40</v>
      </c>
      <c r="AX2" s="17">
        <v>1840</v>
      </c>
    </row>
    <row r="3" spans="1:50" x14ac:dyDescent="0.25">
      <c r="A3" s="24">
        <v>2</v>
      </c>
      <c r="B3" s="26">
        <v>0.5</v>
      </c>
      <c r="C3" s="26">
        <v>35.360799999999998</v>
      </c>
      <c r="D3" s="26">
        <v>37.4831</v>
      </c>
      <c r="E3" s="26">
        <v>37.955100000000002</v>
      </c>
      <c r="F3" s="26">
        <v>39.272199999999998</v>
      </c>
      <c r="G3" s="26">
        <v>36.956299999999999</v>
      </c>
      <c r="H3" s="26">
        <v>38.446599999999997</v>
      </c>
      <c r="I3" s="26">
        <v>35.759700000000002</v>
      </c>
      <c r="J3" s="26">
        <v>37.094099999999997</v>
      </c>
      <c r="K3" s="26">
        <v>37.3157</v>
      </c>
      <c r="L3" s="26">
        <v>33.876600000000003</v>
      </c>
      <c r="M3" s="26">
        <v>36.089300000000001</v>
      </c>
      <c r="N3" s="26">
        <v>37.360900000000001</v>
      </c>
      <c r="O3" s="26">
        <v>36.029899999999998</v>
      </c>
      <c r="P3" s="26">
        <v>39.2408</v>
      </c>
      <c r="Q3" s="26">
        <v>39.347499999999997</v>
      </c>
      <c r="R3" s="26">
        <v>37.409799999999997</v>
      </c>
      <c r="S3" s="26">
        <v>36.835700000000003</v>
      </c>
      <c r="T3" s="26">
        <v>38.686900000000001</v>
      </c>
      <c r="U3" s="26">
        <v>34.327000000000012</v>
      </c>
      <c r="V3" s="26">
        <v>37.793100000000003</v>
      </c>
      <c r="W3" s="26">
        <v>38.229799999999997</v>
      </c>
      <c r="X3" s="26">
        <v>36.639000000000003</v>
      </c>
      <c r="Y3" s="26">
        <v>38.512999999999998</v>
      </c>
      <c r="Z3" s="26">
        <v>39.093800000000002</v>
      </c>
      <c r="AA3" s="26">
        <v>39.447899999999997</v>
      </c>
      <c r="AB3" s="26">
        <v>38.4724</v>
      </c>
      <c r="AC3" s="26">
        <v>37.402799999999999</v>
      </c>
      <c r="AD3" s="26">
        <v>32.479799999999997</v>
      </c>
      <c r="AE3" s="26">
        <v>39.6235</v>
      </c>
      <c r="AF3" s="26">
        <v>39.165700000000001</v>
      </c>
      <c r="AG3" s="26">
        <v>38.241900000000001</v>
      </c>
      <c r="AH3" s="26">
        <v>39.104900000000001</v>
      </c>
      <c r="AI3" s="26">
        <v>34.495800000000003</v>
      </c>
      <c r="AJ3" s="26">
        <v>39.673699999999997</v>
      </c>
      <c r="AK3" s="26">
        <v>37.335299999999997</v>
      </c>
      <c r="AL3" s="26">
        <v>39.243499999999997</v>
      </c>
      <c r="AM3" s="26">
        <v>38.271799999999999</v>
      </c>
      <c r="AN3" s="26">
        <v>38.4345</v>
      </c>
      <c r="AO3" s="26">
        <v>39.4604</v>
      </c>
      <c r="AP3" s="26">
        <v>36.260199999999998</v>
      </c>
      <c r="AQ3" s="26">
        <v>33.914499999999997</v>
      </c>
      <c r="AR3" s="26">
        <v>27.715399999999999</v>
      </c>
      <c r="AS3" s="26">
        <v>36.927799999999998</v>
      </c>
      <c r="AT3" s="26">
        <v>38.799499999999988</v>
      </c>
      <c r="AU3" s="26">
        <v>38.355200000000004</v>
      </c>
      <c r="AV3" s="26">
        <v>38.247199999999999</v>
      </c>
      <c r="AW3" s="26">
        <v>37.30848695652174</v>
      </c>
      <c r="AX3" s="17">
        <v>1716.1904</v>
      </c>
    </row>
    <row r="4" spans="1:50" x14ac:dyDescent="0.25">
      <c r="A4" s="24">
        <v>3</v>
      </c>
      <c r="B4" s="26">
        <v>1</v>
      </c>
      <c r="C4" s="26">
        <v>34.746000000000002</v>
      </c>
      <c r="D4" s="26">
        <v>36.930999999999997</v>
      </c>
      <c r="E4" s="26">
        <v>37.3277</v>
      </c>
      <c r="F4" s="26">
        <v>36.078400000000002</v>
      </c>
      <c r="G4" s="26">
        <v>32.832799999999999</v>
      </c>
      <c r="H4" s="26">
        <v>38.007399999999997</v>
      </c>
      <c r="I4" s="26">
        <v>35.107199999999999</v>
      </c>
      <c r="J4" s="26">
        <v>36.391399999999997</v>
      </c>
      <c r="K4" s="26">
        <v>31.552700000000002</v>
      </c>
      <c r="L4" s="26">
        <v>29.185300000000002</v>
      </c>
      <c r="M4" s="26">
        <v>32.919600000000003</v>
      </c>
      <c r="N4" s="26">
        <v>35.134500000000003</v>
      </c>
      <c r="O4" s="26">
        <v>34.173999999999999</v>
      </c>
      <c r="P4" s="26">
        <v>36.921399999999998</v>
      </c>
      <c r="Q4" s="26">
        <v>38.695</v>
      </c>
      <c r="R4" s="26">
        <v>35.848200000000013</v>
      </c>
      <c r="S4" s="26">
        <v>36.120399999999997</v>
      </c>
      <c r="T4" s="26">
        <v>35.101599999999998</v>
      </c>
      <c r="U4" s="26">
        <v>33.502699999999997</v>
      </c>
      <c r="V4" s="26">
        <v>35.8934</v>
      </c>
      <c r="W4" s="26">
        <v>36.814999999999998</v>
      </c>
      <c r="X4" s="26">
        <v>31.728100000000001</v>
      </c>
      <c r="Y4" s="26">
        <v>36.660699999999999</v>
      </c>
      <c r="Z4" s="26">
        <v>35.200499999999998</v>
      </c>
      <c r="AA4" s="26">
        <v>38.895699999999998</v>
      </c>
      <c r="AB4" s="26">
        <v>37.423000000000002</v>
      </c>
      <c r="AC4" s="26">
        <v>36.233199999999997</v>
      </c>
      <c r="AD4" s="26">
        <v>31.2058</v>
      </c>
      <c r="AE4" s="26">
        <v>37.627099999999999</v>
      </c>
      <c r="AF4" s="26">
        <v>36.582799999999999</v>
      </c>
      <c r="AG4" s="26">
        <v>35.5777</v>
      </c>
      <c r="AH4" s="26">
        <v>35.521900000000002</v>
      </c>
      <c r="AI4" s="26">
        <v>33.732500000000002</v>
      </c>
      <c r="AJ4" s="26">
        <v>39.347499999999997</v>
      </c>
      <c r="AK4" s="26">
        <v>35.572299999999998</v>
      </c>
      <c r="AL4" s="26">
        <v>36.523000000000003</v>
      </c>
      <c r="AM4" s="26">
        <v>36.062899999999999</v>
      </c>
      <c r="AN4" s="26">
        <v>37.731699999999996</v>
      </c>
      <c r="AO4" s="26">
        <v>37.319699999999997</v>
      </c>
      <c r="AP4" s="26">
        <v>35.402700000000003</v>
      </c>
      <c r="AQ4" s="26">
        <v>33.3874</v>
      </c>
      <c r="AR4" s="26">
        <v>21.904399999999999</v>
      </c>
      <c r="AS4" s="26">
        <v>36.111600000000003</v>
      </c>
      <c r="AT4" s="26">
        <v>36.416499999999999</v>
      </c>
      <c r="AU4" s="26">
        <v>35.837899999999998</v>
      </c>
      <c r="AV4" s="26">
        <v>17.5364</v>
      </c>
      <c r="AW4" s="26">
        <v>34.887580434782613</v>
      </c>
      <c r="AX4" s="17">
        <v>1604.8287</v>
      </c>
    </row>
    <row r="5" spans="1:50" x14ac:dyDescent="0.25">
      <c r="A5" s="24">
        <v>4</v>
      </c>
      <c r="B5" s="26">
        <v>1.5</v>
      </c>
      <c r="C5" s="26">
        <v>33.244600000000013</v>
      </c>
      <c r="D5" s="26">
        <v>36.378799999999998</v>
      </c>
      <c r="E5" s="26">
        <v>34.472700000000003</v>
      </c>
      <c r="F5" s="26">
        <v>34.359299999999998</v>
      </c>
      <c r="G5" s="26">
        <v>28.716200000000001</v>
      </c>
      <c r="H5" s="26">
        <v>37.568199999999997</v>
      </c>
      <c r="I5" s="26">
        <v>31.4801</v>
      </c>
      <c r="J5" s="26">
        <v>34.2866</v>
      </c>
      <c r="K5" s="26">
        <v>30.862500000000001</v>
      </c>
      <c r="L5" s="26">
        <v>26.5654</v>
      </c>
      <c r="M5" s="26">
        <v>32.229500000000002</v>
      </c>
      <c r="N5" s="26">
        <v>32.488799999999998</v>
      </c>
      <c r="O5" s="26">
        <v>33.596699999999998</v>
      </c>
      <c r="P5" s="26">
        <v>35.229599999999998</v>
      </c>
      <c r="Q5" s="26">
        <v>38.042400000000001</v>
      </c>
      <c r="R5" s="26">
        <v>33.8626</v>
      </c>
      <c r="S5" s="26">
        <v>33.29</v>
      </c>
      <c r="T5" s="26">
        <v>34.599699999999999</v>
      </c>
      <c r="U5" s="26">
        <v>31.810199999999998</v>
      </c>
      <c r="V5" s="26">
        <v>34.485500000000002</v>
      </c>
      <c r="W5" s="26">
        <v>36.200200000000002</v>
      </c>
      <c r="X5" s="26">
        <v>31.088200000000001</v>
      </c>
      <c r="Y5" s="26">
        <v>35.995699999999999</v>
      </c>
      <c r="Z5" s="26">
        <v>33.330500000000001</v>
      </c>
      <c r="AA5" s="26">
        <v>37.516100000000002</v>
      </c>
      <c r="AB5" s="26">
        <v>33.255600000000001</v>
      </c>
      <c r="AC5" s="26">
        <v>35.505399999999987</v>
      </c>
      <c r="AD5" s="26">
        <v>30.5031</v>
      </c>
      <c r="AE5" s="26">
        <v>37.250699999999988</v>
      </c>
      <c r="AF5" s="26">
        <v>35.942900000000002</v>
      </c>
      <c r="AG5" s="26">
        <v>34.597499999999997</v>
      </c>
      <c r="AH5" s="26">
        <v>33.765500000000003</v>
      </c>
      <c r="AI5" s="26">
        <v>31.787400000000002</v>
      </c>
      <c r="AJ5" s="26">
        <v>37.5396</v>
      </c>
      <c r="AK5" s="26">
        <v>30.463999999999999</v>
      </c>
      <c r="AL5" s="26">
        <v>35.908200000000001</v>
      </c>
      <c r="AM5" s="26">
        <v>35.460599999999999</v>
      </c>
      <c r="AN5" s="26">
        <v>37.029000000000003</v>
      </c>
      <c r="AO5" s="26">
        <v>36.780200000000001</v>
      </c>
      <c r="AP5" s="26">
        <v>33.994</v>
      </c>
      <c r="AQ5" s="26">
        <v>31.450399999999998</v>
      </c>
      <c r="AR5" s="26">
        <v>21.026</v>
      </c>
      <c r="AS5" s="26">
        <v>33.5015</v>
      </c>
      <c r="AT5" s="26">
        <v>34.443199999999997</v>
      </c>
      <c r="AU5" s="26">
        <v>35.147799999999997</v>
      </c>
      <c r="AV5" s="26">
        <v>12.869300000000001</v>
      </c>
      <c r="AW5" s="26">
        <v>33.259173913043483</v>
      </c>
      <c r="AX5" s="17">
        <v>1529.922</v>
      </c>
    </row>
    <row r="6" spans="1:50" x14ac:dyDescent="0.25">
      <c r="A6" s="24">
        <v>5</v>
      </c>
      <c r="B6" s="26">
        <v>2</v>
      </c>
      <c r="C6" s="26">
        <v>31.015499999999999</v>
      </c>
      <c r="D6" s="26">
        <v>34.0867</v>
      </c>
      <c r="E6" s="26">
        <v>33.845300000000002</v>
      </c>
      <c r="F6" s="26">
        <v>33.631500000000003</v>
      </c>
      <c r="G6" s="26">
        <v>25.813700000000001</v>
      </c>
      <c r="H6" s="26">
        <v>34.994599999999998</v>
      </c>
      <c r="I6" s="26">
        <v>30.128499999999999</v>
      </c>
      <c r="J6" s="26">
        <v>32.782699999999998</v>
      </c>
      <c r="K6" s="26">
        <v>28.806899999999999</v>
      </c>
      <c r="L6" s="26">
        <v>25.887799999999999</v>
      </c>
      <c r="M6" s="26">
        <v>31.539300000000001</v>
      </c>
      <c r="N6" s="26">
        <v>30.906400000000001</v>
      </c>
      <c r="O6" s="26">
        <v>31.996500000000001</v>
      </c>
      <c r="P6" s="26">
        <v>33.203200000000002</v>
      </c>
      <c r="Q6" s="26">
        <v>37.389899999999997</v>
      </c>
      <c r="R6" s="26">
        <v>32.0837</v>
      </c>
      <c r="S6" s="26">
        <v>32.2408</v>
      </c>
      <c r="T6" s="26">
        <v>31.170400000000001</v>
      </c>
      <c r="U6" s="26">
        <v>29.924800000000001</v>
      </c>
      <c r="V6" s="26">
        <v>32.101900000000001</v>
      </c>
      <c r="W6" s="26">
        <v>33.630099999999999</v>
      </c>
      <c r="X6" s="26">
        <v>27.1188</v>
      </c>
      <c r="Y6" s="26">
        <v>34.1434</v>
      </c>
      <c r="Z6" s="26">
        <v>28.555900000000001</v>
      </c>
      <c r="AA6" s="26">
        <v>36.963900000000002</v>
      </c>
      <c r="AB6" s="26">
        <v>32.640799999999999</v>
      </c>
      <c r="AC6" s="26">
        <v>34.446199999999997</v>
      </c>
      <c r="AD6" s="26">
        <v>29.8003</v>
      </c>
      <c r="AE6" s="26">
        <v>35.7697</v>
      </c>
      <c r="AF6" s="26">
        <v>33.942799999999998</v>
      </c>
      <c r="AG6" s="26">
        <v>32.144300000000001</v>
      </c>
      <c r="AH6" s="26">
        <v>33.250999999999998</v>
      </c>
      <c r="AI6" s="26">
        <v>29.6313</v>
      </c>
      <c r="AJ6" s="26">
        <v>37.213299999999997</v>
      </c>
      <c r="AK6" s="26">
        <v>24.785299999999999</v>
      </c>
      <c r="AL6" s="26">
        <v>34.935400000000001</v>
      </c>
      <c r="AM6" s="26">
        <v>32.125799999999998</v>
      </c>
      <c r="AN6" s="26">
        <v>36.326300000000003</v>
      </c>
      <c r="AO6" s="26">
        <v>36.240600000000001</v>
      </c>
      <c r="AP6" s="26">
        <v>30.805299999999999</v>
      </c>
      <c r="AQ6" s="26">
        <v>30.700700000000001</v>
      </c>
      <c r="AR6" s="26">
        <v>18.594799999999999</v>
      </c>
      <c r="AS6" s="26">
        <v>31.8674</v>
      </c>
      <c r="AT6" s="26">
        <v>34.016599999999997</v>
      </c>
      <c r="AU6" s="26">
        <v>32.543399999999998</v>
      </c>
      <c r="AV6" s="26">
        <v>10.9428</v>
      </c>
      <c r="AW6" s="26">
        <v>31.44970217391305</v>
      </c>
      <c r="AX6" s="17">
        <v>1446.6863000000001</v>
      </c>
    </row>
    <row r="7" spans="1:50" x14ac:dyDescent="0.25">
      <c r="A7" s="24">
        <v>6</v>
      </c>
      <c r="B7" s="26">
        <v>2.5</v>
      </c>
      <c r="C7" s="26">
        <v>29.9282</v>
      </c>
      <c r="D7" s="26">
        <v>31.903199999999998</v>
      </c>
      <c r="E7" s="26">
        <v>31.2941</v>
      </c>
      <c r="F7" s="26">
        <v>30.471800000000002</v>
      </c>
      <c r="G7" s="26">
        <v>25.1236</v>
      </c>
      <c r="H7" s="26">
        <v>33.883799999999987</v>
      </c>
      <c r="I7" s="26">
        <v>28.853300000000001</v>
      </c>
      <c r="J7" s="26">
        <v>32.08</v>
      </c>
      <c r="K7" s="26">
        <v>28.116700000000002</v>
      </c>
      <c r="L7" s="26">
        <v>24.2193</v>
      </c>
      <c r="M7" s="26">
        <v>28.707799999999999</v>
      </c>
      <c r="N7" s="26">
        <v>27.2364</v>
      </c>
      <c r="O7" s="26">
        <v>29.081399999999999</v>
      </c>
      <c r="P7" s="26">
        <v>31.3323</v>
      </c>
      <c r="Q7" s="26">
        <v>36.737400000000001</v>
      </c>
      <c r="R7" s="26">
        <v>30.401700000000002</v>
      </c>
      <c r="S7" s="26">
        <v>30.634899999999998</v>
      </c>
      <c r="T7" s="26">
        <v>29.7013</v>
      </c>
      <c r="U7" s="26">
        <v>28.907599999999999</v>
      </c>
      <c r="V7" s="26">
        <v>30.830100000000002</v>
      </c>
      <c r="W7" s="26">
        <v>33.0152</v>
      </c>
      <c r="X7" s="26">
        <v>26.478899999999999</v>
      </c>
      <c r="Y7" s="26">
        <v>32.656399999999998</v>
      </c>
      <c r="Z7" s="26">
        <v>26.613700000000001</v>
      </c>
      <c r="AA7" s="26">
        <v>36.411799999999999</v>
      </c>
      <c r="AB7" s="26">
        <v>29.962</v>
      </c>
      <c r="AC7" s="26">
        <v>33.055700000000002</v>
      </c>
      <c r="AD7" s="26">
        <v>29.002400000000002</v>
      </c>
      <c r="AE7" s="26">
        <v>34.877800000000001</v>
      </c>
      <c r="AF7" s="26">
        <v>32.525700000000001</v>
      </c>
      <c r="AG7" s="26">
        <v>29.9937</v>
      </c>
      <c r="AH7" s="26">
        <v>31.5108</v>
      </c>
      <c r="AI7" s="26">
        <v>27.7393</v>
      </c>
      <c r="AJ7" s="26">
        <v>36.887099999999997</v>
      </c>
      <c r="AK7" s="26">
        <v>20.6234</v>
      </c>
      <c r="AL7" s="26">
        <v>32.1477</v>
      </c>
      <c r="AM7" s="26">
        <v>31.523499999999999</v>
      </c>
      <c r="AN7" s="26">
        <v>35.623600000000003</v>
      </c>
      <c r="AO7" s="26">
        <v>34.099899999999998</v>
      </c>
      <c r="AP7" s="26">
        <v>30.177900000000001</v>
      </c>
      <c r="AQ7" s="26">
        <v>30.1736</v>
      </c>
      <c r="AR7" s="26">
        <v>17.703700000000001</v>
      </c>
      <c r="AS7" s="26">
        <v>31.2148</v>
      </c>
      <c r="AT7" s="26">
        <v>30.666899999999998</v>
      </c>
      <c r="AU7" s="26">
        <v>30.985700000000001</v>
      </c>
      <c r="AV7" s="26">
        <v>10</v>
      </c>
      <c r="AW7" s="26">
        <v>29.893828260869551</v>
      </c>
      <c r="AX7" s="17">
        <v>1375.1161</v>
      </c>
    </row>
    <row r="8" spans="1:50" x14ac:dyDescent="0.25">
      <c r="A8" s="24">
        <v>7</v>
      </c>
      <c r="B8" s="26">
        <v>3</v>
      </c>
      <c r="C8" s="26">
        <v>27.285</v>
      </c>
      <c r="D8" s="26">
        <v>31.351099999999999</v>
      </c>
      <c r="E8" s="26">
        <v>30.363</v>
      </c>
      <c r="F8" s="26">
        <v>28.718499999999999</v>
      </c>
      <c r="G8" s="26">
        <v>24.433399999999999</v>
      </c>
      <c r="H8" s="26">
        <v>32.978499999999997</v>
      </c>
      <c r="I8" s="26">
        <v>25.664899999999999</v>
      </c>
      <c r="J8" s="26">
        <v>30.175599999999999</v>
      </c>
      <c r="K8" s="26">
        <v>27.426600000000001</v>
      </c>
      <c r="L8" s="26">
        <v>21.599499999999999</v>
      </c>
      <c r="M8" s="26">
        <v>27.679500000000001</v>
      </c>
      <c r="N8" s="26">
        <v>25.776</v>
      </c>
      <c r="O8" s="26">
        <v>28.504200000000001</v>
      </c>
      <c r="P8" s="26">
        <v>28.487300000000001</v>
      </c>
      <c r="Q8" s="26">
        <v>36.084899999999998</v>
      </c>
      <c r="R8" s="26">
        <v>28.2224</v>
      </c>
      <c r="S8" s="26">
        <v>28.3612</v>
      </c>
      <c r="T8" s="26">
        <v>28.8018</v>
      </c>
      <c r="U8" s="26">
        <v>26.346800000000002</v>
      </c>
      <c r="V8" s="26">
        <v>25.654699999999998</v>
      </c>
      <c r="W8" s="26">
        <v>31.067299999999999</v>
      </c>
      <c r="X8" s="26">
        <v>24.142900000000001</v>
      </c>
      <c r="Y8" s="26">
        <v>31.991299999999999</v>
      </c>
      <c r="Z8" s="26">
        <v>25.298500000000001</v>
      </c>
      <c r="AA8" s="26">
        <v>35.308</v>
      </c>
      <c r="AB8" s="26">
        <v>29.0213</v>
      </c>
      <c r="AC8" s="26">
        <v>31.775600000000001</v>
      </c>
      <c r="AD8" s="26">
        <v>26.3001</v>
      </c>
      <c r="AE8" s="26">
        <v>34.501300000000001</v>
      </c>
      <c r="AF8" s="26">
        <v>31.8857</v>
      </c>
      <c r="AG8" s="26">
        <v>28.710799999999999</v>
      </c>
      <c r="AH8" s="26">
        <v>28.523499999999999</v>
      </c>
      <c r="AI8" s="26">
        <v>25.2547</v>
      </c>
      <c r="AJ8" s="26">
        <v>35.449599999999997</v>
      </c>
      <c r="AK8" s="26">
        <v>14.241899999999999</v>
      </c>
      <c r="AL8" s="26">
        <v>30.400099999999998</v>
      </c>
      <c r="AM8" s="26">
        <v>29.3949</v>
      </c>
      <c r="AN8" s="26">
        <v>34.058</v>
      </c>
      <c r="AO8" s="26">
        <v>33.560299999999998</v>
      </c>
      <c r="AP8" s="26">
        <v>26.596499999999999</v>
      </c>
      <c r="AQ8" s="26">
        <v>28.459199999999999</v>
      </c>
      <c r="AR8" s="26">
        <v>17.101400000000002</v>
      </c>
      <c r="AS8" s="26">
        <v>30.5623</v>
      </c>
      <c r="AT8" s="26">
        <v>29.660299999999999</v>
      </c>
      <c r="AU8" s="26">
        <v>29.773499999999999</v>
      </c>
      <c r="AV8" s="26">
        <v>10</v>
      </c>
      <c r="AW8" s="26">
        <v>28.19465000000001</v>
      </c>
      <c r="AX8" s="17">
        <v>1296.9539000000011</v>
      </c>
    </row>
    <row r="9" spans="1:50" x14ac:dyDescent="0.25">
      <c r="A9" s="24">
        <v>8</v>
      </c>
      <c r="B9" s="26">
        <v>3.5</v>
      </c>
      <c r="C9" s="26">
        <v>25.7254</v>
      </c>
      <c r="D9" s="26">
        <v>28.424499999999998</v>
      </c>
      <c r="E9" s="26">
        <v>29.330500000000001</v>
      </c>
      <c r="F9" s="26">
        <v>27.9907</v>
      </c>
      <c r="G9" s="26">
        <v>23.743200000000002</v>
      </c>
      <c r="H9" s="26">
        <v>30.199300000000001</v>
      </c>
      <c r="I9" s="26">
        <v>24.497299999999999</v>
      </c>
      <c r="J9" s="26">
        <v>28.471399999999999</v>
      </c>
      <c r="K9" s="26">
        <v>25.858599999999999</v>
      </c>
      <c r="L9" s="26">
        <v>19.986000000000001</v>
      </c>
      <c r="M9" s="26">
        <v>26.538499999999999</v>
      </c>
      <c r="N9" s="26">
        <v>24.916899999999998</v>
      </c>
      <c r="O9" s="26">
        <v>26.8858</v>
      </c>
      <c r="P9" s="26">
        <v>27.6172</v>
      </c>
      <c r="Q9" s="26">
        <v>35.432299999999998</v>
      </c>
      <c r="R9" s="26">
        <v>26.854399999999998</v>
      </c>
      <c r="S9" s="26">
        <v>27.423300000000001</v>
      </c>
      <c r="T9" s="26">
        <v>26.1401</v>
      </c>
      <c r="U9" s="26">
        <v>25.619</v>
      </c>
      <c r="V9" s="26">
        <v>20.146000000000001</v>
      </c>
      <c r="W9" s="26">
        <v>29.830300000000001</v>
      </c>
      <c r="X9" s="26">
        <v>23.235199999999999</v>
      </c>
      <c r="Y9" s="26">
        <v>30.504300000000001</v>
      </c>
      <c r="Z9" s="26">
        <v>19.639099999999999</v>
      </c>
      <c r="AA9" s="26">
        <v>28.6799</v>
      </c>
      <c r="AB9" s="26">
        <v>28.406400000000001</v>
      </c>
      <c r="AC9" s="26">
        <v>30.606000000000002</v>
      </c>
      <c r="AD9" s="26">
        <v>25.5974</v>
      </c>
      <c r="AE9" s="26">
        <v>32.504899999999999</v>
      </c>
      <c r="AF9" s="26">
        <v>29.108499999999999</v>
      </c>
      <c r="AG9" s="26">
        <v>26.286999999999999</v>
      </c>
      <c r="AH9" s="26">
        <v>27.016500000000001</v>
      </c>
      <c r="AI9" s="26">
        <v>23.188500000000001</v>
      </c>
      <c r="AJ9" s="26">
        <v>34.752899999999997</v>
      </c>
      <c r="AK9" s="26">
        <v>10</v>
      </c>
      <c r="AL9" s="26">
        <v>28.257200000000001</v>
      </c>
      <c r="AM9" s="26">
        <v>27.586400000000001</v>
      </c>
      <c r="AN9" s="26">
        <v>33.304600000000001</v>
      </c>
      <c r="AO9" s="26">
        <v>31.419699999999999</v>
      </c>
      <c r="AP9" s="26">
        <v>25.5806</v>
      </c>
      <c r="AQ9" s="26">
        <v>27.486899999999999</v>
      </c>
      <c r="AR9" s="26">
        <v>15.8253</v>
      </c>
      <c r="AS9" s="26">
        <v>28.8248</v>
      </c>
      <c r="AT9" s="26">
        <v>29.233699999999999</v>
      </c>
      <c r="AU9" s="26">
        <v>26.823599999999999</v>
      </c>
      <c r="AV9" s="26">
        <v>10</v>
      </c>
      <c r="AW9" s="26">
        <v>26.423915217391301</v>
      </c>
      <c r="AX9" s="17">
        <v>1215.5001</v>
      </c>
    </row>
    <row r="10" spans="1:50" x14ac:dyDescent="0.25">
      <c r="A10" s="24">
        <v>9</v>
      </c>
      <c r="B10" s="26">
        <v>4</v>
      </c>
      <c r="C10" s="26">
        <v>23.9072</v>
      </c>
      <c r="D10" s="26">
        <v>26.907900000000001</v>
      </c>
      <c r="E10" s="26">
        <v>26.9238</v>
      </c>
      <c r="F10" s="26">
        <v>25.611599999999999</v>
      </c>
      <c r="G10" s="26">
        <v>23.0854</v>
      </c>
      <c r="H10" s="26">
        <v>29.8033</v>
      </c>
      <c r="I10" s="26">
        <v>22.594200000000001</v>
      </c>
      <c r="J10" s="26">
        <v>27.7957</v>
      </c>
      <c r="K10" s="26">
        <v>24.707799999999999</v>
      </c>
      <c r="L10" s="26">
        <v>17.972300000000001</v>
      </c>
      <c r="M10" s="26">
        <v>23.8521</v>
      </c>
      <c r="N10" s="26">
        <v>20.3764</v>
      </c>
      <c r="O10" s="26">
        <v>24.004999999999999</v>
      </c>
      <c r="P10" s="26">
        <v>25.020600000000002</v>
      </c>
      <c r="Q10" s="26">
        <v>34.823</v>
      </c>
      <c r="R10" s="26">
        <v>23.855499999999999</v>
      </c>
      <c r="S10" s="26">
        <v>24.497699999999998</v>
      </c>
      <c r="T10" s="26">
        <v>25.6813</v>
      </c>
      <c r="U10" s="26">
        <v>22.812100000000001</v>
      </c>
      <c r="V10" s="26">
        <v>17.266200000000001</v>
      </c>
      <c r="W10" s="26">
        <v>29.2532</v>
      </c>
      <c r="X10" s="26">
        <v>22.427099999999999</v>
      </c>
      <c r="Y10" s="26">
        <v>28.6952</v>
      </c>
      <c r="Z10" s="26">
        <v>18.401499999999999</v>
      </c>
      <c r="AA10" s="26">
        <v>25.448599999999999</v>
      </c>
      <c r="AB10" s="26">
        <v>24.157399999999999</v>
      </c>
      <c r="AC10" s="26">
        <v>29.921299999999999</v>
      </c>
      <c r="AD10" s="26">
        <v>22.8215</v>
      </c>
      <c r="AE10" s="26">
        <v>32.155500000000004</v>
      </c>
      <c r="AF10" s="26">
        <v>28.511700000000001</v>
      </c>
      <c r="AG10" s="26">
        <v>24.331700000000001</v>
      </c>
      <c r="AH10" s="26">
        <v>26.5398</v>
      </c>
      <c r="AI10" s="26">
        <v>20.942699999999999</v>
      </c>
      <c r="AJ10" s="26">
        <v>34.459000000000003</v>
      </c>
      <c r="AK10" s="26">
        <v>10</v>
      </c>
      <c r="AL10" s="26">
        <v>25.9331</v>
      </c>
      <c r="AM10" s="26">
        <v>26.866599999999998</v>
      </c>
      <c r="AN10" s="26">
        <v>31.832999999999998</v>
      </c>
      <c r="AO10" s="26">
        <v>30.8963</v>
      </c>
      <c r="AP10" s="26">
        <v>24.535299999999999</v>
      </c>
      <c r="AQ10" s="26">
        <v>27.0031</v>
      </c>
      <c r="AR10" s="26">
        <v>13.8223</v>
      </c>
      <c r="AS10" s="26">
        <v>26.3612</v>
      </c>
      <c r="AT10" s="26">
        <v>26.7075</v>
      </c>
      <c r="AU10" s="26">
        <v>26.176600000000001</v>
      </c>
      <c r="AV10" s="26">
        <v>10</v>
      </c>
      <c r="AW10" s="26">
        <v>24.776093478260869</v>
      </c>
      <c r="AX10" s="17">
        <v>1139.7003</v>
      </c>
    </row>
    <row r="11" spans="1:50" x14ac:dyDescent="0.25">
      <c r="A11" s="24">
        <v>10</v>
      </c>
      <c r="B11" s="26">
        <v>4.5</v>
      </c>
      <c r="C11" s="26">
        <v>22.9724</v>
      </c>
      <c r="D11" s="26">
        <v>25.584</v>
      </c>
      <c r="E11" s="26">
        <v>26.920500000000001</v>
      </c>
      <c r="F11" s="26">
        <v>23.745100000000001</v>
      </c>
      <c r="G11" s="26">
        <v>22.863299999999999</v>
      </c>
      <c r="H11" s="26">
        <v>29.9697</v>
      </c>
      <c r="I11" s="26">
        <v>20.186</v>
      </c>
      <c r="J11" s="26">
        <v>26.081</v>
      </c>
      <c r="K11" s="26">
        <v>24.407699999999998</v>
      </c>
      <c r="L11" s="26">
        <v>16.585100000000001</v>
      </c>
      <c r="M11" s="26">
        <v>23.63</v>
      </c>
      <c r="N11" s="26">
        <v>20.2471</v>
      </c>
      <c r="O11" s="26">
        <v>23.661799999999999</v>
      </c>
      <c r="P11" s="26">
        <v>24.795100000000001</v>
      </c>
      <c r="Q11" s="26">
        <v>34.794600000000003</v>
      </c>
      <c r="R11" s="26">
        <v>23.119599999999998</v>
      </c>
      <c r="S11" s="26">
        <v>24.016500000000001</v>
      </c>
      <c r="T11" s="26">
        <v>24.645299999999999</v>
      </c>
      <c r="U11" s="26">
        <v>22.708400000000001</v>
      </c>
      <c r="V11" s="26">
        <v>16.1159</v>
      </c>
      <c r="W11" s="26">
        <v>28.117899999999999</v>
      </c>
      <c r="X11" s="26">
        <v>19.042899999999999</v>
      </c>
      <c r="Y11" s="26">
        <v>28.654299999999999</v>
      </c>
      <c r="Z11" s="26">
        <v>15.313800000000001</v>
      </c>
      <c r="AA11" s="26">
        <v>24.661000000000001</v>
      </c>
      <c r="AB11" s="26">
        <v>23.6067</v>
      </c>
      <c r="AC11" s="26">
        <v>28.823599999999999</v>
      </c>
      <c r="AD11" s="26">
        <v>22.430800000000001</v>
      </c>
      <c r="AE11" s="26">
        <v>30.843599999999999</v>
      </c>
      <c r="AF11" s="26">
        <v>27.232900000000001</v>
      </c>
      <c r="AG11" s="26">
        <v>23.3704</v>
      </c>
      <c r="AH11" s="26">
        <v>24.838200000000001</v>
      </c>
      <c r="AI11" s="26">
        <v>18.073</v>
      </c>
      <c r="AJ11" s="26">
        <v>34.586599999999997</v>
      </c>
      <c r="AK11" s="26">
        <v>10</v>
      </c>
      <c r="AL11" s="26">
        <v>24.942499999999999</v>
      </c>
      <c r="AM11" s="26">
        <v>25.442399999999999</v>
      </c>
      <c r="AN11" s="26">
        <v>31.652799999999999</v>
      </c>
      <c r="AO11" s="26">
        <v>30.590699999999998</v>
      </c>
      <c r="AP11" s="26">
        <v>22.1647</v>
      </c>
      <c r="AQ11" s="26">
        <v>25.467500000000001</v>
      </c>
      <c r="AR11" s="26">
        <v>13.7478</v>
      </c>
      <c r="AS11" s="26">
        <v>26.332799999999999</v>
      </c>
      <c r="AT11" s="26">
        <v>25.2944</v>
      </c>
      <c r="AU11" s="26">
        <v>26.110600000000002</v>
      </c>
      <c r="AV11" s="26">
        <v>10</v>
      </c>
      <c r="AW11" s="26">
        <v>23.87806521739131</v>
      </c>
      <c r="AX11" s="17">
        <v>1098.3910000000001</v>
      </c>
    </row>
    <row r="12" spans="1:50" x14ac:dyDescent="0.25">
      <c r="A12" s="24">
        <v>11</v>
      </c>
      <c r="B12" s="26">
        <v>5</v>
      </c>
      <c r="C12" s="26">
        <v>23.8581</v>
      </c>
      <c r="D12" s="26">
        <v>26.933199999999999</v>
      </c>
      <c r="E12" s="26">
        <v>28.982500000000002</v>
      </c>
      <c r="F12" s="26">
        <v>24.4422</v>
      </c>
      <c r="G12" s="26">
        <v>24.212199999999999</v>
      </c>
      <c r="H12" s="26">
        <v>32.201099999999997</v>
      </c>
      <c r="I12" s="26">
        <v>22.2254</v>
      </c>
      <c r="J12" s="26">
        <v>26.3691</v>
      </c>
      <c r="K12" s="26">
        <v>24.176100000000002</v>
      </c>
      <c r="L12" s="26">
        <v>18.354199999999999</v>
      </c>
      <c r="M12" s="26">
        <v>22.2789</v>
      </c>
      <c r="N12" s="26">
        <v>20.764800000000001</v>
      </c>
      <c r="O12" s="26">
        <v>22.263999999999999</v>
      </c>
      <c r="P12" s="26">
        <v>24.926300000000001</v>
      </c>
      <c r="Q12" s="26">
        <v>36.834000000000003</v>
      </c>
      <c r="R12" s="26">
        <v>23.6267</v>
      </c>
      <c r="S12" s="26">
        <v>21.9466</v>
      </c>
      <c r="T12" s="26">
        <v>25.502500000000001</v>
      </c>
      <c r="U12" s="26">
        <v>22.9435</v>
      </c>
      <c r="V12" s="26">
        <v>15.332100000000001</v>
      </c>
      <c r="W12" s="26">
        <v>29.062999999999999</v>
      </c>
      <c r="X12" s="26">
        <v>20.108599999999999</v>
      </c>
      <c r="Y12" s="26">
        <v>30.4358</v>
      </c>
      <c r="Z12" s="26">
        <v>13.641</v>
      </c>
      <c r="AA12" s="26">
        <v>26.462399999999999</v>
      </c>
      <c r="AB12" s="26">
        <v>24.695</v>
      </c>
      <c r="AC12" s="26">
        <v>30.795200000000001</v>
      </c>
      <c r="AD12" s="26">
        <v>23.111699999999999</v>
      </c>
      <c r="AE12" s="26">
        <v>31.881399999999999</v>
      </c>
      <c r="AF12" s="26">
        <v>28.496700000000001</v>
      </c>
      <c r="AG12" s="26">
        <v>23.4438</v>
      </c>
      <c r="AH12" s="26">
        <v>24.7422</v>
      </c>
      <c r="AI12" s="26">
        <v>18.493300000000001</v>
      </c>
      <c r="AJ12" s="26">
        <v>34.929499999999997</v>
      </c>
      <c r="AK12" s="26">
        <v>10.6244</v>
      </c>
      <c r="AL12" s="26">
        <v>24.458300000000001</v>
      </c>
      <c r="AM12" s="26">
        <v>26.5137</v>
      </c>
      <c r="AN12" s="26">
        <v>32.301600000000001</v>
      </c>
      <c r="AO12" s="26">
        <v>30.781300000000002</v>
      </c>
      <c r="AP12" s="26">
        <v>21.700399999999998</v>
      </c>
      <c r="AQ12" s="26">
        <v>27.619800000000001</v>
      </c>
      <c r="AR12" s="26">
        <v>14.0131</v>
      </c>
      <c r="AS12" s="26">
        <v>28.372199999999999</v>
      </c>
      <c r="AT12" s="26">
        <v>25.769100000000002</v>
      </c>
      <c r="AU12" s="26">
        <v>25.557099999999998</v>
      </c>
      <c r="AV12" s="26">
        <v>10</v>
      </c>
      <c r="AW12" s="26">
        <v>24.48226304347827</v>
      </c>
      <c r="AX12" s="17">
        <v>1126.1840999999999</v>
      </c>
    </row>
    <row r="13" spans="1:50" x14ac:dyDescent="0.25">
      <c r="A13" s="24">
        <v>12</v>
      </c>
      <c r="B13" s="26">
        <v>5.5</v>
      </c>
      <c r="C13" s="26">
        <v>26.826599999999999</v>
      </c>
      <c r="D13" s="26">
        <v>27.495699999999999</v>
      </c>
      <c r="E13" s="26">
        <v>33.354799999999997</v>
      </c>
      <c r="F13" s="26">
        <v>28.997499999999999</v>
      </c>
      <c r="G13" s="26">
        <v>27.498799999999999</v>
      </c>
      <c r="H13" s="26">
        <v>35.2545</v>
      </c>
      <c r="I13" s="26">
        <v>24.863900000000001</v>
      </c>
      <c r="J13" s="26">
        <v>28.993099999999998</v>
      </c>
      <c r="K13" s="26">
        <v>26.811399999999999</v>
      </c>
      <c r="L13" s="26">
        <v>21.206600000000002</v>
      </c>
      <c r="M13" s="26">
        <v>24.956900000000001</v>
      </c>
      <c r="N13" s="26">
        <v>23.652699999999999</v>
      </c>
      <c r="O13" s="26">
        <v>22.375900000000001</v>
      </c>
      <c r="P13" s="26">
        <v>26.3188</v>
      </c>
      <c r="Q13" s="26">
        <v>41.457099999999997</v>
      </c>
      <c r="R13" s="26">
        <v>24.281099999999999</v>
      </c>
      <c r="S13" s="26">
        <v>23.256699999999999</v>
      </c>
      <c r="T13" s="26">
        <v>28.922699999999999</v>
      </c>
      <c r="U13" s="26">
        <v>27.325199999999999</v>
      </c>
      <c r="V13" s="26">
        <v>17.3096</v>
      </c>
      <c r="W13" s="26">
        <v>33.0687</v>
      </c>
      <c r="X13" s="26">
        <v>22.789100000000001</v>
      </c>
      <c r="Y13" s="26">
        <v>33.485900000000001</v>
      </c>
      <c r="Z13" s="26">
        <v>15.3736</v>
      </c>
      <c r="AA13" s="26">
        <v>30.027999999999999</v>
      </c>
      <c r="AB13" s="26">
        <v>25.9605</v>
      </c>
      <c r="AC13" s="26">
        <v>35.350499999999997</v>
      </c>
      <c r="AD13" s="26">
        <v>23.7989</v>
      </c>
      <c r="AE13" s="26">
        <v>34.799100000000003</v>
      </c>
      <c r="AF13" s="26">
        <v>33.131100000000004</v>
      </c>
      <c r="AG13" s="26">
        <v>27.608599999999999</v>
      </c>
      <c r="AH13" s="26">
        <v>28.097799999999999</v>
      </c>
      <c r="AI13" s="26">
        <v>18.659099999999999</v>
      </c>
      <c r="AJ13" s="26">
        <v>38.543599999999998</v>
      </c>
      <c r="AK13" s="26">
        <v>10.831300000000001</v>
      </c>
      <c r="AL13" s="26">
        <v>24.663599999999999</v>
      </c>
      <c r="AM13" s="26">
        <v>31.125699999999998</v>
      </c>
      <c r="AN13" s="26">
        <v>32.843299999999999</v>
      </c>
      <c r="AO13" s="26">
        <v>31.1173</v>
      </c>
      <c r="AP13" s="26">
        <v>23.011500000000002</v>
      </c>
      <c r="AQ13" s="26">
        <v>32.355800000000002</v>
      </c>
      <c r="AR13" s="26">
        <v>18.6814</v>
      </c>
      <c r="AS13" s="26">
        <v>30.349900000000002</v>
      </c>
      <c r="AT13" s="26">
        <v>27.068200000000001</v>
      </c>
      <c r="AU13" s="26">
        <v>30.1463</v>
      </c>
      <c r="AV13" s="26">
        <v>14.566599999999999</v>
      </c>
      <c r="AW13" s="26">
        <v>27.143804347826091</v>
      </c>
      <c r="AX13" s="17">
        <v>1248.615</v>
      </c>
    </row>
    <row r="14" spans="1:50" x14ac:dyDescent="0.25">
      <c r="A14" s="24">
        <v>13</v>
      </c>
      <c r="B14" s="26">
        <v>6</v>
      </c>
      <c r="C14" s="26">
        <v>32.116399999999999</v>
      </c>
      <c r="D14" s="26">
        <v>33.096699999999998</v>
      </c>
      <c r="E14" s="26">
        <v>39.437199999999997</v>
      </c>
      <c r="F14" s="26">
        <v>35.637600000000013</v>
      </c>
      <c r="G14" s="26">
        <v>33.1616</v>
      </c>
      <c r="H14" s="26">
        <v>42.4739</v>
      </c>
      <c r="I14" s="26">
        <v>31.333400000000001</v>
      </c>
      <c r="J14" s="26">
        <v>33.507199999999997</v>
      </c>
      <c r="K14" s="26">
        <v>30.461300000000001</v>
      </c>
      <c r="L14" s="26">
        <v>28.083500000000001</v>
      </c>
      <c r="M14" s="26">
        <v>30.619700000000002</v>
      </c>
      <c r="N14" s="26">
        <v>30.691600000000001</v>
      </c>
      <c r="O14" s="26">
        <v>23.9694</v>
      </c>
      <c r="P14" s="26">
        <v>25.6282</v>
      </c>
      <c r="Q14" s="26">
        <v>49.248399999999997</v>
      </c>
      <c r="R14" s="26">
        <v>28.8965</v>
      </c>
      <c r="S14" s="26">
        <v>25.754899999999999</v>
      </c>
      <c r="T14" s="26">
        <v>35.957799999999999</v>
      </c>
      <c r="U14" s="26">
        <v>34.875100000000003</v>
      </c>
      <c r="V14" s="26">
        <v>21.545300000000001</v>
      </c>
      <c r="W14" s="26">
        <v>38.806699999999999</v>
      </c>
      <c r="X14" s="26">
        <v>24.348500000000001</v>
      </c>
      <c r="Y14" s="26">
        <v>41.265900000000002</v>
      </c>
      <c r="Z14" s="26">
        <v>17.147600000000001</v>
      </c>
      <c r="AA14" s="26">
        <v>36.614100000000001</v>
      </c>
      <c r="AB14" s="26">
        <v>30.441600000000001</v>
      </c>
      <c r="AC14" s="26">
        <v>43.074100000000001</v>
      </c>
      <c r="AD14" s="26">
        <v>26.7559</v>
      </c>
      <c r="AE14" s="26">
        <v>38.371400000000001</v>
      </c>
      <c r="AF14" s="26">
        <v>39.447299999999998</v>
      </c>
      <c r="AG14" s="26">
        <v>33.4572</v>
      </c>
      <c r="AH14" s="26">
        <v>32.645699999999998</v>
      </c>
      <c r="AI14" s="26">
        <v>19.731000000000002</v>
      </c>
      <c r="AJ14" s="26">
        <v>44.200600000000001</v>
      </c>
      <c r="AK14" s="26">
        <v>14.3316</v>
      </c>
      <c r="AL14" s="26">
        <v>27.024899999999999</v>
      </c>
      <c r="AM14" s="26">
        <v>38.005200000000002</v>
      </c>
      <c r="AN14" s="26">
        <v>34.020400000000002</v>
      </c>
      <c r="AO14" s="26">
        <v>33.773599999999988</v>
      </c>
      <c r="AP14" s="26">
        <v>22.905899999999999</v>
      </c>
      <c r="AQ14" s="26">
        <v>38.790599999999998</v>
      </c>
      <c r="AR14" s="26">
        <v>25.3916</v>
      </c>
      <c r="AS14" s="26">
        <v>37.993899999999996</v>
      </c>
      <c r="AT14" s="26">
        <v>31.124400000000001</v>
      </c>
      <c r="AU14" s="26">
        <v>37.903700000000001</v>
      </c>
      <c r="AV14" s="26">
        <v>21.706499999999998</v>
      </c>
      <c r="AW14" s="26">
        <v>32.082078260869572</v>
      </c>
      <c r="AX14" s="17">
        <v>1475.7755999999999</v>
      </c>
    </row>
    <row r="15" spans="1:50" x14ac:dyDescent="0.25">
      <c r="A15" s="24">
        <v>14</v>
      </c>
      <c r="B15" s="26">
        <v>6.5</v>
      </c>
      <c r="C15" s="26">
        <v>40.731000000000002</v>
      </c>
      <c r="D15" s="26">
        <v>39.078099999999999</v>
      </c>
      <c r="E15" s="26">
        <v>50.707800000000013</v>
      </c>
      <c r="F15" s="26">
        <v>45.374099999999999</v>
      </c>
      <c r="G15" s="26">
        <v>41.416799999999988</v>
      </c>
      <c r="H15" s="26">
        <v>53.913900000000012</v>
      </c>
      <c r="I15" s="26">
        <v>40.4407</v>
      </c>
      <c r="J15" s="26">
        <v>38.378900000000002</v>
      </c>
      <c r="K15" s="26">
        <v>36.973799999999997</v>
      </c>
      <c r="L15" s="26">
        <v>38.355400000000003</v>
      </c>
      <c r="M15" s="26">
        <v>36.6434</v>
      </c>
      <c r="N15" s="26">
        <v>39.6188</v>
      </c>
      <c r="O15" s="26">
        <v>26.525099999999998</v>
      </c>
      <c r="P15" s="26">
        <v>30.750499999999999</v>
      </c>
      <c r="Q15" s="26">
        <v>60.496300000000012</v>
      </c>
      <c r="R15" s="26">
        <v>35.672400000000003</v>
      </c>
      <c r="S15" s="26">
        <v>28.046500000000002</v>
      </c>
      <c r="T15" s="26">
        <v>44.921199999999999</v>
      </c>
      <c r="U15" s="26">
        <v>44.318800000000003</v>
      </c>
      <c r="V15" s="26">
        <v>27.799900000000001</v>
      </c>
      <c r="W15" s="26">
        <v>47.889200000000002</v>
      </c>
      <c r="X15" s="26">
        <v>28.296900000000001</v>
      </c>
      <c r="Y15" s="26">
        <v>52.256</v>
      </c>
      <c r="Z15" s="26">
        <v>21.948699999999999</v>
      </c>
      <c r="AA15" s="26">
        <v>45.811</v>
      </c>
      <c r="AB15" s="26">
        <v>37.024000000000001</v>
      </c>
      <c r="AC15" s="26">
        <v>53.707500000000003</v>
      </c>
      <c r="AD15" s="26">
        <v>32.040999999999997</v>
      </c>
      <c r="AE15" s="26">
        <v>45.2971</v>
      </c>
      <c r="AF15" s="26">
        <v>50.269399999999997</v>
      </c>
      <c r="AG15" s="26">
        <v>44.277999999999999</v>
      </c>
      <c r="AH15" s="26">
        <v>40.636699999999998</v>
      </c>
      <c r="AI15" s="26">
        <v>22.348099999999999</v>
      </c>
      <c r="AJ15" s="26">
        <v>51.783199999999987</v>
      </c>
      <c r="AK15" s="26">
        <v>19.560300000000002</v>
      </c>
      <c r="AL15" s="26">
        <v>31.1675</v>
      </c>
      <c r="AM15" s="26">
        <v>39.334899999999998</v>
      </c>
      <c r="AN15" s="26">
        <v>40.264400000000002</v>
      </c>
      <c r="AO15" s="26">
        <v>36.285200000000003</v>
      </c>
      <c r="AP15" s="26">
        <v>26.5215</v>
      </c>
      <c r="AQ15" s="26">
        <v>50.151500000000013</v>
      </c>
      <c r="AR15" s="26">
        <v>35.905000000000001</v>
      </c>
      <c r="AS15" s="26">
        <v>48.505600000000001</v>
      </c>
      <c r="AT15" s="26">
        <v>38.137500000000003</v>
      </c>
      <c r="AU15" s="26">
        <v>47.551600000000001</v>
      </c>
      <c r="AV15" s="26">
        <v>31.515599999999999</v>
      </c>
      <c r="AW15" s="26">
        <v>39.535886956521743</v>
      </c>
      <c r="AX15" s="17">
        <v>1818.6507999999999</v>
      </c>
    </row>
    <row r="16" spans="1:50" x14ac:dyDescent="0.25">
      <c r="A16" s="24">
        <v>15</v>
      </c>
      <c r="B16" s="26">
        <v>7</v>
      </c>
      <c r="C16" s="26">
        <v>53.586599999999997</v>
      </c>
      <c r="D16" s="26">
        <v>49.445700000000002</v>
      </c>
      <c r="E16" s="26">
        <v>63.4726</v>
      </c>
      <c r="F16" s="26">
        <v>58.576700000000002</v>
      </c>
      <c r="G16" s="26">
        <v>50.833099999999988</v>
      </c>
      <c r="H16" s="26">
        <v>66.554100000000005</v>
      </c>
      <c r="I16" s="26">
        <v>52.674600000000012</v>
      </c>
      <c r="J16" s="26">
        <v>47.330399999999997</v>
      </c>
      <c r="K16" s="26">
        <v>45.936599999999999</v>
      </c>
      <c r="L16" s="26">
        <v>52.285299999999999</v>
      </c>
      <c r="M16" s="26">
        <v>47.523000000000003</v>
      </c>
      <c r="N16" s="26">
        <v>53.717199999999998</v>
      </c>
      <c r="O16" s="26">
        <v>31.756</v>
      </c>
      <c r="P16" s="26">
        <v>36.209099999999999</v>
      </c>
      <c r="Q16" s="26">
        <v>75.243400000000008</v>
      </c>
      <c r="R16" s="26">
        <v>44.635199999999998</v>
      </c>
      <c r="S16" s="26">
        <v>19.121700000000001</v>
      </c>
      <c r="T16" s="26">
        <v>59.803899999999999</v>
      </c>
      <c r="U16" s="26">
        <v>58.563899999999997</v>
      </c>
      <c r="V16" s="26">
        <v>35.992899999999999</v>
      </c>
      <c r="W16" s="26">
        <v>60.753399999999999</v>
      </c>
      <c r="X16" s="26">
        <v>35.386299999999999</v>
      </c>
      <c r="Y16" s="26">
        <v>65.430099999999996</v>
      </c>
      <c r="Z16" s="26">
        <v>30.131699999999999</v>
      </c>
      <c r="AA16" s="26">
        <v>58.648899999999998</v>
      </c>
      <c r="AB16" s="26">
        <v>39.953600000000002</v>
      </c>
      <c r="AC16" s="26">
        <v>68.038899999999998</v>
      </c>
      <c r="AD16" s="26">
        <v>37.533200000000001</v>
      </c>
      <c r="AE16" s="26">
        <v>54.542199999999987</v>
      </c>
      <c r="AF16" s="26">
        <v>65.027799999999999</v>
      </c>
      <c r="AG16" s="26">
        <v>58.904500000000013</v>
      </c>
      <c r="AH16" s="26">
        <v>52.608900000000013</v>
      </c>
      <c r="AI16" s="26">
        <v>25.8996</v>
      </c>
      <c r="AJ16" s="26">
        <v>62.406799999999997</v>
      </c>
      <c r="AK16" s="26">
        <v>24.8292</v>
      </c>
      <c r="AL16" s="26">
        <v>37.034199999999998</v>
      </c>
      <c r="AM16" s="26">
        <v>47.898899999999998</v>
      </c>
      <c r="AN16" s="26">
        <v>24.327300000000001</v>
      </c>
      <c r="AO16" s="26">
        <v>41.549900000000001</v>
      </c>
      <c r="AP16" s="26">
        <v>30.740100000000002</v>
      </c>
      <c r="AQ16" s="26">
        <v>63.942900000000002</v>
      </c>
      <c r="AR16" s="26">
        <v>50.697299999999998</v>
      </c>
      <c r="AS16" s="26">
        <v>63.092599999999997</v>
      </c>
      <c r="AT16" s="26">
        <v>45.324599999999997</v>
      </c>
      <c r="AU16" s="26">
        <v>61.847900000000003</v>
      </c>
      <c r="AV16" s="26">
        <v>44.449599999999997</v>
      </c>
      <c r="AW16" s="26">
        <v>49.005704347826089</v>
      </c>
      <c r="AX16" s="17">
        <v>2254.2624000000001</v>
      </c>
    </row>
    <row r="17" spans="1:50" x14ac:dyDescent="0.25">
      <c r="A17" s="24">
        <v>16</v>
      </c>
      <c r="B17" s="26">
        <v>7.5</v>
      </c>
      <c r="C17" s="26">
        <v>57.284799999999997</v>
      </c>
      <c r="D17" s="26">
        <v>63.060400000000008</v>
      </c>
      <c r="E17" s="26">
        <v>81.723399999999998</v>
      </c>
      <c r="F17" s="26">
        <v>76.354699999999994</v>
      </c>
      <c r="G17" s="26">
        <v>61.745800000000003</v>
      </c>
      <c r="H17" s="26">
        <v>84.747500000000002</v>
      </c>
      <c r="I17" s="26">
        <v>67.745100000000008</v>
      </c>
      <c r="J17" s="26">
        <v>58.457599999999999</v>
      </c>
      <c r="K17" s="26">
        <v>57.075099999999999</v>
      </c>
      <c r="L17" s="26">
        <v>70.490799999999993</v>
      </c>
      <c r="M17" s="26">
        <v>60.426100000000012</v>
      </c>
      <c r="N17" s="26">
        <v>71.285899999999998</v>
      </c>
      <c r="O17" s="26">
        <v>37.141399999999997</v>
      </c>
      <c r="P17" s="26">
        <v>33.625899999999987</v>
      </c>
      <c r="Q17" s="26">
        <v>92.843299999999999</v>
      </c>
      <c r="R17" s="26">
        <v>53.279299999999999</v>
      </c>
      <c r="S17" s="26">
        <v>23.5791</v>
      </c>
      <c r="T17" s="26">
        <v>77.249200000000002</v>
      </c>
      <c r="U17" s="26">
        <v>73.321700000000007</v>
      </c>
      <c r="V17" s="26">
        <v>45.163799999999988</v>
      </c>
      <c r="W17" s="26">
        <v>76.663499999999999</v>
      </c>
      <c r="X17" s="26">
        <v>44.762099999999997</v>
      </c>
      <c r="Y17" s="26">
        <v>83.646900000000002</v>
      </c>
      <c r="Z17" s="26">
        <v>39.466000000000001</v>
      </c>
      <c r="AA17" s="26">
        <v>74.615399999999994</v>
      </c>
      <c r="AB17" s="26">
        <v>51.159799999999997</v>
      </c>
      <c r="AC17" s="26">
        <v>82.2453</v>
      </c>
      <c r="AD17" s="26">
        <v>45.965600000000002</v>
      </c>
      <c r="AE17" s="26">
        <v>65.963099999999997</v>
      </c>
      <c r="AF17" s="26">
        <v>82.4803</v>
      </c>
      <c r="AG17" s="26">
        <v>66.995199999999997</v>
      </c>
      <c r="AH17" s="26">
        <v>66.798900000000003</v>
      </c>
      <c r="AI17" s="26">
        <v>30.610199999999999</v>
      </c>
      <c r="AJ17" s="26">
        <v>74.7834</v>
      </c>
      <c r="AK17" s="26">
        <v>33.548000000000002</v>
      </c>
      <c r="AL17" s="26">
        <v>44.2515</v>
      </c>
      <c r="AM17" s="26">
        <v>55.311399999999999</v>
      </c>
      <c r="AN17" s="26">
        <v>13.0143</v>
      </c>
      <c r="AO17" s="26">
        <v>47.502499999999998</v>
      </c>
      <c r="AP17" s="26">
        <v>36.908799999999999</v>
      </c>
      <c r="AQ17" s="26">
        <v>80.765699999999995</v>
      </c>
      <c r="AR17" s="26">
        <v>62.0672</v>
      </c>
      <c r="AS17" s="26">
        <v>78.835499999999996</v>
      </c>
      <c r="AT17" s="26">
        <v>55.560299999999998</v>
      </c>
      <c r="AU17" s="26">
        <v>78.660200000000003</v>
      </c>
      <c r="AV17" s="26">
        <v>62.621300000000012</v>
      </c>
      <c r="AW17" s="26">
        <v>60.473984782608667</v>
      </c>
      <c r="AX17" s="17">
        <v>2781.8032999999991</v>
      </c>
    </row>
    <row r="18" spans="1:50" x14ac:dyDescent="0.25">
      <c r="A18" s="24">
        <v>17</v>
      </c>
      <c r="B18" s="26">
        <v>8</v>
      </c>
      <c r="C18" s="26">
        <v>73.582099999999997</v>
      </c>
      <c r="D18" s="26">
        <v>78.049800000000005</v>
      </c>
      <c r="E18" s="26">
        <v>100</v>
      </c>
      <c r="F18" s="26">
        <v>95.781700000000001</v>
      </c>
      <c r="G18" s="26">
        <v>76.411100000000005</v>
      </c>
      <c r="H18" s="26">
        <v>100</v>
      </c>
      <c r="I18" s="26">
        <v>84.744399999999999</v>
      </c>
      <c r="J18" s="26">
        <v>71.042500000000004</v>
      </c>
      <c r="K18" s="26">
        <v>69.163399999999996</v>
      </c>
      <c r="L18" s="26">
        <v>91.705700000000007</v>
      </c>
      <c r="M18" s="26">
        <v>74.641900000000007</v>
      </c>
      <c r="N18" s="26">
        <v>91.405199999999994</v>
      </c>
      <c r="O18" s="26">
        <v>44.047899999999998</v>
      </c>
      <c r="P18" s="26">
        <v>24.8553</v>
      </c>
      <c r="Q18" s="26">
        <v>100</v>
      </c>
      <c r="R18" s="26">
        <v>66.596599999999995</v>
      </c>
      <c r="S18" s="26">
        <v>29.895700000000001</v>
      </c>
      <c r="T18" s="26">
        <v>96.420500000000004</v>
      </c>
      <c r="U18" s="26">
        <v>94.793400000000005</v>
      </c>
      <c r="V18" s="26">
        <v>57.957500000000003</v>
      </c>
      <c r="W18" s="26">
        <v>94.344099999999997</v>
      </c>
      <c r="X18" s="26">
        <v>55.035299999999999</v>
      </c>
      <c r="Y18" s="26">
        <v>100</v>
      </c>
      <c r="Z18" s="26">
        <v>51.661799999999999</v>
      </c>
      <c r="AA18" s="26">
        <v>93.632300000000001</v>
      </c>
      <c r="AB18" s="26">
        <v>62.589599999999997</v>
      </c>
      <c r="AC18" s="26">
        <v>100</v>
      </c>
      <c r="AD18" s="26">
        <v>55.881700000000002</v>
      </c>
      <c r="AE18" s="26">
        <v>79.297600000000003</v>
      </c>
      <c r="AF18" s="26">
        <v>100</v>
      </c>
      <c r="AG18" s="26">
        <v>87.0398</v>
      </c>
      <c r="AH18" s="26">
        <v>80.416600000000003</v>
      </c>
      <c r="AI18" s="26">
        <v>37.6751</v>
      </c>
      <c r="AJ18" s="26">
        <v>90.015699999999995</v>
      </c>
      <c r="AK18" s="26">
        <v>43.932099999999998</v>
      </c>
      <c r="AL18" s="26">
        <v>53.761800000000001</v>
      </c>
      <c r="AM18" s="26">
        <v>46.376300000000001</v>
      </c>
      <c r="AN18" s="26">
        <v>29.522600000000001</v>
      </c>
      <c r="AO18" s="26">
        <v>54.5565</v>
      </c>
      <c r="AP18" s="26">
        <v>43.2226</v>
      </c>
      <c r="AQ18" s="26">
        <v>100</v>
      </c>
      <c r="AR18" s="26">
        <v>75.194499999999991</v>
      </c>
      <c r="AS18" s="26">
        <v>100</v>
      </c>
      <c r="AT18" s="26">
        <v>69.114800000000002</v>
      </c>
      <c r="AU18" s="26">
        <v>99.479200000000006</v>
      </c>
      <c r="AV18" s="26">
        <v>83.259100000000004</v>
      </c>
      <c r="AW18" s="26">
        <v>74.067473913043486</v>
      </c>
      <c r="AX18" s="17">
        <v>3407.1037999999999</v>
      </c>
    </row>
    <row r="19" spans="1:50" x14ac:dyDescent="0.25">
      <c r="A19" s="24">
        <v>18</v>
      </c>
      <c r="B19" s="26">
        <v>8.5</v>
      </c>
      <c r="C19" s="26">
        <v>93.254499999999993</v>
      </c>
      <c r="D19" s="26">
        <v>94.938400000000001</v>
      </c>
      <c r="E19" s="26">
        <v>100</v>
      </c>
      <c r="F19" s="26">
        <v>100</v>
      </c>
      <c r="G19" s="26">
        <v>87.7761</v>
      </c>
      <c r="H19" s="26">
        <v>100</v>
      </c>
      <c r="I19" s="26">
        <v>100</v>
      </c>
      <c r="J19" s="26">
        <v>85.131599999999992</v>
      </c>
      <c r="K19" s="26">
        <v>84.525599999999997</v>
      </c>
      <c r="L19" s="26">
        <v>100</v>
      </c>
      <c r="M19" s="26">
        <v>87.0441</v>
      </c>
      <c r="N19" s="26">
        <v>100</v>
      </c>
      <c r="O19" s="26">
        <v>51.145600000000002</v>
      </c>
      <c r="P19" s="26">
        <v>21.0929</v>
      </c>
      <c r="Q19" s="26">
        <v>100</v>
      </c>
      <c r="R19" s="26">
        <v>80.795199999999994</v>
      </c>
      <c r="S19" s="26">
        <v>38.265500000000003</v>
      </c>
      <c r="T19" s="26">
        <v>100</v>
      </c>
      <c r="U19" s="26">
        <v>100</v>
      </c>
      <c r="V19" s="26">
        <v>73.548599999999993</v>
      </c>
      <c r="W19" s="26">
        <v>100</v>
      </c>
      <c r="X19" s="26">
        <v>70.190899999999999</v>
      </c>
      <c r="Y19" s="26">
        <v>100</v>
      </c>
      <c r="Z19" s="26">
        <v>66.679999999999993</v>
      </c>
      <c r="AA19" s="26">
        <v>100</v>
      </c>
      <c r="AB19" s="26">
        <v>76.386399999999995</v>
      </c>
      <c r="AC19" s="26">
        <v>100</v>
      </c>
      <c r="AD19" s="26">
        <v>66.322000000000003</v>
      </c>
      <c r="AE19" s="26">
        <v>93.749200000000002</v>
      </c>
      <c r="AF19" s="26">
        <v>100</v>
      </c>
      <c r="AG19" s="26">
        <v>100</v>
      </c>
      <c r="AH19" s="26">
        <v>98.252899999999997</v>
      </c>
      <c r="AI19" s="26">
        <v>43.064900000000002</v>
      </c>
      <c r="AJ19" s="26">
        <v>100</v>
      </c>
      <c r="AK19" s="26">
        <v>54.398200000000003</v>
      </c>
      <c r="AL19" s="26">
        <v>64.747100000000003</v>
      </c>
      <c r="AM19" s="26">
        <v>49.365499999999997</v>
      </c>
      <c r="AN19" s="26">
        <v>54.098100000000002</v>
      </c>
      <c r="AO19" s="26">
        <v>63.660899999999998</v>
      </c>
      <c r="AP19" s="26">
        <v>50.724100000000007</v>
      </c>
      <c r="AQ19" s="26">
        <v>100</v>
      </c>
      <c r="AR19" s="26">
        <v>100</v>
      </c>
      <c r="AS19" s="26">
        <v>100</v>
      </c>
      <c r="AT19" s="26">
        <v>83.475399999999993</v>
      </c>
      <c r="AU19" s="26">
        <v>100</v>
      </c>
      <c r="AV19" s="26">
        <v>100</v>
      </c>
      <c r="AW19" s="26">
        <v>83.318123913043479</v>
      </c>
      <c r="AX19" s="17">
        <v>3832.6336999999999</v>
      </c>
    </row>
    <row r="20" spans="1:50" x14ac:dyDescent="0.25">
      <c r="A20" s="24">
        <v>19</v>
      </c>
      <c r="B20" s="26">
        <v>9</v>
      </c>
      <c r="C20" s="26">
        <v>87.794300000000007</v>
      </c>
      <c r="D20" s="26">
        <v>100</v>
      </c>
      <c r="E20" s="26">
        <v>100</v>
      </c>
      <c r="F20" s="26">
        <v>100</v>
      </c>
      <c r="G20" s="26">
        <v>100</v>
      </c>
      <c r="H20" s="26">
        <v>100</v>
      </c>
      <c r="I20" s="26">
        <v>100</v>
      </c>
      <c r="J20" s="26">
        <v>100</v>
      </c>
      <c r="K20" s="26">
        <v>100</v>
      </c>
      <c r="L20" s="26">
        <v>100</v>
      </c>
      <c r="M20" s="26">
        <v>100</v>
      </c>
      <c r="N20" s="26">
        <v>100</v>
      </c>
      <c r="O20" s="26">
        <v>61.167299999999997</v>
      </c>
      <c r="P20" s="26">
        <v>33.559800000000003</v>
      </c>
      <c r="Q20" s="26">
        <v>100</v>
      </c>
      <c r="R20" s="26">
        <v>96.748900000000006</v>
      </c>
      <c r="S20" s="26">
        <v>43.16</v>
      </c>
      <c r="T20" s="26">
        <v>100</v>
      </c>
      <c r="U20" s="26">
        <v>100</v>
      </c>
      <c r="V20" s="26">
        <v>90.4041</v>
      </c>
      <c r="W20" s="26">
        <v>100</v>
      </c>
      <c r="X20" s="26">
        <v>84.684700000000007</v>
      </c>
      <c r="Y20" s="26">
        <v>100</v>
      </c>
      <c r="Z20" s="26">
        <v>82.926999999999992</v>
      </c>
      <c r="AA20" s="26">
        <v>100</v>
      </c>
      <c r="AB20" s="26">
        <v>93.738699999999994</v>
      </c>
      <c r="AC20" s="26">
        <v>100</v>
      </c>
      <c r="AD20" s="26">
        <v>77.752200000000002</v>
      </c>
      <c r="AE20" s="26">
        <v>100</v>
      </c>
      <c r="AF20" s="26">
        <v>100</v>
      </c>
      <c r="AG20" s="26">
        <v>100</v>
      </c>
      <c r="AH20" s="26">
        <v>100</v>
      </c>
      <c r="AI20" s="26">
        <v>38.8825</v>
      </c>
      <c r="AJ20" s="26">
        <v>100</v>
      </c>
      <c r="AK20" s="26">
        <v>68.033799999999999</v>
      </c>
      <c r="AL20" s="26">
        <v>77.124400000000009</v>
      </c>
      <c r="AM20" s="26">
        <v>67.601500000000001</v>
      </c>
      <c r="AN20" s="26">
        <v>79.535199999999989</v>
      </c>
      <c r="AO20" s="26">
        <v>72.477599999999995</v>
      </c>
      <c r="AP20" s="26">
        <v>60.220599999999997</v>
      </c>
      <c r="AQ20" s="26">
        <v>100</v>
      </c>
      <c r="AR20" s="26">
        <v>100</v>
      </c>
      <c r="AS20" s="26">
        <v>100</v>
      </c>
      <c r="AT20" s="26">
        <v>100</v>
      </c>
      <c r="AU20" s="26">
        <v>100</v>
      </c>
      <c r="AV20" s="26">
        <v>100</v>
      </c>
      <c r="AW20" s="26">
        <v>89.474186956521763</v>
      </c>
      <c r="AX20" s="17">
        <v>4115.8126000000011</v>
      </c>
    </row>
    <row r="21" spans="1:50" x14ac:dyDescent="0.25">
      <c r="A21" s="24">
        <v>20</v>
      </c>
      <c r="B21" s="26">
        <v>9.5</v>
      </c>
      <c r="C21" s="26">
        <v>84.036900000000003</v>
      </c>
      <c r="D21" s="26">
        <v>100</v>
      </c>
      <c r="E21" s="26">
        <v>100</v>
      </c>
      <c r="F21" s="26">
        <v>100</v>
      </c>
      <c r="G21" s="26">
        <v>100</v>
      </c>
      <c r="H21" s="26">
        <v>100</v>
      </c>
      <c r="I21" s="26">
        <v>100</v>
      </c>
      <c r="J21" s="26">
        <v>100</v>
      </c>
      <c r="K21" s="26">
        <v>100</v>
      </c>
      <c r="L21" s="26">
        <v>100</v>
      </c>
      <c r="M21" s="26">
        <v>100</v>
      </c>
      <c r="N21" s="26">
        <v>100</v>
      </c>
      <c r="O21" s="26">
        <v>70.996000000000009</v>
      </c>
      <c r="P21" s="26">
        <v>46.546199999999999</v>
      </c>
      <c r="Q21" s="26">
        <v>100</v>
      </c>
      <c r="R21" s="26">
        <v>100</v>
      </c>
      <c r="S21" s="26">
        <v>52.904499999999999</v>
      </c>
      <c r="T21" s="26">
        <v>100</v>
      </c>
      <c r="U21" s="26">
        <v>100</v>
      </c>
      <c r="V21" s="26">
        <v>100</v>
      </c>
      <c r="W21" s="26">
        <v>100</v>
      </c>
      <c r="X21" s="26">
        <v>100</v>
      </c>
      <c r="Y21" s="26">
        <v>100</v>
      </c>
      <c r="Z21" s="26">
        <v>100</v>
      </c>
      <c r="AA21" s="26">
        <v>100</v>
      </c>
      <c r="AB21" s="26">
        <v>100</v>
      </c>
      <c r="AC21" s="26">
        <v>100</v>
      </c>
      <c r="AD21" s="26">
        <v>76.631299999999996</v>
      </c>
      <c r="AE21" s="26">
        <v>100</v>
      </c>
      <c r="AF21" s="26">
        <v>100</v>
      </c>
      <c r="AG21" s="26">
        <v>100</v>
      </c>
      <c r="AH21" s="26">
        <v>100</v>
      </c>
      <c r="AI21" s="26">
        <v>38.936199999999999</v>
      </c>
      <c r="AJ21" s="26">
        <v>100</v>
      </c>
      <c r="AK21" s="26">
        <v>69.349299999999999</v>
      </c>
      <c r="AL21" s="26">
        <v>91.1858</v>
      </c>
      <c r="AM21" s="26">
        <v>91.236699999999999</v>
      </c>
      <c r="AN21" s="26">
        <v>100</v>
      </c>
      <c r="AO21" s="26">
        <v>83.717600000000004</v>
      </c>
      <c r="AP21" s="26">
        <v>56.644300000000001</v>
      </c>
      <c r="AQ21" s="26">
        <v>100</v>
      </c>
      <c r="AR21" s="26">
        <v>100</v>
      </c>
      <c r="AS21" s="26">
        <v>100</v>
      </c>
      <c r="AT21" s="26">
        <v>100</v>
      </c>
      <c r="AU21" s="26">
        <v>100</v>
      </c>
      <c r="AV21" s="26">
        <v>100</v>
      </c>
      <c r="AW21" s="26">
        <v>92.656191304347843</v>
      </c>
      <c r="AX21" s="17">
        <v>4262.1848000000009</v>
      </c>
    </row>
    <row r="22" spans="1:50" x14ac:dyDescent="0.25">
      <c r="A22" s="24">
        <v>21</v>
      </c>
      <c r="B22" s="26">
        <v>10</v>
      </c>
      <c r="C22" s="26">
        <v>100</v>
      </c>
      <c r="D22" s="26">
        <v>100</v>
      </c>
      <c r="E22" s="26">
        <v>100</v>
      </c>
      <c r="F22" s="26">
        <v>100</v>
      </c>
      <c r="G22" s="26">
        <v>100</v>
      </c>
      <c r="H22" s="26">
        <v>100</v>
      </c>
      <c r="I22" s="26">
        <v>100</v>
      </c>
      <c r="J22" s="26">
        <v>100</v>
      </c>
      <c r="K22" s="26">
        <v>100</v>
      </c>
      <c r="L22" s="26">
        <v>100</v>
      </c>
      <c r="M22" s="26">
        <v>100</v>
      </c>
      <c r="N22" s="26">
        <v>100</v>
      </c>
      <c r="O22" s="26">
        <v>76.839199999999991</v>
      </c>
      <c r="P22" s="26">
        <v>62.858199999999997</v>
      </c>
      <c r="Q22" s="26">
        <v>100</v>
      </c>
      <c r="R22" s="26">
        <v>100</v>
      </c>
      <c r="S22" s="26">
        <v>63.673299999999998</v>
      </c>
      <c r="T22" s="26">
        <v>100</v>
      </c>
      <c r="U22" s="26">
        <v>100</v>
      </c>
      <c r="V22" s="26">
        <v>100</v>
      </c>
      <c r="W22" s="26">
        <v>100</v>
      </c>
      <c r="X22" s="26">
        <v>100</v>
      </c>
      <c r="Y22" s="26">
        <v>100</v>
      </c>
      <c r="Z22" s="26">
        <v>100</v>
      </c>
      <c r="AA22" s="26">
        <v>100</v>
      </c>
      <c r="AB22" s="26">
        <v>100</v>
      </c>
      <c r="AC22" s="26">
        <v>100</v>
      </c>
      <c r="AD22" s="26">
        <v>69.941400000000002</v>
      </c>
      <c r="AE22" s="26">
        <v>100</v>
      </c>
      <c r="AF22" s="26">
        <v>100</v>
      </c>
      <c r="AG22" s="26">
        <v>100</v>
      </c>
      <c r="AH22" s="26">
        <v>100</v>
      </c>
      <c r="AI22" s="26">
        <v>46.408299999999997</v>
      </c>
      <c r="AJ22" s="26">
        <v>100</v>
      </c>
      <c r="AK22" s="26">
        <v>77.1922</v>
      </c>
      <c r="AL22" s="26">
        <v>100</v>
      </c>
      <c r="AM22" s="26">
        <v>100</v>
      </c>
      <c r="AN22" s="26">
        <v>100</v>
      </c>
      <c r="AO22" s="26">
        <v>94.663200000000003</v>
      </c>
      <c r="AP22" s="26">
        <v>66.422899999999998</v>
      </c>
      <c r="AQ22" s="26">
        <v>100</v>
      </c>
      <c r="AR22" s="26">
        <v>100</v>
      </c>
      <c r="AS22" s="26">
        <v>100</v>
      </c>
      <c r="AT22" s="26">
        <v>100</v>
      </c>
      <c r="AU22" s="26">
        <v>100</v>
      </c>
      <c r="AV22" s="26">
        <v>100</v>
      </c>
      <c r="AW22" s="26">
        <v>94.739102173913039</v>
      </c>
      <c r="AX22" s="17">
        <v>4357.9987000000001</v>
      </c>
    </row>
    <row r="23" spans="1:50" x14ac:dyDescent="0.25">
      <c r="A23" s="24">
        <v>22</v>
      </c>
      <c r="B23" s="26">
        <v>10.5</v>
      </c>
      <c r="C23" s="26">
        <v>100</v>
      </c>
      <c r="D23" s="26">
        <v>100</v>
      </c>
      <c r="E23" s="26">
        <v>100</v>
      </c>
      <c r="F23" s="26">
        <v>100</v>
      </c>
      <c r="G23" s="26">
        <v>100</v>
      </c>
      <c r="H23" s="26">
        <v>100</v>
      </c>
      <c r="I23" s="26">
        <v>100</v>
      </c>
      <c r="J23" s="26">
        <v>100</v>
      </c>
      <c r="K23" s="26">
        <v>100</v>
      </c>
      <c r="L23" s="26">
        <v>100</v>
      </c>
      <c r="M23" s="26">
        <v>100</v>
      </c>
      <c r="N23" s="26">
        <v>100</v>
      </c>
      <c r="O23" s="26">
        <v>83.220400000000012</v>
      </c>
      <c r="P23" s="26">
        <v>77.620199999999997</v>
      </c>
      <c r="Q23" s="26">
        <v>100</v>
      </c>
      <c r="R23" s="26">
        <v>100</v>
      </c>
      <c r="S23" s="26">
        <v>76.182299999999998</v>
      </c>
      <c r="T23" s="26">
        <v>100</v>
      </c>
      <c r="U23" s="26">
        <v>100</v>
      </c>
      <c r="V23" s="26">
        <v>100</v>
      </c>
      <c r="W23" s="26">
        <v>100</v>
      </c>
      <c r="X23" s="26">
        <v>100</v>
      </c>
      <c r="Y23" s="26">
        <v>100</v>
      </c>
      <c r="Z23" s="26">
        <v>100</v>
      </c>
      <c r="AA23" s="26">
        <v>100</v>
      </c>
      <c r="AB23" s="26">
        <v>100</v>
      </c>
      <c r="AC23" s="26">
        <v>100</v>
      </c>
      <c r="AD23" s="26">
        <v>76.359700000000004</v>
      </c>
      <c r="AE23" s="26">
        <v>100</v>
      </c>
      <c r="AF23" s="26">
        <v>100</v>
      </c>
      <c r="AG23" s="26">
        <v>100</v>
      </c>
      <c r="AH23" s="26">
        <v>100</v>
      </c>
      <c r="AI23" s="26">
        <v>51.1387</v>
      </c>
      <c r="AJ23" s="26">
        <v>100</v>
      </c>
      <c r="AK23" s="26">
        <v>59.144100000000002</v>
      </c>
      <c r="AL23" s="26">
        <v>100</v>
      </c>
      <c r="AM23" s="26">
        <v>100</v>
      </c>
      <c r="AN23" s="26">
        <v>100</v>
      </c>
      <c r="AO23" s="26">
        <v>100</v>
      </c>
      <c r="AP23" s="26">
        <v>62.936400000000013</v>
      </c>
      <c r="AQ23" s="26">
        <v>100</v>
      </c>
      <c r="AR23" s="26">
        <v>100</v>
      </c>
      <c r="AS23" s="26">
        <v>100</v>
      </c>
      <c r="AT23" s="26">
        <v>100</v>
      </c>
      <c r="AU23" s="26">
        <v>100</v>
      </c>
      <c r="AV23" s="26">
        <v>100</v>
      </c>
      <c r="AW23" s="26">
        <v>95.360908695652185</v>
      </c>
      <c r="AX23" s="17">
        <v>4386.6018000000004</v>
      </c>
    </row>
    <row r="24" spans="1:50" x14ac:dyDescent="0.25">
      <c r="A24" s="24">
        <v>23</v>
      </c>
      <c r="B24" s="26">
        <v>11</v>
      </c>
      <c r="C24" s="26">
        <v>100</v>
      </c>
      <c r="D24" s="26">
        <v>100</v>
      </c>
      <c r="E24" s="26">
        <v>100</v>
      </c>
      <c r="F24" s="26">
        <v>100</v>
      </c>
      <c r="G24" s="26">
        <v>100</v>
      </c>
      <c r="H24" s="26">
        <v>100</v>
      </c>
      <c r="I24" s="26">
        <v>100</v>
      </c>
      <c r="J24" s="26">
        <v>100</v>
      </c>
      <c r="K24" s="26">
        <v>100</v>
      </c>
      <c r="L24" s="26">
        <v>100</v>
      </c>
      <c r="M24" s="26">
        <v>100</v>
      </c>
      <c r="N24" s="26">
        <v>100</v>
      </c>
      <c r="O24" s="26">
        <v>92.110699999999994</v>
      </c>
      <c r="P24" s="26">
        <v>94.886300000000006</v>
      </c>
      <c r="Q24" s="26">
        <v>100</v>
      </c>
      <c r="R24" s="26">
        <v>100</v>
      </c>
      <c r="S24" s="26">
        <v>78.257900000000006</v>
      </c>
      <c r="T24" s="26">
        <v>100</v>
      </c>
      <c r="U24" s="26">
        <v>100</v>
      </c>
      <c r="V24" s="26">
        <v>100</v>
      </c>
      <c r="W24" s="26">
        <v>100</v>
      </c>
      <c r="X24" s="26">
        <v>100</v>
      </c>
      <c r="Y24" s="26">
        <v>100</v>
      </c>
      <c r="Z24" s="26">
        <v>100</v>
      </c>
      <c r="AA24" s="26">
        <v>100</v>
      </c>
      <c r="AB24" s="26">
        <v>100</v>
      </c>
      <c r="AC24" s="26">
        <v>100</v>
      </c>
      <c r="AD24" s="26">
        <v>94.268100000000004</v>
      </c>
      <c r="AE24" s="26">
        <v>100</v>
      </c>
      <c r="AF24" s="26">
        <v>100</v>
      </c>
      <c r="AG24" s="26">
        <v>100</v>
      </c>
      <c r="AH24" s="26">
        <v>100</v>
      </c>
      <c r="AI24" s="26">
        <v>64.140799999999999</v>
      </c>
      <c r="AJ24" s="26">
        <v>100</v>
      </c>
      <c r="AK24" s="26">
        <v>73.056699999999992</v>
      </c>
      <c r="AL24" s="26">
        <v>100</v>
      </c>
      <c r="AM24" s="26">
        <v>100</v>
      </c>
      <c r="AN24" s="26">
        <v>100</v>
      </c>
      <c r="AO24" s="26">
        <v>100</v>
      </c>
      <c r="AP24" s="26">
        <v>58.383899999999997</v>
      </c>
      <c r="AQ24" s="26">
        <v>100</v>
      </c>
      <c r="AR24" s="26">
        <v>100</v>
      </c>
      <c r="AS24" s="26">
        <v>100</v>
      </c>
      <c r="AT24" s="26">
        <v>100</v>
      </c>
      <c r="AU24" s="26">
        <v>100</v>
      </c>
      <c r="AV24" s="26">
        <v>100</v>
      </c>
      <c r="AW24" s="26">
        <v>96.85009565217392</v>
      </c>
      <c r="AX24" s="17">
        <v>4455.1044000000002</v>
      </c>
    </row>
    <row r="25" spans="1:50" x14ac:dyDescent="0.25">
      <c r="A25" s="24">
        <v>24</v>
      </c>
      <c r="B25" s="26">
        <v>11.5</v>
      </c>
      <c r="C25" s="26">
        <v>100</v>
      </c>
      <c r="D25" s="26">
        <v>100</v>
      </c>
      <c r="E25" s="26">
        <v>100</v>
      </c>
      <c r="F25" s="26">
        <v>100</v>
      </c>
      <c r="G25" s="26">
        <v>100</v>
      </c>
      <c r="H25" s="26">
        <v>100</v>
      </c>
      <c r="I25" s="26">
        <v>100</v>
      </c>
      <c r="J25" s="26">
        <v>100</v>
      </c>
      <c r="K25" s="26">
        <v>100</v>
      </c>
      <c r="L25" s="26">
        <v>100</v>
      </c>
      <c r="M25" s="26">
        <v>100</v>
      </c>
      <c r="N25" s="26">
        <v>100</v>
      </c>
      <c r="O25" s="26">
        <v>100</v>
      </c>
      <c r="P25" s="26">
        <v>100</v>
      </c>
      <c r="Q25" s="26">
        <v>100</v>
      </c>
      <c r="R25" s="26">
        <v>100</v>
      </c>
      <c r="S25" s="26">
        <v>83.233599999999996</v>
      </c>
      <c r="T25" s="26">
        <v>100</v>
      </c>
      <c r="U25" s="26">
        <v>100</v>
      </c>
      <c r="V25" s="26">
        <v>100</v>
      </c>
      <c r="W25" s="26">
        <v>100</v>
      </c>
      <c r="X25" s="26">
        <v>100</v>
      </c>
      <c r="Y25" s="26">
        <v>100</v>
      </c>
      <c r="Z25" s="26">
        <v>100</v>
      </c>
      <c r="AA25" s="26">
        <v>100</v>
      </c>
      <c r="AB25" s="26">
        <v>100</v>
      </c>
      <c r="AC25" s="26">
        <v>100</v>
      </c>
      <c r="AD25" s="26">
        <v>100</v>
      </c>
      <c r="AE25" s="26">
        <v>100</v>
      </c>
      <c r="AF25" s="26">
        <v>100</v>
      </c>
      <c r="AG25" s="26">
        <v>100</v>
      </c>
      <c r="AH25" s="26">
        <v>100</v>
      </c>
      <c r="AI25" s="26">
        <v>76.779299999999992</v>
      </c>
      <c r="AJ25" s="26">
        <v>100</v>
      </c>
      <c r="AK25" s="26">
        <v>89.26039999999999</v>
      </c>
      <c r="AL25" s="26">
        <v>100</v>
      </c>
      <c r="AM25" s="26">
        <v>100</v>
      </c>
      <c r="AN25" s="26">
        <v>100</v>
      </c>
      <c r="AO25" s="26">
        <v>100</v>
      </c>
      <c r="AP25" s="26">
        <v>68.2363</v>
      </c>
      <c r="AQ25" s="26">
        <v>100</v>
      </c>
      <c r="AR25" s="26">
        <v>100</v>
      </c>
      <c r="AS25" s="26">
        <v>100</v>
      </c>
      <c r="AT25" s="26">
        <v>100</v>
      </c>
      <c r="AU25" s="26">
        <v>100</v>
      </c>
      <c r="AV25" s="26">
        <v>100</v>
      </c>
      <c r="AW25" s="26">
        <v>98.206730434782614</v>
      </c>
      <c r="AX25" s="17">
        <v>4517.5096000000003</v>
      </c>
    </row>
    <row r="26" spans="1:50" x14ac:dyDescent="0.25">
      <c r="A26" s="24">
        <v>25</v>
      </c>
      <c r="B26" s="26">
        <v>12</v>
      </c>
      <c r="C26" s="26">
        <v>100</v>
      </c>
      <c r="D26" s="26">
        <v>100</v>
      </c>
      <c r="E26" s="26">
        <v>100</v>
      </c>
      <c r="F26" s="26">
        <v>100</v>
      </c>
      <c r="G26" s="26">
        <v>100</v>
      </c>
      <c r="H26" s="26">
        <v>100</v>
      </c>
      <c r="I26" s="26">
        <v>100</v>
      </c>
      <c r="J26" s="26">
        <v>100</v>
      </c>
      <c r="K26" s="26">
        <v>100</v>
      </c>
      <c r="L26" s="26">
        <v>100</v>
      </c>
      <c r="M26" s="26">
        <v>100</v>
      </c>
      <c r="N26" s="26">
        <v>100</v>
      </c>
      <c r="O26" s="26">
        <v>100</v>
      </c>
      <c r="P26" s="26">
        <v>100</v>
      </c>
      <c r="Q26" s="26">
        <v>100</v>
      </c>
      <c r="R26" s="26">
        <v>100</v>
      </c>
      <c r="S26" s="26">
        <v>75.134500000000003</v>
      </c>
      <c r="T26" s="26">
        <v>100</v>
      </c>
      <c r="U26" s="26">
        <v>100</v>
      </c>
      <c r="V26" s="26">
        <v>100</v>
      </c>
      <c r="W26" s="26">
        <v>100</v>
      </c>
      <c r="X26" s="26">
        <v>100</v>
      </c>
      <c r="Y26" s="26">
        <v>100</v>
      </c>
      <c r="Z26" s="26">
        <v>100</v>
      </c>
      <c r="AA26" s="26">
        <v>100</v>
      </c>
      <c r="AB26" s="26">
        <v>100</v>
      </c>
      <c r="AC26" s="26">
        <v>100</v>
      </c>
      <c r="AD26" s="26">
        <v>100</v>
      </c>
      <c r="AE26" s="26">
        <v>100</v>
      </c>
      <c r="AF26" s="26">
        <v>100</v>
      </c>
      <c r="AG26" s="26">
        <v>100</v>
      </c>
      <c r="AH26" s="26">
        <v>100</v>
      </c>
      <c r="AI26" s="26">
        <v>88.465400000000002</v>
      </c>
      <c r="AJ26" s="26">
        <v>100</v>
      </c>
      <c r="AK26" s="26">
        <v>100</v>
      </c>
      <c r="AL26" s="26">
        <v>100</v>
      </c>
      <c r="AM26" s="26">
        <v>100</v>
      </c>
      <c r="AN26" s="26">
        <v>100</v>
      </c>
      <c r="AO26" s="26">
        <v>100</v>
      </c>
      <c r="AP26" s="26">
        <v>80.907200000000003</v>
      </c>
      <c r="AQ26" s="26">
        <v>100</v>
      </c>
      <c r="AR26" s="26">
        <v>100</v>
      </c>
      <c r="AS26" s="26">
        <v>100</v>
      </c>
      <c r="AT26" s="26">
        <v>100</v>
      </c>
      <c r="AU26" s="26">
        <v>100</v>
      </c>
      <c r="AV26" s="26">
        <v>100</v>
      </c>
      <c r="AW26" s="26">
        <v>98.793632608695674</v>
      </c>
      <c r="AX26" s="17">
        <v>4544.5071000000007</v>
      </c>
    </row>
    <row r="27" spans="1:50" x14ac:dyDescent="0.25">
      <c r="A27" s="24">
        <v>26</v>
      </c>
      <c r="B27" s="26">
        <v>12.5</v>
      </c>
      <c r="C27" s="26">
        <v>100</v>
      </c>
      <c r="D27" s="26">
        <v>100</v>
      </c>
      <c r="E27" s="26">
        <v>100</v>
      </c>
      <c r="F27" s="26">
        <v>100</v>
      </c>
      <c r="G27" s="26">
        <v>100</v>
      </c>
      <c r="H27" s="26">
        <v>100</v>
      </c>
      <c r="I27" s="26">
        <v>100</v>
      </c>
      <c r="J27" s="26">
        <v>100</v>
      </c>
      <c r="K27" s="26">
        <v>100</v>
      </c>
      <c r="L27" s="26">
        <v>100</v>
      </c>
      <c r="M27" s="26">
        <v>100</v>
      </c>
      <c r="N27" s="26">
        <v>100</v>
      </c>
      <c r="O27" s="26">
        <v>100</v>
      </c>
      <c r="P27" s="26">
        <v>100</v>
      </c>
      <c r="Q27" s="26">
        <v>100</v>
      </c>
      <c r="R27" s="26">
        <v>100</v>
      </c>
      <c r="S27" s="26">
        <v>84.942499999999995</v>
      </c>
      <c r="T27" s="26">
        <v>100</v>
      </c>
      <c r="U27" s="26">
        <v>100</v>
      </c>
      <c r="V27" s="26">
        <v>100</v>
      </c>
      <c r="W27" s="26">
        <v>100</v>
      </c>
      <c r="X27" s="26">
        <v>100</v>
      </c>
      <c r="Y27" s="26">
        <v>100</v>
      </c>
      <c r="Z27" s="26">
        <v>100</v>
      </c>
      <c r="AA27" s="26">
        <v>100</v>
      </c>
      <c r="AB27" s="26">
        <v>100</v>
      </c>
      <c r="AC27" s="26">
        <v>100</v>
      </c>
      <c r="AD27" s="26">
        <v>100</v>
      </c>
      <c r="AE27" s="26">
        <v>100</v>
      </c>
      <c r="AF27" s="26">
        <v>100</v>
      </c>
      <c r="AG27" s="26">
        <v>100</v>
      </c>
      <c r="AH27" s="26">
        <v>100</v>
      </c>
      <c r="AI27" s="26">
        <v>99.140100000000004</v>
      </c>
      <c r="AJ27" s="26">
        <v>100</v>
      </c>
      <c r="AK27" s="26">
        <v>100</v>
      </c>
      <c r="AL27" s="26">
        <v>100</v>
      </c>
      <c r="AM27" s="26">
        <v>100</v>
      </c>
      <c r="AN27" s="26">
        <v>100</v>
      </c>
      <c r="AO27" s="26">
        <v>100</v>
      </c>
      <c r="AP27" s="26">
        <v>94.922399999999996</v>
      </c>
      <c r="AQ27" s="26">
        <v>100</v>
      </c>
      <c r="AR27" s="26">
        <v>100</v>
      </c>
      <c r="AS27" s="26">
        <v>100</v>
      </c>
      <c r="AT27" s="26">
        <v>100</v>
      </c>
      <c r="AU27" s="26">
        <v>100</v>
      </c>
      <c r="AV27" s="26">
        <v>100</v>
      </c>
      <c r="AW27" s="26">
        <v>99.543586956521736</v>
      </c>
      <c r="AX27" s="17">
        <v>4579.0050000000001</v>
      </c>
    </row>
    <row r="28" spans="1:50" x14ac:dyDescent="0.25">
      <c r="A28" s="24">
        <v>27</v>
      </c>
      <c r="B28" s="26">
        <v>13</v>
      </c>
      <c r="C28" s="26">
        <v>100</v>
      </c>
      <c r="D28" s="26">
        <v>100</v>
      </c>
      <c r="E28" s="26">
        <v>100</v>
      </c>
      <c r="F28" s="26">
        <v>100</v>
      </c>
      <c r="G28" s="26">
        <v>100</v>
      </c>
      <c r="H28" s="26">
        <v>100</v>
      </c>
      <c r="I28" s="26">
        <v>100</v>
      </c>
      <c r="J28" s="26">
        <v>100</v>
      </c>
      <c r="K28" s="26">
        <v>100</v>
      </c>
      <c r="L28" s="26">
        <v>100</v>
      </c>
      <c r="M28" s="26">
        <v>100</v>
      </c>
      <c r="N28" s="26">
        <v>100</v>
      </c>
      <c r="O28" s="26">
        <v>100</v>
      </c>
      <c r="P28" s="26">
        <v>100</v>
      </c>
      <c r="Q28" s="26">
        <v>100</v>
      </c>
      <c r="R28" s="26">
        <v>100</v>
      </c>
      <c r="S28" s="26">
        <v>93.612799999999993</v>
      </c>
      <c r="T28" s="26">
        <v>100</v>
      </c>
      <c r="U28" s="26">
        <v>100</v>
      </c>
      <c r="V28" s="26">
        <v>100</v>
      </c>
      <c r="W28" s="26">
        <v>100</v>
      </c>
      <c r="X28" s="26">
        <v>100</v>
      </c>
      <c r="Y28" s="26">
        <v>100</v>
      </c>
      <c r="Z28" s="26">
        <v>100</v>
      </c>
      <c r="AA28" s="26">
        <v>100</v>
      </c>
      <c r="AB28" s="26">
        <v>100</v>
      </c>
      <c r="AC28" s="26">
        <v>100</v>
      </c>
      <c r="AD28" s="26">
        <v>100</v>
      </c>
      <c r="AE28" s="26">
        <v>100</v>
      </c>
      <c r="AF28" s="26">
        <v>100</v>
      </c>
      <c r="AG28" s="26">
        <v>100</v>
      </c>
      <c r="AH28" s="26">
        <v>100</v>
      </c>
      <c r="AI28" s="26">
        <v>100</v>
      </c>
      <c r="AJ28" s="26">
        <v>100</v>
      </c>
      <c r="AK28" s="26">
        <v>100</v>
      </c>
      <c r="AL28" s="26">
        <v>100</v>
      </c>
      <c r="AM28" s="26">
        <v>100</v>
      </c>
      <c r="AN28" s="26">
        <v>100</v>
      </c>
      <c r="AO28" s="26">
        <v>100</v>
      </c>
      <c r="AP28" s="26">
        <v>100</v>
      </c>
      <c r="AQ28" s="26">
        <v>100</v>
      </c>
      <c r="AR28" s="26">
        <v>100</v>
      </c>
      <c r="AS28" s="26">
        <v>100</v>
      </c>
      <c r="AT28" s="26">
        <v>100</v>
      </c>
      <c r="AU28" s="26">
        <v>100</v>
      </c>
      <c r="AV28" s="26">
        <v>100</v>
      </c>
      <c r="AW28" s="26">
        <v>99.861147826086949</v>
      </c>
      <c r="AX28" s="17">
        <v>4593.6127999999999</v>
      </c>
    </row>
    <row r="29" spans="1:50" x14ac:dyDescent="0.25">
      <c r="A29" s="24">
        <v>28</v>
      </c>
      <c r="B29" s="26">
        <v>13.5</v>
      </c>
      <c r="C29" s="26">
        <v>100</v>
      </c>
      <c r="D29" s="26">
        <v>100</v>
      </c>
      <c r="E29" s="26">
        <v>100</v>
      </c>
      <c r="F29" s="26">
        <v>100</v>
      </c>
      <c r="G29" s="26">
        <v>100</v>
      </c>
      <c r="H29" s="26">
        <v>100</v>
      </c>
      <c r="I29" s="26">
        <v>100</v>
      </c>
      <c r="J29" s="26">
        <v>100</v>
      </c>
      <c r="K29" s="26">
        <v>100</v>
      </c>
      <c r="L29" s="26">
        <v>100</v>
      </c>
      <c r="M29" s="26">
        <v>100</v>
      </c>
      <c r="N29" s="26">
        <v>100</v>
      </c>
      <c r="O29" s="26">
        <v>100</v>
      </c>
      <c r="P29" s="26">
        <v>100</v>
      </c>
      <c r="Q29" s="26">
        <v>100</v>
      </c>
      <c r="R29" s="26">
        <v>100</v>
      </c>
      <c r="S29" s="26">
        <v>100</v>
      </c>
      <c r="T29" s="26">
        <v>100</v>
      </c>
      <c r="U29" s="26">
        <v>100</v>
      </c>
      <c r="V29" s="26">
        <v>100</v>
      </c>
      <c r="W29" s="26">
        <v>100</v>
      </c>
      <c r="X29" s="26">
        <v>100</v>
      </c>
      <c r="Y29" s="26">
        <v>100</v>
      </c>
      <c r="Z29" s="26">
        <v>100</v>
      </c>
      <c r="AA29" s="26">
        <v>100</v>
      </c>
      <c r="AB29" s="26">
        <v>100</v>
      </c>
      <c r="AC29" s="26">
        <v>100</v>
      </c>
      <c r="AD29" s="26">
        <v>100</v>
      </c>
      <c r="AE29" s="26">
        <v>100</v>
      </c>
      <c r="AF29" s="26">
        <v>100</v>
      </c>
      <c r="AG29" s="26">
        <v>100</v>
      </c>
      <c r="AH29" s="26">
        <v>100</v>
      </c>
      <c r="AI29" s="26">
        <v>100</v>
      </c>
      <c r="AJ29" s="26">
        <v>100</v>
      </c>
      <c r="AK29" s="26">
        <v>100</v>
      </c>
      <c r="AL29" s="26">
        <v>100</v>
      </c>
      <c r="AM29" s="26">
        <v>100</v>
      </c>
      <c r="AN29" s="26">
        <v>100</v>
      </c>
      <c r="AO29" s="26">
        <v>100</v>
      </c>
      <c r="AP29" s="26">
        <v>100</v>
      </c>
      <c r="AQ29" s="26">
        <v>100</v>
      </c>
      <c r="AR29" s="26">
        <v>100</v>
      </c>
      <c r="AS29" s="26">
        <v>100</v>
      </c>
      <c r="AT29" s="26">
        <v>100</v>
      </c>
      <c r="AU29" s="26">
        <v>100</v>
      </c>
      <c r="AV29" s="26">
        <v>100</v>
      </c>
      <c r="AW29" s="26">
        <v>100</v>
      </c>
      <c r="AX29" s="17">
        <v>4600</v>
      </c>
    </row>
    <row r="30" spans="1:50" x14ac:dyDescent="0.25">
      <c r="A30" s="24">
        <v>29</v>
      </c>
      <c r="B30" s="26">
        <v>14</v>
      </c>
      <c r="C30" s="26">
        <v>100</v>
      </c>
      <c r="D30" s="26">
        <v>100</v>
      </c>
      <c r="E30" s="26">
        <v>100</v>
      </c>
      <c r="F30" s="26">
        <v>100</v>
      </c>
      <c r="G30" s="26">
        <v>100</v>
      </c>
      <c r="H30" s="26">
        <v>100</v>
      </c>
      <c r="I30" s="26">
        <v>100</v>
      </c>
      <c r="J30" s="26">
        <v>100</v>
      </c>
      <c r="K30" s="26">
        <v>100</v>
      </c>
      <c r="L30" s="26">
        <v>100</v>
      </c>
      <c r="M30" s="26">
        <v>100</v>
      </c>
      <c r="N30" s="26">
        <v>100</v>
      </c>
      <c r="O30" s="26">
        <v>100</v>
      </c>
      <c r="P30" s="26">
        <v>100</v>
      </c>
      <c r="Q30" s="26">
        <v>100</v>
      </c>
      <c r="R30" s="26">
        <v>100</v>
      </c>
      <c r="S30" s="26">
        <v>100</v>
      </c>
      <c r="T30" s="26">
        <v>100</v>
      </c>
      <c r="U30" s="26">
        <v>100</v>
      </c>
      <c r="V30" s="26">
        <v>100</v>
      </c>
      <c r="W30" s="26">
        <v>100</v>
      </c>
      <c r="X30" s="26">
        <v>100</v>
      </c>
      <c r="Y30" s="26">
        <v>100</v>
      </c>
      <c r="Z30" s="26">
        <v>100</v>
      </c>
      <c r="AA30" s="26">
        <v>100</v>
      </c>
      <c r="AB30" s="26">
        <v>100</v>
      </c>
      <c r="AC30" s="26">
        <v>100</v>
      </c>
      <c r="AD30" s="26">
        <v>100</v>
      </c>
      <c r="AE30" s="26">
        <v>100</v>
      </c>
      <c r="AF30" s="26">
        <v>100</v>
      </c>
      <c r="AG30" s="26">
        <v>100</v>
      </c>
      <c r="AH30" s="26">
        <v>100</v>
      </c>
      <c r="AI30" s="26">
        <v>100</v>
      </c>
      <c r="AJ30" s="26">
        <v>100</v>
      </c>
      <c r="AK30" s="26">
        <v>100</v>
      </c>
      <c r="AL30" s="26">
        <v>100</v>
      </c>
      <c r="AM30" s="26">
        <v>100</v>
      </c>
      <c r="AN30" s="26">
        <v>100</v>
      </c>
      <c r="AO30" s="26">
        <v>100</v>
      </c>
      <c r="AP30" s="26">
        <v>100</v>
      </c>
      <c r="AQ30" s="26">
        <v>100</v>
      </c>
      <c r="AR30" s="26">
        <v>100</v>
      </c>
      <c r="AS30" s="26">
        <v>100</v>
      </c>
      <c r="AT30" s="26">
        <v>100</v>
      </c>
      <c r="AU30" s="26">
        <v>100</v>
      </c>
      <c r="AV30" s="26">
        <v>100</v>
      </c>
      <c r="AW30" s="26">
        <v>100</v>
      </c>
      <c r="AX30" s="17">
        <v>4600</v>
      </c>
    </row>
    <row r="31" spans="1:50" x14ac:dyDescent="0.25">
      <c r="A31" s="24">
        <v>30</v>
      </c>
      <c r="B31" s="26">
        <v>14.5</v>
      </c>
      <c r="C31" s="26">
        <v>100</v>
      </c>
      <c r="D31" s="26">
        <v>100</v>
      </c>
      <c r="E31" s="26">
        <v>100</v>
      </c>
      <c r="F31" s="26">
        <v>100</v>
      </c>
      <c r="G31" s="26">
        <v>100</v>
      </c>
      <c r="H31" s="26">
        <v>100</v>
      </c>
      <c r="I31" s="26">
        <v>100</v>
      </c>
      <c r="J31" s="26">
        <v>100</v>
      </c>
      <c r="K31" s="26">
        <v>100</v>
      </c>
      <c r="L31" s="26">
        <v>100</v>
      </c>
      <c r="M31" s="26">
        <v>100</v>
      </c>
      <c r="N31" s="26">
        <v>100</v>
      </c>
      <c r="O31" s="26">
        <v>100</v>
      </c>
      <c r="P31" s="26">
        <v>100</v>
      </c>
      <c r="Q31" s="26">
        <v>100</v>
      </c>
      <c r="R31" s="26">
        <v>100</v>
      </c>
      <c r="S31" s="26">
        <v>100</v>
      </c>
      <c r="T31" s="26">
        <v>100</v>
      </c>
      <c r="U31" s="26">
        <v>100</v>
      </c>
      <c r="V31" s="26">
        <v>100</v>
      </c>
      <c r="W31" s="26">
        <v>100</v>
      </c>
      <c r="X31" s="26">
        <v>100</v>
      </c>
      <c r="Y31" s="26">
        <v>100</v>
      </c>
      <c r="Z31" s="26">
        <v>100</v>
      </c>
      <c r="AA31" s="26">
        <v>100</v>
      </c>
      <c r="AB31" s="26">
        <v>100</v>
      </c>
      <c r="AC31" s="26">
        <v>100</v>
      </c>
      <c r="AD31" s="26">
        <v>100</v>
      </c>
      <c r="AE31" s="26">
        <v>100</v>
      </c>
      <c r="AF31" s="26">
        <v>100</v>
      </c>
      <c r="AG31" s="26">
        <v>100</v>
      </c>
      <c r="AH31" s="26">
        <v>100</v>
      </c>
      <c r="AI31" s="26">
        <v>100</v>
      </c>
      <c r="AJ31" s="26">
        <v>100</v>
      </c>
      <c r="AK31" s="26">
        <v>100</v>
      </c>
      <c r="AL31" s="26">
        <v>100</v>
      </c>
      <c r="AM31" s="26">
        <v>100</v>
      </c>
      <c r="AN31" s="26">
        <v>100</v>
      </c>
      <c r="AO31" s="26">
        <v>100</v>
      </c>
      <c r="AP31" s="26">
        <v>100</v>
      </c>
      <c r="AQ31" s="26">
        <v>100</v>
      </c>
      <c r="AR31" s="26">
        <v>100</v>
      </c>
      <c r="AS31" s="26">
        <v>100</v>
      </c>
      <c r="AT31" s="26">
        <v>100</v>
      </c>
      <c r="AU31" s="26">
        <v>100</v>
      </c>
      <c r="AV31" s="26">
        <v>100</v>
      </c>
      <c r="AW31" s="26">
        <v>100</v>
      </c>
      <c r="AX31" s="17">
        <v>4600</v>
      </c>
    </row>
    <row r="32" spans="1:50" x14ac:dyDescent="0.25">
      <c r="A32" s="24">
        <v>31</v>
      </c>
      <c r="B32" s="26">
        <v>15</v>
      </c>
      <c r="C32" s="26">
        <v>100</v>
      </c>
      <c r="D32" s="26">
        <v>100</v>
      </c>
      <c r="E32" s="26">
        <v>100</v>
      </c>
      <c r="F32" s="26">
        <v>100</v>
      </c>
      <c r="G32" s="26">
        <v>100</v>
      </c>
      <c r="H32" s="26">
        <v>100</v>
      </c>
      <c r="I32" s="26">
        <v>100</v>
      </c>
      <c r="J32" s="26">
        <v>100</v>
      </c>
      <c r="K32" s="26">
        <v>100</v>
      </c>
      <c r="L32" s="26">
        <v>100</v>
      </c>
      <c r="M32" s="26">
        <v>100</v>
      </c>
      <c r="N32" s="26">
        <v>100</v>
      </c>
      <c r="O32" s="26">
        <v>100</v>
      </c>
      <c r="P32" s="26">
        <v>100</v>
      </c>
      <c r="Q32" s="26">
        <v>100</v>
      </c>
      <c r="R32" s="26">
        <v>100</v>
      </c>
      <c r="S32" s="26">
        <v>100</v>
      </c>
      <c r="T32" s="26">
        <v>100</v>
      </c>
      <c r="U32" s="26">
        <v>100</v>
      </c>
      <c r="V32" s="26">
        <v>100</v>
      </c>
      <c r="W32" s="26">
        <v>100</v>
      </c>
      <c r="X32" s="26">
        <v>100</v>
      </c>
      <c r="Y32" s="26">
        <v>100</v>
      </c>
      <c r="Z32" s="26">
        <v>100</v>
      </c>
      <c r="AA32" s="26">
        <v>100</v>
      </c>
      <c r="AB32" s="26">
        <v>100</v>
      </c>
      <c r="AC32" s="26">
        <v>100</v>
      </c>
      <c r="AD32" s="26">
        <v>100</v>
      </c>
      <c r="AE32" s="26">
        <v>100</v>
      </c>
      <c r="AF32" s="26">
        <v>100</v>
      </c>
      <c r="AG32" s="26">
        <v>100</v>
      </c>
      <c r="AH32" s="26">
        <v>100</v>
      </c>
      <c r="AI32" s="26">
        <v>96.718199999999996</v>
      </c>
      <c r="AJ32" s="26">
        <v>100</v>
      </c>
      <c r="AK32" s="26">
        <v>100</v>
      </c>
      <c r="AL32" s="26">
        <v>100</v>
      </c>
      <c r="AM32" s="26">
        <v>100</v>
      </c>
      <c r="AN32" s="26">
        <v>100</v>
      </c>
      <c r="AO32" s="26">
        <v>100</v>
      </c>
      <c r="AP32" s="26">
        <v>100</v>
      </c>
      <c r="AQ32" s="26">
        <v>100</v>
      </c>
      <c r="AR32" s="26">
        <v>100</v>
      </c>
      <c r="AS32" s="26">
        <v>100</v>
      </c>
      <c r="AT32" s="26">
        <v>100</v>
      </c>
      <c r="AU32" s="26">
        <v>100</v>
      </c>
      <c r="AV32" s="26">
        <v>100</v>
      </c>
      <c r="AW32" s="26">
        <v>99.928656521739114</v>
      </c>
      <c r="AX32" s="17">
        <v>4596.7181999999993</v>
      </c>
    </row>
    <row r="33" spans="1:50" x14ac:dyDescent="0.25">
      <c r="A33" s="24">
        <v>32</v>
      </c>
      <c r="B33" s="26">
        <v>15.5</v>
      </c>
      <c r="C33" s="26">
        <v>100</v>
      </c>
      <c r="D33" s="26">
        <v>94.486499999999992</v>
      </c>
      <c r="E33" s="26">
        <v>100</v>
      </c>
      <c r="F33" s="26">
        <v>100</v>
      </c>
      <c r="G33" s="26">
        <v>100</v>
      </c>
      <c r="H33" s="26">
        <v>100</v>
      </c>
      <c r="I33" s="26">
        <v>100</v>
      </c>
      <c r="J33" s="26">
        <v>100</v>
      </c>
      <c r="K33" s="26">
        <v>100</v>
      </c>
      <c r="L33" s="26">
        <v>100</v>
      </c>
      <c r="M33" s="26">
        <v>100</v>
      </c>
      <c r="N33" s="26">
        <v>100</v>
      </c>
      <c r="O33" s="26">
        <v>100</v>
      </c>
      <c r="P33" s="26">
        <v>100</v>
      </c>
      <c r="Q33" s="26">
        <v>100</v>
      </c>
      <c r="R33" s="26">
        <v>100</v>
      </c>
      <c r="S33" s="26">
        <v>100</v>
      </c>
      <c r="T33" s="26">
        <v>100</v>
      </c>
      <c r="U33" s="26">
        <v>100</v>
      </c>
      <c r="V33" s="26">
        <v>100</v>
      </c>
      <c r="W33" s="26">
        <v>100</v>
      </c>
      <c r="X33" s="26">
        <v>100</v>
      </c>
      <c r="Y33" s="26">
        <v>100</v>
      </c>
      <c r="Z33" s="26">
        <v>100</v>
      </c>
      <c r="AA33" s="26">
        <v>100</v>
      </c>
      <c r="AB33" s="26">
        <v>100</v>
      </c>
      <c r="AC33" s="26">
        <v>100</v>
      </c>
      <c r="AD33" s="26">
        <v>100</v>
      </c>
      <c r="AE33" s="26">
        <v>100</v>
      </c>
      <c r="AF33" s="26">
        <v>100</v>
      </c>
      <c r="AG33" s="26">
        <v>100</v>
      </c>
      <c r="AH33" s="26">
        <v>100</v>
      </c>
      <c r="AI33" s="26">
        <v>100</v>
      </c>
      <c r="AJ33" s="26">
        <v>100</v>
      </c>
      <c r="AK33" s="26">
        <v>100</v>
      </c>
      <c r="AL33" s="26">
        <v>100</v>
      </c>
      <c r="AM33" s="26">
        <v>100</v>
      </c>
      <c r="AN33" s="26">
        <v>100</v>
      </c>
      <c r="AO33" s="26">
        <v>100</v>
      </c>
      <c r="AP33" s="26">
        <v>100</v>
      </c>
      <c r="AQ33" s="26">
        <v>100</v>
      </c>
      <c r="AR33" s="26">
        <v>100</v>
      </c>
      <c r="AS33" s="26">
        <v>100</v>
      </c>
      <c r="AT33" s="26">
        <v>100</v>
      </c>
      <c r="AU33" s="26">
        <v>100</v>
      </c>
      <c r="AV33" s="26">
        <v>100</v>
      </c>
      <c r="AW33" s="26">
        <v>99.880141304347831</v>
      </c>
      <c r="AX33" s="17">
        <v>4594.4865</v>
      </c>
    </row>
    <row r="34" spans="1:50" x14ac:dyDescent="0.25">
      <c r="A34" s="24">
        <v>33</v>
      </c>
      <c r="B34" s="26">
        <v>16</v>
      </c>
      <c r="C34" s="26">
        <v>100</v>
      </c>
      <c r="D34" s="26">
        <v>100</v>
      </c>
      <c r="E34" s="26">
        <v>100</v>
      </c>
      <c r="F34" s="26">
        <v>100</v>
      </c>
      <c r="G34" s="26">
        <v>100</v>
      </c>
      <c r="H34" s="26">
        <v>100</v>
      </c>
      <c r="I34" s="26">
        <v>100</v>
      </c>
      <c r="J34" s="26">
        <v>100</v>
      </c>
      <c r="K34" s="26">
        <v>100</v>
      </c>
      <c r="L34" s="26">
        <v>100</v>
      </c>
      <c r="M34" s="26">
        <v>100</v>
      </c>
      <c r="N34" s="26">
        <v>100</v>
      </c>
      <c r="O34" s="26">
        <v>100</v>
      </c>
      <c r="P34" s="26">
        <v>100</v>
      </c>
      <c r="Q34" s="26">
        <v>100</v>
      </c>
      <c r="R34" s="26">
        <v>100</v>
      </c>
      <c r="S34" s="26">
        <v>100</v>
      </c>
      <c r="T34" s="26">
        <v>100</v>
      </c>
      <c r="U34" s="26">
        <v>100</v>
      </c>
      <c r="V34" s="26">
        <v>100</v>
      </c>
      <c r="W34" s="26">
        <v>100</v>
      </c>
      <c r="X34" s="26">
        <v>100</v>
      </c>
      <c r="Y34" s="26">
        <v>100</v>
      </c>
      <c r="Z34" s="26">
        <v>100</v>
      </c>
      <c r="AA34" s="26">
        <v>100</v>
      </c>
      <c r="AB34" s="26">
        <v>100</v>
      </c>
      <c r="AC34" s="26">
        <v>100</v>
      </c>
      <c r="AD34" s="26">
        <v>100</v>
      </c>
      <c r="AE34" s="26">
        <v>100</v>
      </c>
      <c r="AF34" s="26">
        <v>100</v>
      </c>
      <c r="AG34" s="26">
        <v>100</v>
      </c>
      <c r="AH34" s="26">
        <v>100</v>
      </c>
      <c r="AI34" s="26">
        <v>100</v>
      </c>
      <c r="AJ34" s="26">
        <v>100</v>
      </c>
      <c r="AK34" s="26">
        <v>100</v>
      </c>
      <c r="AL34" s="26">
        <v>100</v>
      </c>
      <c r="AM34" s="26">
        <v>100</v>
      </c>
      <c r="AN34" s="26">
        <v>100</v>
      </c>
      <c r="AO34" s="26">
        <v>100</v>
      </c>
      <c r="AP34" s="26">
        <v>100</v>
      </c>
      <c r="AQ34" s="26">
        <v>100</v>
      </c>
      <c r="AR34" s="26">
        <v>100</v>
      </c>
      <c r="AS34" s="26">
        <v>100</v>
      </c>
      <c r="AT34" s="26">
        <v>100</v>
      </c>
      <c r="AU34" s="26">
        <v>100</v>
      </c>
      <c r="AV34" s="26">
        <v>100</v>
      </c>
      <c r="AW34" s="26">
        <v>100</v>
      </c>
      <c r="AX34" s="17">
        <v>4600</v>
      </c>
    </row>
    <row r="35" spans="1:50" x14ac:dyDescent="0.25">
      <c r="A35" s="24">
        <v>34</v>
      </c>
      <c r="B35" s="26">
        <v>16.5</v>
      </c>
      <c r="C35" s="26">
        <v>100</v>
      </c>
      <c r="D35" s="26">
        <v>100</v>
      </c>
      <c r="E35" s="26">
        <v>100</v>
      </c>
      <c r="F35" s="26">
        <v>100</v>
      </c>
      <c r="G35" s="26">
        <v>100</v>
      </c>
      <c r="H35" s="26">
        <v>100</v>
      </c>
      <c r="I35" s="26">
        <v>100</v>
      </c>
      <c r="J35" s="26">
        <v>100</v>
      </c>
      <c r="K35" s="26">
        <v>100</v>
      </c>
      <c r="L35" s="26">
        <v>100</v>
      </c>
      <c r="M35" s="26">
        <v>100</v>
      </c>
      <c r="N35" s="26">
        <v>100</v>
      </c>
      <c r="O35" s="26">
        <v>100</v>
      </c>
      <c r="P35" s="26">
        <v>100</v>
      </c>
      <c r="Q35" s="26">
        <v>100</v>
      </c>
      <c r="R35" s="26">
        <v>100</v>
      </c>
      <c r="S35" s="26">
        <v>100</v>
      </c>
      <c r="T35" s="26">
        <v>100</v>
      </c>
      <c r="U35" s="26">
        <v>100</v>
      </c>
      <c r="V35" s="26">
        <v>100</v>
      </c>
      <c r="W35" s="26">
        <v>100</v>
      </c>
      <c r="X35" s="26">
        <v>100</v>
      </c>
      <c r="Y35" s="26">
        <v>100</v>
      </c>
      <c r="Z35" s="26">
        <v>100</v>
      </c>
      <c r="AA35" s="26">
        <v>100</v>
      </c>
      <c r="AB35" s="26">
        <v>100</v>
      </c>
      <c r="AC35" s="26">
        <v>100</v>
      </c>
      <c r="AD35" s="26">
        <v>100</v>
      </c>
      <c r="AE35" s="26">
        <v>100</v>
      </c>
      <c r="AF35" s="26">
        <v>100</v>
      </c>
      <c r="AG35" s="26">
        <v>100</v>
      </c>
      <c r="AH35" s="26">
        <v>100</v>
      </c>
      <c r="AI35" s="26">
        <v>96.103099999999998</v>
      </c>
      <c r="AJ35" s="26">
        <v>100</v>
      </c>
      <c r="AK35" s="26">
        <v>100</v>
      </c>
      <c r="AL35" s="26">
        <v>100</v>
      </c>
      <c r="AM35" s="26">
        <v>100</v>
      </c>
      <c r="AN35" s="26">
        <v>100</v>
      </c>
      <c r="AO35" s="26">
        <v>100</v>
      </c>
      <c r="AP35" s="26">
        <v>100</v>
      </c>
      <c r="AQ35" s="26">
        <v>100</v>
      </c>
      <c r="AR35" s="26">
        <v>100</v>
      </c>
      <c r="AS35" s="26">
        <v>100</v>
      </c>
      <c r="AT35" s="26">
        <v>100</v>
      </c>
      <c r="AU35" s="26">
        <v>100</v>
      </c>
      <c r="AV35" s="26">
        <v>100</v>
      </c>
      <c r="AW35" s="26">
        <v>99.915284782608708</v>
      </c>
      <c r="AX35" s="17">
        <v>4596.1031000000003</v>
      </c>
    </row>
    <row r="36" spans="1:50" x14ac:dyDescent="0.25">
      <c r="A36" s="24">
        <v>35</v>
      </c>
      <c r="B36" s="26">
        <v>17</v>
      </c>
      <c r="C36" s="26">
        <v>100</v>
      </c>
      <c r="D36" s="26">
        <v>100</v>
      </c>
      <c r="E36" s="26">
        <v>100</v>
      </c>
      <c r="F36" s="26">
        <v>100</v>
      </c>
      <c r="G36" s="26">
        <v>100</v>
      </c>
      <c r="H36" s="26">
        <v>100</v>
      </c>
      <c r="I36" s="26">
        <v>100</v>
      </c>
      <c r="J36" s="26">
        <v>100</v>
      </c>
      <c r="K36" s="26">
        <v>100</v>
      </c>
      <c r="L36" s="26">
        <v>100</v>
      </c>
      <c r="M36" s="26">
        <v>100</v>
      </c>
      <c r="N36" s="26">
        <v>100</v>
      </c>
      <c r="O36" s="26">
        <v>100</v>
      </c>
      <c r="P36" s="26">
        <v>100</v>
      </c>
      <c r="Q36" s="26">
        <v>100</v>
      </c>
      <c r="R36" s="26">
        <v>100</v>
      </c>
      <c r="S36" s="26">
        <v>100</v>
      </c>
      <c r="T36" s="26">
        <v>100</v>
      </c>
      <c r="U36" s="26">
        <v>100</v>
      </c>
      <c r="V36" s="26">
        <v>100</v>
      </c>
      <c r="W36" s="26">
        <v>100</v>
      </c>
      <c r="X36" s="26">
        <v>100</v>
      </c>
      <c r="Y36" s="26">
        <v>100</v>
      </c>
      <c r="Z36" s="26">
        <v>100</v>
      </c>
      <c r="AA36" s="26">
        <v>100</v>
      </c>
      <c r="AB36" s="26">
        <v>100</v>
      </c>
      <c r="AC36" s="26">
        <v>100</v>
      </c>
      <c r="AD36" s="26">
        <v>100</v>
      </c>
      <c r="AE36" s="26">
        <v>100</v>
      </c>
      <c r="AF36" s="26">
        <v>100</v>
      </c>
      <c r="AG36" s="26">
        <v>100</v>
      </c>
      <c r="AH36" s="26">
        <v>100</v>
      </c>
      <c r="AI36" s="26">
        <v>97.359300000000005</v>
      </c>
      <c r="AJ36" s="26">
        <v>100</v>
      </c>
      <c r="AK36" s="26">
        <v>100</v>
      </c>
      <c r="AL36" s="26">
        <v>100</v>
      </c>
      <c r="AM36" s="26">
        <v>100</v>
      </c>
      <c r="AN36" s="26">
        <v>97.566800000000001</v>
      </c>
      <c r="AO36" s="26">
        <v>100</v>
      </c>
      <c r="AP36" s="26">
        <v>100</v>
      </c>
      <c r="AQ36" s="26">
        <v>100</v>
      </c>
      <c r="AR36" s="26">
        <v>100</v>
      </c>
      <c r="AS36" s="26">
        <v>100</v>
      </c>
      <c r="AT36" s="26">
        <v>100</v>
      </c>
      <c r="AU36" s="26">
        <v>100</v>
      </c>
      <c r="AV36" s="26">
        <v>100</v>
      </c>
      <c r="AW36" s="26">
        <v>99.889697826086973</v>
      </c>
      <c r="AX36" s="17">
        <v>4594.9261000000006</v>
      </c>
    </row>
    <row r="37" spans="1:50" x14ac:dyDescent="0.25">
      <c r="A37" s="24">
        <v>36</v>
      </c>
      <c r="B37" s="26">
        <v>17.5</v>
      </c>
      <c r="C37" s="26">
        <v>100</v>
      </c>
      <c r="D37" s="26">
        <v>100</v>
      </c>
      <c r="E37" s="26">
        <v>100</v>
      </c>
      <c r="F37" s="26">
        <v>100</v>
      </c>
      <c r="G37" s="26">
        <v>100</v>
      </c>
      <c r="H37" s="26">
        <v>100</v>
      </c>
      <c r="I37" s="26">
        <v>100</v>
      </c>
      <c r="J37" s="26">
        <v>85.649699999999996</v>
      </c>
      <c r="K37" s="26">
        <v>100</v>
      </c>
      <c r="L37" s="26">
        <v>100</v>
      </c>
      <c r="M37" s="26">
        <v>100</v>
      </c>
      <c r="N37" s="26">
        <v>100</v>
      </c>
      <c r="O37" s="26">
        <v>100</v>
      </c>
      <c r="P37" s="26">
        <v>100</v>
      </c>
      <c r="Q37" s="26">
        <v>100</v>
      </c>
      <c r="R37" s="26">
        <v>100</v>
      </c>
      <c r="S37" s="26">
        <v>100</v>
      </c>
      <c r="T37" s="26">
        <v>100</v>
      </c>
      <c r="U37" s="26">
        <v>100</v>
      </c>
      <c r="V37" s="26">
        <v>100</v>
      </c>
      <c r="W37" s="26">
        <v>100</v>
      </c>
      <c r="X37" s="26">
        <v>100</v>
      </c>
      <c r="Y37" s="26">
        <v>100</v>
      </c>
      <c r="Z37" s="26">
        <v>100</v>
      </c>
      <c r="AA37" s="26">
        <v>100</v>
      </c>
      <c r="AB37" s="26">
        <v>100</v>
      </c>
      <c r="AC37" s="26">
        <v>100</v>
      </c>
      <c r="AD37" s="26">
        <v>100</v>
      </c>
      <c r="AE37" s="26">
        <v>100</v>
      </c>
      <c r="AF37" s="26">
        <v>100</v>
      </c>
      <c r="AG37" s="26">
        <v>100</v>
      </c>
      <c r="AH37" s="26">
        <v>100</v>
      </c>
      <c r="AI37" s="26">
        <v>99.886600000000001</v>
      </c>
      <c r="AJ37" s="26">
        <v>100</v>
      </c>
      <c r="AK37" s="26">
        <v>100</v>
      </c>
      <c r="AL37" s="26">
        <v>100</v>
      </c>
      <c r="AM37" s="26">
        <v>100</v>
      </c>
      <c r="AN37" s="26">
        <v>100</v>
      </c>
      <c r="AO37" s="26">
        <v>100</v>
      </c>
      <c r="AP37" s="26">
        <v>100</v>
      </c>
      <c r="AQ37" s="26">
        <v>100</v>
      </c>
      <c r="AR37" s="26">
        <v>100</v>
      </c>
      <c r="AS37" s="26">
        <v>96.332999999999998</v>
      </c>
      <c r="AT37" s="26">
        <v>100</v>
      </c>
      <c r="AU37" s="26">
        <v>100</v>
      </c>
      <c r="AV37" s="26">
        <v>100</v>
      </c>
      <c r="AW37" s="26">
        <v>99.605854347826067</v>
      </c>
      <c r="AX37" s="17">
        <v>4581.8692999999994</v>
      </c>
    </row>
    <row r="38" spans="1:50" x14ac:dyDescent="0.25">
      <c r="A38" s="24">
        <v>37</v>
      </c>
      <c r="B38" s="26">
        <v>18</v>
      </c>
      <c r="C38" s="26">
        <v>100</v>
      </c>
      <c r="D38" s="26">
        <v>100</v>
      </c>
      <c r="E38" s="26">
        <v>100</v>
      </c>
      <c r="F38" s="26">
        <v>100</v>
      </c>
      <c r="G38" s="26">
        <v>100</v>
      </c>
      <c r="H38" s="26">
        <v>100</v>
      </c>
      <c r="I38" s="26">
        <v>100</v>
      </c>
      <c r="J38" s="26">
        <v>56.401899999999998</v>
      </c>
      <c r="K38" s="26">
        <v>100</v>
      </c>
      <c r="L38" s="26">
        <v>100</v>
      </c>
      <c r="M38" s="26">
        <v>100</v>
      </c>
      <c r="N38" s="26">
        <v>100</v>
      </c>
      <c r="O38" s="26">
        <v>100</v>
      </c>
      <c r="P38" s="26">
        <v>100</v>
      </c>
      <c r="Q38" s="26">
        <v>100</v>
      </c>
      <c r="R38" s="26">
        <v>100</v>
      </c>
      <c r="S38" s="26">
        <v>100</v>
      </c>
      <c r="T38" s="26">
        <v>100</v>
      </c>
      <c r="U38" s="26">
        <v>100</v>
      </c>
      <c r="V38" s="26">
        <v>100</v>
      </c>
      <c r="W38" s="26">
        <v>100</v>
      </c>
      <c r="X38" s="26">
        <v>100</v>
      </c>
      <c r="Y38" s="26">
        <v>100</v>
      </c>
      <c r="Z38" s="26">
        <v>100</v>
      </c>
      <c r="AA38" s="26">
        <v>100</v>
      </c>
      <c r="AB38" s="26">
        <v>100</v>
      </c>
      <c r="AC38" s="26">
        <v>100</v>
      </c>
      <c r="AD38" s="26">
        <v>100</v>
      </c>
      <c r="AE38" s="26">
        <v>100</v>
      </c>
      <c r="AF38" s="26">
        <v>100</v>
      </c>
      <c r="AG38" s="26">
        <v>100</v>
      </c>
      <c r="AH38" s="26">
        <v>100</v>
      </c>
      <c r="AI38" s="26">
        <v>91.300600000000003</v>
      </c>
      <c r="AJ38" s="26">
        <v>73.1798</v>
      </c>
      <c r="AK38" s="26">
        <v>100</v>
      </c>
      <c r="AL38" s="26">
        <v>100</v>
      </c>
      <c r="AM38" s="26">
        <v>100</v>
      </c>
      <c r="AN38" s="26">
        <v>100</v>
      </c>
      <c r="AO38" s="26">
        <v>100</v>
      </c>
      <c r="AP38" s="26">
        <v>84.142399999999995</v>
      </c>
      <c r="AQ38" s="26">
        <v>100</v>
      </c>
      <c r="AR38" s="26">
        <v>99.057600000000008</v>
      </c>
      <c r="AS38" s="26">
        <v>100</v>
      </c>
      <c r="AT38" s="26">
        <v>100</v>
      </c>
      <c r="AU38" s="26">
        <v>100</v>
      </c>
      <c r="AV38" s="26">
        <v>100</v>
      </c>
      <c r="AW38" s="26">
        <v>97.914832608695647</v>
      </c>
      <c r="AX38" s="17">
        <v>4504.0823</v>
      </c>
    </row>
    <row r="39" spans="1:50" x14ac:dyDescent="0.25">
      <c r="A39" s="24">
        <v>38</v>
      </c>
      <c r="B39" s="26">
        <v>18.5</v>
      </c>
      <c r="C39" s="26">
        <v>100</v>
      </c>
      <c r="D39" s="26">
        <v>100</v>
      </c>
      <c r="E39" s="26">
        <v>100</v>
      </c>
      <c r="F39" s="26">
        <v>100</v>
      </c>
      <c r="G39" s="26">
        <v>100</v>
      </c>
      <c r="H39" s="26">
        <v>100</v>
      </c>
      <c r="I39" s="26">
        <v>100</v>
      </c>
      <c r="J39" s="26">
        <v>30.733499999999999</v>
      </c>
      <c r="K39" s="26">
        <v>100</v>
      </c>
      <c r="L39" s="26">
        <v>100</v>
      </c>
      <c r="M39" s="26">
        <v>95.01039999999999</v>
      </c>
      <c r="N39" s="26">
        <v>100</v>
      </c>
      <c r="O39" s="26">
        <v>100</v>
      </c>
      <c r="P39" s="26">
        <v>100</v>
      </c>
      <c r="Q39" s="26">
        <v>100</v>
      </c>
      <c r="R39" s="26">
        <v>100</v>
      </c>
      <c r="S39" s="26">
        <v>99.119</v>
      </c>
      <c r="T39" s="26">
        <v>100</v>
      </c>
      <c r="U39" s="26">
        <v>100</v>
      </c>
      <c r="V39" s="26">
        <v>100</v>
      </c>
      <c r="W39" s="26">
        <v>100</v>
      </c>
      <c r="X39" s="26">
        <v>100</v>
      </c>
      <c r="Y39" s="26">
        <v>100</v>
      </c>
      <c r="Z39" s="26">
        <v>100</v>
      </c>
      <c r="AA39" s="26">
        <v>100</v>
      </c>
      <c r="AB39" s="26">
        <v>100</v>
      </c>
      <c r="AC39" s="26">
        <v>100</v>
      </c>
      <c r="AD39" s="26">
        <v>100</v>
      </c>
      <c r="AE39" s="26">
        <v>100</v>
      </c>
      <c r="AF39" s="26">
        <v>100</v>
      </c>
      <c r="AG39" s="26">
        <v>100</v>
      </c>
      <c r="AH39" s="26">
        <v>100</v>
      </c>
      <c r="AI39" s="26">
        <v>85.781599999999997</v>
      </c>
      <c r="AJ39" s="26">
        <v>32.133600000000001</v>
      </c>
      <c r="AK39" s="26">
        <v>100</v>
      </c>
      <c r="AL39" s="26">
        <v>100</v>
      </c>
      <c r="AM39" s="26">
        <v>100</v>
      </c>
      <c r="AN39" s="26">
        <v>100</v>
      </c>
      <c r="AO39" s="26">
        <v>100</v>
      </c>
      <c r="AP39" s="26">
        <v>71.029499999999999</v>
      </c>
      <c r="AQ39" s="26">
        <v>100</v>
      </c>
      <c r="AR39" s="26">
        <v>100</v>
      </c>
      <c r="AS39" s="26">
        <v>100</v>
      </c>
      <c r="AT39" s="26">
        <v>100</v>
      </c>
      <c r="AU39" s="26">
        <v>100</v>
      </c>
      <c r="AV39" s="26">
        <v>100</v>
      </c>
      <c r="AW39" s="26">
        <v>95.95233913043478</v>
      </c>
      <c r="AX39" s="17">
        <v>4413.8076000000001</v>
      </c>
    </row>
    <row r="40" spans="1:50" x14ac:dyDescent="0.25">
      <c r="A40" s="24">
        <v>39</v>
      </c>
      <c r="B40" s="26">
        <v>19</v>
      </c>
      <c r="C40" s="26">
        <v>100</v>
      </c>
      <c r="D40" s="26">
        <v>75.165099999999995</v>
      </c>
      <c r="E40" s="26">
        <v>100</v>
      </c>
      <c r="F40" s="26">
        <v>100</v>
      </c>
      <c r="G40" s="26">
        <v>100</v>
      </c>
      <c r="H40" s="26">
        <v>100</v>
      </c>
      <c r="I40" s="26">
        <v>100</v>
      </c>
      <c r="J40" s="26">
        <v>31.366700000000002</v>
      </c>
      <c r="K40" s="26">
        <v>100</v>
      </c>
      <c r="L40" s="26">
        <v>100</v>
      </c>
      <c r="M40" s="26">
        <v>99.421000000000006</v>
      </c>
      <c r="N40" s="26">
        <v>100</v>
      </c>
      <c r="O40" s="26">
        <v>100</v>
      </c>
      <c r="P40" s="26">
        <v>100</v>
      </c>
      <c r="Q40" s="26">
        <v>100</v>
      </c>
      <c r="R40" s="26">
        <v>100</v>
      </c>
      <c r="S40" s="26">
        <v>94.037300000000002</v>
      </c>
      <c r="T40" s="26">
        <v>100</v>
      </c>
      <c r="U40" s="26">
        <v>100</v>
      </c>
      <c r="V40" s="26">
        <v>98.464100000000002</v>
      </c>
      <c r="W40" s="26">
        <v>100</v>
      </c>
      <c r="X40" s="26">
        <v>100</v>
      </c>
      <c r="Y40" s="26">
        <v>100</v>
      </c>
      <c r="Z40" s="26">
        <v>97.038700000000006</v>
      </c>
      <c r="AA40" s="26">
        <v>100</v>
      </c>
      <c r="AB40" s="26">
        <v>100</v>
      </c>
      <c r="AC40" s="26">
        <v>91.481700000000004</v>
      </c>
      <c r="AD40" s="26">
        <v>99.897800000000004</v>
      </c>
      <c r="AE40" s="26">
        <v>100</v>
      </c>
      <c r="AF40" s="26">
        <v>100</v>
      </c>
      <c r="AG40" s="26">
        <v>100</v>
      </c>
      <c r="AH40" s="26">
        <v>99.355099999999993</v>
      </c>
      <c r="AI40" s="26">
        <v>53.750799999999998</v>
      </c>
      <c r="AJ40" s="26">
        <v>31.609500000000001</v>
      </c>
      <c r="AK40" s="26">
        <v>77.361000000000004</v>
      </c>
      <c r="AL40" s="26">
        <v>98.090100000000007</v>
      </c>
      <c r="AM40" s="26">
        <v>100</v>
      </c>
      <c r="AN40" s="26">
        <v>100</v>
      </c>
      <c r="AO40" s="26">
        <v>100</v>
      </c>
      <c r="AP40" s="26">
        <v>65.7607</v>
      </c>
      <c r="AQ40" s="26">
        <v>100</v>
      </c>
      <c r="AR40" s="26">
        <v>100</v>
      </c>
      <c r="AS40" s="26">
        <v>100</v>
      </c>
      <c r="AT40" s="26">
        <v>100</v>
      </c>
      <c r="AU40" s="26">
        <v>100</v>
      </c>
      <c r="AV40" s="26">
        <v>100</v>
      </c>
      <c r="AW40" s="26">
        <v>93.75651304347825</v>
      </c>
      <c r="AX40" s="17">
        <v>4312.7995999999994</v>
      </c>
    </row>
    <row r="41" spans="1:50" x14ac:dyDescent="0.25">
      <c r="A41" s="24">
        <v>40</v>
      </c>
      <c r="B41" s="26">
        <v>19.5</v>
      </c>
      <c r="C41" s="26">
        <v>100</v>
      </c>
      <c r="D41" s="26">
        <v>77.1126</v>
      </c>
      <c r="E41" s="26">
        <v>100</v>
      </c>
      <c r="F41" s="26">
        <v>100</v>
      </c>
      <c r="G41" s="26">
        <v>100</v>
      </c>
      <c r="H41" s="26">
        <v>100</v>
      </c>
      <c r="I41" s="26">
        <v>91.523299999999992</v>
      </c>
      <c r="J41" s="26">
        <v>32.0276</v>
      </c>
      <c r="K41" s="26">
        <v>100</v>
      </c>
      <c r="L41" s="26">
        <v>100</v>
      </c>
      <c r="M41" s="26">
        <v>100</v>
      </c>
      <c r="N41" s="26">
        <v>100</v>
      </c>
      <c r="O41" s="26">
        <v>94.69619999999999</v>
      </c>
      <c r="P41" s="26">
        <v>100</v>
      </c>
      <c r="Q41" s="26">
        <v>100</v>
      </c>
      <c r="R41" s="26">
        <v>94.228300000000004</v>
      </c>
      <c r="S41" s="26">
        <v>91.562600000000003</v>
      </c>
      <c r="T41" s="26">
        <v>97.800899999999999</v>
      </c>
      <c r="U41" s="26">
        <v>100</v>
      </c>
      <c r="V41" s="26">
        <v>100</v>
      </c>
      <c r="W41" s="26">
        <v>100</v>
      </c>
      <c r="X41" s="26">
        <v>98.864400000000003</v>
      </c>
      <c r="Y41" s="26">
        <v>100</v>
      </c>
      <c r="Z41" s="26">
        <v>97.293399999999991</v>
      </c>
      <c r="AA41" s="26">
        <v>100</v>
      </c>
      <c r="AB41" s="26">
        <v>100</v>
      </c>
      <c r="AC41" s="26">
        <v>94.116200000000006</v>
      </c>
      <c r="AD41" s="26">
        <v>99.983599999999996</v>
      </c>
      <c r="AE41" s="26">
        <v>100</v>
      </c>
      <c r="AF41" s="26">
        <v>95.302900000000008</v>
      </c>
      <c r="AG41" s="26">
        <v>100</v>
      </c>
      <c r="AH41" s="26">
        <v>100</v>
      </c>
      <c r="AI41" s="26">
        <v>51.505299999999998</v>
      </c>
      <c r="AJ41" s="26">
        <v>32.746099999999998</v>
      </c>
      <c r="AK41" s="26">
        <v>57.5929</v>
      </c>
      <c r="AL41" s="26">
        <v>98.522400000000005</v>
      </c>
      <c r="AM41" s="26">
        <v>79.743499999999997</v>
      </c>
      <c r="AN41" s="26">
        <v>100</v>
      </c>
      <c r="AO41" s="26">
        <v>100</v>
      </c>
      <c r="AP41" s="26">
        <v>63.833399999999997</v>
      </c>
      <c r="AQ41" s="26">
        <v>100</v>
      </c>
      <c r="AR41" s="26">
        <v>100</v>
      </c>
      <c r="AS41" s="26">
        <v>98.827399999999997</v>
      </c>
      <c r="AT41" s="26">
        <v>100</v>
      </c>
      <c r="AU41" s="26">
        <v>100</v>
      </c>
      <c r="AV41" s="26">
        <v>99.757900000000006</v>
      </c>
      <c r="AW41" s="26">
        <v>92.326976086956506</v>
      </c>
      <c r="AX41" s="17">
        <v>4247.0408999999991</v>
      </c>
    </row>
    <row r="42" spans="1:50" x14ac:dyDescent="0.25">
      <c r="A42" s="24">
        <v>41</v>
      </c>
      <c r="B42" s="26">
        <v>20</v>
      </c>
      <c r="C42" s="26">
        <v>97.89139999999999</v>
      </c>
      <c r="D42" s="26">
        <v>72.562300000000008</v>
      </c>
      <c r="E42" s="26">
        <v>96.38</v>
      </c>
      <c r="F42" s="26">
        <v>100</v>
      </c>
      <c r="G42" s="26">
        <v>98.684400000000011</v>
      </c>
      <c r="H42" s="26">
        <v>96.235500000000002</v>
      </c>
      <c r="I42" s="26">
        <v>88.355999999999995</v>
      </c>
      <c r="J42" s="26">
        <v>30.152899999999999</v>
      </c>
      <c r="K42" s="26">
        <v>94.180599999999998</v>
      </c>
      <c r="L42" s="26">
        <v>100</v>
      </c>
      <c r="M42" s="26">
        <v>95.408499999999989</v>
      </c>
      <c r="N42" s="26">
        <v>99.275800000000004</v>
      </c>
      <c r="O42" s="26">
        <v>91.346999999999994</v>
      </c>
      <c r="P42" s="26">
        <v>98.831699999999998</v>
      </c>
      <c r="Q42" s="26">
        <v>95.6066</v>
      </c>
      <c r="R42" s="26">
        <v>89.536000000000001</v>
      </c>
      <c r="S42" s="26">
        <v>87.257900000000006</v>
      </c>
      <c r="T42" s="26">
        <v>93.446200000000005</v>
      </c>
      <c r="U42" s="26">
        <v>97.084800000000001</v>
      </c>
      <c r="V42" s="26">
        <v>95.581499999999991</v>
      </c>
      <c r="W42" s="26">
        <v>96.455600000000004</v>
      </c>
      <c r="X42" s="26">
        <v>96.543400000000005</v>
      </c>
      <c r="Y42" s="26">
        <v>92.808199999999999</v>
      </c>
      <c r="Z42" s="26">
        <v>93.175899999999999</v>
      </c>
      <c r="AA42" s="26">
        <v>100</v>
      </c>
      <c r="AB42" s="26">
        <v>84.244399999999999</v>
      </c>
      <c r="AC42" s="26">
        <v>89.671000000000006</v>
      </c>
      <c r="AD42" s="26">
        <v>92.004099999999994</v>
      </c>
      <c r="AE42" s="26">
        <v>93.368200000000002</v>
      </c>
      <c r="AF42" s="26">
        <v>83.563200000000009</v>
      </c>
      <c r="AG42" s="26">
        <v>99.880300000000005</v>
      </c>
      <c r="AH42" s="26">
        <v>96.016199999999998</v>
      </c>
      <c r="AI42" s="26">
        <v>42.371499999999997</v>
      </c>
      <c r="AJ42" s="26">
        <v>29.0992</v>
      </c>
      <c r="AK42" s="26">
        <v>29.654599999999999</v>
      </c>
      <c r="AL42" s="26">
        <v>96.486199999999997</v>
      </c>
      <c r="AM42" s="26">
        <v>75.868800000000007</v>
      </c>
      <c r="AN42" s="26">
        <v>97.174499999999995</v>
      </c>
      <c r="AO42" s="26">
        <v>99.164100000000005</v>
      </c>
      <c r="AP42" s="26">
        <v>56.904499999999999</v>
      </c>
      <c r="AQ42" s="26">
        <v>97.826100000000011</v>
      </c>
      <c r="AR42" s="26">
        <v>96.465299999999999</v>
      </c>
      <c r="AS42" s="26">
        <v>96.985299999999995</v>
      </c>
      <c r="AT42" s="26">
        <v>94.4285</v>
      </c>
      <c r="AU42" s="26">
        <v>97.341099999999997</v>
      </c>
      <c r="AV42" s="26">
        <v>100</v>
      </c>
      <c r="AW42" s="26">
        <v>87.941723913043489</v>
      </c>
      <c r="AX42" s="17">
        <v>4045.319300000001</v>
      </c>
    </row>
    <row r="43" spans="1:50" x14ac:dyDescent="0.25">
      <c r="A43" s="24">
        <v>42</v>
      </c>
      <c r="B43" s="26">
        <v>20.5</v>
      </c>
      <c r="C43" s="26">
        <v>94.246700000000004</v>
      </c>
      <c r="D43" s="26">
        <v>68.948900000000009</v>
      </c>
      <c r="E43" s="26">
        <v>92.005300000000005</v>
      </c>
      <c r="F43" s="26">
        <v>94.633800000000008</v>
      </c>
      <c r="G43" s="26">
        <v>97.087800000000001</v>
      </c>
      <c r="H43" s="26">
        <v>91.97999999999999</v>
      </c>
      <c r="I43" s="26">
        <v>85.9589</v>
      </c>
      <c r="J43" s="26">
        <v>17.6755</v>
      </c>
      <c r="K43" s="26">
        <v>82.084299999999999</v>
      </c>
      <c r="L43" s="26">
        <v>96.646200000000007</v>
      </c>
      <c r="M43" s="26">
        <v>86.567300000000003</v>
      </c>
      <c r="N43" s="26">
        <v>96.762900000000002</v>
      </c>
      <c r="O43" s="26">
        <v>86.47359999999999</v>
      </c>
      <c r="P43" s="26">
        <v>97.07820000000001</v>
      </c>
      <c r="Q43" s="26">
        <v>88.275499999999994</v>
      </c>
      <c r="R43" s="26">
        <v>78.359499999999997</v>
      </c>
      <c r="S43" s="26">
        <v>82.585999999999999</v>
      </c>
      <c r="T43" s="26">
        <v>88.787000000000006</v>
      </c>
      <c r="U43" s="26">
        <v>87.830299999999994</v>
      </c>
      <c r="V43" s="26">
        <v>88.194900000000004</v>
      </c>
      <c r="W43" s="26">
        <v>88.972700000000003</v>
      </c>
      <c r="X43" s="26">
        <v>94.100300000000004</v>
      </c>
      <c r="Y43" s="26">
        <v>86.140299999999996</v>
      </c>
      <c r="Z43" s="26">
        <v>87.444800000000001</v>
      </c>
      <c r="AA43" s="26">
        <v>98.929299999999998</v>
      </c>
      <c r="AB43" s="26">
        <v>77.339699999999993</v>
      </c>
      <c r="AC43" s="26">
        <v>82.989000000000004</v>
      </c>
      <c r="AD43" s="26">
        <v>83.683999999999997</v>
      </c>
      <c r="AE43" s="26">
        <v>88.087199999999996</v>
      </c>
      <c r="AF43" s="26">
        <v>71.453800000000001</v>
      </c>
      <c r="AG43" s="26">
        <v>99.180999999999997</v>
      </c>
      <c r="AH43" s="26">
        <v>92.506999999999991</v>
      </c>
      <c r="AI43" s="26">
        <v>32.935400000000001</v>
      </c>
      <c r="AJ43" s="26">
        <v>20.736499999999999</v>
      </c>
      <c r="AK43" s="26">
        <v>19.096</v>
      </c>
      <c r="AL43" s="26">
        <v>95.370999999999995</v>
      </c>
      <c r="AM43" s="26">
        <v>69.287500000000009</v>
      </c>
      <c r="AN43" s="26">
        <v>90.707899999999995</v>
      </c>
      <c r="AO43" s="26">
        <v>98.717500000000001</v>
      </c>
      <c r="AP43" s="26">
        <v>51.303100000000001</v>
      </c>
      <c r="AQ43" s="26">
        <v>96.433800000000005</v>
      </c>
      <c r="AR43" s="26">
        <v>94.467699999999994</v>
      </c>
      <c r="AS43" s="26">
        <v>87.580799999999996</v>
      </c>
      <c r="AT43" s="26">
        <v>90.984200000000001</v>
      </c>
      <c r="AU43" s="26">
        <v>69.00739999999999</v>
      </c>
      <c r="AV43" s="26">
        <v>99.532699999999991</v>
      </c>
      <c r="AW43" s="26">
        <v>81.93854782608696</v>
      </c>
      <c r="AX43" s="17">
        <v>3769.1732000000002</v>
      </c>
    </row>
    <row r="44" spans="1:50" x14ac:dyDescent="0.25">
      <c r="A44" s="24">
        <v>43</v>
      </c>
      <c r="B44" s="26">
        <v>21</v>
      </c>
      <c r="C44" s="26">
        <v>90.411100000000005</v>
      </c>
      <c r="D44" s="26">
        <v>63.805199999999992</v>
      </c>
      <c r="E44" s="26">
        <v>84.764899999999997</v>
      </c>
      <c r="F44" s="26">
        <v>91.531899999999993</v>
      </c>
      <c r="G44" s="26">
        <v>96.3977</v>
      </c>
      <c r="H44" s="26">
        <v>87.073800000000006</v>
      </c>
      <c r="I44" s="26">
        <v>84.239000000000004</v>
      </c>
      <c r="J44" s="26">
        <v>10</v>
      </c>
      <c r="K44" s="26">
        <v>70.615099999999998</v>
      </c>
      <c r="L44" s="26">
        <v>91.236699999999999</v>
      </c>
      <c r="M44" s="26">
        <v>76.686399999999992</v>
      </c>
      <c r="N44" s="26">
        <v>95.603200000000001</v>
      </c>
      <c r="O44" s="26">
        <v>80.749800000000008</v>
      </c>
      <c r="P44" s="26">
        <v>95.799599999999998</v>
      </c>
      <c r="Q44" s="26">
        <v>82.314099999999996</v>
      </c>
      <c r="R44" s="26">
        <v>73.463400000000007</v>
      </c>
      <c r="S44" s="26">
        <v>73.918099999999995</v>
      </c>
      <c r="T44" s="26">
        <v>83.881200000000007</v>
      </c>
      <c r="U44" s="26">
        <v>77.517499999999998</v>
      </c>
      <c r="V44" s="26">
        <v>76.381600000000006</v>
      </c>
      <c r="W44" s="26">
        <v>78.322199999999995</v>
      </c>
      <c r="X44" s="26">
        <v>91.68119999999999</v>
      </c>
      <c r="Y44" s="26">
        <v>79.631200000000007</v>
      </c>
      <c r="Z44" s="26">
        <v>78.085800000000006</v>
      </c>
      <c r="AA44" s="26">
        <v>98.285199999999989</v>
      </c>
      <c r="AB44" s="26">
        <v>71.796800000000005</v>
      </c>
      <c r="AC44" s="26">
        <v>79.571100000000001</v>
      </c>
      <c r="AD44" s="26">
        <v>75.511399999999995</v>
      </c>
      <c r="AE44" s="26">
        <v>81.468500000000006</v>
      </c>
      <c r="AF44" s="26">
        <v>65.719099999999997</v>
      </c>
      <c r="AG44" s="26">
        <v>95.706000000000003</v>
      </c>
      <c r="AH44" s="26">
        <v>91.992499999999993</v>
      </c>
      <c r="AI44" s="26">
        <v>20.0961</v>
      </c>
      <c r="AJ44" s="26">
        <v>14.3988</v>
      </c>
      <c r="AK44" s="26">
        <v>10</v>
      </c>
      <c r="AL44" s="26">
        <v>92.495899999999992</v>
      </c>
      <c r="AM44" s="26">
        <v>62.931600000000003</v>
      </c>
      <c r="AN44" s="26">
        <v>80.912199999999999</v>
      </c>
      <c r="AO44" s="26">
        <v>98.177999999999997</v>
      </c>
      <c r="AP44" s="26">
        <v>42.819600000000001</v>
      </c>
      <c r="AQ44" s="26">
        <v>95.387299999999996</v>
      </c>
      <c r="AR44" s="26">
        <v>87.855599999999995</v>
      </c>
      <c r="AS44" s="26">
        <v>76.483900000000006</v>
      </c>
      <c r="AT44" s="26">
        <v>87.740600000000001</v>
      </c>
      <c r="AU44" s="26">
        <v>63.084799999999987</v>
      </c>
      <c r="AV44" s="26">
        <v>96.463200000000001</v>
      </c>
      <c r="AW44" s="26">
        <v>76.152367391304352</v>
      </c>
      <c r="AX44" s="17">
        <v>3503.0088999999998</v>
      </c>
    </row>
    <row r="45" spans="1:50" x14ac:dyDescent="0.25">
      <c r="A45" s="24">
        <v>44</v>
      </c>
      <c r="B45" s="26">
        <v>21.5</v>
      </c>
      <c r="C45" s="26">
        <v>88.144300000000001</v>
      </c>
      <c r="D45" s="26">
        <v>59.174100000000003</v>
      </c>
      <c r="E45" s="26">
        <v>75.927000000000007</v>
      </c>
      <c r="F45" s="26">
        <v>83.588200000000001</v>
      </c>
      <c r="G45" s="26">
        <v>95.707499999999996</v>
      </c>
      <c r="H45" s="26">
        <v>86.634599999999992</v>
      </c>
      <c r="I45" s="26">
        <v>82.81389999999999</v>
      </c>
      <c r="J45" s="26">
        <v>10</v>
      </c>
      <c r="K45" s="26">
        <v>60.761099999999999</v>
      </c>
      <c r="L45" s="26">
        <v>89.831000000000003</v>
      </c>
      <c r="M45" s="26">
        <v>66.780100000000004</v>
      </c>
      <c r="N45" s="26">
        <v>92.693899999999999</v>
      </c>
      <c r="O45" s="26">
        <v>75.27709999999999</v>
      </c>
      <c r="P45" s="26">
        <v>92.914699999999996</v>
      </c>
      <c r="Q45" s="26">
        <v>73.772199999999998</v>
      </c>
      <c r="R45" s="26">
        <v>66.799499999999995</v>
      </c>
      <c r="S45" s="26">
        <v>68.7684</v>
      </c>
      <c r="T45" s="26">
        <v>77.615800000000007</v>
      </c>
      <c r="U45" s="26">
        <v>66.9542</v>
      </c>
      <c r="V45" s="26">
        <v>57.115600000000001</v>
      </c>
      <c r="W45" s="26">
        <v>68.377299999999991</v>
      </c>
      <c r="X45" s="26">
        <v>85.9846</v>
      </c>
      <c r="Y45" s="26">
        <v>72.479800000000012</v>
      </c>
      <c r="Z45" s="26">
        <v>69.327700000000007</v>
      </c>
      <c r="AA45" s="26">
        <v>96.997500000000002</v>
      </c>
      <c r="AB45" s="26">
        <v>66.773600000000002</v>
      </c>
      <c r="AC45" s="26">
        <v>62.630200000000002</v>
      </c>
      <c r="AD45" s="26">
        <v>66.422899999999998</v>
      </c>
      <c r="AE45" s="26">
        <v>74.249899999999997</v>
      </c>
      <c r="AF45" s="26">
        <v>58.713900000000002</v>
      </c>
      <c r="AG45" s="26">
        <v>95.028400000000005</v>
      </c>
      <c r="AH45" s="26">
        <v>89.334800000000001</v>
      </c>
      <c r="AI45" s="26">
        <v>10</v>
      </c>
      <c r="AJ45" s="26">
        <v>10</v>
      </c>
      <c r="AK45" s="26">
        <v>10</v>
      </c>
      <c r="AL45" s="26">
        <v>90.748199999999997</v>
      </c>
      <c r="AM45" s="26">
        <v>55.769199999999998</v>
      </c>
      <c r="AN45" s="26">
        <v>75.377600000000001</v>
      </c>
      <c r="AO45" s="26">
        <v>96.037300000000002</v>
      </c>
      <c r="AP45" s="26">
        <v>25.481200000000001</v>
      </c>
      <c r="AQ45" s="26">
        <v>94.860299999999995</v>
      </c>
      <c r="AR45" s="26">
        <v>83.9666</v>
      </c>
      <c r="AS45" s="26">
        <v>67.071700000000007</v>
      </c>
      <c r="AT45" s="26">
        <v>86.444000000000003</v>
      </c>
      <c r="AU45" s="26">
        <v>57.069899999999997</v>
      </c>
      <c r="AV45" s="26">
        <v>93.953500000000005</v>
      </c>
      <c r="AW45" s="26">
        <v>70.312463043478274</v>
      </c>
      <c r="AX45" s="17">
        <v>3234.3733000000011</v>
      </c>
    </row>
    <row r="46" spans="1:50" x14ac:dyDescent="0.25">
      <c r="A46" s="24">
        <v>45</v>
      </c>
      <c r="B46" s="26">
        <v>22</v>
      </c>
      <c r="C46" s="26">
        <v>81.389499999999998</v>
      </c>
      <c r="D46" s="26">
        <v>55.774900000000002</v>
      </c>
      <c r="E46" s="26">
        <v>71.178100000000001</v>
      </c>
      <c r="F46" s="26">
        <v>80.157700000000006</v>
      </c>
      <c r="G46" s="26">
        <v>95.017300000000006</v>
      </c>
      <c r="H46" s="26">
        <v>85.197599999999994</v>
      </c>
      <c r="I46" s="26">
        <v>81.217200000000005</v>
      </c>
      <c r="J46" s="26">
        <v>10</v>
      </c>
      <c r="K46" s="26">
        <v>51.021500000000003</v>
      </c>
      <c r="L46" s="26">
        <v>87.831099999999992</v>
      </c>
      <c r="M46" s="26">
        <v>55.813899999999997</v>
      </c>
      <c r="N46" s="26">
        <v>90.266199999999998</v>
      </c>
      <c r="O46" s="26">
        <v>70.745000000000005</v>
      </c>
      <c r="P46" s="26">
        <v>91.935699999999997</v>
      </c>
      <c r="Q46" s="26">
        <v>63.367199999999997</v>
      </c>
      <c r="R46" s="26">
        <v>59.311700000000002</v>
      </c>
      <c r="S46" s="26">
        <v>56.320300000000003</v>
      </c>
      <c r="T46" s="26">
        <v>73.504199999999997</v>
      </c>
      <c r="U46" s="26">
        <v>56.639099999999999</v>
      </c>
      <c r="V46" s="26">
        <v>47.309100000000001</v>
      </c>
      <c r="W46" s="26">
        <v>59.195399999999999</v>
      </c>
      <c r="X46" s="26">
        <v>83.685500000000005</v>
      </c>
      <c r="Y46" s="26">
        <v>67.747799999999998</v>
      </c>
      <c r="Z46" s="26">
        <v>64.653000000000006</v>
      </c>
      <c r="AA46" s="26">
        <v>95.387599999999992</v>
      </c>
      <c r="AB46" s="26">
        <v>56.018700000000003</v>
      </c>
      <c r="AC46" s="26">
        <v>56.290500000000002</v>
      </c>
      <c r="AD46" s="26">
        <v>59.326700000000002</v>
      </c>
      <c r="AE46" s="26">
        <v>68.720199999999991</v>
      </c>
      <c r="AF46" s="26">
        <v>50.938000000000002</v>
      </c>
      <c r="AG46" s="26">
        <v>91.283699999999996</v>
      </c>
      <c r="AH46" s="26">
        <v>86.272499999999994</v>
      </c>
      <c r="AI46" s="26">
        <v>10</v>
      </c>
      <c r="AJ46" s="26">
        <v>10</v>
      </c>
      <c r="AK46" s="26">
        <v>10</v>
      </c>
      <c r="AL46" s="26">
        <v>89.538700000000006</v>
      </c>
      <c r="AM46" s="26">
        <v>44.576700000000002</v>
      </c>
      <c r="AN46" s="26">
        <v>63.401300000000013</v>
      </c>
      <c r="AO46" s="26">
        <v>95.497699999999995</v>
      </c>
      <c r="AP46" s="26">
        <v>14.7651</v>
      </c>
      <c r="AQ46" s="26">
        <v>92.700599999999994</v>
      </c>
      <c r="AR46" s="26">
        <v>75.855099999999993</v>
      </c>
      <c r="AS46" s="26">
        <v>56.357300000000002</v>
      </c>
      <c r="AT46" s="26">
        <v>84.367499999999993</v>
      </c>
      <c r="AU46" s="26">
        <v>53.309399999999997</v>
      </c>
      <c r="AV46" s="26">
        <v>91.49199999999999</v>
      </c>
      <c r="AW46" s="26">
        <v>65.116919565217415</v>
      </c>
      <c r="AX46" s="17">
        <v>2995.3783000000012</v>
      </c>
    </row>
    <row r="47" spans="1:50" x14ac:dyDescent="0.25">
      <c r="A47" s="24">
        <v>46</v>
      </c>
      <c r="B47" s="26">
        <v>22.5</v>
      </c>
      <c r="C47" s="26">
        <v>74.023399999999995</v>
      </c>
      <c r="D47" s="26">
        <v>53.5291</v>
      </c>
      <c r="E47" s="26">
        <v>63.992699999999999</v>
      </c>
      <c r="F47" s="26">
        <v>73.656700000000001</v>
      </c>
      <c r="G47" s="26">
        <v>94.327200000000005</v>
      </c>
      <c r="H47" s="26">
        <v>79.513999999999996</v>
      </c>
      <c r="I47" s="26">
        <v>78.607900000000001</v>
      </c>
      <c r="J47" s="26">
        <v>10</v>
      </c>
      <c r="K47" s="26">
        <v>41.0946</v>
      </c>
      <c r="L47" s="26">
        <v>85.65270000000001</v>
      </c>
      <c r="M47" s="26">
        <v>48.686399999999999</v>
      </c>
      <c r="N47" s="26">
        <v>89.311199999999999</v>
      </c>
      <c r="O47" s="26">
        <v>63.196800000000003</v>
      </c>
      <c r="P47" s="26">
        <v>88.267799999999994</v>
      </c>
      <c r="Q47" s="26">
        <v>52.878100000000003</v>
      </c>
      <c r="R47" s="26">
        <v>53.9602</v>
      </c>
      <c r="S47" s="26">
        <v>49.405000000000001</v>
      </c>
      <c r="T47" s="26">
        <v>70.587500000000006</v>
      </c>
      <c r="U47" s="26">
        <v>47.48</v>
      </c>
      <c r="V47" s="26">
        <v>28.416</v>
      </c>
      <c r="W47" s="26">
        <v>40.106499999999997</v>
      </c>
      <c r="X47" s="26">
        <v>77.035299999999992</v>
      </c>
      <c r="Y47" s="26">
        <v>63.542600000000007</v>
      </c>
      <c r="Z47" s="26">
        <v>57.453899999999997</v>
      </c>
      <c r="AA47" s="26">
        <v>94.835499999999996</v>
      </c>
      <c r="AB47" s="26">
        <v>51.415100000000002</v>
      </c>
      <c r="AC47" s="26">
        <v>48.829000000000001</v>
      </c>
      <c r="AD47" s="26">
        <v>53.960099999999997</v>
      </c>
      <c r="AE47" s="26">
        <v>66.723799999999997</v>
      </c>
      <c r="AF47" s="26">
        <v>39.058500000000002</v>
      </c>
      <c r="AG47" s="26">
        <v>90.606099999999998</v>
      </c>
      <c r="AH47" s="26">
        <v>84.994099999999989</v>
      </c>
      <c r="AI47" s="26">
        <v>10</v>
      </c>
      <c r="AJ47" s="26">
        <v>10</v>
      </c>
      <c r="AK47" s="26">
        <v>10</v>
      </c>
      <c r="AL47" s="26">
        <v>83.110799999999998</v>
      </c>
      <c r="AM47" s="26">
        <v>33.090299999999999</v>
      </c>
      <c r="AN47" s="26">
        <v>56.975700000000003</v>
      </c>
      <c r="AO47" s="26">
        <v>94.958100000000002</v>
      </c>
      <c r="AP47" s="26">
        <v>10</v>
      </c>
      <c r="AQ47" s="26">
        <v>92.17349999999999</v>
      </c>
      <c r="AR47" s="26">
        <v>69.250299999999996</v>
      </c>
      <c r="AS47" s="26">
        <v>47.829799999999999</v>
      </c>
      <c r="AT47" s="26">
        <v>82.957700000000003</v>
      </c>
      <c r="AU47" s="26">
        <v>46.445700000000002</v>
      </c>
      <c r="AV47" s="26">
        <v>88.374299999999991</v>
      </c>
      <c r="AW47" s="26">
        <v>59.789434782608687</v>
      </c>
      <c r="AX47" s="17">
        <v>2750.3139999999999</v>
      </c>
    </row>
    <row r="48" spans="1:50" x14ac:dyDescent="0.25">
      <c r="A48" s="24">
        <v>47</v>
      </c>
      <c r="B48" s="26">
        <v>23</v>
      </c>
      <c r="C48" s="26">
        <v>67.927499999999995</v>
      </c>
      <c r="D48" s="26">
        <v>48.162799999999997</v>
      </c>
      <c r="E48" s="26">
        <v>61.893799999999999</v>
      </c>
      <c r="F48" s="26">
        <v>66.348200000000006</v>
      </c>
      <c r="G48" s="26">
        <v>93.637</v>
      </c>
      <c r="H48" s="26">
        <v>77.515500000000003</v>
      </c>
      <c r="I48" s="26">
        <v>77.1828</v>
      </c>
      <c r="J48" s="26">
        <v>10</v>
      </c>
      <c r="K48" s="26">
        <v>32.472499999999997</v>
      </c>
      <c r="L48" s="26">
        <v>84.754900000000006</v>
      </c>
      <c r="M48" s="26">
        <v>36.869600000000013</v>
      </c>
      <c r="N48" s="26">
        <v>85.774500000000003</v>
      </c>
      <c r="O48" s="26">
        <v>58.134300000000003</v>
      </c>
      <c r="P48" s="26">
        <v>82.055300000000003</v>
      </c>
      <c r="Q48" s="26">
        <v>45.1233</v>
      </c>
      <c r="R48" s="26">
        <v>40.17</v>
      </c>
      <c r="S48" s="26">
        <v>39.139899999999997</v>
      </c>
      <c r="T48" s="26">
        <v>69.369900000000001</v>
      </c>
      <c r="U48" s="26">
        <v>37.808100000000003</v>
      </c>
      <c r="V48" s="26">
        <v>18.857600000000001</v>
      </c>
      <c r="W48" s="26">
        <v>20.462</v>
      </c>
      <c r="X48" s="26">
        <v>72.0334</v>
      </c>
      <c r="Y48" s="26">
        <v>62.877499999999998</v>
      </c>
      <c r="Z48" s="26">
        <v>56.223700000000001</v>
      </c>
      <c r="AA48" s="26">
        <v>94.283299999999997</v>
      </c>
      <c r="AB48" s="26">
        <v>48.627699999999997</v>
      </c>
      <c r="AC48" s="26">
        <v>29.404299999999999</v>
      </c>
      <c r="AD48" s="26">
        <v>48.965299999999999</v>
      </c>
      <c r="AE48" s="26">
        <v>66.347300000000004</v>
      </c>
      <c r="AF48" s="26">
        <v>30.025700000000001</v>
      </c>
      <c r="AG48" s="26">
        <v>88.220500000000001</v>
      </c>
      <c r="AH48" s="26">
        <v>84.068299999999994</v>
      </c>
      <c r="AI48" s="26">
        <v>10</v>
      </c>
      <c r="AJ48" s="26">
        <v>10</v>
      </c>
      <c r="AK48" s="26">
        <v>10</v>
      </c>
      <c r="AL48" s="26">
        <v>68.117499999999993</v>
      </c>
      <c r="AM48" s="26">
        <v>20.3385</v>
      </c>
      <c r="AN48" s="26">
        <v>52.656399999999998</v>
      </c>
      <c r="AO48" s="26">
        <v>92.817499999999995</v>
      </c>
      <c r="AP48" s="26">
        <v>10</v>
      </c>
      <c r="AQ48" s="26">
        <v>90.904399999999995</v>
      </c>
      <c r="AR48" s="26">
        <v>60.546999999999997</v>
      </c>
      <c r="AS48" s="26">
        <v>37.3035</v>
      </c>
      <c r="AT48" s="26">
        <v>79.451499999999996</v>
      </c>
      <c r="AU48" s="26">
        <v>36.261099999999999</v>
      </c>
      <c r="AV48" s="26">
        <v>86.7346</v>
      </c>
      <c r="AW48" s="26">
        <v>54.344967391304358</v>
      </c>
      <c r="AX48" s="17">
        <v>2499.8685</v>
      </c>
    </row>
    <row r="49" spans="1:50" x14ac:dyDescent="0.25">
      <c r="A49" s="25">
        <v>48</v>
      </c>
      <c r="B49" s="27">
        <v>23.5</v>
      </c>
      <c r="C49" s="27">
        <v>59.732999999999997</v>
      </c>
      <c r="D49" s="27">
        <v>43.392599999999987</v>
      </c>
      <c r="E49" s="27">
        <v>59.950200000000002</v>
      </c>
      <c r="F49" s="27">
        <v>57.4283</v>
      </c>
      <c r="G49" s="27">
        <v>92.946799999999996</v>
      </c>
      <c r="H49" s="27">
        <v>75.7714</v>
      </c>
      <c r="I49" s="27">
        <v>75.585999999999999</v>
      </c>
      <c r="J49" s="27">
        <v>10</v>
      </c>
      <c r="K49" s="27">
        <v>31.684799999999999</v>
      </c>
      <c r="L49" s="27">
        <v>81.717500000000001</v>
      </c>
      <c r="M49" s="27">
        <v>29.251300000000001</v>
      </c>
      <c r="N49" s="27">
        <v>83.998199999999997</v>
      </c>
      <c r="O49" s="27">
        <v>55.368600000000001</v>
      </c>
      <c r="P49" s="27">
        <v>80.908100000000005</v>
      </c>
      <c r="Q49" s="27">
        <v>39.3093</v>
      </c>
      <c r="R49" s="27">
        <v>34.249400000000001</v>
      </c>
      <c r="S49" s="27">
        <v>30.809100000000001</v>
      </c>
      <c r="T49" s="27">
        <v>66.563699999999997</v>
      </c>
      <c r="U49" s="27">
        <v>26.259699999999999</v>
      </c>
      <c r="V49" s="27">
        <v>10</v>
      </c>
      <c r="W49" s="27">
        <v>10</v>
      </c>
      <c r="X49" s="27">
        <v>69.023399999999995</v>
      </c>
      <c r="Y49" s="27">
        <v>60.842599999999997</v>
      </c>
      <c r="Z49" s="27">
        <v>52.374299999999998</v>
      </c>
      <c r="AA49" s="27">
        <v>92.692399999999992</v>
      </c>
      <c r="AB49" s="27">
        <v>46.198300000000003</v>
      </c>
      <c r="AC49" s="27">
        <v>19.851500000000001</v>
      </c>
      <c r="AD49" s="27">
        <v>40.144300000000001</v>
      </c>
      <c r="AE49" s="27">
        <v>64.350899999999996</v>
      </c>
      <c r="AF49" s="27">
        <v>22.977900000000002</v>
      </c>
      <c r="AG49" s="27">
        <v>86.183800000000005</v>
      </c>
      <c r="AH49" s="27">
        <v>82.221699999999998</v>
      </c>
      <c r="AI49" s="27">
        <v>10</v>
      </c>
      <c r="AJ49" s="27">
        <v>10</v>
      </c>
      <c r="AK49" s="27">
        <v>10</v>
      </c>
      <c r="AL49" s="27">
        <v>61.812399999999997</v>
      </c>
      <c r="AM49" s="27">
        <v>17.967700000000001</v>
      </c>
      <c r="AN49" s="27">
        <v>46.337000000000003</v>
      </c>
      <c r="AO49" s="27">
        <v>92.277900000000002</v>
      </c>
      <c r="AP49" s="27">
        <v>10</v>
      </c>
      <c r="AQ49" s="27">
        <v>89.486800000000002</v>
      </c>
      <c r="AR49" s="27">
        <v>58.404599999999988</v>
      </c>
      <c r="AS49" s="27">
        <v>32.383200000000002</v>
      </c>
      <c r="AT49" s="27">
        <v>76.9495</v>
      </c>
      <c r="AU49" s="27">
        <v>24.177700000000002</v>
      </c>
      <c r="AV49" s="27">
        <v>82.795100000000005</v>
      </c>
      <c r="AW49" s="27">
        <v>50.312630434782612</v>
      </c>
      <c r="AX49" s="33">
        <v>2314.3809999999999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0" width="15" customWidth="1"/>
  </cols>
  <sheetData>
    <row r="1" spans="1:50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9" t="s">
        <v>84</v>
      </c>
    </row>
    <row r="2" spans="1:50" x14ac:dyDescent="0.25">
      <c r="A2" s="24">
        <v>1</v>
      </c>
      <c r="B2" s="26">
        <v>0</v>
      </c>
      <c r="C2" s="28">
        <v>0.36969766666666698</v>
      </c>
      <c r="D2" s="28">
        <v>0.20057466666666601</v>
      </c>
      <c r="E2" s="28">
        <v>0.16296133333333301</v>
      </c>
      <c r="F2" s="28">
        <v>5.8000000000000003E-2</v>
      </c>
      <c r="G2" s="28">
        <v>0.24255333333333301</v>
      </c>
      <c r="H2" s="28">
        <v>0.123788666666667</v>
      </c>
      <c r="I2" s="28">
        <v>0.33791466666666697</v>
      </c>
      <c r="J2" s="28">
        <v>0.23157466666666701</v>
      </c>
      <c r="K2" s="28">
        <v>0.213912666666667</v>
      </c>
      <c r="L2" s="28">
        <v>0.48797966666666698</v>
      </c>
      <c r="M2" s="28">
        <v>0.31165066666666702</v>
      </c>
      <c r="N2" s="28">
        <v>0.210313</v>
      </c>
      <c r="O2" s="28">
        <v>0.31638166666666701</v>
      </c>
      <c r="P2" s="28">
        <v>6.0504000000000002E-2</v>
      </c>
      <c r="Q2" s="28">
        <v>5.1999999999999998E-2</v>
      </c>
      <c r="R2" s="28">
        <v>0.206411333333333</v>
      </c>
      <c r="S2" s="28">
        <v>0.25216933333333402</v>
      </c>
      <c r="T2" s="28">
        <v>0.104638333333333</v>
      </c>
      <c r="U2" s="28">
        <v>0.45208533333333301</v>
      </c>
      <c r="V2" s="28">
        <v>0.17587333333333299</v>
      </c>
      <c r="W2" s="28">
        <v>0.14107033333333299</v>
      </c>
      <c r="X2" s="28">
        <v>0.26784000000000002</v>
      </c>
      <c r="Y2" s="28">
        <v>0.11849899999999999</v>
      </c>
      <c r="Z2" s="28">
        <v>7.2213333333333296E-2</v>
      </c>
      <c r="AA2" s="28">
        <v>4.3999999999999997E-2</v>
      </c>
      <c r="AB2" s="28">
        <v>0.121736</v>
      </c>
      <c r="AC2" s="28">
        <v>0.20697333333333301</v>
      </c>
      <c r="AD2" s="28">
        <v>0.59929133333333295</v>
      </c>
      <c r="AE2" s="28">
        <v>0.03</v>
      </c>
      <c r="AF2" s="28">
        <v>6.6483333333333297E-2</v>
      </c>
      <c r="AG2" s="28">
        <v>0.14010566666666699</v>
      </c>
      <c r="AH2" s="28">
        <v>7.13293333333333E-2</v>
      </c>
      <c r="AI2" s="28">
        <v>0.43863799999999997</v>
      </c>
      <c r="AJ2" s="28">
        <v>2.5999999999999999E-2</v>
      </c>
      <c r="AK2" s="28">
        <v>0.21235266666666699</v>
      </c>
      <c r="AL2" s="28">
        <v>6.0285333333333302E-2</v>
      </c>
      <c r="AM2" s="28">
        <v>0.13771800000000001</v>
      </c>
      <c r="AN2" s="28">
        <v>0.124759333333333</v>
      </c>
      <c r="AO2" s="28">
        <v>4.2999999999999997E-2</v>
      </c>
      <c r="AP2" s="28">
        <v>0.29802800000000002</v>
      </c>
      <c r="AQ2" s="28">
        <v>0.48496166666666601</v>
      </c>
      <c r="AR2" s="28">
        <v>0.97896666666666698</v>
      </c>
      <c r="AS2" s="28">
        <v>0.24482799999999999</v>
      </c>
      <c r="AT2" s="28">
        <v>9.5666666666666705E-2</v>
      </c>
      <c r="AU2" s="28">
        <v>0.131071666666667</v>
      </c>
      <c r="AV2" s="28">
        <v>0.13968533333333299</v>
      </c>
      <c r="AW2" s="28">
        <v>0.21448885507246371</v>
      </c>
      <c r="AX2" s="34">
        <v>9.8664873333333318</v>
      </c>
    </row>
    <row r="3" spans="1:50" x14ac:dyDescent="0.25">
      <c r="A3" s="24">
        <v>2</v>
      </c>
      <c r="B3" s="26">
        <v>0.5</v>
      </c>
      <c r="C3" s="28">
        <v>4.9000000000000002E-2</v>
      </c>
      <c r="D3" s="28">
        <v>4.3999999999999997E-2</v>
      </c>
      <c r="E3" s="28">
        <v>0.05</v>
      </c>
      <c r="F3" s="28">
        <v>0.254516666666667</v>
      </c>
      <c r="G3" s="28">
        <v>0.32860266666666699</v>
      </c>
      <c r="H3" s="28">
        <v>3.5000000000000003E-2</v>
      </c>
      <c r="I3" s="28">
        <v>5.1999999999999998E-2</v>
      </c>
      <c r="J3" s="28">
        <v>5.6000000000000001E-2</v>
      </c>
      <c r="K3" s="28">
        <v>0.45926099999999997</v>
      </c>
      <c r="L3" s="28">
        <v>0.37385333333333398</v>
      </c>
      <c r="M3" s="28">
        <v>0.252589333333333</v>
      </c>
      <c r="N3" s="28">
        <v>0.17742333333333299</v>
      </c>
      <c r="O3" s="28">
        <v>0.1479</v>
      </c>
      <c r="P3" s="28">
        <v>0.18483466666666701</v>
      </c>
      <c r="Q3" s="28">
        <v>5.1999999999999998E-2</v>
      </c>
      <c r="R3" s="28">
        <v>0.12445000000000001</v>
      </c>
      <c r="S3" s="28">
        <v>5.7000000000000002E-2</v>
      </c>
      <c r="T3" s="28">
        <v>0.28571766666666598</v>
      </c>
      <c r="U3" s="28">
        <v>6.56876666666667E-2</v>
      </c>
      <c r="V3" s="28">
        <v>0.15138799999999999</v>
      </c>
      <c r="W3" s="28">
        <v>0.11274099999999999</v>
      </c>
      <c r="X3" s="28">
        <v>0.39135033333333302</v>
      </c>
      <c r="Y3" s="28">
        <v>0.147609666666667</v>
      </c>
      <c r="Z3" s="28">
        <v>0.310265333333333</v>
      </c>
      <c r="AA3" s="28">
        <v>4.3999999999999997E-2</v>
      </c>
      <c r="AB3" s="28">
        <v>8.3625333333333302E-2</v>
      </c>
      <c r="AC3" s="28">
        <v>9.3207999999999902E-2</v>
      </c>
      <c r="AD3" s="28">
        <v>0.10152799999999999</v>
      </c>
      <c r="AE3" s="28">
        <v>0.15909599999999999</v>
      </c>
      <c r="AF3" s="28">
        <v>0.20583333333333301</v>
      </c>
      <c r="AG3" s="28">
        <v>0.212309</v>
      </c>
      <c r="AH3" s="28">
        <v>0.285530333333333</v>
      </c>
      <c r="AI3" s="28">
        <v>6.0824000000000003E-2</v>
      </c>
      <c r="AJ3" s="28">
        <v>2.5999999999999999E-2</v>
      </c>
      <c r="AK3" s="28">
        <v>0.14049466666666699</v>
      </c>
      <c r="AL3" s="28">
        <v>0.21679699999999999</v>
      </c>
      <c r="AM3" s="28">
        <v>0.17603333333333299</v>
      </c>
      <c r="AN3" s="28">
        <v>5.6000000000000001E-2</v>
      </c>
      <c r="AO3" s="28">
        <v>0.17059133333333301</v>
      </c>
      <c r="AP3" s="28">
        <v>6.8335000000000007E-2</v>
      </c>
      <c r="AQ3" s="28">
        <v>4.2000000000000003E-2</v>
      </c>
      <c r="AR3" s="28">
        <v>0.463088</v>
      </c>
      <c r="AS3" s="28">
        <v>6.5037999999999999E-2</v>
      </c>
      <c r="AT3" s="28">
        <v>0.18990799999999999</v>
      </c>
      <c r="AU3" s="28">
        <v>0.20060700000000001</v>
      </c>
      <c r="AV3" s="28">
        <v>1.6504573333333299</v>
      </c>
      <c r="AW3" s="28">
        <v>0.1929237898550723</v>
      </c>
      <c r="AX3" s="34">
        <v>8.8744943333333275</v>
      </c>
    </row>
    <row r="4" spans="1:50" x14ac:dyDescent="0.25">
      <c r="A4" s="24">
        <v>3</v>
      </c>
      <c r="B4" s="26">
        <v>1</v>
      </c>
      <c r="C4" s="28">
        <v>0.119643333333333</v>
      </c>
      <c r="D4" s="28">
        <v>4.3999999999999997E-2</v>
      </c>
      <c r="E4" s="28">
        <v>0.227510666666667</v>
      </c>
      <c r="F4" s="28">
        <v>0.136997333333333</v>
      </c>
      <c r="G4" s="28">
        <v>0.328058666666667</v>
      </c>
      <c r="H4" s="28">
        <v>3.5000000000000003E-2</v>
      </c>
      <c r="I4" s="28">
        <v>0.28904000000000002</v>
      </c>
      <c r="J4" s="28">
        <v>0.16772933333333301</v>
      </c>
      <c r="K4" s="28">
        <v>5.5E-2</v>
      </c>
      <c r="L4" s="28">
        <v>0.20877733333333301</v>
      </c>
      <c r="M4" s="28">
        <v>5.5E-2</v>
      </c>
      <c r="N4" s="28">
        <v>0.21083433333333301</v>
      </c>
      <c r="O4" s="28">
        <v>4.5999999999999999E-2</v>
      </c>
      <c r="P4" s="28">
        <v>0.13482133333333299</v>
      </c>
      <c r="Q4" s="28">
        <v>5.1999999999999998E-2</v>
      </c>
      <c r="R4" s="28">
        <v>0.15823499999999999</v>
      </c>
      <c r="S4" s="28">
        <v>0.225555333333333</v>
      </c>
      <c r="T4" s="28">
        <v>0.04</v>
      </c>
      <c r="U4" s="28">
        <v>0.13487666666666701</v>
      </c>
      <c r="V4" s="28">
        <v>0.11219066666666699</v>
      </c>
      <c r="W4" s="28">
        <v>4.9000000000000002E-2</v>
      </c>
      <c r="X4" s="28">
        <v>5.0999999999999997E-2</v>
      </c>
      <c r="Y4" s="28">
        <v>5.2999999999999999E-2</v>
      </c>
      <c r="Z4" s="28">
        <v>0.14901700000000001</v>
      </c>
      <c r="AA4" s="28">
        <v>0.109946</v>
      </c>
      <c r="AB4" s="28">
        <v>0.33210200000000001</v>
      </c>
      <c r="AC4" s="28">
        <v>5.8000000000000003E-2</v>
      </c>
      <c r="AD4" s="28">
        <v>5.6000000000000001E-2</v>
      </c>
      <c r="AE4" s="28">
        <v>0.03</v>
      </c>
      <c r="AF4" s="28">
        <v>5.0999999999999997E-2</v>
      </c>
      <c r="AG4" s="28">
        <v>7.8115000000000004E-2</v>
      </c>
      <c r="AH4" s="28">
        <v>0.13997299999999999</v>
      </c>
      <c r="AI4" s="28">
        <v>0.15500466666666701</v>
      </c>
      <c r="AJ4" s="28">
        <v>0.144073333333333</v>
      </c>
      <c r="AK4" s="28">
        <v>0.40708266666666698</v>
      </c>
      <c r="AL4" s="28">
        <v>4.9000000000000002E-2</v>
      </c>
      <c r="AM4" s="28">
        <v>4.8000000000000001E-2</v>
      </c>
      <c r="AN4" s="28">
        <v>5.6000000000000001E-2</v>
      </c>
      <c r="AO4" s="28">
        <v>4.2999999999999997E-2</v>
      </c>
      <c r="AP4" s="28">
        <v>0.112262</v>
      </c>
      <c r="AQ4" s="28">
        <v>0.154366</v>
      </c>
      <c r="AR4" s="28">
        <v>7.0000000000000007E-2</v>
      </c>
      <c r="AS4" s="28">
        <v>0.20800199999999999</v>
      </c>
      <c r="AT4" s="28">
        <v>0.157248</v>
      </c>
      <c r="AU4" s="28">
        <v>5.5E-2</v>
      </c>
      <c r="AV4" s="28">
        <v>0.37192399999999998</v>
      </c>
      <c r="AW4" s="28">
        <v>0.12976925362318839</v>
      </c>
      <c r="AX4" s="34">
        <v>5.9693856666666658</v>
      </c>
    </row>
    <row r="5" spans="1:50" x14ac:dyDescent="0.25">
      <c r="A5" s="24">
        <v>4</v>
      </c>
      <c r="B5" s="26">
        <v>1.5</v>
      </c>
      <c r="C5" s="28">
        <v>0.17764133333333301</v>
      </c>
      <c r="D5" s="28">
        <v>0.182662666666667</v>
      </c>
      <c r="E5" s="28">
        <v>0.05</v>
      </c>
      <c r="F5" s="28">
        <v>5.8000000000000003E-2</v>
      </c>
      <c r="G5" s="28">
        <v>0.23130100000000001</v>
      </c>
      <c r="H5" s="28">
        <v>0.20509866666666701</v>
      </c>
      <c r="I5" s="28">
        <v>0.10771600000000001</v>
      </c>
      <c r="J5" s="28">
        <v>0.119845333333333</v>
      </c>
      <c r="K5" s="28">
        <v>0.163812666666667</v>
      </c>
      <c r="L5" s="28">
        <v>5.3999999999999999E-2</v>
      </c>
      <c r="M5" s="28">
        <v>5.5E-2</v>
      </c>
      <c r="N5" s="28">
        <v>0.126106</v>
      </c>
      <c r="O5" s="28">
        <v>0.12751999999999999</v>
      </c>
      <c r="P5" s="28">
        <v>0.16148000000000001</v>
      </c>
      <c r="Q5" s="28">
        <v>5.1999999999999998E-2</v>
      </c>
      <c r="R5" s="28">
        <v>0.14175966666666701</v>
      </c>
      <c r="S5" s="28">
        <v>8.3613999999999897E-2</v>
      </c>
      <c r="T5" s="28">
        <v>0.27328533333333299</v>
      </c>
      <c r="U5" s="28">
        <v>0.150252</v>
      </c>
      <c r="V5" s="28">
        <v>0.18995266666666699</v>
      </c>
      <c r="W5" s="28">
        <v>0.20481133333333301</v>
      </c>
      <c r="X5" s="28">
        <v>0.31631999999999999</v>
      </c>
      <c r="Y5" s="28">
        <v>0.147609666666667</v>
      </c>
      <c r="Z5" s="28">
        <v>0.380496</v>
      </c>
      <c r="AA5" s="28">
        <v>4.3999999999999997E-2</v>
      </c>
      <c r="AB5" s="28">
        <v>4.9000000000000002E-2</v>
      </c>
      <c r="AC5" s="28">
        <v>8.4405999999999995E-2</v>
      </c>
      <c r="AD5" s="28">
        <v>5.6000000000000001E-2</v>
      </c>
      <c r="AE5" s="28">
        <v>0.11802</v>
      </c>
      <c r="AF5" s="28">
        <v>0.15938333333333299</v>
      </c>
      <c r="AG5" s="28">
        <v>0.195499333333333</v>
      </c>
      <c r="AH5" s="28">
        <v>4.1000000000000002E-2</v>
      </c>
      <c r="AI5" s="28">
        <v>0.171822</v>
      </c>
      <c r="AJ5" s="28">
        <v>2.5999999999999999E-2</v>
      </c>
      <c r="AK5" s="28">
        <v>0.45254266666666698</v>
      </c>
      <c r="AL5" s="28">
        <v>7.7516000000000002E-2</v>
      </c>
      <c r="AM5" s="28">
        <v>0.26574700000000001</v>
      </c>
      <c r="AN5" s="28">
        <v>5.6000000000000001E-2</v>
      </c>
      <c r="AO5" s="28">
        <v>4.2999999999999997E-2</v>
      </c>
      <c r="AP5" s="28">
        <v>0.25410533333333302</v>
      </c>
      <c r="AQ5" s="28">
        <v>5.9742000000000003E-2</v>
      </c>
      <c r="AR5" s="28">
        <v>0.19374266666666701</v>
      </c>
      <c r="AS5" s="28">
        <v>0.13022800000000001</v>
      </c>
      <c r="AT5" s="28">
        <v>3.4000000000000002E-2</v>
      </c>
      <c r="AU5" s="28">
        <v>0.20754066666666701</v>
      </c>
      <c r="AV5" s="28">
        <v>0.15352533333333299</v>
      </c>
      <c r="AW5" s="28">
        <v>0.1441979275362319</v>
      </c>
      <c r="AX5" s="34">
        <v>6.6331046666666671</v>
      </c>
    </row>
    <row r="6" spans="1:50" x14ac:dyDescent="0.25">
      <c r="A6" s="24">
        <v>5</v>
      </c>
      <c r="B6" s="26">
        <v>2</v>
      </c>
      <c r="C6" s="28">
        <v>8.6643999999999902E-2</v>
      </c>
      <c r="D6" s="28">
        <v>0.17400199999999999</v>
      </c>
      <c r="E6" s="28">
        <v>0.20330466666666699</v>
      </c>
      <c r="F6" s="28">
        <v>0.25179400000000002</v>
      </c>
      <c r="G6" s="28">
        <v>5.5E-2</v>
      </c>
      <c r="H6" s="28">
        <v>8.8520000000000099E-2</v>
      </c>
      <c r="I6" s="28">
        <v>0.101616</v>
      </c>
      <c r="J6" s="28">
        <v>5.6000000000000001E-2</v>
      </c>
      <c r="K6" s="28">
        <v>5.5E-2</v>
      </c>
      <c r="L6" s="28">
        <v>0.132966</v>
      </c>
      <c r="M6" s="28">
        <v>0.225645333333333</v>
      </c>
      <c r="N6" s="28">
        <v>0.29246800000000001</v>
      </c>
      <c r="O6" s="28">
        <v>0.23231099999999999</v>
      </c>
      <c r="P6" s="28">
        <v>0.14909600000000001</v>
      </c>
      <c r="Q6" s="28">
        <v>5.1999999999999998E-2</v>
      </c>
      <c r="R6" s="28">
        <v>0.134043</v>
      </c>
      <c r="S6" s="28">
        <v>0.12797066666666701</v>
      </c>
      <c r="T6" s="28">
        <v>0.11706999999999999</v>
      </c>
      <c r="U6" s="28">
        <v>8.1062999999999996E-2</v>
      </c>
      <c r="V6" s="28">
        <v>0.101354</v>
      </c>
      <c r="W6" s="28">
        <v>4.9000000000000002E-2</v>
      </c>
      <c r="X6" s="28">
        <v>5.0999999999999997E-2</v>
      </c>
      <c r="Y6" s="28">
        <v>0.11849899999999999</v>
      </c>
      <c r="Z6" s="28">
        <v>0.154775</v>
      </c>
      <c r="AA6" s="28">
        <v>4.3999999999999997E-2</v>
      </c>
      <c r="AB6" s="28">
        <v>0.21347033333333301</v>
      </c>
      <c r="AC6" s="28">
        <v>0.11081199999999999</v>
      </c>
      <c r="AD6" s="28">
        <v>6.3588000000000006E-2</v>
      </c>
      <c r="AE6" s="28">
        <v>7.1076E-2</v>
      </c>
      <c r="AF6" s="28">
        <v>0.112933333333333</v>
      </c>
      <c r="AG6" s="28">
        <v>0.171384333333333</v>
      </c>
      <c r="AH6" s="28">
        <v>0.13867599999999999</v>
      </c>
      <c r="AI6" s="28">
        <v>0.15077399999999999</v>
      </c>
      <c r="AJ6" s="28">
        <v>2.5999999999999999E-2</v>
      </c>
      <c r="AK6" s="28">
        <v>0.33166733333333398</v>
      </c>
      <c r="AL6" s="28">
        <v>0.22216066666666701</v>
      </c>
      <c r="AM6" s="28">
        <v>4.8000000000000001E-2</v>
      </c>
      <c r="AN6" s="28">
        <v>5.6000000000000001E-2</v>
      </c>
      <c r="AO6" s="28">
        <v>0.17059133333333301</v>
      </c>
      <c r="AP6" s="28">
        <v>0.05</v>
      </c>
      <c r="AQ6" s="28">
        <v>4.2000000000000003E-2</v>
      </c>
      <c r="AR6" s="28">
        <v>7.1012000000000006E-2</v>
      </c>
      <c r="AS6" s="28">
        <v>5.1999999999999998E-2</v>
      </c>
      <c r="AT6" s="28">
        <v>0.26693733333333303</v>
      </c>
      <c r="AU6" s="28">
        <v>0.124138</v>
      </c>
      <c r="AV6" s="28">
        <v>0.35552800000000001</v>
      </c>
      <c r="AW6" s="28">
        <v>0.13008457246376809</v>
      </c>
      <c r="AX6" s="34">
        <v>5.9838903333333331</v>
      </c>
    </row>
    <row r="7" spans="1:50" x14ac:dyDescent="0.25">
      <c r="A7" s="24">
        <v>6</v>
      </c>
      <c r="B7" s="26">
        <v>2.5</v>
      </c>
      <c r="C7" s="28">
        <v>0.210640666666667</v>
      </c>
      <c r="D7" s="28">
        <v>4.3999999999999997E-2</v>
      </c>
      <c r="E7" s="28">
        <v>7.4205999999999994E-2</v>
      </c>
      <c r="F7" s="28">
        <v>0.13972000000000001</v>
      </c>
      <c r="G7" s="28">
        <v>5.5E-2</v>
      </c>
      <c r="H7" s="28">
        <v>7.2138333333333401E-2</v>
      </c>
      <c r="I7" s="28">
        <v>0.254089333333333</v>
      </c>
      <c r="J7" s="28">
        <v>0.15176799999999999</v>
      </c>
      <c r="K7" s="28">
        <v>5.5E-2</v>
      </c>
      <c r="L7" s="28">
        <v>0.20877733333333301</v>
      </c>
      <c r="M7" s="28">
        <v>8.1944000000000003E-2</v>
      </c>
      <c r="N7" s="28">
        <v>0.116374666666667</v>
      </c>
      <c r="O7" s="28">
        <v>4.5999999999999999E-2</v>
      </c>
      <c r="P7" s="28">
        <v>0.22671733333333299</v>
      </c>
      <c r="Q7" s="28">
        <v>5.1999999999999998E-2</v>
      </c>
      <c r="R7" s="28">
        <v>0.17366833333333301</v>
      </c>
      <c r="S7" s="28">
        <v>0.18119866666666701</v>
      </c>
      <c r="T7" s="28">
        <v>7.1681666666666699E-2</v>
      </c>
      <c r="U7" s="28">
        <v>0.20406566666666701</v>
      </c>
      <c r="V7" s="28">
        <v>0.41243000000000002</v>
      </c>
      <c r="W7" s="28">
        <v>0.15523500000000001</v>
      </c>
      <c r="X7" s="28">
        <v>0.186153333333333</v>
      </c>
      <c r="Y7" s="28">
        <v>5.2999999999999999E-2</v>
      </c>
      <c r="Z7" s="28">
        <v>0.104809</v>
      </c>
      <c r="AA7" s="28">
        <v>8.7964000000000001E-2</v>
      </c>
      <c r="AB7" s="28">
        <v>7.4968999999999897E-2</v>
      </c>
      <c r="AC7" s="28">
        <v>0.10201</v>
      </c>
      <c r="AD7" s="28">
        <v>0.21534800000000001</v>
      </c>
      <c r="AE7" s="28">
        <v>0.03</v>
      </c>
      <c r="AF7" s="28">
        <v>5.0999999999999997E-2</v>
      </c>
      <c r="AG7" s="28">
        <v>0.10223</v>
      </c>
      <c r="AH7" s="28">
        <v>0.23805899999999999</v>
      </c>
      <c r="AI7" s="28">
        <v>0.19800066666666699</v>
      </c>
      <c r="AJ7" s="28">
        <v>0.114555</v>
      </c>
      <c r="AK7" s="28">
        <v>0.50854666666666704</v>
      </c>
      <c r="AL7" s="28">
        <v>0.13926266666666701</v>
      </c>
      <c r="AM7" s="28">
        <v>0.16963166666666701</v>
      </c>
      <c r="AN7" s="28">
        <v>0.124759333333333</v>
      </c>
      <c r="AO7" s="28">
        <v>4.2999999999999997E-2</v>
      </c>
      <c r="AP7" s="28">
        <v>0.285401666666667</v>
      </c>
      <c r="AQ7" s="28">
        <v>0.136624</v>
      </c>
      <c r="AR7" s="28">
        <v>4.8000000000000001E-2</v>
      </c>
      <c r="AS7" s="28">
        <v>5.1999999999999998E-2</v>
      </c>
      <c r="AT7" s="28">
        <v>8.02179999999999E-2</v>
      </c>
      <c r="AU7" s="28">
        <v>9.6601999999999993E-2</v>
      </c>
      <c r="AV7" s="28">
        <v>6.4526E-2</v>
      </c>
      <c r="AW7" s="28">
        <v>0.1368114130434783</v>
      </c>
      <c r="AX7" s="34">
        <v>6.2933250000000012</v>
      </c>
    </row>
    <row r="8" spans="1:50" x14ac:dyDescent="0.25">
      <c r="A8" s="24">
        <v>7</v>
      </c>
      <c r="B8" s="26">
        <v>3</v>
      </c>
      <c r="C8" s="28">
        <v>0.124288</v>
      </c>
      <c r="D8" s="28">
        <v>0.23321900000000001</v>
      </c>
      <c r="E8" s="28">
        <v>8.2274666666666704E-2</v>
      </c>
      <c r="F8" s="28">
        <v>5.8000000000000003E-2</v>
      </c>
      <c r="G8" s="28">
        <v>5.5E-2</v>
      </c>
      <c r="H8" s="28">
        <v>0.221480333333333</v>
      </c>
      <c r="I8" s="28">
        <v>9.3044000000000002E-2</v>
      </c>
      <c r="J8" s="28">
        <v>0.13580666666666699</v>
      </c>
      <c r="K8" s="28">
        <v>0.12495100000000001</v>
      </c>
      <c r="L8" s="28">
        <v>0.128579</v>
      </c>
      <c r="M8" s="28">
        <v>9.0925333333333302E-2</v>
      </c>
      <c r="N8" s="28">
        <v>6.8468000000000001E-2</v>
      </c>
      <c r="O8" s="28">
        <v>0.12896566666666701</v>
      </c>
      <c r="P8" s="28">
        <v>6.9338666666666701E-2</v>
      </c>
      <c r="Q8" s="28">
        <v>5.1999999999999998E-2</v>
      </c>
      <c r="R8" s="28">
        <v>0.109016666666667</v>
      </c>
      <c r="S8" s="28">
        <v>7.4742666666666693E-2</v>
      </c>
      <c r="T8" s="28">
        <v>0.212115</v>
      </c>
      <c r="U8" s="28">
        <v>5.8000000000000003E-2</v>
      </c>
      <c r="V8" s="28">
        <v>0.43899233333333298</v>
      </c>
      <c r="W8" s="28">
        <v>9.8576333333333294E-2</v>
      </c>
      <c r="X8" s="28">
        <v>7.2340000000000002E-2</v>
      </c>
      <c r="Y8" s="28">
        <v>0.11849899999999999</v>
      </c>
      <c r="Z8" s="28">
        <v>0.45100000000000001</v>
      </c>
      <c r="AA8" s="28">
        <v>0.52819766666666701</v>
      </c>
      <c r="AB8" s="28">
        <v>4.9000000000000002E-2</v>
      </c>
      <c r="AC8" s="28">
        <v>9.3207999999999902E-2</v>
      </c>
      <c r="AD8" s="28">
        <v>5.6000000000000001E-2</v>
      </c>
      <c r="AE8" s="28">
        <v>0.15909599999999999</v>
      </c>
      <c r="AF8" s="28">
        <v>0.22131666666666699</v>
      </c>
      <c r="AG8" s="28">
        <v>0.19315866666666701</v>
      </c>
      <c r="AH8" s="28">
        <v>0.1201</v>
      </c>
      <c r="AI8" s="28">
        <v>0.164656</v>
      </c>
      <c r="AJ8" s="28">
        <v>5.5518333333333399E-2</v>
      </c>
      <c r="AK8" s="28">
        <v>0.39883200000000002</v>
      </c>
      <c r="AL8" s="28">
        <v>0.170771333333333</v>
      </c>
      <c r="AM8" s="28">
        <v>0.14411966666666701</v>
      </c>
      <c r="AN8" s="28">
        <v>6.0044666666666698E-2</v>
      </c>
      <c r="AO8" s="28">
        <v>0.17059133333333301</v>
      </c>
      <c r="AP8" s="28">
        <v>8.0961333333333302E-2</v>
      </c>
      <c r="AQ8" s="28">
        <v>7.7483999999999997E-2</v>
      </c>
      <c r="AR8" s="28">
        <v>0.101694666666667</v>
      </c>
      <c r="AS8" s="28">
        <v>0.138463</v>
      </c>
      <c r="AT8" s="28">
        <v>3.4000000000000002E-2</v>
      </c>
      <c r="AU8" s="28">
        <v>0.23507666666666699</v>
      </c>
      <c r="AV8" s="28">
        <v>0.16500400000000001</v>
      </c>
      <c r="AW8" s="28">
        <v>0.14601992028985511</v>
      </c>
      <c r="AX8" s="34">
        <v>6.7169163333333319</v>
      </c>
    </row>
    <row r="9" spans="1:50" x14ac:dyDescent="0.25">
      <c r="A9" s="24">
        <v>8</v>
      </c>
      <c r="B9" s="26">
        <v>3.5</v>
      </c>
      <c r="C9" s="28">
        <v>0.14790066666666701</v>
      </c>
      <c r="D9" s="28">
        <v>0.12344566666666699</v>
      </c>
      <c r="E9" s="28">
        <v>0.19523599999999999</v>
      </c>
      <c r="F9" s="28">
        <v>0.193034333333333</v>
      </c>
      <c r="G9" s="28">
        <v>5.5E-2</v>
      </c>
      <c r="H9" s="28">
        <v>3.5000000000000003E-2</v>
      </c>
      <c r="I9" s="28">
        <v>0.15510533333333301</v>
      </c>
      <c r="J9" s="28">
        <v>5.6000000000000001E-2</v>
      </c>
      <c r="K9" s="28">
        <v>9.3861666666666704E-2</v>
      </c>
      <c r="L9" s="28">
        <v>0.16391700000000001</v>
      </c>
      <c r="M9" s="28">
        <v>0.216664</v>
      </c>
      <c r="N9" s="28">
        <v>0.36527700000000002</v>
      </c>
      <c r="O9" s="28">
        <v>0.23086266666666699</v>
      </c>
      <c r="P9" s="28">
        <v>0.208648</v>
      </c>
      <c r="Q9" s="28">
        <v>5.1999999999999998E-2</v>
      </c>
      <c r="R9" s="28">
        <v>0.24113499999999999</v>
      </c>
      <c r="S9" s="28">
        <v>0.23442666666666701</v>
      </c>
      <c r="T9" s="28">
        <v>0.04</v>
      </c>
      <c r="U9" s="28">
        <v>0.22712866666666701</v>
      </c>
      <c r="V9" s="28">
        <v>0.23164499999999999</v>
      </c>
      <c r="W9" s="28">
        <v>4.9000000000000002E-2</v>
      </c>
      <c r="X9" s="28">
        <v>6.6546666666666698E-2</v>
      </c>
      <c r="Y9" s="28">
        <v>0.147609666666667</v>
      </c>
      <c r="Z9" s="28">
        <v>0.100774533333333</v>
      </c>
      <c r="AA9" s="28">
        <v>0.26051600000000003</v>
      </c>
      <c r="AB9" s="28">
        <v>0.340758333333334</v>
      </c>
      <c r="AC9" s="28">
        <v>5.8000000000000003E-2</v>
      </c>
      <c r="AD9" s="28">
        <v>0.222936</v>
      </c>
      <c r="AE9" s="28">
        <v>0.03</v>
      </c>
      <c r="AF9" s="28">
        <v>5.0999999999999997E-2</v>
      </c>
      <c r="AG9" s="28">
        <v>0.15925600000000001</v>
      </c>
      <c r="AH9" s="28">
        <v>4.1000000000000002E-2</v>
      </c>
      <c r="AI9" s="28">
        <v>0.18026066666666701</v>
      </c>
      <c r="AJ9" s="28">
        <v>2.5999999999999999E-2</v>
      </c>
      <c r="AK9" s="28">
        <v>0.41393566666666698</v>
      </c>
      <c r="AL9" s="28">
        <v>0.18693133333333301</v>
      </c>
      <c r="AM9" s="28">
        <v>6.0803333333333397E-2</v>
      </c>
      <c r="AN9" s="28">
        <v>0.120714666666667</v>
      </c>
      <c r="AO9" s="28">
        <v>4.2999999999999997E-2</v>
      </c>
      <c r="AP9" s="28">
        <v>8.4589999999999999E-2</v>
      </c>
      <c r="AQ9" s="28">
        <v>4.2000000000000003E-2</v>
      </c>
      <c r="AR9" s="28">
        <v>0.16306000000000001</v>
      </c>
      <c r="AS9" s="28">
        <v>0.199767</v>
      </c>
      <c r="AT9" s="28">
        <v>0.20346600000000001</v>
      </c>
      <c r="AU9" s="28">
        <v>5.5E-2</v>
      </c>
      <c r="AV9" s="28">
        <v>0.27960800000000002</v>
      </c>
      <c r="AW9" s="28">
        <v>0.1489743811594203</v>
      </c>
      <c r="AX9" s="34">
        <v>6.8528215333333353</v>
      </c>
    </row>
    <row r="10" spans="1:50" x14ac:dyDescent="0.25">
      <c r="A10" s="24">
        <v>9</v>
      </c>
      <c r="B10" s="26">
        <v>4</v>
      </c>
      <c r="C10" s="28">
        <v>0.11801399999999999</v>
      </c>
      <c r="D10" s="28">
        <v>0.14279600000000001</v>
      </c>
      <c r="E10" s="28">
        <v>0.05</v>
      </c>
      <c r="F10" s="28">
        <v>0.198479666666667</v>
      </c>
      <c r="G10" s="28">
        <v>5.5E-2</v>
      </c>
      <c r="H10" s="28">
        <v>3.5000000000000003E-2</v>
      </c>
      <c r="I10" s="28">
        <v>0.241647</v>
      </c>
      <c r="J10" s="28">
        <v>0.16772933333333301</v>
      </c>
      <c r="K10" s="28">
        <v>5.5E-2</v>
      </c>
      <c r="L10" s="28">
        <v>0.160278333333333</v>
      </c>
      <c r="M10" s="28">
        <v>5.5E-2</v>
      </c>
      <c r="N10" s="28">
        <v>6.00336666666667E-2</v>
      </c>
      <c r="O10" s="28">
        <v>4.5999999999999999E-2</v>
      </c>
      <c r="P10" s="28">
        <v>4.2834666666666701E-2</v>
      </c>
      <c r="Q10" s="28">
        <v>5.1999999999999998E-2</v>
      </c>
      <c r="R10" s="28">
        <v>8.9724999999999999E-2</v>
      </c>
      <c r="S10" s="28">
        <v>5.7000000000000002E-2</v>
      </c>
      <c r="T10" s="28">
        <v>0.132292666666667</v>
      </c>
      <c r="U10" s="28">
        <v>5.8000000000000003E-2</v>
      </c>
      <c r="V10" s="28">
        <v>0.122748333333333</v>
      </c>
      <c r="W10" s="28">
        <v>0.133988</v>
      </c>
      <c r="X10" s="28">
        <v>0.300773333333333</v>
      </c>
      <c r="Y10" s="28">
        <v>5.2999999999999999E-2</v>
      </c>
      <c r="Z10" s="28">
        <v>0.27714666666666699</v>
      </c>
      <c r="AA10" s="28">
        <v>0.10628233333333301</v>
      </c>
      <c r="AB10" s="28">
        <v>7.4968999999999897E-2</v>
      </c>
      <c r="AC10" s="28">
        <v>0.13721800000000001</v>
      </c>
      <c r="AD10" s="28">
        <v>5.6000000000000001E-2</v>
      </c>
      <c r="AE10" s="28">
        <v>0.13562399999999999</v>
      </c>
      <c r="AF10" s="28">
        <v>0.15164166666666701</v>
      </c>
      <c r="AG10" s="28">
        <v>0.12634500000000001</v>
      </c>
      <c r="AH10" s="28">
        <v>0.17912033333333299</v>
      </c>
      <c r="AI10" s="28">
        <v>0.24734</v>
      </c>
      <c r="AJ10" s="28">
        <v>2.5999999999999999E-2</v>
      </c>
      <c r="AK10" s="28">
        <v>0.122917</v>
      </c>
      <c r="AL10" s="28">
        <v>0.103807333333333</v>
      </c>
      <c r="AM10" s="28">
        <v>0.16322999999999999</v>
      </c>
      <c r="AN10" s="28">
        <v>6.4089333333333401E-2</v>
      </c>
      <c r="AO10" s="28">
        <v>4.2999999999999997E-2</v>
      </c>
      <c r="AP10" s="28">
        <v>0.20756666666666701</v>
      </c>
      <c r="AQ10" s="28">
        <v>0.17210800000000001</v>
      </c>
      <c r="AR10" s="28">
        <v>5.5670666666666702E-2</v>
      </c>
      <c r="AS10" s="28">
        <v>5.1999999999999998E-2</v>
      </c>
      <c r="AT10" s="28">
        <v>0.14369000000000001</v>
      </c>
      <c r="AU10" s="28">
        <v>5.5E-2</v>
      </c>
      <c r="AV10" s="28">
        <v>5.7000000000000002E-2</v>
      </c>
      <c r="AW10" s="28">
        <v>0.11271969565217391</v>
      </c>
      <c r="AX10" s="34">
        <v>5.1851059999999984</v>
      </c>
    </row>
    <row r="11" spans="1:50" x14ac:dyDescent="0.25">
      <c r="A11" s="24">
        <v>10</v>
      </c>
      <c r="B11" s="26">
        <v>4.5</v>
      </c>
      <c r="C11" s="28">
        <v>0.12507833333333301</v>
      </c>
      <c r="D11" s="28">
        <v>5.4977333333333399E-2</v>
      </c>
      <c r="E11" s="28">
        <v>0.05</v>
      </c>
      <c r="F11" s="28">
        <v>0.170853333333333</v>
      </c>
      <c r="G11" s="28">
        <v>5.5E-2</v>
      </c>
      <c r="H11" s="28">
        <v>3.5000000000000003E-2</v>
      </c>
      <c r="I11" s="28">
        <v>5.1999999999999998E-2</v>
      </c>
      <c r="J11" s="28">
        <v>0.119845333333333</v>
      </c>
      <c r="K11" s="28">
        <v>0.163812666666667</v>
      </c>
      <c r="L11" s="28">
        <v>7.5935000000000002E-2</v>
      </c>
      <c r="M11" s="28">
        <v>0.28210133333333298</v>
      </c>
      <c r="N11" s="28">
        <v>0.186733333333333</v>
      </c>
      <c r="O11" s="28">
        <v>0.198608333333333</v>
      </c>
      <c r="P11" s="28">
        <v>0.104677333333333</v>
      </c>
      <c r="Q11" s="28">
        <v>5.1999999999999998E-2</v>
      </c>
      <c r="R11" s="28">
        <v>0.100465333333333</v>
      </c>
      <c r="S11" s="28">
        <v>0.25216933333333402</v>
      </c>
      <c r="T11" s="28">
        <v>0.15668133333333301</v>
      </c>
      <c r="U11" s="28">
        <v>0.21175333333333299</v>
      </c>
      <c r="V11" s="28">
        <v>0.207819333333333</v>
      </c>
      <c r="W11" s="28">
        <v>0.119823333333333</v>
      </c>
      <c r="X11" s="28">
        <v>5.0999999999999997E-2</v>
      </c>
      <c r="Y11" s="28">
        <v>7.4832999999999997E-2</v>
      </c>
      <c r="Z11" s="28">
        <v>0.27866200000000002</v>
      </c>
      <c r="AA11" s="28">
        <v>4.3999999999999997E-2</v>
      </c>
      <c r="AB11" s="28">
        <v>4.9000000000000002E-2</v>
      </c>
      <c r="AC11" s="28">
        <v>5.8000000000000003E-2</v>
      </c>
      <c r="AD11" s="28">
        <v>5.6000000000000001E-2</v>
      </c>
      <c r="AE11" s="28">
        <v>5.3471999999999999E-2</v>
      </c>
      <c r="AF11" s="28">
        <v>0.120675</v>
      </c>
      <c r="AG11" s="28">
        <v>0.226069666666667</v>
      </c>
      <c r="AH11" s="28">
        <v>0.211150333333333</v>
      </c>
      <c r="AI11" s="28">
        <v>0.05</v>
      </c>
      <c r="AJ11" s="28">
        <v>0.144073333333333</v>
      </c>
      <c r="AK11" s="28">
        <v>6.0999999999999999E-2</v>
      </c>
      <c r="AL11" s="28">
        <v>0.15487566666666699</v>
      </c>
      <c r="AM11" s="28">
        <v>0.13771800000000001</v>
      </c>
      <c r="AN11" s="28">
        <v>0.17512666666666701</v>
      </c>
      <c r="AO11" s="28">
        <v>7.0341000000000001E-2</v>
      </c>
      <c r="AP11" s="28">
        <v>0.124212666666667</v>
      </c>
      <c r="AQ11" s="28">
        <v>4.2000000000000003E-2</v>
      </c>
      <c r="AR11" s="28">
        <v>0.20908399999999999</v>
      </c>
      <c r="AS11" s="28">
        <v>5.1999999999999998E-2</v>
      </c>
      <c r="AT11" s="28">
        <v>0.103327</v>
      </c>
      <c r="AU11" s="28">
        <v>0.27667866666666702</v>
      </c>
      <c r="AV11" s="28">
        <v>0.38761200000000001</v>
      </c>
      <c r="AW11" s="28">
        <v>0.13013576811594199</v>
      </c>
      <c r="AX11" s="34">
        <v>5.9862453333333319</v>
      </c>
    </row>
    <row r="12" spans="1:50" x14ac:dyDescent="0.25">
      <c r="A12" s="24">
        <v>11</v>
      </c>
      <c r="B12" s="26">
        <v>5</v>
      </c>
      <c r="C12" s="28">
        <v>0.14083633333333301</v>
      </c>
      <c r="D12" s="28">
        <v>0.296198666666667</v>
      </c>
      <c r="E12" s="28">
        <v>7.4205999999999994E-2</v>
      </c>
      <c r="F12" s="28">
        <v>5.8000000000000003E-2</v>
      </c>
      <c r="G12" s="28">
        <v>5.5E-2</v>
      </c>
      <c r="H12" s="28">
        <v>0.19098100000000001</v>
      </c>
      <c r="I12" s="28">
        <v>0.227718</v>
      </c>
      <c r="J12" s="28">
        <v>5.6000000000000001E-2</v>
      </c>
      <c r="K12" s="28">
        <v>5.5E-2</v>
      </c>
      <c r="L12" s="28">
        <v>0.20877733333333301</v>
      </c>
      <c r="M12" s="28">
        <v>0.108888</v>
      </c>
      <c r="N12" s="28">
        <v>0.20564133333333301</v>
      </c>
      <c r="O12" s="28">
        <v>0.1630974</v>
      </c>
      <c r="P12" s="28">
        <v>0.10736999999999999</v>
      </c>
      <c r="Q12" s="28">
        <v>5.1999999999999998E-2</v>
      </c>
      <c r="R12" s="28">
        <v>0.23039299999999999</v>
      </c>
      <c r="S12" s="28">
        <v>5.7000000000000002E-2</v>
      </c>
      <c r="T12" s="28">
        <v>0.15850800000000001</v>
      </c>
      <c r="U12" s="28">
        <v>7.3375333333333403E-2</v>
      </c>
      <c r="V12" s="28">
        <v>0.113246666666667</v>
      </c>
      <c r="W12" s="28">
        <v>4.9000000000000002E-2</v>
      </c>
      <c r="X12" s="28">
        <v>5.0999999999999997E-2</v>
      </c>
      <c r="Y12" s="28">
        <v>0.19127566666666701</v>
      </c>
      <c r="Z12" s="28">
        <v>0.13493233333333299</v>
      </c>
      <c r="AA12" s="28">
        <v>8.7964000000000001E-2</v>
      </c>
      <c r="AB12" s="28">
        <v>0.176288</v>
      </c>
      <c r="AC12" s="28">
        <v>5.8000000000000003E-2</v>
      </c>
      <c r="AD12" s="28">
        <v>0.16982</v>
      </c>
      <c r="AE12" s="28">
        <v>0.03</v>
      </c>
      <c r="AF12" s="28">
        <v>5.0999999999999997E-2</v>
      </c>
      <c r="AG12" s="28">
        <v>9.2584E-2</v>
      </c>
      <c r="AH12" s="28">
        <v>0.106562</v>
      </c>
      <c r="AI12" s="28">
        <v>0.15832833333333299</v>
      </c>
      <c r="AJ12" s="28">
        <v>2.5999999999999999E-2</v>
      </c>
      <c r="AK12" s="28">
        <v>0.21235266666666699</v>
      </c>
      <c r="AL12" s="28">
        <v>0.21249100000000001</v>
      </c>
      <c r="AM12" s="28">
        <v>5.2984333333333397E-2</v>
      </c>
      <c r="AN12" s="28">
        <v>0.41338000000000003</v>
      </c>
      <c r="AO12" s="28">
        <v>0.14325033333333301</v>
      </c>
      <c r="AP12" s="28">
        <v>5.6918000000000003E-2</v>
      </c>
      <c r="AQ12" s="28">
        <v>4.2000000000000003E-2</v>
      </c>
      <c r="AR12" s="28">
        <v>4.8000000000000001E-2</v>
      </c>
      <c r="AS12" s="28">
        <v>0.28622999999999998</v>
      </c>
      <c r="AT12" s="28">
        <v>0.173314</v>
      </c>
      <c r="AU12" s="28">
        <v>5.5E-2</v>
      </c>
      <c r="AV12" s="28">
        <v>5.7000000000000002E-2</v>
      </c>
      <c r="AW12" s="28">
        <v>0.12538938550724629</v>
      </c>
      <c r="AX12" s="34">
        <v>5.7679117333333316</v>
      </c>
    </row>
    <row r="13" spans="1:50" x14ac:dyDescent="0.25">
      <c r="A13" s="24">
        <v>12</v>
      </c>
      <c r="B13" s="26">
        <v>5.5</v>
      </c>
      <c r="C13" s="28">
        <v>0.180754</v>
      </c>
      <c r="D13" s="28">
        <v>6.0465999999999999E-2</v>
      </c>
      <c r="E13" s="28">
        <v>0.20330466666666699</v>
      </c>
      <c r="F13" s="28">
        <v>0.153925333333333</v>
      </c>
      <c r="G13" s="28">
        <v>5.5E-2</v>
      </c>
      <c r="H13" s="28">
        <v>0.102637666666667</v>
      </c>
      <c r="I13" s="28">
        <v>0.16903433333333301</v>
      </c>
      <c r="J13" s="28">
        <v>6.39806666666667E-2</v>
      </c>
      <c r="K13" s="28">
        <v>0.14049566666666699</v>
      </c>
      <c r="L13" s="28">
        <v>0.132966</v>
      </c>
      <c r="M13" s="28">
        <v>5.5E-2</v>
      </c>
      <c r="N13" s="28">
        <v>0.11861933333333299</v>
      </c>
      <c r="O13" s="28">
        <v>0.13710900000000001</v>
      </c>
      <c r="P13" s="28">
        <v>0.42596153333333298</v>
      </c>
      <c r="Q13" s="28">
        <v>5.1999999999999998E-2</v>
      </c>
      <c r="R13" s="28">
        <v>5.5E-2</v>
      </c>
      <c r="S13" s="28">
        <v>5.7000000000000002E-2</v>
      </c>
      <c r="T13" s="28">
        <v>0.11895233333333299</v>
      </c>
      <c r="U13" s="28">
        <v>7.3375333333333403E-2</v>
      </c>
      <c r="V13" s="28">
        <v>8.8626666666666701E-2</v>
      </c>
      <c r="W13" s="28">
        <v>0.14107033333333299</v>
      </c>
      <c r="X13" s="28">
        <v>0.325583333333333</v>
      </c>
      <c r="Y13" s="28">
        <v>5.2999999999999999E-2</v>
      </c>
      <c r="Z13" s="28">
        <v>0.30658633333333302</v>
      </c>
      <c r="AA13" s="28">
        <v>6.5981999999999999E-2</v>
      </c>
      <c r="AB13" s="28">
        <v>6.68946333333333E-2</v>
      </c>
      <c r="AC13" s="28">
        <v>5.8000000000000003E-2</v>
      </c>
      <c r="AD13" s="28">
        <v>0.109116</v>
      </c>
      <c r="AE13" s="28">
        <v>0.14735999999999999</v>
      </c>
      <c r="AF13" s="28">
        <v>0.18260833333333301</v>
      </c>
      <c r="AG13" s="28">
        <v>0.22401233333333301</v>
      </c>
      <c r="AH13" s="28">
        <v>0.246440666666667</v>
      </c>
      <c r="AI13" s="28">
        <v>0.18328033333333299</v>
      </c>
      <c r="AJ13" s="28">
        <v>5.5518333333333399E-2</v>
      </c>
      <c r="AK13" s="28">
        <v>6.0999999999999999E-2</v>
      </c>
      <c r="AL13" s="28">
        <v>0.16185333333333299</v>
      </c>
      <c r="AM13" s="28">
        <v>0.132733666666667</v>
      </c>
      <c r="AN13" s="28">
        <v>0.63763199999999998</v>
      </c>
      <c r="AO13" s="28">
        <v>4.2999999999999997E-2</v>
      </c>
      <c r="AP13" s="28">
        <v>0.28661433333333303</v>
      </c>
      <c r="AQ13" s="28">
        <v>0.17210800000000001</v>
      </c>
      <c r="AR13" s="28">
        <v>0.147718666666667</v>
      </c>
      <c r="AS13" s="28">
        <v>6.5037999999999999E-2</v>
      </c>
      <c r="AT13" s="28">
        <v>0.104515</v>
      </c>
      <c r="AU13" s="28">
        <v>5.5E-2</v>
      </c>
      <c r="AV13" s="28">
        <v>0.109682</v>
      </c>
      <c r="AW13" s="28">
        <v>0.1431860036231884</v>
      </c>
      <c r="AX13" s="34">
        <v>6.5865561666666652</v>
      </c>
    </row>
    <row r="14" spans="1:50" x14ac:dyDescent="0.25">
      <c r="A14" s="24">
        <v>13</v>
      </c>
      <c r="B14" s="26">
        <v>6</v>
      </c>
      <c r="C14" s="28">
        <v>0.15417466666666699</v>
      </c>
      <c r="D14" s="28">
        <v>0.256332</v>
      </c>
      <c r="E14" s="28">
        <v>0.05</v>
      </c>
      <c r="F14" s="28">
        <v>0.185833</v>
      </c>
      <c r="G14" s="28">
        <v>5.5E-2</v>
      </c>
      <c r="H14" s="28">
        <v>3.5000000000000003E-2</v>
      </c>
      <c r="I14" s="28">
        <v>0.24154</v>
      </c>
      <c r="J14" s="28">
        <v>0.22359399999999999</v>
      </c>
      <c r="K14" s="28">
        <v>7.8316999999999998E-2</v>
      </c>
      <c r="L14" s="28">
        <v>0.13842399999999999</v>
      </c>
      <c r="M14" s="28">
        <v>0.252589333333333</v>
      </c>
      <c r="N14" s="28">
        <v>0.257487666666667</v>
      </c>
      <c r="O14" s="28">
        <v>0.16667733333333301</v>
      </c>
      <c r="P14" s="28">
        <v>7.0423466666666698E-2</v>
      </c>
      <c r="Q14" s="28">
        <v>5.1999999999999998E-2</v>
      </c>
      <c r="R14" s="28">
        <v>5.5E-2</v>
      </c>
      <c r="S14" s="28">
        <v>0.19006999999999999</v>
      </c>
      <c r="T14" s="28">
        <v>0.25427633333333299</v>
      </c>
      <c r="U14" s="28">
        <v>0.21175333333333299</v>
      </c>
      <c r="V14" s="28">
        <v>0.10115200000000001</v>
      </c>
      <c r="W14" s="28">
        <v>0.11274099999999999</v>
      </c>
      <c r="X14" s="28">
        <v>0.30535200000000001</v>
      </c>
      <c r="Y14" s="28">
        <v>7.4832999999999997E-2</v>
      </c>
      <c r="Z14" s="28">
        <v>0.229854</v>
      </c>
      <c r="AA14" s="28">
        <v>0.102618666666667</v>
      </c>
      <c r="AB14" s="28">
        <v>7.2130166666666606E-2</v>
      </c>
      <c r="AC14" s="28">
        <v>0.10641100000000001</v>
      </c>
      <c r="AD14" s="28">
        <v>5.6000000000000001E-2</v>
      </c>
      <c r="AE14" s="28">
        <v>4.1736000000000002E-2</v>
      </c>
      <c r="AF14" s="28">
        <v>8.9708333333333404E-2</v>
      </c>
      <c r="AG14" s="28">
        <v>8.9818333333333306E-2</v>
      </c>
      <c r="AH14" s="28">
        <v>0.20939199999999999</v>
      </c>
      <c r="AI14" s="28">
        <v>0.161248</v>
      </c>
      <c r="AJ14" s="28">
        <v>0.114555</v>
      </c>
      <c r="AK14" s="28">
        <v>6.0999999999999999E-2</v>
      </c>
      <c r="AL14" s="28">
        <v>0.15716533333333299</v>
      </c>
      <c r="AM14" s="28">
        <v>0.93018333333333303</v>
      </c>
      <c r="AN14" s="28">
        <v>0.49506666666666699</v>
      </c>
      <c r="AO14" s="28">
        <v>0.17059133333333301</v>
      </c>
      <c r="AP14" s="28">
        <v>7.28346666666667E-2</v>
      </c>
      <c r="AQ14" s="28">
        <v>4.2000000000000003E-2</v>
      </c>
      <c r="AR14" s="28">
        <v>0.117036</v>
      </c>
      <c r="AS14" s="28">
        <v>0.11719</v>
      </c>
      <c r="AT14" s="28">
        <v>3.4000000000000002E-2</v>
      </c>
      <c r="AU14" s="28">
        <v>0.193673333333333</v>
      </c>
      <c r="AV14" s="28">
        <v>0.179396</v>
      </c>
      <c r="AW14" s="28">
        <v>0.1601343108695652</v>
      </c>
      <c r="AX14" s="34">
        <v>7.3661782999999987</v>
      </c>
    </row>
    <row r="15" spans="1:50" x14ac:dyDescent="0.25">
      <c r="A15" s="24">
        <v>14</v>
      </c>
      <c r="B15" s="26">
        <v>6.5</v>
      </c>
      <c r="C15" s="28">
        <v>4.9760933333333299E-2</v>
      </c>
      <c r="D15" s="28">
        <v>0.100332666666667</v>
      </c>
      <c r="E15" s="28">
        <v>0.227510666666667</v>
      </c>
      <c r="F15" s="28">
        <v>0.188753</v>
      </c>
      <c r="G15" s="28">
        <v>0.18457000000000001</v>
      </c>
      <c r="H15" s="28">
        <v>0.23854866666666699</v>
      </c>
      <c r="I15" s="28">
        <v>0.274519333333333</v>
      </c>
      <c r="J15" s="28">
        <v>5.6000000000000001E-2</v>
      </c>
      <c r="K15" s="28">
        <v>5.5E-2</v>
      </c>
      <c r="L15" s="28">
        <v>0.124353333333333</v>
      </c>
      <c r="M15" s="28">
        <v>5.5E-2</v>
      </c>
      <c r="N15" s="28">
        <v>0.109437666666667</v>
      </c>
      <c r="O15" s="28">
        <v>4.5999999999999999E-2</v>
      </c>
      <c r="P15" s="28">
        <v>0.19555413333333299</v>
      </c>
      <c r="Q15" s="28">
        <v>5.1999999999999998E-2</v>
      </c>
      <c r="R15" s="28">
        <v>5.5E-2</v>
      </c>
      <c r="S15" s="28">
        <v>1.2203786666666701</v>
      </c>
      <c r="T15" s="28">
        <v>0.04</v>
      </c>
      <c r="U15" s="28">
        <v>9.6443333333333395E-2</v>
      </c>
      <c r="V15" s="28">
        <v>0.12316566666666701</v>
      </c>
      <c r="W15" s="28">
        <v>4.9000000000000002E-2</v>
      </c>
      <c r="X15" s="28">
        <v>0.220878666666667</v>
      </c>
      <c r="Y15" s="28">
        <v>0.19127566666666701</v>
      </c>
      <c r="Z15" s="28">
        <v>0.124048666666667</v>
      </c>
      <c r="AA15" s="28">
        <v>5.1327333333333398E-2</v>
      </c>
      <c r="AB15" s="28">
        <v>0.58919266666666603</v>
      </c>
      <c r="AC15" s="28">
        <v>8.88069999999999E-2</v>
      </c>
      <c r="AD15" s="28">
        <v>0.19258400000000001</v>
      </c>
      <c r="AE15" s="28">
        <v>0.03</v>
      </c>
      <c r="AF15" s="28">
        <v>5.0999999999999997E-2</v>
      </c>
      <c r="AG15" s="28">
        <v>6.2681000000000001E-2</v>
      </c>
      <c r="AH15" s="28">
        <v>0.127974333333333</v>
      </c>
      <c r="AI15" s="28">
        <v>0.19469266666666701</v>
      </c>
      <c r="AJ15" s="28">
        <v>7.7666666666666606E-2</v>
      </c>
      <c r="AK15" s="28">
        <v>0.21235266666666699</v>
      </c>
      <c r="AL15" s="28">
        <v>0.159419333333333</v>
      </c>
      <c r="AM15" s="28">
        <v>0.59946566666666701</v>
      </c>
      <c r="AN15" s="28">
        <v>2.62778</v>
      </c>
      <c r="AO15" s="28">
        <v>4.2999999999999997E-2</v>
      </c>
      <c r="AP15" s="28">
        <v>0.13563</v>
      </c>
      <c r="AQ15" s="28">
        <v>0.136624</v>
      </c>
      <c r="AR15" s="28">
        <v>4.8000000000000001E-2</v>
      </c>
      <c r="AS15" s="28">
        <v>6.6182000000000005E-2</v>
      </c>
      <c r="AT15" s="28">
        <v>0.21222233333333301</v>
      </c>
      <c r="AU15" s="28">
        <v>9.1913333333333305E-2</v>
      </c>
      <c r="AV15" s="28">
        <v>0.212534</v>
      </c>
      <c r="AW15" s="28">
        <v>0.21931695797101461</v>
      </c>
      <c r="AX15" s="34">
        <v>10.088580066666671</v>
      </c>
    </row>
    <row r="16" spans="1:50" x14ac:dyDescent="0.25">
      <c r="A16" s="24">
        <v>15</v>
      </c>
      <c r="B16" s="26">
        <v>7</v>
      </c>
      <c r="C16" s="28">
        <v>1.1302726000000001</v>
      </c>
      <c r="D16" s="28">
        <v>4.3999999999999997E-2</v>
      </c>
      <c r="E16" s="28">
        <v>0.05</v>
      </c>
      <c r="F16" s="28">
        <v>9.1855999999999896E-2</v>
      </c>
      <c r="G16" s="28">
        <v>0.283237666666667</v>
      </c>
      <c r="H16" s="28">
        <v>5.5070000000000001E-2</v>
      </c>
      <c r="I16" s="28">
        <v>0.33158700000000002</v>
      </c>
      <c r="J16" s="28">
        <v>5.6000000000000001E-2</v>
      </c>
      <c r="K16" s="28">
        <v>5.5E-2</v>
      </c>
      <c r="L16" s="28">
        <v>5.3999999999999999E-2</v>
      </c>
      <c r="M16" s="28">
        <v>0.1069991</v>
      </c>
      <c r="N16" s="28">
        <v>0.110385333333333</v>
      </c>
      <c r="O16" s="28">
        <v>0.1479</v>
      </c>
      <c r="P16" s="28">
        <v>1.03883413333333</v>
      </c>
      <c r="Q16" s="28">
        <v>0.10763</v>
      </c>
      <c r="R16" s="28">
        <v>0.27585700000000002</v>
      </c>
      <c r="S16" s="28">
        <v>0.23006399999999999</v>
      </c>
      <c r="T16" s="28">
        <v>0.121311</v>
      </c>
      <c r="U16" s="28">
        <v>0.35927366666666699</v>
      </c>
      <c r="V16" s="28">
        <v>0.22921366666666601</v>
      </c>
      <c r="W16" s="28">
        <v>4.9000000000000002E-2</v>
      </c>
      <c r="X16" s="28">
        <v>0.21107000000000001</v>
      </c>
      <c r="Y16" s="28">
        <v>5.2999999999999999E-2</v>
      </c>
      <c r="Z16" s="28">
        <v>0.214740666666667</v>
      </c>
      <c r="AA16" s="28">
        <v>4.3999999999999997E-2</v>
      </c>
      <c r="AB16" s="28">
        <v>4.9000000000000002E-2</v>
      </c>
      <c r="AC16" s="28">
        <v>0.40808966666666702</v>
      </c>
      <c r="AD16" s="28">
        <v>8.6351999999999998E-2</v>
      </c>
      <c r="AE16" s="28">
        <v>0.03</v>
      </c>
      <c r="AF16" s="28">
        <v>0.120675</v>
      </c>
      <c r="AG16" s="28">
        <v>0.9495825</v>
      </c>
      <c r="AH16" s="28">
        <v>0.201301333333333</v>
      </c>
      <c r="AI16" s="28">
        <v>0.207652</v>
      </c>
      <c r="AJ16" s="28">
        <v>0.15361900000000001</v>
      </c>
      <c r="AK16" s="28">
        <v>6.0999999999999999E-2</v>
      </c>
      <c r="AL16" s="28">
        <v>0.193947333333333</v>
      </c>
      <c r="AM16" s="28">
        <v>1.0096366666666701</v>
      </c>
      <c r="AN16" s="28">
        <v>2.5674999999999999</v>
      </c>
      <c r="AO16" s="28">
        <v>9.7682000000000005E-2</v>
      </c>
      <c r="AP16" s="28">
        <v>7.8543333333333298E-2</v>
      </c>
      <c r="AQ16" s="28">
        <v>0.176426</v>
      </c>
      <c r="AR16" s="28">
        <v>0.65924466666666703</v>
      </c>
      <c r="AS16" s="28">
        <v>0.27204800000000001</v>
      </c>
      <c r="AT16" s="28">
        <v>0.13492899999999999</v>
      </c>
      <c r="AU16" s="28">
        <v>0.17736233333333301</v>
      </c>
      <c r="AV16" s="28">
        <v>5.7000000000000002E-2</v>
      </c>
      <c r="AW16" s="28">
        <v>0.28569331884057969</v>
      </c>
      <c r="AX16" s="34">
        <v>13.141892666666671</v>
      </c>
    </row>
    <row r="17" spans="1:50" x14ac:dyDescent="0.25">
      <c r="A17" s="24">
        <v>16</v>
      </c>
      <c r="B17" s="26">
        <v>7.5</v>
      </c>
      <c r="C17" s="28">
        <v>0.28479500000000002</v>
      </c>
      <c r="D17" s="28">
        <v>0.15377333333333301</v>
      </c>
      <c r="E17" s="28">
        <v>0.13875533333333301</v>
      </c>
      <c r="F17" s="28">
        <v>0.254516666666667</v>
      </c>
      <c r="G17" s="28">
        <v>0.182468666666667</v>
      </c>
      <c r="H17" s="28">
        <v>0.23594533333333301</v>
      </c>
      <c r="I17" s="28">
        <v>0.46947433333333299</v>
      </c>
      <c r="J17" s="28">
        <v>0.119845333333333</v>
      </c>
      <c r="K17" s="28">
        <v>0.163812666666667</v>
      </c>
      <c r="L17" s="28">
        <v>9.6212000000000006E-2</v>
      </c>
      <c r="M17" s="28">
        <v>0.222274</v>
      </c>
      <c r="N17" s="28">
        <v>0.19321833333333299</v>
      </c>
      <c r="O17" s="28">
        <v>0.12896566666666701</v>
      </c>
      <c r="P17" s="28">
        <v>1.6862511333333301</v>
      </c>
      <c r="Q17" s="28">
        <v>5.1999999999999998E-2</v>
      </c>
      <c r="R17" s="28">
        <v>5.5E-2</v>
      </c>
      <c r="S17" s="28">
        <v>0.18119866666666701</v>
      </c>
      <c r="T17" s="28">
        <v>0.277154333333333</v>
      </c>
      <c r="U17" s="28">
        <v>7.3476E-2</v>
      </c>
      <c r="V17" s="28">
        <v>0.101354</v>
      </c>
      <c r="W17" s="28">
        <v>0.16231733333333301</v>
      </c>
      <c r="X17" s="28">
        <v>0.324528066666667</v>
      </c>
      <c r="Y17" s="28">
        <v>5.2999999999999999E-2</v>
      </c>
      <c r="Z17" s="28">
        <v>0.15430133333333301</v>
      </c>
      <c r="AA17" s="28">
        <v>4.3999999999999997E-2</v>
      </c>
      <c r="AB17" s="28">
        <v>0.222126666666667</v>
      </c>
      <c r="AC17" s="28">
        <v>0.35261300000000001</v>
      </c>
      <c r="AD17" s="28">
        <v>0.109316</v>
      </c>
      <c r="AE17" s="28">
        <v>5.3471999999999999E-2</v>
      </c>
      <c r="AF17" s="28">
        <v>0.15164166666666701</v>
      </c>
      <c r="AG17" s="28">
        <v>0.19983643333333301</v>
      </c>
      <c r="AH17" s="28">
        <v>0.52205800000000002</v>
      </c>
      <c r="AI17" s="28">
        <v>0.114944</v>
      </c>
      <c r="AJ17" s="28">
        <v>0.13226599999999999</v>
      </c>
      <c r="AK17" s="28">
        <v>6.7879666666666602E-2</v>
      </c>
      <c r="AL17" s="28">
        <v>0.14524633333333301</v>
      </c>
      <c r="AM17" s="28">
        <v>2.6866733333333301</v>
      </c>
      <c r="AN17" s="28">
        <v>0.512946666666666</v>
      </c>
      <c r="AO17" s="28">
        <v>0.115909333333333</v>
      </c>
      <c r="AP17" s="28">
        <v>0.18144199999999999</v>
      </c>
      <c r="AQ17" s="28">
        <v>0.223482666666667</v>
      </c>
      <c r="AR17" s="28">
        <v>0.81230666666666596</v>
      </c>
      <c r="AS17" s="28">
        <v>5.1999999999999998E-2</v>
      </c>
      <c r="AT17" s="28">
        <v>3.4000000000000002E-2</v>
      </c>
      <c r="AU17" s="28">
        <v>0.13127033333333299</v>
      </c>
      <c r="AV17" s="28">
        <v>0.147312</v>
      </c>
      <c r="AW17" s="28">
        <v>0.2777691369565215</v>
      </c>
      <c r="AX17" s="34">
        <v>12.77738029999999</v>
      </c>
    </row>
    <row r="18" spans="1:50" x14ac:dyDescent="0.25">
      <c r="A18" s="24">
        <v>17</v>
      </c>
      <c r="B18" s="26">
        <v>8</v>
      </c>
      <c r="C18" s="28">
        <v>0.23944686666666701</v>
      </c>
      <c r="D18" s="28">
        <v>0.20289133333333301</v>
      </c>
      <c r="E18" s="28">
        <v>0.14799933333333301</v>
      </c>
      <c r="F18" s="28">
        <v>0.136997333333333</v>
      </c>
      <c r="G18" s="28">
        <v>0.69196733333333404</v>
      </c>
      <c r="H18" s="28">
        <v>1.14028033333333</v>
      </c>
      <c r="I18" s="28">
        <v>0.32328066666666699</v>
      </c>
      <c r="J18" s="28">
        <v>0.16772933333333301</v>
      </c>
      <c r="K18" s="28">
        <v>5.5E-2</v>
      </c>
      <c r="L18" s="28">
        <v>0.24553133333333299</v>
      </c>
      <c r="M18" s="28">
        <v>0.60012433333333304</v>
      </c>
      <c r="N18" s="28">
        <v>0.124303</v>
      </c>
      <c r="O18" s="28">
        <v>0.22067566666666699</v>
      </c>
      <c r="P18" s="28">
        <v>1.4319966666666699</v>
      </c>
      <c r="Q18" s="28">
        <v>5.1999999999999998E-2</v>
      </c>
      <c r="R18" s="28">
        <v>0.15802533333333299</v>
      </c>
      <c r="S18" s="28">
        <v>0.108046666666667</v>
      </c>
      <c r="T18" s="28">
        <v>4.6336333333333299E-2</v>
      </c>
      <c r="U18" s="28">
        <v>9.9872000000000002E-2</v>
      </c>
      <c r="V18" s="28">
        <v>3.47393333333334E-2</v>
      </c>
      <c r="W18" s="28">
        <v>9.1494000000000006E-2</v>
      </c>
      <c r="X18" s="28">
        <v>7.3295566666666603E-2</v>
      </c>
      <c r="Y18" s="28">
        <v>0.162165</v>
      </c>
      <c r="Z18" s="28">
        <v>8.5461700000000002E-2</v>
      </c>
      <c r="AA18" s="28">
        <v>6.2318333333333302E-2</v>
      </c>
      <c r="AB18" s="28">
        <v>0.193600666666667</v>
      </c>
      <c r="AC18" s="28">
        <v>0.21871533333333301</v>
      </c>
      <c r="AD18" s="28">
        <v>0.20776</v>
      </c>
      <c r="AE18" s="28">
        <v>0.13562399999999999</v>
      </c>
      <c r="AF18" s="28">
        <v>5.0999999999999997E-2</v>
      </c>
      <c r="AG18" s="28">
        <v>9.2584E-2</v>
      </c>
      <c r="AH18" s="28">
        <v>0.40202133333333301</v>
      </c>
      <c r="AI18" s="28">
        <v>0.37189800000000001</v>
      </c>
      <c r="AJ18" s="28">
        <v>3.7807333333333401E-2</v>
      </c>
      <c r="AK18" s="28">
        <v>0.20547299999999999</v>
      </c>
      <c r="AL18" s="28">
        <v>0.159504333333333</v>
      </c>
      <c r="AM18" s="28">
        <v>1.99965666666667</v>
      </c>
      <c r="AN18" s="28">
        <v>8.8357333333333399E-2</v>
      </c>
      <c r="AO18" s="28">
        <v>4.2999999999999997E-2</v>
      </c>
      <c r="AP18" s="28">
        <v>0.18492700000000001</v>
      </c>
      <c r="AQ18" s="28">
        <v>0.264208</v>
      </c>
      <c r="AR18" s="28">
        <v>5.8266666666666599E-2</v>
      </c>
      <c r="AS18" s="28">
        <v>0.44209266666666602</v>
      </c>
      <c r="AT18" s="28">
        <v>0.14369000000000001</v>
      </c>
      <c r="AU18" s="28">
        <v>0.108774</v>
      </c>
      <c r="AV18" s="28">
        <v>0.29730000000000001</v>
      </c>
      <c r="AW18" s="28">
        <v>0.26974430724637682</v>
      </c>
      <c r="AX18" s="34">
        <v>12.408238133333329</v>
      </c>
    </row>
    <row r="19" spans="1:50" x14ac:dyDescent="0.25">
      <c r="A19" s="24">
        <v>18</v>
      </c>
      <c r="B19" s="26">
        <v>8.5</v>
      </c>
      <c r="C19" s="28">
        <v>2.6547000000000001</v>
      </c>
      <c r="D19" s="28">
        <v>8.7909333333333395E-2</v>
      </c>
      <c r="E19" s="28">
        <v>0.05</v>
      </c>
      <c r="F19" s="28">
        <v>0.17454766666666699</v>
      </c>
      <c r="G19" s="28">
        <v>0.77985866666666603</v>
      </c>
      <c r="H19" s="28">
        <v>0.19324</v>
      </c>
      <c r="I19" s="28">
        <v>0.23169999999999999</v>
      </c>
      <c r="J19" s="28">
        <v>5.6000000000000001E-2</v>
      </c>
      <c r="K19" s="28">
        <v>0.12495100000000001</v>
      </c>
      <c r="L19" s="28">
        <v>5.3999999999999999E-2</v>
      </c>
      <c r="M19" s="28">
        <v>0.28227000000000002</v>
      </c>
      <c r="N19" s="28">
        <v>0.186733333333333</v>
      </c>
      <c r="O19" s="28">
        <v>6.3905233333333394E-2</v>
      </c>
      <c r="P19" s="28">
        <v>0.16447466666666699</v>
      </c>
      <c r="Q19" s="28">
        <v>0.165284666666667</v>
      </c>
      <c r="R19" s="28">
        <v>0.17283333333333301</v>
      </c>
      <c r="S19" s="28">
        <v>0.51787133333333402</v>
      </c>
      <c r="T19" s="28">
        <v>0.25592700000000002</v>
      </c>
      <c r="U19" s="28">
        <v>0.236495333333333</v>
      </c>
      <c r="V19" s="28">
        <v>9.2981333333333305E-2</v>
      </c>
      <c r="W19" s="28">
        <v>0.119823333333333</v>
      </c>
      <c r="X19" s="28">
        <v>0.30209333333333299</v>
      </c>
      <c r="Y19" s="28">
        <v>0.103943666666667</v>
      </c>
      <c r="Z19" s="28">
        <v>0.14685799999999999</v>
      </c>
      <c r="AA19" s="28">
        <v>9.1627666666666704E-2</v>
      </c>
      <c r="AB19" s="28">
        <v>4.9000000000000002E-2</v>
      </c>
      <c r="AC19" s="28">
        <v>0.45888766666666703</v>
      </c>
      <c r="AD19" s="28">
        <v>0.25627</v>
      </c>
      <c r="AE19" s="28">
        <v>0.03</v>
      </c>
      <c r="AF19" s="28">
        <v>8.9708333333333307E-2</v>
      </c>
      <c r="AG19" s="28">
        <v>0.138048333333333</v>
      </c>
      <c r="AH19" s="28">
        <v>1.4971840000000001</v>
      </c>
      <c r="AI19" s="28">
        <v>1.284545</v>
      </c>
      <c r="AJ19" s="28">
        <v>0.14832999999999999</v>
      </c>
      <c r="AK19" s="28">
        <v>6.0999999999999999E-2</v>
      </c>
      <c r="AL19" s="28">
        <v>0.17240900000000001</v>
      </c>
      <c r="AM19" s="28">
        <v>0.92199339999999996</v>
      </c>
      <c r="AN19" s="28">
        <v>0.28439999999999999</v>
      </c>
      <c r="AO19" s="28">
        <v>0.17059133333333301</v>
      </c>
      <c r="AP19" s="28">
        <v>0.11040333333333301</v>
      </c>
      <c r="AQ19" s="28">
        <v>4.2000000000000003E-2</v>
      </c>
      <c r="AR19" s="28">
        <v>1.32070466666667</v>
      </c>
      <c r="AS19" s="28">
        <v>0.24178433333333299</v>
      </c>
      <c r="AT19" s="28">
        <v>0.103327</v>
      </c>
      <c r="AU19" s="28">
        <v>1.35110666666667</v>
      </c>
      <c r="AV19" s="28">
        <v>5.7000000000000002E-2</v>
      </c>
      <c r="AW19" s="28">
        <v>0.34997221666666672</v>
      </c>
      <c r="AX19" s="34">
        <v>16.09872196666667</v>
      </c>
    </row>
    <row r="20" spans="1:50" x14ac:dyDescent="0.25">
      <c r="A20" s="24">
        <v>19</v>
      </c>
      <c r="B20" s="26">
        <v>9</v>
      </c>
      <c r="C20" s="28">
        <v>2.72193333333334</v>
      </c>
      <c r="D20" s="28">
        <v>0.30833833333333299</v>
      </c>
      <c r="E20" s="28">
        <v>0.227510666666667</v>
      </c>
      <c r="F20" s="28">
        <v>0.21696633333333301</v>
      </c>
      <c r="G20" s="28">
        <v>0.210640666666667</v>
      </c>
      <c r="H20" s="28">
        <v>0.31292866666666702</v>
      </c>
      <c r="I20" s="28">
        <v>0.32281833333333299</v>
      </c>
      <c r="J20" s="28">
        <v>0.455326333333333</v>
      </c>
      <c r="K20" s="28">
        <v>0.225371666666667</v>
      </c>
      <c r="L20" s="28">
        <v>0.25703433333333298</v>
      </c>
      <c r="M20" s="28">
        <v>0.27960099999999999</v>
      </c>
      <c r="N20" s="28">
        <v>0.14217333333333301</v>
      </c>
      <c r="O20" s="28">
        <v>0.16795979999999999</v>
      </c>
      <c r="P20" s="28">
        <v>0.23444733333333301</v>
      </c>
      <c r="Q20" s="28">
        <v>0.131075</v>
      </c>
      <c r="R20" s="28">
        <v>0.12445000000000001</v>
      </c>
      <c r="S20" s="28">
        <v>0.17541799999999999</v>
      </c>
      <c r="T20" s="28">
        <v>0.13944599999999999</v>
      </c>
      <c r="U20" s="28">
        <v>0.28908200000000001</v>
      </c>
      <c r="V20" s="28">
        <v>0.16377866666666699</v>
      </c>
      <c r="W20" s="28">
        <v>0.17887313333333299</v>
      </c>
      <c r="X20" s="28">
        <v>0.26555743333333298</v>
      </c>
      <c r="Y20" s="28">
        <v>0.11122133333333301</v>
      </c>
      <c r="Z20" s="28">
        <v>0.20372066666666699</v>
      </c>
      <c r="AA20" s="28">
        <v>4.3999999999999997E-2</v>
      </c>
      <c r="AB20" s="28">
        <v>0.36672733333333302</v>
      </c>
      <c r="AC20" s="28">
        <v>0.233046</v>
      </c>
      <c r="AD20" s="28">
        <v>1.4736154666666701</v>
      </c>
      <c r="AE20" s="28">
        <v>0.15909599999999999</v>
      </c>
      <c r="AF20" s="28">
        <v>0.18260833333333301</v>
      </c>
      <c r="AG20" s="28">
        <v>0.23784746666666701</v>
      </c>
      <c r="AH20" s="28">
        <v>0.42157699999999998</v>
      </c>
      <c r="AI20" s="28">
        <v>1.03345966666667</v>
      </c>
      <c r="AJ20" s="28">
        <v>0.14832999999999999</v>
      </c>
      <c r="AK20" s="28">
        <v>1.2678136666666699</v>
      </c>
      <c r="AL20" s="28">
        <v>0.13926266666666701</v>
      </c>
      <c r="AM20" s="28">
        <v>0.67586559999999996</v>
      </c>
      <c r="AN20" s="28">
        <v>5.6000000000000001E-2</v>
      </c>
      <c r="AO20" s="28">
        <v>4.2999999999999997E-2</v>
      </c>
      <c r="AP20" s="28">
        <v>1.3232106666666701</v>
      </c>
      <c r="AQ20" s="28">
        <v>0.136624</v>
      </c>
      <c r="AR20" s="28">
        <v>4.8000000000000001E-2</v>
      </c>
      <c r="AS20" s="28">
        <v>0.20482666666666699</v>
      </c>
      <c r="AT20" s="28">
        <v>0.24382899999999999</v>
      </c>
      <c r="AU20" s="28">
        <v>0.33280900000000002</v>
      </c>
      <c r="AV20" s="28">
        <v>0.14704600000000001</v>
      </c>
      <c r="AW20" s="28">
        <v>0.36487536739130477</v>
      </c>
      <c r="AX20" s="34">
        <v>16.78426690000002</v>
      </c>
    </row>
    <row r="21" spans="1:50" x14ac:dyDescent="0.25">
      <c r="A21" s="24">
        <v>20</v>
      </c>
      <c r="B21" s="26">
        <v>9.5</v>
      </c>
      <c r="C21" s="28">
        <v>1.07029333333333</v>
      </c>
      <c r="D21" s="28">
        <v>6.5667000000000003E-2</v>
      </c>
      <c r="E21" s="28">
        <v>0.27839633333333302</v>
      </c>
      <c r="F21" s="28">
        <v>5.8000000000000003E-2</v>
      </c>
      <c r="G21" s="28">
        <v>0.167003333333333</v>
      </c>
      <c r="H21" s="28">
        <v>0.29454866666666701</v>
      </c>
      <c r="I21" s="28">
        <v>0.31361333333333302</v>
      </c>
      <c r="J21" s="28">
        <v>0.53329266666666697</v>
      </c>
      <c r="K21" s="28">
        <v>5.5E-2</v>
      </c>
      <c r="L21" s="28">
        <v>8.4709000000000007E-2</v>
      </c>
      <c r="M21" s="28">
        <v>1.44576233333333</v>
      </c>
      <c r="N21" s="28">
        <v>0.28313733333333302</v>
      </c>
      <c r="O21" s="28">
        <v>0.59502359999999999</v>
      </c>
      <c r="P21" s="28">
        <v>3.8891333333333403E-2</v>
      </c>
      <c r="Q21" s="28">
        <v>9.6042000000000002E-2</v>
      </c>
      <c r="R21" s="28">
        <v>7.5647000000000006E-2</v>
      </c>
      <c r="S21" s="28">
        <v>0.158896333333333</v>
      </c>
      <c r="T21" s="28">
        <v>0.15177033333333301</v>
      </c>
      <c r="U21" s="28">
        <v>1.3897333333333299</v>
      </c>
      <c r="V21" s="28">
        <v>0.188600666666667</v>
      </c>
      <c r="W21" s="28">
        <v>8.9316000000000006E-2</v>
      </c>
      <c r="X21" s="28">
        <v>0.14097999999999999</v>
      </c>
      <c r="Y21" s="28">
        <v>0.15488733333333299</v>
      </c>
      <c r="Z21" s="28">
        <v>0.29846899999999998</v>
      </c>
      <c r="AA21" s="28">
        <v>4.3999999999999997E-2</v>
      </c>
      <c r="AB21" s="28">
        <v>4.9000000000000002E-2</v>
      </c>
      <c r="AC21" s="28">
        <v>0.63569066666666696</v>
      </c>
      <c r="AD21" s="28">
        <v>2.0163120000000001</v>
      </c>
      <c r="AE21" s="28">
        <v>3.4298666666666699E-2</v>
      </c>
      <c r="AF21" s="28">
        <v>5.0999999999999997E-2</v>
      </c>
      <c r="AG21" s="28">
        <v>0.1208877</v>
      </c>
      <c r="AH21" s="28">
        <v>0.28916399999999998</v>
      </c>
      <c r="AI21" s="28">
        <v>0.45079633333333302</v>
      </c>
      <c r="AJ21" s="28">
        <v>0.14953866666666699</v>
      </c>
      <c r="AK21" s="28">
        <v>0.78876000000000002</v>
      </c>
      <c r="AL21" s="28">
        <v>9.2076666666666696E-2</v>
      </c>
      <c r="AM21" s="28">
        <v>0.15042666666666701</v>
      </c>
      <c r="AN21" s="28">
        <v>0.27526333333333303</v>
      </c>
      <c r="AO21" s="28">
        <v>0.14325033333333301</v>
      </c>
      <c r="AP21" s="28">
        <v>0.24657533333333301</v>
      </c>
      <c r="AQ21" s="28">
        <v>7.7483999999999997E-2</v>
      </c>
      <c r="AR21" s="28">
        <v>7.1012000000000006E-2</v>
      </c>
      <c r="AS21" s="28">
        <v>0.19994666666666699</v>
      </c>
      <c r="AT21" s="28">
        <v>3.4000000000000002E-2</v>
      </c>
      <c r="AU21" s="28">
        <v>0.14091899999999999</v>
      </c>
      <c r="AV21" s="28">
        <v>0.297566</v>
      </c>
      <c r="AW21" s="28">
        <v>0.31273148478260848</v>
      </c>
      <c r="AX21" s="34">
        <v>14.385648299999991</v>
      </c>
    </row>
    <row r="22" spans="1:50" x14ac:dyDescent="0.25">
      <c r="A22" s="24">
        <v>21</v>
      </c>
      <c r="B22" s="26">
        <v>10</v>
      </c>
      <c r="C22" s="28">
        <v>1.3336633333333301</v>
      </c>
      <c r="D22" s="28">
        <v>0.15377333333333301</v>
      </c>
      <c r="E22" s="28">
        <v>0.17102999999999999</v>
      </c>
      <c r="F22" s="28">
        <v>0.445494</v>
      </c>
      <c r="G22" s="28">
        <v>0.210640666666667</v>
      </c>
      <c r="H22" s="28">
        <v>0.149366</v>
      </c>
      <c r="I22" s="28">
        <v>0.16336010000000001</v>
      </c>
      <c r="J22" s="28">
        <v>0.30673766666666702</v>
      </c>
      <c r="K22" s="28">
        <v>0.101634</v>
      </c>
      <c r="L22" s="28">
        <v>5.3999999999999999E-2</v>
      </c>
      <c r="M22" s="28">
        <v>0.21211133333333301</v>
      </c>
      <c r="N22" s="28">
        <v>0.126106</v>
      </c>
      <c r="O22" s="28">
        <v>0.61249266666666702</v>
      </c>
      <c r="P22" s="28">
        <v>0.26294133333333303</v>
      </c>
      <c r="Q22" s="28">
        <v>5.1999999999999998E-2</v>
      </c>
      <c r="R22" s="28">
        <v>0.23977999999999999</v>
      </c>
      <c r="S22" s="28">
        <v>6.9934999999999997E-2</v>
      </c>
      <c r="T22" s="28">
        <v>0.29179523333333302</v>
      </c>
      <c r="U22" s="28">
        <v>0.119501333333333</v>
      </c>
      <c r="V22" s="28">
        <v>0.14499066666666699</v>
      </c>
      <c r="W22" s="28">
        <v>0.21512693333333299</v>
      </c>
      <c r="X22" s="28">
        <v>0.2342013</v>
      </c>
      <c r="Y22" s="28">
        <v>5.2999999999999999E-2</v>
      </c>
      <c r="Z22" s="28">
        <v>0.22336466666666699</v>
      </c>
      <c r="AA22" s="28">
        <v>0.34540533333333301</v>
      </c>
      <c r="AB22" s="28">
        <v>7.6275999999999997E-2</v>
      </c>
      <c r="AC22" s="28">
        <v>1.250912</v>
      </c>
      <c r="AD22" s="28">
        <v>1.0017164000000001</v>
      </c>
      <c r="AE22" s="28">
        <v>6.5208000000000002E-2</v>
      </c>
      <c r="AF22" s="28">
        <v>0.41361666666666702</v>
      </c>
      <c r="AG22" s="28">
        <v>0.24733630000000001</v>
      </c>
      <c r="AH22" s="28">
        <v>0.46323700000000001</v>
      </c>
      <c r="AI22" s="28">
        <v>0.75866566666666702</v>
      </c>
      <c r="AJ22" s="28">
        <v>1.20495</v>
      </c>
      <c r="AK22" s="28">
        <v>3.008276</v>
      </c>
      <c r="AL22" s="28">
        <v>0.27287800000000001</v>
      </c>
      <c r="AM22" s="28">
        <v>6.9941233333333394E-2</v>
      </c>
      <c r="AN22" s="28">
        <v>0.123284666666667</v>
      </c>
      <c r="AO22" s="28">
        <v>7.0341000000000001E-2</v>
      </c>
      <c r="AP22" s="28">
        <v>1.4553496666666701</v>
      </c>
      <c r="AQ22" s="28">
        <v>4.2000000000000003E-2</v>
      </c>
      <c r="AR22" s="28">
        <v>0.19374266666666701</v>
      </c>
      <c r="AS22" s="28">
        <v>0.42554999999999998</v>
      </c>
      <c r="AT22" s="28">
        <v>0.20346600000000001</v>
      </c>
      <c r="AU22" s="28">
        <v>0.328330333333333</v>
      </c>
      <c r="AV22" s="28">
        <v>5.7000000000000002E-2</v>
      </c>
      <c r="AW22" s="28">
        <v>0.39183757608695652</v>
      </c>
      <c r="AX22" s="34">
        <v>18.024528499999999</v>
      </c>
    </row>
    <row r="23" spans="1:50" x14ac:dyDescent="0.25">
      <c r="A23" s="24">
        <v>22</v>
      </c>
      <c r="B23" s="26">
        <v>10.5</v>
      </c>
      <c r="C23" s="28">
        <v>0.24871913333333301</v>
      </c>
      <c r="D23" s="28">
        <v>6.1483999999999997E-2</v>
      </c>
      <c r="E23" s="28">
        <v>0.12552966666666701</v>
      </c>
      <c r="F23" s="28">
        <v>0.39840866666666702</v>
      </c>
      <c r="G23" s="28">
        <v>0.18870600000000001</v>
      </c>
      <c r="H23" s="28">
        <v>0.16313800000000001</v>
      </c>
      <c r="I23" s="28">
        <v>0.90546533333333301</v>
      </c>
      <c r="J23" s="28">
        <v>0.40068266666666702</v>
      </c>
      <c r="K23" s="28">
        <v>0.117178666666667</v>
      </c>
      <c r="L23" s="28">
        <v>0.266637333333333</v>
      </c>
      <c r="M23" s="28">
        <v>0.485642666666667</v>
      </c>
      <c r="N23" s="28">
        <v>0.12996866666666701</v>
      </c>
      <c r="O23" s="28">
        <v>0.444079</v>
      </c>
      <c r="P23" s="28">
        <v>0.112872</v>
      </c>
      <c r="Q23" s="28">
        <v>5.1999999999999998E-2</v>
      </c>
      <c r="R23" s="28">
        <v>7.0433333333333306E-2</v>
      </c>
      <c r="S23" s="28">
        <v>1.04745966666667</v>
      </c>
      <c r="T23" s="28">
        <v>0.12440836666666701</v>
      </c>
      <c r="U23" s="28">
        <v>0.16562733333333299</v>
      </c>
      <c r="V23" s="28">
        <v>4.4788000000000001E-2</v>
      </c>
      <c r="W23" s="28">
        <v>4.9000000000000002E-2</v>
      </c>
      <c r="X23" s="28">
        <v>0.26574750000000003</v>
      </c>
      <c r="Y23" s="28">
        <v>0.213108666666667</v>
      </c>
      <c r="Z23" s="28">
        <v>9.1473666666666703E-2</v>
      </c>
      <c r="AA23" s="28">
        <v>0.57687866666666698</v>
      </c>
      <c r="AB23" s="28">
        <v>0.14901200000000001</v>
      </c>
      <c r="AC23" s="28">
        <v>0.87982666666666698</v>
      </c>
      <c r="AD23" s="28">
        <v>5.6000000000000001E-2</v>
      </c>
      <c r="AE23" s="28">
        <v>0.123888</v>
      </c>
      <c r="AF23" s="28">
        <v>5.0999999999999997E-2</v>
      </c>
      <c r="AG23" s="28">
        <v>0.123862666666667</v>
      </c>
      <c r="AH23" s="28">
        <v>0.48065000000000002</v>
      </c>
      <c r="AI23" s="28">
        <v>8.0001333333333299E-2</v>
      </c>
      <c r="AJ23" s="28">
        <v>0.37745200000000001</v>
      </c>
      <c r="AK23" s="28">
        <v>0.40979266666666597</v>
      </c>
      <c r="AL23" s="28">
        <v>9.0239533333333302E-2</v>
      </c>
      <c r="AM23" s="28">
        <v>0.26499566666666702</v>
      </c>
      <c r="AN23" s="28">
        <v>7.6223333333333407E-2</v>
      </c>
      <c r="AO23" s="28">
        <v>4.2999999999999997E-2</v>
      </c>
      <c r="AP23" s="28">
        <v>1.5940333333333301</v>
      </c>
      <c r="AQ23" s="28">
        <v>6.5656000000000006E-2</v>
      </c>
      <c r="AR23" s="28">
        <v>4.8000000000000001E-2</v>
      </c>
      <c r="AS23" s="28">
        <v>0.133214</v>
      </c>
      <c r="AT23" s="28">
        <v>0.14369000000000001</v>
      </c>
      <c r="AU23" s="28">
        <v>0.22122</v>
      </c>
      <c r="AV23" s="28">
        <v>0.24929200000000001</v>
      </c>
      <c r="AW23" s="28">
        <v>0.26979317826086968</v>
      </c>
      <c r="AX23" s="34">
        <v>12.410486199999999</v>
      </c>
    </row>
    <row r="24" spans="1:50" x14ac:dyDescent="0.25">
      <c r="A24" s="24">
        <v>23</v>
      </c>
      <c r="B24" s="26">
        <v>11</v>
      </c>
      <c r="C24" s="28">
        <v>0.16820599999999999</v>
      </c>
      <c r="D24" s="28">
        <v>0.50362753333333299</v>
      </c>
      <c r="E24" s="28">
        <v>6.2E-2</v>
      </c>
      <c r="F24" s="28">
        <v>0.52902066666666703</v>
      </c>
      <c r="G24" s="28">
        <v>0.32917133333333298</v>
      </c>
      <c r="H24" s="28">
        <v>5.5333333333333297E-2</v>
      </c>
      <c r="I24" s="28">
        <v>0.65338133333333304</v>
      </c>
      <c r="J24" s="28">
        <v>0.22087200000000001</v>
      </c>
      <c r="K24" s="28">
        <v>5.5E-2</v>
      </c>
      <c r="L24" s="28">
        <v>7.5106000000000006E-2</v>
      </c>
      <c r="M24" s="28">
        <v>0.36965300000000001</v>
      </c>
      <c r="N24" s="28">
        <v>0.29534199999999999</v>
      </c>
      <c r="O24" s="28">
        <v>0.45765266666666699</v>
      </c>
      <c r="P24" s="28">
        <v>3.4000000000000002E-2</v>
      </c>
      <c r="Q24" s="28">
        <v>5.1999999999999998E-2</v>
      </c>
      <c r="R24" s="28">
        <v>0.24060999999999999</v>
      </c>
      <c r="S24" s="28">
        <v>0.82880799999999999</v>
      </c>
      <c r="T24" s="28">
        <v>0.16672666666666699</v>
      </c>
      <c r="U24" s="28">
        <v>9.90505E-2</v>
      </c>
      <c r="V24" s="28">
        <v>7.2049666666666706E-2</v>
      </c>
      <c r="W24" s="28">
        <v>5.6082333333333297E-2</v>
      </c>
      <c r="X24" s="28">
        <v>0.31631999999999999</v>
      </c>
      <c r="Y24" s="28">
        <v>5.2999999999999999E-2</v>
      </c>
      <c r="Z24" s="28">
        <v>0.351586333333333</v>
      </c>
      <c r="AA24" s="28">
        <v>2.60894</v>
      </c>
      <c r="AB24" s="28">
        <v>0.239439333333333</v>
      </c>
      <c r="AC24" s="28">
        <v>2.1499533333333298</v>
      </c>
      <c r="AD24" s="28">
        <v>9.3940000000000107E-2</v>
      </c>
      <c r="AE24" s="28">
        <v>0.03</v>
      </c>
      <c r="AF24" s="28">
        <v>0.24220700000000001</v>
      </c>
      <c r="AG24" s="28">
        <v>0.99303536666666703</v>
      </c>
      <c r="AH24" s="28">
        <v>0.31299933333333302</v>
      </c>
      <c r="AI24" s="28">
        <v>0.15032400000000001</v>
      </c>
      <c r="AJ24" s="28">
        <v>0.217948</v>
      </c>
      <c r="AK24" s="28">
        <v>0.25778366666666702</v>
      </c>
      <c r="AL24" s="28">
        <v>0.20532133333333299</v>
      </c>
      <c r="AM24" s="28">
        <v>6.7813100000000001E-2</v>
      </c>
      <c r="AN24" s="28">
        <v>0.28602919999999998</v>
      </c>
      <c r="AO24" s="28">
        <v>4.2999999999999997E-2</v>
      </c>
      <c r="AP24" s="28">
        <v>0.39701200000000098</v>
      </c>
      <c r="AQ24" s="28">
        <v>0.148452</v>
      </c>
      <c r="AR24" s="28">
        <v>0.117036</v>
      </c>
      <c r="AS24" s="28">
        <v>0.25462493333333303</v>
      </c>
      <c r="AT24" s="28">
        <v>3.4000000000000002E-2</v>
      </c>
      <c r="AU24" s="28">
        <v>0.13576033333333301</v>
      </c>
      <c r="AV24" s="28">
        <v>1.74224333333333</v>
      </c>
      <c r="AW24" s="28">
        <v>0.36461873115942012</v>
      </c>
      <c r="AX24" s="34">
        <v>16.772461633333329</v>
      </c>
    </row>
    <row r="25" spans="1:50" x14ac:dyDescent="0.25">
      <c r="A25" s="24">
        <v>24</v>
      </c>
      <c r="B25" s="26">
        <v>11.5</v>
      </c>
      <c r="C25" s="28">
        <v>0.14790066666666701</v>
      </c>
      <c r="D25" s="28">
        <v>5.3985066666666699E-2</v>
      </c>
      <c r="E25" s="28">
        <v>1.3842666666666701</v>
      </c>
      <c r="F25" s="28">
        <v>0.27120533333333402</v>
      </c>
      <c r="G25" s="28">
        <v>1.12870733333333</v>
      </c>
      <c r="H25" s="28">
        <v>0.19840866666666701</v>
      </c>
      <c r="I25" s="28">
        <v>0.87150133333333302</v>
      </c>
      <c r="J25" s="28">
        <v>0.49549733333333401</v>
      </c>
      <c r="K25" s="28">
        <v>0.20764933333333299</v>
      </c>
      <c r="L25" s="28">
        <v>0.163007333333333</v>
      </c>
      <c r="M25" s="28">
        <v>0.55846133333333303</v>
      </c>
      <c r="N25" s="28">
        <v>7.0838666666666703E-2</v>
      </c>
      <c r="O25" s="28">
        <v>0.66383366666666699</v>
      </c>
      <c r="P25" s="28">
        <v>0.16447466666666699</v>
      </c>
      <c r="Q25" s="28">
        <v>6.4000000000000001E-2</v>
      </c>
      <c r="R25" s="28">
        <v>9.02453333333334E-2</v>
      </c>
      <c r="S25" s="28">
        <v>1.931508</v>
      </c>
      <c r="T25" s="28">
        <v>0.146558666666667</v>
      </c>
      <c r="U25" s="28">
        <v>0.30878333333333302</v>
      </c>
      <c r="V25" s="28">
        <v>0.14255100000000001</v>
      </c>
      <c r="W25" s="28">
        <v>0.19772899999999999</v>
      </c>
      <c r="X25" s="28">
        <v>5.0999999999999997E-2</v>
      </c>
      <c r="Y25" s="28">
        <v>0.213108666666667</v>
      </c>
      <c r="Z25" s="28">
        <v>0.28237299999999999</v>
      </c>
      <c r="AA25" s="28">
        <v>2.70929333333333</v>
      </c>
      <c r="AB25" s="28">
        <v>6.7183999999999994E-2</v>
      </c>
      <c r="AC25" s="28">
        <v>1.4408746666666701</v>
      </c>
      <c r="AD25" s="28">
        <v>0.18499599999999999</v>
      </c>
      <c r="AE25" s="28">
        <v>5.9339999999999997E-2</v>
      </c>
      <c r="AF25" s="28">
        <v>0.37018166666666702</v>
      </c>
      <c r="AG25" s="28">
        <v>0.70345999999999997</v>
      </c>
      <c r="AH25" s="28">
        <v>0.116985333333333</v>
      </c>
      <c r="AI25" s="28">
        <v>0.25138066666666697</v>
      </c>
      <c r="AJ25" s="28">
        <v>0.29905100000000001</v>
      </c>
      <c r="AK25" s="28">
        <v>0.31873499999999999</v>
      </c>
      <c r="AL25" s="28">
        <v>0.2135706</v>
      </c>
      <c r="AM25" s="28">
        <v>1.12432833333333</v>
      </c>
      <c r="AN25" s="28">
        <v>0.167973333333333</v>
      </c>
      <c r="AO25" s="28">
        <v>4.2999999999999997E-2</v>
      </c>
      <c r="AP25" s="28">
        <v>0.164173333333333</v>
      </c>
      <c r="AQ25" s="28">
        <v>4.2000000000000003E-2</v>
      </c>
      <c r="AR25" s="28">
        <v>0.147718666666667</v>
      </c>
      <c r="AS25" s="28">
        <v>0.16917080000000001</v>
      </c>
      <c r="AT25" s="28">
        <v>0.25047433333333302</v>
      </c>
      <c r="AU25" s="28">
        <v>0.195918333333333</v>
      </c>
      <c r="AV25" s="28">
        <v>0.276308</v>
      </c>
      <c r="AW25" s="28">
        <v>0.41573286521739128</v>
      </c>
      <c r="AX25" s="34">
        <v>19.123711799999999</v>
      </c>
    </row>
    <row r="26" spans="1:50" x14ac:dyDescent="0.25">
      <c r="A26" s="24">
        <v>25</v>
      </c>
      <c r="B26" s="26">
        <v>12</v>
      </c>
      <c r="C26" s="28">
        <v>0.40580846666666698</v>
      </c>
      <c r="D26" s="28">
        <v>4.3999999999999997E-2</v>
      </c>
      <c r="E26" s="28">
        <v>0.202248333333333</v>
      </c>
      <c r="F26" s="28">
        <v>0.28413666666666698</v>
      </c>
      <c r="G26" s="28">
        <v>0.13420000000000001</v>
      </c>
      <c r="H26" s="28">
        <v>3.5000000000000003E-2</v>
      </c>
      <c r="I26" s="28">
        <v>0.91212533333333301</v>
      </c>
      <c r="J26" s="28">
        <v>0.487464333333333</v>
      </c>
      <c r="K26" s="28">
        <v>0.18651000000000001</v>
      </c>
      <c r="L26" s="28">
        <v>0.17873600000000001</v>
      </c>
      <c r="M26" s="28">
        <v>0.25089166666666701</v>
      </c>
      <c r="N26" s="28">
        <v>0.22210933333333299</v>
      </c>
      <c r="O26" s="28">
        <v>0.1693414</v>
      </c>
      <c r="P26" s="28">
        <v>0.19808666666666699</v>
      </c>
      <c r="Q26" s="28">
        <v>0.13974</v>
      </c>
      <c r="R26" s="28">
        <v>0.109016666666667</v>
      </c>
      <c r="S26" s="28">
        <v>0.42250466666666697</v>
      </c>
      <c r="T26" s="28">
        <v>0.167760666666667</v>
      </c>
      <c r="U26" s="28">
        <v>0.17331299999999999</v>
      </c>
      <c r="V26" s="28">
        <v>0.23549600000000001</v>
      </c>
      <c r="W26" s="28">
        <v>4.9000000000000002E-2</v>
      </c>
      <c r="X26" s="28">
        <v>0.28028999999999998</v>
      </c>
      <c r="Y26" s="28">
        <v>5.2999999999999999E-2</v>
      </c>
      <c r="Z26" s="28">
        <v>0.16515933333333299</v>
      </c>
      <c r="AA26" s="28">
        <v>0.66346166666666695</v>
      </c>
      <c r="AB26" s="28">
        <v>0.296605333333334</v>
      </c>
      <c r="AC26" s="28">
        <v>0.10201</v>
      </c>
      <c r="AD26" s="28">
        <v>5.6000000000000001E-2</v>
      </c>
      <c r="AE26" s="28">
        <v>0.12975600000000001</v>
      </c>
      <c r="AF26" s="28">
        <v>0.14238293333333299</v>
      </c>
      <c r="AG26" s="28">
        <v>0.27208533333333301</v>
      </c>
      <c r="AH26" s="28">
        <v>0.32771600000000001</v>
      </c>
      <c r="AI26" s="28">
        <v>0.34576166666666702</v>
      </c>
      <c r="AJ26" s="28">
        <v>0.20553199999999999</v>
      </c>
      <c r="AK26" s="28">
        <v>0.50304899999999997</v>
      </c>
      <c r="AL26" s="28">
        <v>0.30145783333333298</v>
      </c>
      <c r="AM26" s="28">
        <v>1.216386</v>
      </c>
      <c r="AN26" s="28">
        <v>0.15366433333333299</v>
      </c>
      <c r="AO26" s="28">
        <v>4.2999999999999997E-2</v>
      </c>
      <c r="AP26" s="28">
        <v>0.05</v>
      </c>
      <c r="AQ26" s="28">
        <v>0.136624</v>
      </c>
      <c r="AR26" s="28">
        <v>5.5670666666666702E-2</v>
      </c>
      <c r="AS26" s="28">
        <v>0.63500639999999997</v>
      </c>
      <c r="AT26" s="28">
        <v>9.6679999999999905E-2</v>
      </c>
      <c r="AU26" s="28">
        <v>7.0363999999999996E-2</v>
      </c>
      <c r="AV26" s="28">
        <v>0.13171796666666699</v>
      </c>
      <c r="AW26" s="28">
        <v>0.24871455797101449</v>
      </c>
      <c r="AX26" s="34">
        <v>11.44086966666667</v>
      </c>
    </row>
    <row r="27" spans="1:50" x14ac:dyDescent="0.25">
      <c r="A27" s="24">
        <v>26</v>
      </c>
      <c r="B27" s="26">
        <v>12.5</v>
      </c>
      <c r="C27" s="28">
        <v>7.4709600000000001E-2</v>
      </c>
      <c r="D27" s="28">
        <v>0.15377333333333301</v>
      </c>
      <c r="E27" s="28">
        <v>1.5181846666666701</v>
      </c>
      <c r="F27" s="28">
        <v>1.0891216666666701</v>
      </c>
      <c r="G27" s="28">
        <v>0.130066666666667</v>
      </c>
      <c r="H27" s="28">
        <v>0.16653799999999999</v>
      </c>
      <c r="I27" s="28">
        <v>0.192151666666667</v>
      </c>
      <c r="J27" s="28">
        <v>0.236034666666667</v>
      </c>
      <c r="K27" s="28">
        <v>0.19657466666666701</v>
      </c>
      <c r="L27" s="28">
        <v>0.320114866666667</v>
      </c>
      <c r="M27" s="28">
        <v>0.35403533333333298</v>
      </c>
      <c r="N27" s="28">
        <v>0.20320133333333301</v>
      </c>
      <c r="O27" s="28">
        <v>0.223585166666667</v>
      </c>
      <c r="P27" s="28">
        <v>0.13833833333333301</v>
      </c>
      <c r="Q27" s="28">
        <v>0.159203333333333</v>
      </c>
      <c r="R27" s="28">
        <v>0.17366833333333301</v>
      </c>
      <c r="S27" s="28">
        <v>0.51418699999999995</v>
      </c>
      <c r="T27" s="28">
        <v>0.16170399999999999</v>
      </c>
      <c r="U27" s="28">
        <v>0.34779966666666701</v>
      </c>
      <c r="V27" s="28">
        <v>7.5565333333333401E-2</v>
      </c>
      <c r="W27" s="28">
        <v>4.9000000000000002E-2</v>
      </c>
      <c r="X27" s="28">
        <v>0.55167833333333305</v>
      </c>
      <c r="Y27" s="28">
        <v>5.2999999999999999E-2</v>
      </c>
      <c r="Z27" s="28">
        <v>0.347156666666667</v>
      </c>
      <c r="AA27" s="28">
        <v>0.17531566666666701</v>
      </c>
      <c r="AB27" s="28">
        <v>0.100938</v>
      </c>
      <c r="AC27" s="28">
        <v>5.8000000000000003E-2</v>
      </c>
      <c r="AD27" s="28">
        <v>6.3588000000000006E-2</v>
      </c>
      <c r="AE27" s="28">
        <v>0.03</v>
      </c>
      <c r="AF27" s="28">
        <v>0.28101500000000001</v>
      </c>
      <c r="AG27" s="28">
        <v>0.31405796666666602</v>
      </c>
      <c r="AH27" s="28">
        <v>0.30265066666666701</v>
      </c>
      <c r="AI27" s="28">
        <v>0.369943666666667</v>
      </c>
      <c r="AJ27" s="28">
        <v>0.241948</v>
      </c>
      <c r="AK27" s="28">
        <v>1.658798</v>
      </c>
      <c r="AL27" s="28">
        <v>0.273527666666667</v>
      </c>
      <c r="AM27" s="28">
        <v>0.28874</v>
      </c>
      <c r="AN27" s="28">
        <v>0.436423333333333</v>
      </c>
      <c r="AO27" s="28">
        <v>0.17059133333333301</v>
      </c>
      <c r="AP27" s="28">
        <v>0.31636266666666701</v>
      </c>
      <c r="AQ27" s="28">
        <v>7.7483999999999997E-2</v>
      </c>
      <c r="AR27" s="28">
        <v>0.20908399999999999</v>
      </c>
      <c r="AS27" s="28">
        <v>0.40256900000000001</v>
      </c>
      <c r="AT27" s="28">
        <v>3.4000000000000002E-2</v>
      </c>
      <c r="AU27" s="28">
        <v>0.26131466666666697</v>
      </c>
      <c r="AV27" s="28">
        <v>0.21865596666666701</v>
      </c>
      <c r="AW27" s="28">
        <v>0.29813913550724658</v>
      </c>
      <c r="AX27" s="34">
        <v>13.71440023333335</v>
      </c>
    </row>
    <row r="28" spans="1:50" x14ac:dyDescent="0.25">
      <c r="A28" s="24">
        <v>27</v>
      </c>
      <c r="B28" s="26">
        <v>13</v>
      </c>
      <c r="C28" s="28">
        <v>0.30056733333333302</v>
      </c>
      <c r="D28" s="28">
        <v>0.30650866666666698</v>
      </c>
      <c r="E28" s="28">
        <v>0.375527</v>
      </c>
      <c r="F28" s="28">
        <v>0.43066403333333397</v>
      </c>
      <c r="G28" s="28">
        <v>7.04866666666666E-2</v>
      </c>
      <c r="H28" s="28">
        <v>0.11417679999999999</v>
      </c>
      <c r="I28" s="28">
        <v>0.22524266666666701</v>
      </c>
      <c r="J28" s="28">
        <v>0.25650733333333298</v>
      </c>
      <c r="K28" s="28">
        <v>1.4683349999999999</v>
      </c>
      <c r="L28" s="28">
        <v>0.24470233333333299</v>
      </c>
      <c r="M28" s="28">
        <v>0.99017966666666701</v>
      </c>
      <c r="N28" s="28">
        <v>2.0869633333333302</v>
      </c>
      <c r="O28" s="28">
        <v>0.13899056666666701</v>
      </c>
      <c r="P28" s="28">
        <v>0.183531366666667</v>
      </c>
      <c r="Q28" s="28">
        <v>5.3999999999999999E-2</v>
      </c>
      <c r="R28" s="28">
        <v>0.103176333333333</v>
      </c>
      <c r="S28" s="28">
        <v>0.13773333333333301</v>
      </c>
      <c r="T28" s="28">
        <v>0.100890666666667</v>
      </c>
      <c r="U28" s="28">
        <v>0.18100266666666701</v>
      </c>
      <c r="V28" s="28">
        <v>7.8347999999999904E-2</v>
      </c>
      <c r="W28" s="28">
        <v>0.20481133333333301</v>
      </c>
      <c r="X28" s="28">
        <v>7.6890666666666704E-2</v>
      </c>
      <c r="Y28" s="28">
        <v>7.4832999999999997E-2</v>
      </c>
      <c r="Z28" s="28">
        <v>1.20671533333333</v>
      </c>
      <c r="AA28" s="28">
        <v>0.14661533333333299</v>
      </c>
      <c r="AB28" s="28">
        <v>0.17987973333333299</v>
      </c>
      <c r="AC28" s="28">
        <v>0.10201</v>
      </c>
      <c r="AD28" s="28">
        <v>0.21534800000000001</v>
      </c>
      <c r="AE28" s="28">
        <v>8.8679999999999995E-2</v>
      </c>
      <c r="AF28" s="28">
        <v>1.4220886666666701</v>
      </c>
      <c r="AG28" s="28">
        <v>0.42462576666666701</v>
      </c>
      <c r="AH28" s="28">
        <v>0.30026766666666699</v>
      </c>
      <c r="AI28" s="28">
        <v>0.30672433333333299</v>
      </c>
      <c r="AJ28" s="28">
        <v>0.43703033333333302</v>
      </c>
      <c r="AK28" s="28">
        <v>0.3145</v>
      </c>
      <c r="AL28" s="28">
        <v>0.11835066666666701</v>
      </c>
      <c r="AM28" s="28">
        <v>0.13252249999999999</v>
      </c>
      <c r="AN28" s="28">
        <v>0.50041533333333399</v>
      </c>
      <c r="AO28" s="28">
        <v>4.2999999999999997E-2</v>
      </c>
      <c r="AP28" s="28">
        <v>0.05</v>
      </c>
      <c r="AQ28" s="28">
        <v>0.45042833333333399</v>
      </c>
      <c r="AR28" s="28">
        <v>4.8000000000000001E-2</v>
      </c>
      <c r="AS28" s="28">
        <v>0.17143</v>
      </c>
      <c r="AT28" s="28">
        <v>0.313151333333334</v>
      </c>
      <c r="AU28" s="28">
        <v>5.5E-2</v>
      </c>
      <c r="AV28" s="28">
        <v>0.69525099999999895</v>
      </c>
      <c r="AW28" s="28">
        <v>0.3462196326086957</v>
      </c>
      <c r="AX28" s="34">
        <v>15.926103100000001</v>
      </c>
    </row>
    <row r="29" spans="1:50" x14ac:dyDescent="0.25">
      <c r="A29" s="24">
        <v>28</v>
      </c>
      <c r="B29" s="26">
        <v>13.5</v>
      </c>
      <c r="C29" s="28">
        <v>1.2538796666666701</v>
      </c>
      <c r="D29" s="28">
        <v>0.13553499999999999</v>
      </c>
      <c r="E29" s="28">
        <v>0.46006466666666701</v>
      </c>
      <c r="F29" s="28">
        <v>0.26682899999999998</v>
      </c>
      <c r="G29" s="28">
        <v>7.04866666666666E-2</v>
      </c>
      <c r="H29" s="28">
        <v>0.47722426666666701</v>
      </c>
      <c r="I29" s="28">
        <v>7.9362666666666706E-2</v>
      </c>
      <c r="J29" s="28">
        <v>0.31405686666666699</v>
      </c>
      <c r="K29" s="28">
        <v>0.7608665</v>
      </c>
      <c r="L29" s="28">
        <v>7.5935000000000002E-2</v>
      </c>
      <c r="M29" s="28">
        <v>1.3454333333333299</v>
      </c>
      <c r="N29" s="28">
        <v>0.47363033333333299</v>
      </c>
      <c r="O29" s="28">
        <v>0.22264546666666701</v>
      </c>
      <c r="P29" s="28">
        <v>0.234583766666667</v>
      </c>
      <c r="Q29" s="28">
        <v>0.44352000000000003</v>
      </c>
      <c r="R29" s="28">
        <v>0.12445000000000001</v>
      </c>
      <c r="S29" s="28">
        <v>0.16345599999999999</v>
      </c>
      <c r="T29" s="28">
        <v>0.26179666666666701</v>
      </c>
      <c r="U29" s="28">
        <v>0.16489933333333301</v>
      </c>
      <c r="V29" s="28">
        <v>0.38836300000000001</v>
      </c>
      <c r="W29" s="28">
        <v>7.7133333333333304E-2</v>
      </c>
      <c r="X29" s="28">
        <v>0.259413333333333</v>
      </c>
      <c r="Y29" s="28">
        <v>0.19127566666666701</v>
      </c>
      <c r="Z29" s="28">
        <v>1.2152609999999999</v>
      </c>
      <c r="AA29" s="28">
        <v>6.0666666666666702E-2</v>
      </c>
      <c r="AB29" s="28">
        <v>0.32807399999999998</v>
      </c>
      <c r="AC29" s="28">
        <v>9.3207999999999902E-2</v>
      </c>
      <c r="AD29" s="28">
        <v>5.6000000000000001E-2</v>
      </c>
      <c r="AE29" s="28">
        <v>0.10041600000000001</v>
      </c>
      <c r="AF29" s="28">
        <v>5.0999999999999997E-2</v>
      </c>
      <c r="AG29" s="28">
        <v>7.4237600000000001E-2</v>
      </c>
      <c r="AH29" s="28">
        <v>0.208451</v>
      </c>
      <c r="AI29" s="28">
        <v>0.52841000000000005</v>
      </c>
      <c r="AJ29" s="28">
        <v>1.73142366666667</v>
      </c>
      <c r="AK29" s="28">
        <v>0.21235266666666699</v>
      </c>
      <c r="AL29" s="28">
        <v>0.209436333333333</v>
      </c>
      <c r="AM29" s="28">
        <v>2.1276160000000002</v>
      </c>
      <c r="AN29" s="28">
        <v>0.58524666666666703</v>
      </c>
      <c r="AO29" s="28">
        <v>0.125023</v>
      </c>
      <c r="AP29" s="28">
        <v>0.05</v>
      </c>
      <c r="AQ29" s="28">
        <v>0.68608133333333299</v>
      </c>
      <c r="AR29" s="28">
        <v>0.21675466666666701</v>
      </c>
      <c r="AS29" s="28">
        <v>0.38678600000000002</v>
      </c>
      <c r="AT29" s="28">
        <v>3.4000000000000002E-2</v>
      </c>
      <c r="AU29" s="28">
        <v>0.152071333333333</v>
      </c>
      <c r="AV29" s="28">
        <v>0.36979600000000001</v>
      </c>
      <c r="AW29" s="28">
        <v>0.38798157536231898</v>
      </c>
      <c r="AX29" s="34">
        <v>17.847152466666671</v>
      </c>
    </row>
    <row r="30" spans="1:50" x14ac:dyDescent="0.25">
      <c r="A30" s="24">
        <v>29</v>
      </c>
      <c r="B30" s="26">
        <v>14</v>
      </c>
      <c r="C30" s="28">
        <v>0.1659216</v>
      </c>
      <c r="D30" s="28">
        <v>6.8987466666666594E-2</v>
      </c>
      <c r="E30" s="28">
        <v>0.31487619999999999</v>
      </c>
      <c r="F30" s="28">
        <v>0.374693</v>
      </c>
      <c r="G30" s="28">
        <v>5.5E-2</v>
      </c>
      <c r="H30" s="28">
        <v>0.36447859999999999</v>
      </c>
      <c r="I30" s="28">
        <v>5.1999999999999998E-2</v>
      </c>
      <c r="J30" s="28">
        <v>8.2983000000000001E-2</v>
      </c>
      <c r="K30" s="28">
        <v>0.288362333333333</v>
      </c>
      <c r="L30" s="28">
        <v>0.13138866666666699</v>
      </c>
      <c r="M30" s="28">
        <v>1.4232453333333299</v>
      </c>
      <c r="N30" s="28">
        <v>0.13714066666666699</v>
      </c>
      <c r="O30" s="28">
        <v>0.17313526666666701</v>
      </c>
      <c r="P30" s="28">
        <v>0.16552829999999999</v>
      </c>
      <c r="Q30" s="28">
        <v>5.4666666666666697E-2</v>
      </c>
      <c r="R30" s="28">
        <v>0.206411333333333</v>
      </c>
      <c r="S30" s="28">
        <v>0.145713333333333</v>
      </c>
      <c r="T30" s="28">
        <v>1.054778</v>
      </c>
      <c r="U30" s="28">
        <v>0.30897366666666698</v>
      </c>
      <c r="V30" s="28">
        <v>0.188256333333333</v>
      </c>
      <c r="W30" s="28">
        <v>8.2462066666666695E-2</v>
      </c>
      <c r="X30" s="28">
        <v>0.1303771</v>
      </c>
      <c r="Y30" s="28">
        <v>5.2999999999999999E-2</v>
      </c>
      <c r="Z30" s="28">
        <v>0.59227233333333296</v>
      </c>
      <c r="AA30" s="28">
        <v>4.3999999999999997E-2</v>
      </c>
      <c r="AB30" s="28">
        <v>5.3741400000000002E-2</v>
      </c>
      <c r="AC30" s="28">
        <v>0.150793333333333</v>
      </c>
      <c r="AD30" s="28">
        <v>5.6000000000000001E-2</v>
      </c>
      <c r="AE30" s="28">
        <v>0.03</v>
      </c>
      <c r="AF30" s="28">
        <v>5.0999999999999997E-2</v>
      </c>
      <c r="AG30" s="28">
        <v>0.2202962</v>
      </c>
      <c r="AH30" s="28">
        <v>0.34467466666666702</v>
      </c>
      <c r="AI30" s="28">
        <v>0.23137766666666701</v>
      </c>
      <c r="AJ30" s="28">
        <v>0.60010766666666704</v>
      </c>
      <c r="AK30" s="28">
        <v>6.0999999999999999E-2</v>
      </c>
      <c r="AL30" s="28">
        <v>0.33982566666666703</v>
      </c>
      <c r="AM30" s="28">
        <v>2.9897433333333301</v>
      </c>
      <c r="AN30" s="28">
        <v>0.49578433333333299</v>
      </c>
      <c r="AO30" s="28">
        <v>8.8568333333333402E-2</v>
      </c>
      <c r="AP30" s="28">
        <v>0.249942</v>
      </c>
      <c r="AQ30" s="28">
        <v>0.82986066666666702</v>
      </c>
      <c r="AR30" s="28">
        <v>4.8000000000000001E-2</v>
      </c>
      <c r="AS30" s="28">
        <v>0.49195866666666699</v>
      </c>
      <c r="AT30" s="28">
        <v>0.104515</v>
      </c>
      <c r="AU30" s="28">
        <v>0.110469333333333</v>
      </c>
      <c r="AV30" s="28">
        <v>0.448411333333333</v>
      </c>
      <c r="AW30" s="28">
        <v>0.31858088840579679</v>
      </c>
      <c r="AX30" s="34">
        <v>14.65472086666666</v>
      </c>
    </row>
    <row r="31" spans="1:50" x14ac:dyDescent="0.25">
      <c r="A31" s="24">
        <v>30</v>
      </c>
      <c r="B31" s="26">
        <v>14.5</v>
      </c>
      <c r="C31" s="28">
        <v>0.1244614</v>
      </c>
      <c r="D31" s="28">
        <v>0.17577066666666699</v>
      </c>
      <c r="E31" s="28">
        <v>0.17724239999999999</v>
      </c>
      <c r="F31" s="28">
        <v>0.14012933333333299</v>
      </c>
      <c r="G31" s="28">
        <v>5.5E-2</v>
      </c>
      <c r="H31" s="28">
        <v>0.14170433333333299</v>
      </c>
      <c r="I31" s="28">
        <v>0.20793600000000001</v>
      </c>
      <c r="J31" s="28">
        <v>0.241144733333333</v>
      </c>
      <c r="K31" s="28">
        <v>9.3861666666666704E-2</v>
      </c>
      <c r="L31" s="28">
        <v>0.14893666666666699</v>
      </c>
      <c r="M31" s="28">
        <v>0.13918033333333299</v>
      </c>
      <c r="N31" s="28">
        <v>0.195005966666667</v>
      </c>
      <c r="O31" s="28">
        <v>7.1156733333333402E-2</v>
      </c>
      <c r="P31" s="28">
        <v>0.19417266666666699</v>
      </c>
      <c r="Q31" s="28">
        <v>6.2E-2</v>
      </c>
      <c r="R31" s="28">
        <v>5.5E-2</v>
      </c>
      <c r="S31" s="28">
        <v>5.7000000000000002E-2</v>
      </c>
      <c r="T31" s="28">
        <v>0.142281666666667</v>
      </c>
      <c r="U31" s="28">
        <v>0.53532100000000005</v>
      </c>
      <c r="V31" s="28">
        <v>0.33824833333333298</v>
      </c>
      <c r="W31" s="28">
        <v>0.23634533333333299</v>
      </c>
      <c r="X31" s="28">
        <v>0.19226579999999999</v>
      </c>
      <c r="Y31" s="28">
        <v>5.2999999999999999E-2</v>
      </c>
      <c r="Z31" s="28">
        <v>0.72847899999999999</v>
      </c>
      <c r="AA31" s="28">
        <v>8.0636666666666704E-2</v>
      </c>
      <c r="AB31" s="28">
        <v>0.527258</v>
      </c>
      <c r="AC31" s="28">
        <v>0.41583100000000001</v>
      </c>
      <c r="AD31" s="28">
        <v>0.222936</v>
      </c>
      <c r="AE31" s="28">
        <v>0.03</v>
      </c>
      <c r="AF31" s="28">
        <v>0.22131666666666699</v>
      </c>
      <c r="AG31" s="28">
        <v>5.3999999999999999E-2</v>
      </c>
      <c r="AH31" s="28">
        <v>0.28731533333333298</v>
      </c>
      <c r="AI31" s="28">
        <v>1.34084686666667</v>
      </c>
      <c r="AJ31" s="28">
        <v>0.32798133333333301</v>
      </c>
      <c r="AK31" s="28">
        <v>6.0999999999999999E-2</v>
      </c>
      <c r="AL31" s="28">
        <v>0.25240699999999999</v>
      </c>
      <c r="AM31" s="28">
        <v>0.89244833333333295</v>
      </c>
      <c r="AN31" s="28">
        <v>0.46325766666666701</v>
      </c>
      <c r="AO31" s="28">
        <v>0.21410999999999999</v>
      </c>
      <c r="AP31" s="28">
        <v>1.0744199999999999</v>
      </c>
      <c r="AQ31" s="28">
        <v>1.6617166666666701</v>
      </c>
      <c r="AR31" s="28">
        <v>0.78015999999999897</v>
      </c>
      <c r="AS31" s="28">
        <v>0.34411766666666699</v>
      </c>
      <c r="AT31" s="28">
        <v>0.22723499999999999</v>
      </c>
      <c r="AU31" s="28">
        <v>0.124138</v>
      </c>
      <c r="AV31" s="28">
        <v>0.193646333333333</v>
      </c>
      <c r="AW31" s="28">
        <v>0.31092222971014499</v>
      </c>
      <c r="AX31" s="34">
        <v>14.302422566666669</v>
      </c>
    </row>
    <row r="32" spans="1:50" x14ac:dyDescent="0.25">
      <c r="A32" s="24">
        <v>31</v>
      </c>
      <c r="B32" s="26">
        <v>15</v>
      </c>
      <c r="C32" s="28">
        <v>0.20826846666666701</v>
      </c>
      <c r="D32" s="28">
        <v>2.4487213333333302</v>
      </c>
      <c r="E32" s="28">
        <v>0.119309466666667</v>
      </c>
      <c r="F32" s="28">
        <v>0.37921666666666698</v>
      </c>
      <c r="G32" s="28">
        <v>5.5E-2</v>
      </c>
      <c r="H32" s="28">
        <v>1.425616</v>
      </c>
      <c r="I32" s="28">
        <v>9.9884666666666705E-2</v>
      </c>
      <c r="J32" s="28">
        <v>7.4262933333333295E-2</v>
      </c>
      <c r="K32" s="28">
        <v>5.5E-2</v>
      </c>
      <c r="L32" s="28">
        <v>0.12334906666666701</v>
      </c>
      <c r="M32" s="28">
        <v>0.25502066666666701</v>
      </c>
      <c r="N32" s="28">
        <v>0.15907333333333301</v>
      </c>
      <c r="O32" s="28">
        <v>0.413567666666666</v>
      </c>
      <c r="P32" s="28">
        <v>0.18702333333333299</v>
      </c>
      <c r="Q32" s="28">
        <v>9.9017666666666698E-2</v>
      </c>
      <c r="R32" s="28">
        <v>0.12445000000000001</v>
      </c>
      <c r="S32" s="28">
        <v>0.225555333333333</v>
      </c>
      <c r="T32" s="28">
        <v>6.4397566666666697E-2</v>
      </c>
      <c r="U32" s="28">
        <v>0.25081999999999999</v>
      </c>
      <c r="V32" s="28">
        <v>0.16780836666666599</v>
      </c>
      <c r="W32" s="28">
        <v>0.30690099999999998</v>
      </c>
      <c r="X32" s="28">
        <v>0.26694186666666703</v>
      </c>
      <c r="Y32" s="28">
        <v>0.198553333333333</v>
      </c>
      <c r="Z32" s="28">
        <v>0.68300899999999998</v>
      </c>
      <c r="AA32" s="28">
        <v>7.3309333333333407E-2</v>
      </c>
      <c r="AB32" s="28">
        <v>0.66172466666666696</v>
      </c>
      <c r="AC32" s="28">
        <v>0.29997000000000001</v>
      </c>
      <c r="AD32" s="28">
        <v>5.6000000000000001E-2</v>
      </c>
      <c r="AE32" s="28">
        <v>0.15909599999999999</v>
      </c>
      <c r="AF32" s="28">
        <v>5.0999999999999997E-2</v>
      </c>
      <c r="AG32" s="28">
        <v>0.190959666666667</v>
      </c>
      <c r="AH32" s="28">
        <v>0.13733899999999999</v>
      </c>
      <c r="AI32" s="28">
        <v>0.37277466666666698</v>
      </c>
      <c r="AJ32" s="28">
        <v>0.85489466666666702</v>
      </c>
      <c r="AK32" s="28">
        <v>0.21235266666666699</v>
      </c>
      <c r="AL32" s="28">
        <v>0.26271099999999997</v>
      </c>
      <c r="AM32" s="28">
        <v>0.442253333333333</v>
      </c>
      <c r="AN32" s="28">
        <v>0.45588533333333398</v>
      </c>
      <c r="AO32" s="28">
        <v>0.29045716666666699</v>
      </c>
      <c r="AP32" s="28">
        <v>0.42885299999999998</v>
      </c>
      <c r="AQ32" s="28">
        <v>0.41025800000000001</v>
      </c>
      <c r="AR32" s="28">
        <v>0.228090866666667</v>
      </c>
      <c r="AS32" s="28">
        <v>0.29322466666666702</v>
      </c>
      <c r="AT32" s="28">
        <v>4.9405999999999999E-2</v>
      </c>
      <c r="AU32" s="28">
        <v>0.20754066666666701</v>
      </c>
      <c r="AV32" s="28">
        <v>1.21677533333333</v>
      </c>
      <c r="AW32" s="28">
        <v>0.34229660362318831</v>
      </c>
      <c r="AX32" s="34">
        <v>15.74564376666666</v>
      </c>
    </row>
    <row r="33" spans="1:50" x14ac:dyDescent="0.25">
      <c r="A33" s="24">
        <v>32</v>
      </c>
      <c r="B33" s="26">
        <v>15.5</v>
      </c>
      <c r="C33" s="28">
        <v>1.0121661333333301</v>
      </c>
      <c r="D33" s="28">
        <v>0.182153166666667</v>
      </c>
      <c r="E33" s="28">
        <v>6.6137333333333395E-2</v>
      </c>
      <c r="F33" s="28">
        <v>0.23634633333333299</v>
      </c>
      <c r="G33" s="28">
        <v>5.5E-2</v>
      </c>
      <c r="H33" s="28">
        <v>1.03112933333333</v>
      </c>
      <c r="I33" s="28">
        <v>0.14092866666666701</v>
      </c>
      <c r="J33" s="28">
        <v>0.22599659999999999</v>
      </c>
      <c r="K33" s="28">
        <v>0.28818899999999997</v>
      </c>
      <c r="L33" s="28">
        <v>0.17862666666666699</v>
      </c>
      <c r="M33" s="28">
        <v>0.108888</v>
      </c>
      <c r="N33" s="28">
        <v>0.40445266666666702</v>
      </c>
      <c r="O33" s="28">
        <v>0.191843666666667</v>
      </c>
      <c r="P33" s="28">
        <v>0.15261333333333299</v>
      </c>
      <c r="Q33" s="28">
        <v>0.19390399999999999</v>
      </c>
      <c r="R33" s="28">
        <v>0.206411333333333</v>
      </c>
      <c r="S33" s="28">
        <v>8.3613999999999897E-2</v>
      </c>
      <c r="T33" s="28">
        <v>0.30457573333333299</v>
      </c>
      <c r="U33" s="28">
        <v>0.417441333333333</v>
      </c>
      <c r="V33" s="28">
        <v>0.17717506666666699</v>
      </c>
      <c r="W33" s="28">
        <v>0.435811333333333</v>
      </c>
      <c r="X33" s="28">
        <v>0.111190233333333</v>
      </c>
      <c r="Y33" s="28">
        <v>6.7555333333333301E-2</v>
      </c>
      <c r="Z33" s="28">
        <v>0.38213133333333299</v>
      </c>
      <c r="AA33" s="28">
        <v>5.1327333333333398E-2</v>
      </c>
      <c r="AB33" s="28">
        <v>0.51651866666666701</v>
      </c>
      <c r="AC33" s="28">
        <v>0.58330633333333304</v>
      </c>
      <c r="AD33" s="28">
        <v>5.6000000000000001E-2</v>
      </c>
      <c r="AE33" s="28">
        <v>0.03</v>
      </c>
      <c r="AF33" s="28">
        <v>0.15938333333333299</v>
      </c>
      <c r="AG33" s="28">
        <v>0.16145499999999999</v>
      </c>
      <c r="AH33" s="28">
        <v>0.28587366666666703</v>
      </c>
      <c r="AI33" s="28">
        <v>0.29660773333333401</v>
      </c>
      <c r="AJ33" s="28">
        <v>0.44420500000000002</v>
      </c>
      <c r="AK33" s="28">
        <v>0.26273333333333299</v>
      </c>
      <c r="AL33" s="28">
        <v>6.8342E-2</v>
      </c>
      <c r="AM33" s="28">
        <v>1.3085089999999999</v>
      </c>
      <c r="AN33" s="28">
        <v>0.54189766666666705</v>
      </c>
      <c r="AO33" s="28">
        <v>0.30271049999999999</v>
      </c>
      <c r="AP33" s="28">
        <v>0.57559133333333401</v>
      </c>
      <c r="AQ33" s="28">
        <v>0.17737</v>
      </c>
      <c r="AR33" s="28">
        <v>0.2622139</v>
      </c>
      <c r="AS33" s="28">
        <v>5.1999999999999998E-2</v>
      </c>
      <c r="AT33" s="28">
        <v>3.4000000000000002E-2</v>
      </c>
      <c r="AU33" s="28">
        <v>5.5E-2</v>
      </c>
      <c r="AV33" s="28">
        <v>1.2794049999999999</v>
      </c>
      <c r="AW33" s="28">
        <v>0.30779848695652151</v>
      </c>
      <c r="AX33" s="34">
        <v>14.158730399999991</v>
      </c>
    </row>
    <row r="34" spans="1:50" x14ac:dyDescent="0.25">
      <c r="A34" s="24">
        <v>33</v>
      </c>
      <c r="B34" s="26">
        <v>16</v>
      </c>
      <c r="C34" s="28">
        <v>0.20637133333333299</v>
      </c>
      <c r="D34" s="28">
        <v>1.4101551999999999</v>
      </c>
      <c r="E34" s="28">
        <v>0.211373333333333</v>
      </c>
      <c r="F34" s="28">
        <v>5.8000000000000003E-2</v>
      </c>
      <c r="G34" s="28">
        <v>5.5E-2</v>
      </c>
      <c r="H34" s="28">
        <v>0.201753666666667</v>
      </c>
      <c r="I34" s="28">
        <v>0.19375999999999999</v>
      </c>
      <c r="J34" s="28">
        <v>0.58959653333333295</v>
      </c>
      <c r="K34" s="28">
        <v>0.43271599999999999</v>
      </c>
      <c r="L34" s="28">
        <v>0.220038333333333</v>
      </c>
      <c r="M34" s="28">
        <v>9.9906666666666699E-2</v>
      </c>
      <c r="N34" s="28">
        <v>0.591451333333333</v>
      </c>
      <c r="O34" s="28">
        <v>0.34578083333333398</v>
      </c>
      <c r="P34" s="28">
        <v>0.22950000000000001</v>
      </c>
      <c r="Q34" s="28">
        <v>0.2702676</v>
      </c>
      <c r="R34" s="28">
        <v>5.5E-2</v>
      </c>
      <c r="S34" s="28">
        <v>5.7000000000000002E-2</v>
      </c>
      <c r="T34" s="28">
        <v>0.116153333333333</v>
      </c>
      <c r="U34" s="28">
        <v>0.27532000000000001</v>
      </c>
      <c r="V34" s="28">
        <v>0.15912399999999999</v>
      </c>
      <c r="W34" s="28">
        <v>0.38929333333333299</v>
      </c>
      <c r="X34" s="28">
        <v>0.13594933333333301</v>
      </c>
      <c r="Y34" s="28">
        <v>8.4922233333333305E-2</v>
      </c>
      <c r="Z34" s="28">
        <v>0.30437433333333302</v>
      </c>
      <c r="AA34" s="28">
        <v>0.102618666666667</v>
      </c>
      <c r="AB34" s="28">
        <v>1.2369906666666699</v>
      </c>
      <c r="AC34" s="28">
        <v>1.0207550000000001</v>
      </c>
      <c r="AD34" s="28">
        <v>0.25707980000000002</v>
      </c>
      <c r="AE34" s="28">
        <v>0.03</v>
      </c>
      <c r="AF34" s="28">
        <v>0.112933333333333</v>
      </c>
      <c r="AG34" s="28">
        <v>0.14081399999999999</v>
      </c>
      <c r="AH34" s="28">
        <v>0.49351066666666699</v>
      </c>
      <c r="AI34" s="28">
        <v>1.12422</v>
      </c>
      <c r="AJ34" s="28">
        <v>0.15059266666666701</v>
      </c>
      <c r="AK34" s="28">
        <v>0.37557833333333301</v>
      </c>
      <c r="AL34" s="28">
        <v>0.38056933333333298</v>
      </c>
      <c r="AM34" s="28">
        <v>1.73897833333333</v>
      </c>
      <c r="AN34" s="28">
        <v>0.33400999999999997</v>
      </c>
      <c r="AO34" s="28">
        <v>7.7744999999999995E-2</v>
      </c>
      <c r="AP34" s="28">
        <v>0.374753</v>
      </c>
      <c r="AQ34" s="28">
        <v>0.1759</v>
      </c>
      <c r="AR34" s="28">
        <v>0.134058866666667</v>
      </c>
      <c r="AS34" s="28">
        <v>1.3057799999999999</v>
      </c>
      <c r="AT34" s="28">
        <v>0.20346600000000001</v>
      </c>
      <c r="AU34" s="28">
        <v>0.18654100000000001</v>
      </c>
      <c r="AV34" s="28">
        <v>0.272849333333333</v>
      </c>
      <c r="AW34" s="28">
        <v>0.36788155217391288</v>
      </c>
      <c r="AX34" s="34">
        <v>16.922551399999989</v>
      </c>
    </row>
    <row r="35" spans="1:50" x14ac:dyDescent="0.25">
      <c r="A35" s="24">
        <v>34</v>
      </c>
      <c r="B35" s="26">
        <v>16.5</v>
      </c>
      <c r="C35" s="28">
        <v>0.53645279999999995</v>
      </c>
      <c r="D35" s="28">
        <v>1.28898673333333</v>
      </c>
      <c r="E35" s="28">
        <v>0.05</v>
      </c>
      <c r="F35" s="28">
        <v>0.19225500000000001</v>
      </c>
      <c r="G35" s="28">
        <v>5.5E-2</v>
      </c>
      <c r="H35" s="28">
        <v>9.1865000000000099E-2</v>
      </c>
      <c r="I35" s="28">
        <v>0.20299</v>
      </c>
      <c r="J35" s="28">
        <v>0.67781186666666604</v>
      </c>
      <c r="K35" s="28">
        <v>0.38424533333333399</v>
      </c>
      <c r="L35" s="28">
        <v>0.11548</v>
      </c>
      <c r="M35" s="28">
        <v>0.20768266666666699</v>
      </c>
      <c r="N35" s="28">
        <v>0.20596266666666599</v>
      </c>
      <c r="O35" s="28">
        <v>0.472735666666667</v>
      </c>
      <c r="P35" s="28">
        <v>6.1126E-2</v>
      </c>
      <c r="Q35" s="28">
        <v>0.148398</v>
      </c>
      <c r="R35" s="28">
        <v>0.207035</v>
      </c>
      <c r="S35" s="28">
        <v>0.20781266666666701</v>
      </c>
      <c r="T35" s="28">
        <v>0.16734133333333301</v>
      </c>
      <c r="U35" s="28">
        <v>0.46735199999999999</v>
      </c>
      <c r="V35" s="28">
        <v>0.98878299999999997</v>
      </c>
      <c r="W35" s="28">
        <v>0.443350666666666</v>
      </c>
      <c r="X35" s="28">
        <v>0.22338133333333399</v>
      </c>
      <c r="Y35" s="28">
        <v>0.31872800000000001</v>
      </c>
      <c r="Z35" s="28">
        <v>0.50120133333333305</v>
      </c>
      <c r="AA35" s="28">
        <v>4.3999999999999997E-2</v>
      </c>
      <c r="AB35" s="28">
        <v>0.489371</v>
      </c>
      <c r="AC35" s="28">
        <v>0.19823666666666701</v>
      </c>
      <c r="AD35" s="28">
        <v>0.191769466666667</v>
      </c>
      <c r="AE35" s="28">
        <v>0.184396</v>
      </c>
      <c r="AF35" s="28">
        <v>5.0999999999999997E-2</v>
      </c>
      <c r="AG35" s="28">
        <v>5.3999999999999999E-2</v>
      </c>
      <c r="AH35" s="28">
        <v>0.28986666666666699</v>
      </c>
      <c r="AI35" s="28">
        <v>0.58030599999999999</v>
      </c>
      <c r="AJ35" s="28">
        <v>0.40892666666666699</v>
      </c>
      <c r="AK35" s="28">
        <v>0.38205</v>
      </c>
      <c r="AL35" s="28">
        <v>0.35025600000000001</v>
      </c>
      <c r="AM35" s="28">
        <v>0.21502333333333301</v>
      </c>
      <c r="AN35" s="28">
        <v>2.03797433333333</v>
      </c>
      <c r="AO35" s="28">
        <v>9.2811333333333301E-2</v>
      </c>
      <c r="AP35" s="28">
        <v>0.31192366666666699</v>
      </c>
      <c r="AQ35" s="28">
        <v>0.24601166666666699</v>
      </c>
      <c r="AR35" s="28">
        <v>0.1726356</v>
      </c>
      <c r="AS35" s="28">
        <v>1.0518206666666701</v>
      </c>
      <c r="AT35" s="28">
        <v>0.14369000000000001</v>
      </c>
      <c r="AU35" s="28">
        <v>0.145137666666667</v>
      </c>
      <c r="AV35" s="28">
        <v>0.32872000000000001</v>
      </c>
      <c r="AW35" s="28">
        <v>0.35186747391304352</v>
      </c>
      <c r="AX35" s="34">
        <v>16.185903799999998</v>
      </c>
    </row>
    <row r="36" spans="1:50" x14ac:dyDescent="0.25">
      <c r="A36" s="24">
        <v>35</v>
      </c>
      <c r="B36" s="26">
        <v>17</v>
      </c>
      <c r="C36" s="28">
        <v>1.2463938666666701</v>
      </c>
      <c r="D36" s="28">
        <v>8.5116533333333397E-2</v>
      </c>
      <c r="E36" s="28">
        <v>0.43621066666666702</v>
      </c>
      <c r="F36" s="28">
        <v>0.19925899999999999</v>
      </c>
      <c r="G36" s="28">
        <v>0.28270273333333301</v>
      </c>
      <c r="H36" s="28">
        <v>0.16127033333333299</v>
      </c>
      <c r="I36" s="28">
        <v>5.1999999999999998E-2</v>
      </c>
      <c r="J36" s="28">
        <v>2.1055966666666701</v>
      </c>
      <c r="K36" s="28">
        <v>0.40591833333333299</v>
      </c>
      <c r="L36" s="28">
        <v>0.48943799999999998</v>
      </c>
      <c r="M36" s="28">
        <v>5.5E-2</v>
      </c>
      <c r="N36" s="28">
        <v>0.46605353333333299</v>
      </c>
      <c r="O36" s="28">
        <v>0.151247666666667</v>
      </c>
      <c r="P36" s="28">
        <v>0.35271566666666698</v>
      </c>
      <c r="Q36" s="28">
        <v>9.1450933333333401E-2</v>
      </c>
      <c r="R36" s="28">
        <v>0.12382333333333299</v>
      </c>
      <c r="S36" s="28">
        <v>0.22639566666666699</v>
      </c>
      <c r="T36" s="28">
        <v>0.47544633333333303</v>
      </c>
      <c r="U36" s="28">
        <v>0.41665133333333298</v>
      </c>
      <c r="V36" s="28">
        <v>0.63849733333333403</v>
      </c>
      <c r="W36" s="28">
        <v>0.34335633333333299</v>
      </c>
      <c r="X36" s="28">
        <v>0.100442066666667</v>
      </c>
      <c r="Y36" s="28">
        <v>6.2E-2</v>
      </c>
      <c r="Z36" s="28">
        <v>0.51238173333333403</v>
      </c>
      <c r="AA36" s="28">
        <v>0.109946</v>
      </c>
      <c r="AB36" s="28">
        <v>0.17569399999999999</v>
      </c>
      <c r="AC36" s="28">
        <v>0.2414202</v>
      </c>
      <c r="AD36" s="28">
        <v>0.18377563333333299</v>
      </c>
      <c r="AE36" s="28">
        <v>0.36314999999999997</v>
      </c>
      <c r="AF36" s="28">
        <v>0.30153733333333299</v>
      </c>
      <c r="AG36" s="28">
        <v>0.16145499999999999</v>
      </c>
      <c r="AH36" s="28">
        <v>0.28865666666666701</v>
      </c>
      <c r="AI36" s="28">
        <v>0.35342733333333298</v>
      </c>
      <c r="AJ36" s="28">
        <v>0.513822</v>
      </c>
      <c r="AK36" s="28">
        <v>0.26676433333333299</v>
      </c>
      <c r="AL36" s="28">
        <v>0.57864199999999999</v>
      </c>
      <c r="AM36" s="28">
        <v>0.307649333333333</v>
      </c>
      <c r="AN36" s="28">
        <v>0.69312300000000004</v>
      </c>
      <c r="AO36" s="28">
        <v>0.13799</v>
      </c>
      <c r="AP36" s="28">
        <v>0.29649366666666699</v>
      </c>
      <c r="AQ36" s="28">
        <v>0.124212</v>
      </c>
      <c r="AR36" s="28">
        <v>0.55797633333333296</v>
      </c>
      <c r="AS36" s="28">
        <v>1.83143566666667</v>
      </c>
      <c r="AT36" s="28">
        <v>0.157248</v>
      </c>
      <c r="AU36" s="28">
        <v>0.124138</v>
      </c>
      <c r="AV36" s="28">
        <v>0.49402600000000002</v>
      </c>
      <c r="AW36" s="28">
        <v>0.38569457753623199</v>
      </c>
      <c r="AX36" s="34">
        <v>17.74195056666667</v>
      </c>
    </row>
    <row r="37" spans="1:50" x14ac:dyDescent="0.25">
      <c r="A37" s="24">
        <v>36</v>
      </c>
      <c r="B37" s="26">
        <v>17.5</v>
      </c>
      <c r="C37" s="28">
        <v>6.2304666666666703E-2</v>
      </c>
      <c r="D37" s="28">
        <v>0.43806133333333303</v>
      </c>
      <c r="E37" s="28">
        <v>8.1766333333333399E-2</v>
      </c>
      <c r="F37" s="28">
        <v>0.12571199999999999</v>
      </c>
      <c r="G37" s="28">
        <v>0.148554133333333</v>
      </c>
      <c r="H37" s="28">
        <v>7.5619433333333305E-2</v>
      </c>
      <c r="I37" s="28">
        <v>0.16829133333333299</v>
      </c>
      <c r="J37" s="28">
        <v>3.0969933333333399</v>
      </c>
      <c r="K37" s="28">
        <v>0.25940333333333299</v>
      </c>
      <c r="L37" s="28">
        <v>0.31154700000000002</v>
      </c>
      <c r="M37" s="28">
        <v>0.38117200000000001</v>
      </c>
      <c r="N37" s="28">
        <v>0.19151499999999999</v>
      </c>
      <c r="O37" s="28">
        <v>0.29597800000000002</v>
      </c>
      <c r="P37" s="28">
        <v>0.130033333333333</v>
      </c>
      <c r="Q37" s="28">
        <v>0.26876</v>
      </c>
      <c r="R37" s="28">
        <v>5.5E-2</v>
      </c>
      <c r="S37" s="28">
        <v>0.19423000000000001</v>
      </c>
      <c r="T37" s="28">
        <v>0.32411333333333298</v>
      </c>
      <c r="U37" s="28">
        <v>0.49387566666666699</v>
      </c>
      <c r="V37" s="28">
        <v>0.19505259999999999</v>
      </c>
      <c r="W37" s="28">
        <v>0.47118700000000002</v>
      </c>
      <c r="X37" s="28">
        <v>0.21417120000000001</v>
      </c>
      <c r="Y37" s="28">
        <v>8.2110666666666707E-2</v>
      </c>
      <c r="Z37" s="28">
        <v>0.17748193333333301</v>
      </c>
      <c r="AA37" s="28">
        <v>4.3999999999999997E-2</v>
      </c>
      <c r="AB37" s="28">
        <v>0.37606333333333303</v>
      </c>
      <c r="AC37" s="28">
        <v>0.1137517</v>
      </c>
      <c r="AD37" s="28">
        <v>0.30241733333333298</v>
      </c>
      <c r="AE37" s="28">
        <v>7.6343666666666699E-2</v>
      </c>
      <c r="AF37" s="28">
        <v>0.16087000000000001</v>
      </c>
      <c r="AG37" s="28">
        <v>0.190959666666667</v>
      </c>
      <c r="AH37" s="28">
        <v>0.39442966666666701</v>
      </c>
      <c r="AI37" s="28">
        <v>1.14396066666667</v>
      </c>
      <c r="AJ37" s="28">
        <v>3.0567833333333301</v>
      </c>
      <c r="AK37" s="28">
        <v>0.254444</v>
      </c>
      <c r="AL37" s="28">
        <v>0.41709733333333299</v>
      </c>
      <c r="AM37" s="28">
        <v>0.14561499999999999</v>
      </c>
      <c r="AN37" s="28">
        <v>0.56174299999999999</v>
      </c>
      <c r="AO37" s="28">
        <v>5.5665333333333303E-2</v>
      </c>
      <c r="AP37" s="28">
        <v>1.7234353333333301</v>
      </c>
      <c r="AQ37" s="28">
        <v>0.19614999999999999</v>
      </c>
      <c r="AR37" s="28">
        <v>1.3010489999999999</v>
      </c>
      <c r="AS37" s="28">
        <v>0.41742763333333299</v>
      </c>
      <c r="AT37" s="28">
        <v>0.111558</v>
      </c>
      <c r="AU37" s="28">
        <v>5.5E-2</v>
      </c>
      <c r="AV37" s="28">
        <v>0.57550766666666697</v>
      </c>
      <c r="AW37" s="28">
        <v>0.43298272391304338</v>
      </c>
      <c r="AX37" s="34">
        <v>19.917205299999999</v>
      </c>
    </row>
    <row r="38" spans="1:50" x14ac:dyDescent="0.25">
      <c r="A38" s="24">
        <v>37</v>
      </c>
      <c r="B38" s="26">
        <v>18</v>
      </c>
      <c r="C38" s="28">
        <v>0.322718533333333</v>
      </c>
      <c r="D38" s="28">
        <v>0.387228666666667</v>
      </c>
      <c r="E38" s="28">
        <v>0.555155333333333</v>
      </c>
      <c r="F38" s="28">
        <v>0.26580199999999998</v>
      </c>
      <c r="G38" s="28">
        <v>7.5504033333333401E-2</v>
      </c>
      <c r="H38" s="28">
        <v>0.50243423333333304</v>
      </c>
      <c r="I38" s="28">
        <v>7.2522000000000003E-2</v>
      </c>
      <c r="J38" s="28">
        <v>2.6223653333333301</v>
      </c>
      <c r="K38" s="28">
        <v>0.54255666666666702</v>
      </c>
      <c r="L38" s="28">
        <v>8.5589999999999999E-2</v>
      </c>
      <c r="M38" s="28">
        <v>1.0898096666666699</v>
      </c>
      <c r="N38" s="28">
        <v>0.173907333333333</v>
      </c>
      <c r="O38" s="28">
        <v>0.22289600000000001</v>
      </c>
      <c r="P38" s="28">
        <v>0.14542666666666701</v>
      </c>
      <c r="Q38" s="28">
        <v>0.123</v>
      </c>
      <c r="R38" s="28">
        <v>5.8858333333333297E-2</v>
      </c>
      <c r="S38" s="28">
        <v>0.416298</v>
      </c>
      <c r="T38" s="28">
        <v>0.30215813333333302</v>
      </c>
      <c r="U38" s="28">
        <v>0.29831999999999997</v>
      </c>
      <c r="V38" s="28">
        <v>0.18007339999999999</v>
      </c>
      <c r="W38" s="28">
        <v>0.33973166666666599</v>
      </c>
      <c r="X38" s="28">
        <v>0.18610660000000001</v>
      </c>
      <c r="Y38" s="28">
        <v>0.20935833333333301</v>
      </c>
      <c r="Z38" s="28">
        <v>0.48487000000000002</v>
      </c>
      <c r="AA38" s="28">
        <v>8.7964000000000001E-2</v>
      </c>
      <c r="AB38" s="28">
        <v>0.22648799999999999</v>
      </c>
      <c r="AC38" s="28">
        <v>0.36176213333333301</v>
      </c>
      <c r="AD38" s="28">
        <v>0.20526900000000001</v>
      </c>
      <c r="AE38" s="28">
        <v>0.14716599999999999</v>
      </c>
      <c r="AF38" s="28">
        <v>0.264286666666667</v>
      </c>
      <c r="AG38" s="28">
        <v>5.3999999999999999E-2</v>
      </c>
      <c r="AH38" s="28">
        <v>0.22263333333333299</v>
      </c>
      <c r="AI38" s="28">
        <v>0.785899666666667</v>
      </c>
      <c r="AJ38" s="28">
        <v>3.96319133333333</v>
      </c>
      <c r="AK38" s="28">
        <v>0.15329499999999999</v>
      </c>
      <c r="AL38" s="28">
        <v>0.35961666666666697</v>
      </c>
      <c r="AM38" s="28">
        <v>0.337065</v>
      </c>
      <c r="AN38" s="28">
        <v>0.56987733333333401</v>
      </c>
      <c r="AO38" s="28">
        <v>0.1801972</v>
      </c>
      <c r="AP38" s="28">
        <v>1.3910693333333299</v>
      </c>
      <c r="AQ38" s="28">
        <v>0.18015</v>
      </c>
      <c r="AR38" s="28">
        <v>0.27793833333333301</v>
      </c>
      <c r="AS38" s="28">
        <v>0.383322</v>
      </c>
      <c r="AT38" s="28">
        <v>0.17397399999999999</v>
      </c>
      <c r="AU38" s="28">
        <v>0.11721040000000001</v>
      </c>
      <c r="AV38" s="28">
        <v>0.16989000000000001</v>
      </c>
      <c r="AW38" s="28">
        <v>0.44075992028985489</v>
      </c>
      <c r="AX38" s="34">
        <v>20.274956333333321</v>
      </c>
    </row>
    <row r="39" spans="1:50" x14ac:dyDescent="0.25">
      <c r="A39" s="24">
        <v>38</v>
      </c>
      <c r="B39" s="26">
        <v>18.5</v>
      </c>
      <c r="C39" s="28">
        <v>0.3625234</v>
      </c>
      <c r="D39" s="28">
        <v>2.45217333333333</v>
      </c>
      <c r="E39" s="28">
        <v>0.31923400000000002</v>
      </c>
      <c r="F39" s="28">
        <v>7.4927999999999995E-2</v>
      </c>
      <c r="G39" s="28">
        <v>0.17098920000000001</v>
      </c>
      <c r="H39" s="28">
        <v>0.22694890000000001</v>
      </c>
      <c r="I39" s="28">
        <v>0.62847600000000003</v>
      </c>
      <c r="J39" s="28">
        <v>0.33815390000000001</v>
      </c>
      <c r="K39" s="28">
        <v>0.26888566666666702</v>
      </c>
      <c r="L39" s="28">
        <v>0.18828300000000001</v>
      </c>
      <c r="M39" s="28">
        <v>8.2543333333333302E-2</v>
      </c>
      <c r="N39" s="28">
        <v>0.234935333333333</v>
      </c>
      <c r="O39" s="28">
        <v>0.16986999999999999</v>
      </c>
      <c r="P39" s="28">
        <v>0.18312999999999999</v>
      </c>
      <c r="Q39" s="28">
        <v>0.11054600000000001</v>
      </c>
      <c r="R39" s="28">
        <v>0.17565033333333299</v>
      </c>
      <c r="S39" s="28">
        <v>0.64150033333333401</v>
      </c>
      <c r="T39" s="28">
        <v>0.5074824</v>
      </c>
      <c r="U39" s="28">
        <v>0.385973333333333</v>
      </c>
      <c r="V39" s="28">
        <v>0.51661933333333299</v>
      </c>
      <c r="W39" s="28">
        <v>4.9000000000000002E-2</v>
      </c>
      <c r="X39" s="28">
        <v>0.17141933333333301</v>
      </c>
      <c r="Y39" s="28">
        <v>5.2999999999999999E-2</v>
      </c>
      <c r="Z39" s="28">
        <v>0.63020726666666704</v>
      </c>
      <c r="AA39" s="28">
        <v>6.5981999999999999E-2</v>
      </c>
      <c r="AB39" s="28">
        <v>0.19287599999999999</v>
      </c>
      <c r="AC39" s="28">
        <v>1.3095766666666699</v>
      </c>
      <c r="AD39" s="28">
        <v>0.32351600000000003</v>
      </c>
      <c r="AE39" s="28">
        <v>0.12909266666666699</v>
      </c>
      <c r="AF39" s="28">
        <v>0.30485166666666702</v>
      </c>
      <c r="AG39" s="28">
        <v>5.3999999999999999E-2</v>
      </c>
      <c r="AH39" s="28">
        <v>0.60329900000000003</v>
      </c>
      <c r="AI39" s="28">
        <v>2.7890933333333301</v>
      </c>
      <c r="AJ39" s="28">
        <v>0.514834666666667</v>
      </c>
      <c r="AK39" s="28">
        <v>2.1194929999999998</v>
      </c>
      <c r="AL39" s="28">
        <v>0.46758</v>
      </c>
      <c r="AM39" s="28">
        <v>0.19827466666666699</v>
      </c>
      <c r="AN39" s="28">
        <v>0.306145</v>
      </c>
      <c r="AO39" s="28">
        <v>6.0740433333333302E-2</v>
      </c>
      <c r="AP39" s="28">
        <v>0.656411999999999</v>
      </c>
      <c r="AQ39" s="28">
        <v>0.369612</v>
      </c>
      <c r="AR39" s="28">
        <v>0.29837133333333299</v>
      </c>
      <c r="AS39" s="28">
        <v>0.56776033333333398</v>
      </c>
      <c r="AT39" s="28">
        <v>0.141842</v>
      </c>
      <c r="AU39" s="28">
        <v>0.251170333333333</v>
      </c>
      <c r="AV39" s="28">
        <v>5.7000000000000002E-2</v>
      </c>
      <c r="AW39" s="28">
        <v>0.45052164130434769</v>
      </c>
      <c r="AX39" s="34">
        <v>20.723995500000001</v>
      </c>
    </row>
    <row r="40" spans="1:50" x14ac:dyDescent="0.25">
      <c r="A40" s="24">
        <v>39</v>
      </c>
      <c r="B40" s="26">
        <v>19</v>
      </c>
      <c r="C40" s="28">
        <v>9.8495466666666698E-2</v>
      </c>
      <c r="D40" s="28">
        <v>0.103809866666667</v>
      </c>
      <c r="E40" s="28">
        <v>0.12</v>
      </c>
      <c r="F40" s="28">
        <v>0.29440499999999997</v>
      </c>
      <c r="G40" s="28">
        <v>0.1315954</v>
      </c>
      <c r="H40" s="28">
        <v>0.21991240000000001</v>
      </c>
      <c r="I40" s="28">
        <v>1.0438386666666699</v>
      </c>
      <c r="J40" s="28">
        <v>0.17168</v>
      </c>
      <c r="K40" s="28">
        <v>0.214089</v>
      </c>
      <c r="L40" s="28">
        <v>0.19590299999999999</v>
      </c>
      <c r="M40" s="28">
        <v>0.15392400000000001</v>
      </c>
      <c r="N40" s="28">
        <v>0.126106</v>
      </c>
      <c r="O40" s="28">
        <v>0.56078066666666704</v>
      </c>
      <c r="P40" s="28">
        <v>0.177099333333333</v>
      </c>
      <c r="Q40" s="28">
        <v>0.21939666666666699</v>
      </c>
      <c r="R40" s="28">
        <v>0.69014866666666697</v>
      </c>
      <c r="S40" s="28">
        <v>0.33533366666666697</v>
      </c>
      <c r="T40" s="28">
        <v>0.54356753333333296</v>
      </c>
      <c r="U40" s="28">
        <v>0.299462333333334</v>
      </c>
      <c r="V40" s="28">
        <v>4.1000000000000002E-2</v>
      </c>
      <c r="W40" s="28">
        <v>0.23614499999999999</v>
      </c>
      <c r="X40" s="28">
        <v>0.32069999999999999</v>
      </c>
      <c r="Y40" s="28">
        <v>0.17384133333333299</v>
      </c>
      <c r="Z40" s="28">
        <v>0.20764949999999999</v>
      </c>
      <c r="AA40" s="28">
        <v>4.3999999999999997E-2</v>
      </c>
      <c r="AB40" s="28">
        <v>0.21988666666666701</v>
      </c>
      <c r="AC40" s="28">
        <v>0.13506399999999999</v>
      </c>
      <c r="AD40" s="28">
        <v>0.176564733333333</v>
      </c>
      <c r="AE40" s="28">
        <v>9.6333333333333299E-2</v>
      </c>
      <c r="AF40" s="28">
        <v>0.74263333333333204</v>
      </c>
      <c r="AG40" s="28">
        <v>7.8115000000000004E-2</v>
      </c>
      <c r="AH40" s="28">
        <v>0.18745746666666699</v>
      </c>
      <c r="AI40" s="28">
        <v>0.31706966666666703</v>
      </c>
      <c r="AJ40" s="28">
        <v>0.175603333333333</v>
      </c>
      <c r="AK40" s="28">
        <v>1.7594953333333301</v>
      </c>
      <c r="AL40" s="28">
        <v>0.14588000000000001</v>
      </c>
      <c r="AM40" s="28">
        <v>1.982578</v>
      </c>
      <c r="AN40" s="28">
        <v>0.19083866666666699</v>
      </c>
      <c r="AO40" s="28">
        <v>0.120689333333333</v>
      </c>
      <c r="AP40" s="28">
        <v>0.291706666666667</v>
      </c>
      <c r="AQ40" s="28">
        <v>0.32433333333333297</v>
      </c>
      <c r="AR40" s="28">
        <v>0.353829</v>
      </c>
      <c r="AS40" s="28">
        <v>0.46176499999999998</v>
      </c>
      <c r="AT40" s="28">
        <v>0.14369000000000001</v>
      </c>
      <c r="AU40" s="28">
        <v>0.32176233333333298</v>
      </c>
      <c r="AV40" s="28">
        <v>0.38761200000000001</v>
      </c>
      <c r="AW40" s="28">
        <v>0.33338675434782589</v>
      </c>
      <c r="AX40" s="34">
        <v>15.33579069999999</v>
      </c>
    </row>
    <row r="41" spans="1:50" x14ac:dyDescent="0.25">
      <c r="A41" s="24">
        <v>40</v>
      </c>
      <c r="B41" s="26">
        <v>19.5</v>
      </c>
      <c r="C41" s="28">
        <v>0.26180033333333302</v>
      </c>
      <c r="D41" s="28">
        <v>0.442985666666667</v>
      </c>
      <c r="E41" s="28">
        <v>0.39564133333333301</v>
      </c>
      <c r="F41" s="28">
        <v>8.0181000000000002E-2</v>
      </c>
      <c r="G41" s="28">
        <v>0.1852086</v>
      </c>
      <c r="H41" s="28">
        <v>0.407156666666667</v>
      </c>
      <c r="I41" s="28">
        <v>0.359557666666667</v>
      </c>
      <c r="J41" s="28">
        <v>0.216368</v>
      </c>
      <c r="K41" s="28">
        <v>0.53072833333333402</v>
      </c>
      <c r="L41" s="28">
        <v>8.2141333333333302E-2</v>
      </c>
      <c r="M41" s="28">
        <v>0.44627066666666698</v>
      </c>
      <c r="N41" s="28">
        <v>0.16487199999999999</v>
      </c>
      <c r="O41" s="28">
        <v>0.30709166666666698</v>
      </c>
      <c r="P41" s="28">
        <v>0.14668266666666699</v>
      </c>
      <c r="Q41" s="28">
        <v>0.45726933333333297</v>
      </c>
      <c r="R41" s="28">
        <v>0.44090800000000002</v>
      </c>
      <c r="S41" s="28">
        <v>0.38322466666666699</v>
      </c>
      <c r="T41" s="28">
        <v>0.45418966666666699</v>
      </c>
      <c r="U41" s="28">
        <v>0.33947100000000002</v>
      </c>
      <c r="V41" s="28">
        <v>0.41908899999999999</v>
      </c>
      <c r="W41" s="28">
        <v>0.376218</v>
      </c>
      <c r="X41" s="28">
        <v>0.25193733333333301</v>
      </c>
      <c r="Y41" s="28">
        <v>0.68028066666666698</v>
      </c>
      <c r="Z41" s="28">
        <v>0.395099066666667</v>
      </c>
      <c r="AA41" s="28">
        <v>5.1327333333333398E-2</v>
      </c>
      <c r="AB41" s="28">
        <v>1.3225483333333301</v>
      </c>
      <c r="AC41" s="28">
        <v>0.46140100000000001</v>
      </c>
      <c r="AD41" s="28">
        <v>0.68947239999999999</v>
      </c>
      <c r="AE41" s="28">
        <v>0.59546866666666698</v>
      </c>
      <c r="AF41" s="28">
        <v>1.04270833333333</v>
      </c>
      <c r="AG41" s="28">
        <v>0.116699</v>
      </c>
      <c r="AH41" s="28">
        <v>0.41123799999999999</v>
      </c>
      <c r="AI41" s="28">
        <v>0.76806166666666698</v>
      </c>
      <c r="AJ41" s="28">
        <v>0.37099300000000002</v>
      </c>
      <c r="AK41" s="28">
        <v>2.2800076666666702</v>
      </c>
      <c r="AL41" s="28">
        <v>0.21584600000000001</v>
      </c>
      <c r="AM41" s="28">
        <v>0.41593833333333402</v>
      </c>
      <c r="AN41" s="28">
        <v>0.332322333333333</v>
      </c>
      <c r="AO41" s="28">
        <v>0.106795666666667</v>
      </c>
      <c r="AP41" s="28">
        <v>0.59235499999999996</v>
      </c>
      <c r="AQ41" s="28">
        <v>0.280403333333333</v>
      </c>
      <c r="AR41" s="28">
        <v>0.38884200000000002</v>
      </c>
      <c r="AS41" s="28">
        <v>0.25396166666666697</v>
      </c>
      <c r="AT41" s="28">
        <v>0.51097333333333295</v>
      </c>
      <c r="AU41" s="28">
        <v>0.31904833333333299</v>
      </c>
      <c r="AV41" s="28">
        <v>5.7000000000000002E-2</v>
      </c>
      <c r="AW41" s="28">
        <v>0.4306040014492753</v>
      </c>
      <c r="AX41" s="34">
        <v>19.80778406666666</v>
      </c>
    </row>
    <row r="42" spans="1:50" x14ac:dyDescent="0.25">
      <c r="A42" s="24">
        <v>41</v>
      </c>
      <c r="B42" s="26">
        <v>20</v>
      </c>
      <c r="C42" s="28">
        <v>0.30774053333333301</v>
      </c>
      <c r="D42" s="28">
        <v>0.30277733333333301</v>
      </c>
      <c r="E42" s="28">
        <v>0.36838333333333301</v>
      </c>
      <c r="F42" s="28">
        <v>0.4474032</v>
      </c>
      <c r="G42" s="28">
        <v>0.142056666666667</v>
      </c>
      <c r="H42" s="28">
        <v>0.35888433333333303</v>
      </c>
      <c r="I42" s="28">
        <v>0.21079616666666701</v>
      </c>
      <c r="J42" s="28">
        <v>1.00669266666667</v>
      </c>
      <c r="K42" s="28">
        <v>0.97631166666666702</v>
      </c>
      <c r="L42" s="28">
        <v>0.28702699999999998</v>
      </c>
      <c r="M42" s="28">
        <v>0.71938733333333305</v>
      </c>
      <c r="N42" s="28">
        <v>0.220018666666667</v>
      </c>
      <c r="O42" s="28">
        <v>0.39577000000000001</v>
      </c>
      <c r="P42" s="28">
        <v>0.14961866666666701</v>
      </c>
      <c r="Q42" s="28">
        <v>0.60398833333333402</v>
      </c>
      <c r="R42" s="28">
        <v>0.903019666666667</v>
      </c>
      <c r="S42" s="28">
        <v>0.37972466666666699</v>
      </c>
      <c r="T42" s="28">
        <v>0.39105800000000002</v>
      </c>
      <c r="U42" s="28">
        <v>0.75726666666666598</v>
      </c>
      <c r="V42" s="28">
        <v>0.60099666666666696</v>
      </c>
      <c r="W42" s="28">
        <v>0.613618</v>
      </c>
      <c r="X42" s="28">
        <v>0.207043333333333</v>
      </c>
      <c r="Y42" s="28">
        <v>0.55113699999999999</v>
      </c>
      <c r="Z42" s="28">
        <v>0.469069666666667</v>
      </c>
      <c r="AA42" s="28">
        <v>0.102618666666667</v>
      </c>
      <c r="AB42" s="28">
        <v>0.56259733333333395</v>
      </c>
      <c r="AC42" s="28">
        <v>0.55225199999999997</v>
      </c>
      <c r="AD42" s="28">
        <v>0.67292033333333401</v>
      </c>
      <c r="AE42" s="28">
        <v>0.43319999999999997</v>
      </c>
      <c r="AF42" s="28">
        <v>0.98477066666666702</v>
      </c>
      <c r="AG42" s="28">
        <v>7.5491000000000003E-2</v>
      </c>
      <c r="AH42" s="28">
        <v>0.29694100000000001</v>
      </c>
      <c r="AI42" s="28">
        <v>0.75938000000000005</v>
      </c>
      <c r="AJ42" s="28">
        <v>0.68125333333333304</v>
      </c>
      <c r="AK42" s="28">
        <v>0.85130933333333303</v>
      </c>
      <c r="AL42" s="28">
        <v>9.8751666666666599E-2</v>
      </c>
      <c r="AM42" s="28">
        <v>0.54423466666666698</v>
      </c>
      <c r="AN42" s="28">
        <v>0.53509566666666697</v>
      </c>
      <c r="AO42" s="28">
        <v>4.2999999999999997E-2</v>
      </c>
      <c r="AP42" s="28">
        <v>0.453791</v>
      </c>
      <c r="AQ42" s="28">
        <v>0.13070999999999999</v>
      </c>
      <c r="AR42" s="28">
        <v>0.17895366666666701</v>
      </c>
      <c r="AS42" s="28">
        <v>0.76921466666666705</v>
      </c>
      <c r="AT42" s="28">
        <v>0.286827</v>
      </c>
      <c r="AU42" s="28">
        <v>2.27769666666667</v>
      </c>
      <c r="AV42" s="28">
        <v>5.7000000000000002E-2</v>
      </c>
      <c r="AW42" s="28">
        <v>0.49386517898550752</v>
      </c>
      <c r="AX42" s="34">
        <v>22.71779823333334</v>
      </c>
    </row>
    <row r="43" spans="1:50" x14ac:dyDescent="0.25">
      <c r="A43" s="24">
        <v>42</v>
      </c>
      <c r="B43" s="26">
        <v>20.5</v>
      </c>
      <c r="C43" s="28">
        <v>0.30566633333333298</v>
      </c>
      <c r="D43" s="28">
        <v>0.40990333333333301</v>
      </c>
      <c r="E43" s="28">
        <v>0.57699566666666702</v>
      </c>
      <c r="F43" s="28">
        <v>0.24718699999999999</v>
      </c>
      <c r="G43" s="28">
        <v>5.5E-2</v>
      </c>
      <c r="H43" s="28">
        <v>0.39097866666666697</v>
      </c>
      <c r="I43" s="28">
        <v>0.13705600000000001</v>
      </c>
      <c r="J43" s="28">
        <v>3.0856833333333298</v>
      </c>
      <c r="K43" s="28">
        <v>0.91399333333333299</v>
      </c>
      <c r="L43" s="28">
        <v>0.43109266666666701</v>
      </c>
      <c r="M43" s="28">
        <v>0.78741766666666702</v>
      </c>
      <c r="N43" s="28">
        <v>9.2420000000000002E-2</v>
      </c>
      <c r="O43" s="28">
        <v>0.45613399999999998</v>
      </c>
      <c r="P43" s="28">
        <v>0.101896</v>
      </c>
      <c r="Q43" s="28">
        <v>0.47506666666666703</v>
      </c>
      <c r="R43" s="28">
        <v>0.39017499999999999</v>
      </c>
      <c r="S43" s="28">
        <v>0.69074500000000005</v>
      </c>
      <c r="T43" s="28">
        <v>0.39095200000000002</v>
      </c>
      <c r="U43" s="28">
        <v>0.82183499999999998</v>
      </c>
      <c r="V43" s="28">
        <v>0.94141433333333402</v>
      </c>
      <c r="W43" s="28">
        <v>0.84874633333333305</v>
      </c>
      <c r="X43" s="28">
        <v>0.19277666666666701</v>
      </c>
      <c r="Y43" s="28">
        <v>0.51871133333333297</v>
      </c>
      <c r="Z43" s="28">
        <v>0.74582499999999996</v>
      </c>
      <c r="AA43" s="28">
        <v>5.1327333333333398E-2</v>
      </c>
      <c r="AB43" s="28">
        <v>0.44172033333333299</v>
      </c>
      <c r="AC43" s="28">
        <v>0.272376333333333</v>
      </c>
      <c r="AD43" s="28">
        <v>0.65127833333333296</v>
      </c>
      <c r="AE43" s="28">
        <v>0.52744933333333299</v>
      </c>
      <c r="AF43" s="28">
        <v>0.457002666666667</v>
      </c>
      <c r="AG43" s="28">
        <v>0.27692366666666701</v>
      </c>
      <c r="AH43" s="28">
        <v>4.1000000000000002E-2</v>
      </c>
      <c r="AI43" s="28">
        <v>1.0231779999999999</v>
      </c>
      <c r="AJ43" s="28">
        <v>0.50505800000000001</v>
      </c>
      <c r="AK43" s="28">
        <v>0.75200199999999995</v>
      </c>
      <c r="AL43" s="28">
        <v>0.22911699999999999</v>
      </c>
      <c r="AM43" s="28">
        <v>0.50650066666666704</v>
      </c>
      <c r="AN43" s="28">
        <v>0.78062466666666697</v>
      </c>
      <c r="AO43" s="28">
        <v>4.2999999999999997E-2</v>
      </c>
      <c r="AP43" s="28">
        <v>0.67605800000000005</v>
      </c>
      <c r="AQ43" s="28">
        <v>8.3397999999999903E-2</v>
      </c>
      <c r="AR43" s="28">
        <v>0.52692666666666699</v>
      </c>
      <c r="AS43" s="28">
        <v>0.88432200000000005</v>
      </c>
      <c r="AT43" s="28">
        <v>0.25848833333333299</v>
      </c>
      <c r="AU43" s="28">
        <v>0.47198000000000001</v>
      </c>
      <c r="AV43" s="28">
        <v>0.244618</v>
      </c>
      <c r="AW43" s="28">
        <v>0.51547871014492752</v>
      </c>
      <c r="AX43" s="34">
        <v>23.71202066666666</v>
      </c>
    </row>
    <row r="44" spans="1:50" x14ac:dyDescent="0.25">
      <c r="A44" s="24">
        <v>43</v>
      </c>
      <c r="B44" s="26">
        <v>21</v>
      </c>
      <c r="C44" s="28">
        <v>0.18064266666666701</v>
      </c>
      <c r="D44" s="28">
        <v>0.36905700000000002</v>
      </c>
      <c r="E44" s="28">
        <v>0.70429966666666599</v>
      </c>
      <c r="F44" s="28">
        <v>0.63304433333333299</v>
      </c>
      <c r="G44" s="28">
        <v>5.5E-2</v>
      </c>
      <c r="H44" s="28">
        <v>3.5000000000000003E-2</v>
      </c>
      <c r="I44" s="28">
        <v>0.113566</v>
      </c>
      <c r="J44" s="28">
        <v>2.4752606666666699</v>
      </c>
      <c r="K44" s="28">
        <v>0.78527566666666604</v>
      </c>
      <c r="L44" s="28">
        <v>0.112021333333333</v>
      </c>
      <c r="M44" s="28">
        <v>0.78943600000000003</v>
      </c>
      <c r="N44" s="28">
        <v>0.23183799999999999</v>
      </c>
      <c r="O44" s="28">
        <v>0.43612533333333298</v>
      </c>
      <c r="P44" s="28">
        <v>0.22989533333333301</v>
      </c>
      <c r="Q44" s="28">
        <v>0.68071000000000104</v>
      </c>
      <c r="R44" s="28">
        <v>0.53105100000000005</v>
      </c>
      <c r="S44" s="28">
        <v>0.41038566666666698</v>
      </c>
      <c r="T44" s="28">
        <v>0.49929066666666699</v>
      </c>
      <c r="U44" s="28">
        <v>0.84180066666666697</v>
      </c>
      <c r="V44" s="28">
        <v>1.53532</v>
      </c>
      <c r="W44" s="28">
        <v>0.79251499999999997</v>
      </c>
      <c r="X44" s="28">
        <v>0.453971666666667</v>
      </c>
      <c r="Y44" s="28">
        <v>0.56989800000000002</v>
      </c>
      <c r="Z44" s="28">
        <v>0.69794466666666599</v>
      </c>
      <c r="AA44" s="28">
        <v>0.102618666666667</v>
      </c>
      <c r="AB44" s="28">
        <v>0.40029999999999999</v>
      </c>
      <c r="AC44" s="28">
        <v>1.350039</v>
      </c>
      <c r="AD44" s="28">
        <v>0.72426999999999997</v>
      </c>
      <c r="AE44" s="28">
        <v>0.57525433333333298</v>
      </c>
      <c r="AF44" s="28">
        <v>0.55825266666666695</v>
      </c>
      <c r="AG44" s="28">
        <v>5.3999999999999999E-2</v>
      </c>
      <c r="AH44" s="28">
        <v>0.21179400000000001</v>
      </c>
      <c r="AI44" s="28">
        <v>0.99936899999999995</v>
      </c>
      <c r="AJ44" s="28">
        <v>0.89855933333333404</v>
      </c>
      <c r="AK44" s="28">
        <v>0.74897066666666701</v>
      </c>
      <c r="AL44" s="28">
        <v>0.139282666666667</v>
      </c>
      <c r="AM44" s="28">
        <v>0.57078399999999996</v>
      </c>
      <c r="AN44" s="28">
        <v>0.44105733333333302</v>
      </c>
      <c r="AO44" s="28">
        <v>0.17059133333333301</v>
      </c>
      <c r="AP44" s="28">
        <v>1.3817060000000001</v>
      </c>
      <c r="AQ44" s="28">
        <v>4.2000000000000003E-2</v>
      </c>
      <c r="AR44" s="28">
        <v>0.30991833333333302</v>
      </c>
      <c r="AS44" s="28">
        <v>0.750060333333333</v>
      </c>
      <c r="AT44" s="28">
        <v>0.103327</v>
      </c>
      <c r="AU44" s="28">
        <v>0.47933599999999998</v>
      </c>
      <c r="AV44" s="28">
        <v>0.19999400000000001</v>
      </c>
      <c r="AW44" s="28">
        <v>0.55162682608695679</v>
      </c>
      <c r="AX44" s="34">
        <v>25.374834000000011</v>
      </c>
    </row>
    <row r="45" spans="1:50" x14ac:dyDescent="0.25">
      <c r="A45" s="24">
        <v>44</v>
      </c>
      <c r="B45" s="26">
        <v>21.5</v>
      </c>
      <c r="C45" s="28">
        <v>0.53829400000000005</v>
      </c>
      <c r="D45" s="28">
        <v>0.27088366666666702</v>
      </c>
      <c r="E45" s="28">
        <v>0.37844133333333302</v>
      </c>
      <c r="F45" s="28">
        <v>0.27338000000000001</v>
      </c>
      <c r="G45" s="28">
        <v>5.5E-2</v>
      </c>
      <c r="H45" s="28">
        <v>0.11451600000000001</v>
      </c>
      <c r="I45" s="28">
        <v>0.12724733333333299</v>
      </c>
      <c r="J45" s="28">
        <v>0.41860166666666698</v>
      </c>
      <c r="K45" s="28">
        <v>0.77615066666666699</v>
      </c>
      <c r="L45" s="28">
        <v>0.15936866666666699</v>
      </c>
      <c r="M45" s="28">
        <v>0.87390733333333404</v>
      </c>
      <c r="N45" s="28">
        <v>0.19347266666666699</v>
      </c>
      <c r="O45" s="28">
        <v>0.36116633333333398</v>
      </c>
      <c r="P45" s="28">
        <v>7.8021999999999994E-2</v>
      </c>
      <c r="Q45" s="28">
        <v>0.82918466666666701</v>
      </c>
      <c r="R45" s="28">
        <v>0.59671066666666694</v>
      </c>
      <c r="S45" s="28">
        <v>0.99199733333333395</v>
      </c>
      <c r="T45" s="28">
        <v>0.327656</v>
      </c>
      <c r="U45" s="28">
        <v>0.82201666666666695</v>
      </c>
      <c r="V45" s="28">
        <v>0.78148866666666705</v>
      </c>
      <c r="W45" s="28">
        <v>0.73171366666666604</v>
      </c>
      <c r="X45" s="28">
        <v>0.18321200000000001</v>
      </c>
      <c r="Y45" s="28">
        <v>0.37709666666666702</v>
      </c>
      <c r="Z45" s="28">
        <v>0.37253133333333299</v>
      </c>
      <c r="AA45" s="28">
        <v>0.128292666666667</v>
      </c>
      <c r="AB45" s="28">
        <v>0.85707</v>
      </c>
      <c r="AC45" s="28">
        <v>0.50521199999999999</v>
      </c>
      <c r="AD45" s="28">
        <v>0.56550366666666696</v>
      </c>
      <c r="AE45" s="28">
        <v>0.44066666666666598</v>
      </c>
      <c r="AF45" s="28">
        <v>0.61966666666666703</v>
      </c>
      <c r="AG45" s="28">
        <v>0.29841466666666699</v>
      </c>
      <c r="AH45" s="28">
        <v>0.24403866666666699</v>
      </c>
      <c r="AI45" s="28">
        <v>0.69443100000000002</v>
      </c>
      <c r="AJ45" s="28">
        <v>0.68441366666666703</v>
      </c>
      <c r="AK45" s="28">
        <v>0.51106733333333298</v>
      </c>
      <c r="AL45" s="28">
        <v>9.6384333333333405E-2</v>
      </c>
      <c r="AM45" s="28">
        <v>0.89193666666666704</v>
      </c>
      <c r="AN45" s="28">
        <v>0.95440400000000003</v>
      </c>
      <c r="AO45" s="28">
        <v>4.2999999999999997E-2</v>
      </c>
      <c r="AP45" s="28">
        <v>0.85398066666666705</v>
      </c>
      <c r="AQ45" s="28">
        <v>0.17210800000000001</v>
      </c>
      <c r="AR45" s="28">
        <v>0.64641266666666697</v>
      </c>
      <c r="AS45" s="28">
        <v>0.85384133333333301</v>
      </c>
      <c r="AT45" s="28">
        <v>0.16547899999999999</v>
      </c>
      <c r="AU45" s="28">
        <v>0.29967333333333301</v>
      </c>
      <c r="AV45" s="28">
        <v>0.196162</v>
      </c>
      <c r="AW45" s="28">
        <v>0.46422213768115961</v>
      </c>
      <c r="AX45" s="34">
        <v>21.354218333333339</v>
      </c>
    </row>
    <row r="46" spans="1:50" x14ac:dyDescent="0.25">
      <c r="A46" s="24">
        <v>45</v>
      </c>
      <c r="B46" s="26">
        <v>22</v>
      </c>
      <c r="C46" s="28">
        <v>0.58701366666666699</v>
      </c>
      <c r="D46" s="28">
        <v>0.178968666666667</v>
      </c>
      <c r="E46" s="28">
        <v>0.57261300000000004</v>
      </c>
      <c r="F46" s="28">
        <v>0.51806666666666701</v>
      </c>
      <c r="G46" s="28">
        <v>5.5E-2</v>
      </c>
      <c r="H46" s="28">
        <v>0.45293233333333299</v>
      </c>
      <c r="I46" s="28">
        <v>0.20793600000000001</v>
      </c>
      <c r="J46" s="28">
        <v>0.441732666666667</v>
      </c>
      <c r="K46" s="28">
        <v>0.79108333333333403</v>
      </c>
      <c r="L46" s="28">
        <v>0.17360066666666699</v>
      </c>
      <c r="M46" s="28">
        <v>0.56799633333333299</v>
      </c>
      <c r="N46" s="28">
        <v>7.6101000000000002E-2</v>
      </c>
      <c r="O46" s="28">
        <v>0.60152300000000003</v>
      </c>
      <c r="P46" s="28">
        <v>0.29229666666666698</v>
      </c>
      <c r="Q46" s="28">
        <v>0.83588366666666702</v>
      </c>
      <c r="R46" s="28">
        <v>0.42646066666666699</v>
      </c>
      <c r="S46" s="28">
        <v>0.551091</v>
      </c>
      <c r="T46" s="28">
        <v>0.23243800000000001</v>
      </c>
      <c r="U46" s="28">
        <v>0.72989733333333395</v>
      </c>
      <c r="V46" s="28">
        <v>1.5056036666666699</v>
      </c>
      <c r="W46" s="28">
        <v>1.5212079999999999</v>
      </c>
      <c r="X46" s="28">
        <v>0.52996266666666703</v>
      </c>
      <c r="Y46" s="28">
        <v>0.33511866666666701</v>
      </c>
      <c r="Z46" s="28">
        <v>0.57369499999999995</v>
      </c>
      <c r="AA46" s="28">
        <v>4.3999999999999997E-2</v>
      </c>
      <c r="AB46" s="28">
        <v>0.36686233333333301</v>
      </c>
      <c r="AC46" s="28">
        <v>0.59461633333333297</v>
      </c>
      <c r="AD46" s="28">
        <v>0.42766999999999999</v>
      </c>
      <c r="AE46" s="28">
        <v>0.15909599999999999</v>
      </c>
      <c r="AF46" s="28">
        <v>0.94668733333333299</v>
      </c>
      <c r="AG46" s="28">
        <v>5.3999999999999999E-2</v>
      </c>
      <c r="AH46" s="28">
        <v>0.101879</v>
      </c>
      <c r="AI46" s="28">
        <v>0.94588499999999998</v>
      </c>
      <c r="AJ46" s="28">
        <v>0.57078233333333295</v>
      </c>
      <c r="AK46" s="28">
        <v>0.72182866666666701</v>
      </c>
      <c r="AL46" s="28">
        <v>0.51224499999999995</v>
      </c>
      <c r="AM46" s="28">
        <v>0.91535633333333399</v>
      </c>
      <c r="AN46" s="28">
        <v>0.51206200000000002</v>
      </c>
      <c r="AO46" s="28">
        <v>4.2999999999999997E-2</v>
      </c>
      <c r="AP46" s="28">
        <v>0.63662966666666698</v>
      </c>
      <c r="AQ46" s="28">
        <v>4.2000000000000003E-2</v>
      </c>
      <c r="AR46" s="28">
        <v>0.52633666666666701</v>
      </c>
      <c r="AS46" s="28">
        <v>0.67956133333333402</v>
      </c>
      <c r="AT46" s="28">
        <v>0.11235000000000001</v>
      </c>
      <c r="AU46" s="28">
        <v>0.54696999999999996</v>
      </c>
      <c r="AV46" s="28">
        <v>0.24845</v>
      </c>
      <c r="AW46" s="28">
        <v>0.48840197101449301</v>
      </c>
      <c r="AX46" s="34">
        <v>22.466490666666679</v>
      </c>
    </row>
    <row r="47" spans="1:50" x14ac:dyDescent="0.25">
      <c r="A47" s="24">
        <v>46</v>
      </c>
      <c r="B47" s="26">
        <v>22.5</v>
      </c>
      <c r="C47" s="28">
        <v>0.48578466666666698</v>
      </c>
      <c r="D47" s="28">
        <v>0.427647</v>
      </c>
      <c r="E47" s="28">
        <v>0.167260666666667</v>
      </c>
      <c r="F47" s="28">
        <v>0.58242333333333296</v>
      </c>
      <c r="G47" s="28">
        <v>5.5E-2</v>
      </c>
      <c r="H47" s="28">
        <v>0.159266666666667</v>
      </c>
      <c r="I47" s="28">
        <v>0.113566</v>
      </c>
      <c r="J47" s="28">
        <v>0.17060819999999999</v>
      </c>
      <c r="K47" s="28">
        <v>0.68710766666666701</v>
      </c>
      <c r="L47" s="28">
        <v>7.1548E-2</v>
      </c>
      <c r="M47" s="28">
        <v>0.94169266666666696</v>
      </c>
      <c r="N47" s="28">
        <v>0.28184300000000001</v>
      </c>
      <c r="O47" s="28">
        <v>0.403434666666667</v>
      </c>
      <c r="P47" s="28">
        <v>0.49507566666666603</v>
      </c>
      <c r="Q47" s="28">
        <v>0.61798566666666699</v>
      </c>
      <c r="R47" s="28">
        <v>1.0989516666666701</v>
      </c>
      <c r="S47" s="28">
        <v>0.81803433333333397</v>
      </c>
      <c r="T47" s="28">
        <v>9.7027000000000002E-2</v>
      </c>
      <c r="U47" s="28">
        <v>0.77075766666666701</v>
      </c>
      <c r="V47" s="28">
        <v>0.76171699999999998</v>
      </c>
      <c r="W47" s="28">
        <v>1.5654826666666699</v>
      </c>
      <c r="X47" s="28">
        <v>0.39860273333333301</v>
      </c>
      <c r="Y47" s="28">
        <v>5.2999999999999999E-2</v>
      </c>
      <c r="Z47" s="28">
        <v>9.8038666666666593E-2</v>
      </c>
      <c r="AA47" s="28">
        <v>4.3999999999999997E-2</v>
      </c>
      <c r="AB47" s="28">
        <v>0.222126666666667</v>
      </c>
      <c r="AC47" s="28">
        <v>1.5479653333333301</v>
      </c>
      <c r="AD47" s="28">
        <v>0.398036</v>
      </c>
      <c r="AE47" s="28">
        <v>0.03</v>
      </c>
      <c r="AF47" s="28">
        <v>0.71983133333333305</v>
      </c>
      <c r="AG47" s="28">
        <v>0.19010966666666701</v>
      </c>
      <c r="AH47" s="28">
        <v>7.3780999999999902E-2</v>
      </c>
      <c r="AI47" s="28">
        <v>0.58516500000000005</v>
      </c>
      <c r="AJ47" s="28">
        <v>0.56262900000000005</v>
      </c>
      <c r="AK47" s="28">
        <v>0.66106433333333403</v>
      </c>
      <c r="AL47" s="28">
        <v>1.1948259999999999</v>
      </c>
      <c r="AM47" s="28">
        <v>1.0162053333333301</v>
      </c>
      <c r="AN47" s="28">
        <v>0.34421000000000002</v>
      </c>
      <c r="AO47" s="28">
        <v>0.17059133333333301</v>
      </c>
      <c r="AP47" s="28">
        <v>0.33354866666666699</v>
      </c>
      <c r="AQ47" s="28">
        <v>0.10113999999999999</v>
      </c>
      <c r="AR47" s="28">
        <v>0.69357433333333296</v>
      </c>
      <c r="AS47" s="28">
        <v>0.83885500000000002</v>
      </c>
      <c r="AT47" s="28">
        <v>0.27940809999999999</v>
      </c>
      <c r="AU47" s="28">
        <v>0.81162000000000001</v>
      </c>
      <c r="AV47" s="28">
        <v>0.13067400000000001</v>
      </c>
      <c r="AW47" s="28">
        <v>0.48415688478260871</v>
      </c>
      <c r="AX47" s="34">
        <v>22.2712167</v>
      </c>
    </row>
    <row r="48" spans="1:50" x14ac:dyDescent="0.25">
      <c r="A48" s="24">
        <v>47</v>
      </c>
      <c r="B48" s="26">
        <v>23</v>
      </c>
      <c r="C48" s="28">
        <v>0.65302866666666703</v>
      </c>
      <c r="D48" s="28">
        <v>0.38014186666666699</v>
      </c>
      <c r="E48" s="28">
        <v>0.15489266666666701</v>
      </c>
      <c r="F48" s="28">
        <v>0.71083133333333404</v>
      </c>
      <c r="G48" s="28">
        <v>5.5E-2</v>
      </c>
      <c r="H48" s="28">
        <v>0.13898733333333299</v>
      </c>
      <c r="I48" s="28">
        <v>0.12724733333333299</v>
      </c>
      <c r="J48" s="28">
        <v>5.6000000000000001E-2</v>
      </c>
      <c r="K48" s="28">
        <v>6.2772333333333305E-2</v>
      </c>
      <c r="L48" s="28">
        <v>0.24205399999999999</v>
      </c>
      <c r="M48" s="28">
        <v>0.607107333333333</v>
      </c>
      <c r="N48" s="28">
        <v>0.14155343333333301</v>
      </c>
      <c r="O48" s="28">
        <v>0.220399333333333</v>
      </c>
      <c r="P48" s="28">
        <v>9.1425333333333206E-2</v>
      </c>
      <c r="Q48" s="28">
        <v>0.463326666666667</v>
      </c>
      <c r="R48" s="28">
        <v>0.471816333333333</v>
      </c>
      <c r="S48" s="28">
        <v>0.66388199999999997</v>
      </c>
      <c r="T48" s="28">
        <v>0.223633</v>
      </c>
      <c r="U48" s="28">
        <v>0.92030366666666696</v>
      </c>
      <c r="V48" s="28">
        <v>0.97987366666666598</v>
      </c>
      <c r="W48" s="28">
        <v>3.1981126666666699</v>
      </c>
      <c r="X48" s="28">
        <v>0.2398701</v>
      </c>
      <c r="Y48" s="28">
        <v>0.162165</v>
      </c>
      <c r="Z48" s="28">
        <v>0.306761333333333</v>
      </c>
      <c r="AA48" s="28">
        <v>0.12678666666666699</v>
      </c>
      <c r="AB48" s="28">
        <v>0.193600666666667</v>
      </c>
      <c r="AC48" s="28">
        <v>0.76127533333333297</v>
      </c>
      <c r="AD48" s="28">
        <v>0.70295166666666697</v>
      </c>
      <c r="AE48" s="28">
        <v>0.15909599999999999</v>
      </c>
      <c r="AF48" s="28">
        <v>0.561643</v>
      </c>
      <c r="AG48" s="28">
        <v>0.162305</v>
      </c>
      <c r="AH48" s="28">
        <v>0.14715266666666699</v>
      </c>
      <c r="AI48" s="28">
        <v>0.88541433333333297</v>
      </c>
      <c r="AJ48" s="28">
        <v>0.32549333333333302</v>
      </c>
      <c r="AK48" s="28">
        <v>1.4864646666666701</v>
      </c>
      <c r="AL48" s="28">
        <v>0.50245566666666697</v>
      </c>
      <c r="AM48" s="28">
        <v>0.18892999999999999</v>
      </c>
      <c r="AN48" s="28">
        <v>0.50359533333333295</v>
      </c>
      <c r="AO48" s="28">
        <v>4.2999999999999997E-2</v>
      </c>
      <c r="AP48" s="28">
        <v>0.19580766666666699</v>
      </c>
      <c r="AQ48" s="28">
        <v>0.112968</v>
      </c>
      <c r="AR48" s="28">
        <v>0.170730666666667</v>
      </c>
      <c r="AS48" s="28">
        <v>0.39210060000000002</v>
      </c>
      <c r="AT48" s="28">
        <v>0.1993895</v>
      </c>
      <c r="AU48" s="28">
        <v>0.962940666666667</v>
      </c>
      <c r="AV48" s="28">
        <v>0.31393799999999999</v>
      </c>
      <c r="AW48" s="28">
        <v>0.44280923550724649</v>
      </c>
      <c r="AX48" s="34">
        <v>20.369224833333341</v>
      </c>
    </row>
    <row r="49" spans="1:50" x14ac:dyDescent="0.25">
      <c r="A49" s="25">
        <v>48</v>
      </c>
      <c r="B49" s="27">
        <v>23.5</v>
      </c>
      <c r="C49" s="29">
        <v>4.9000000000000002E-2</v>
      </c>
      <c r="D49" s="29">
        <v>0.18702833333333299</v>
      </c>
      <c r="E49" s="29">
        <v>0.122618</v>
      </c>
      <c r="F49" s="29">
        <v>0.54888833333333298</v>
      </c>
      <c r="G49" s="29">
        <v>5.5E-2</v>
      </c>
      <c r="H49" s="29">
        <v>0.15463133333333301</v>
      </c>
      <c r="I49" s="29">
        <v>0.17916499999999999</v>
      </c>
      <c r="J49" s="29">
        <v>5.6000000000000001E-2</v>
      </c>
      <c r="K49" s="29">
        <v>0.156040333333333</v>
      </c>
      <c r="L49" s="29">
        <v>8.2141333333333302E-2</v>
      </c>
      <c r="M49" s="29">
        <v>0.11786933333333301</v>
      </c>
      <c r="N49" s="29">
        <v>0.24411666666666701</v>
      </c>
      <c r="O49" s="29">
        <v>0.46016000000000001</v>
      </c>
      <c r="P49" s="29">
        <v>5.1791999999999998E-2</v>
      </c>
      <c r="Q49" s="29">
        <v>0.47741699999999998</v>
      </c>
      <c r="R49" s="29">
        <v>0.78360033333333301</v>
      </c>
      <c r="S49" s="29">
        <v>0.305825333333333</v>
      </c>
      <c r="T49" s="29">
        <v>0.160390333333333</v>
      </c>
      <c r="U49" s="29">
        <v>0.78339366666666699</v>
      </c>
      <c r="V49" s="29">
        <v>0.67526633333333297</v>
      </c>
      <c r="W49" s="29">
        <v>0.489638666666666</v>
      </c>
      <c r="X49" s="29">
        <v>0.38182566666666701</v>
      </c>
      <c r="Y49" s="29">
        <v>0.103943666666667</v>
      </c>
      <c r="Z49" s="29">
        <v>0.22322166666666701</v>
      </c>
      <c r="AA49" s="29">
        <v>0.264481666666667</v>
      </c>
      <c r="AB49" s="29">
        <v>0.109594333333333</v>
      </c>
      <c r="AC49" s="29">
        <v>1.1250726666666699</v>
      </c>
      <c r="AD49" s="29">
        <v>0.720248</v>
      </c>
      <c r="AE49" s="29">
        <v>0.03</v>
      </c>
      <c r="AF49" s="29">
        <v>0.40501399999999999</v>
      </c>
      <c r="AG49" s="29">
        <v>0.104145666666667</v>
      </c>
      <c r="AH49" s="29">
        <v>0.29286000000000001</v>
      </c>
      <c r="AI49" s="29">
        <v>0.55756666666666699</v>
      </c>
      <c r="AJ49" s="29">
        <v>0.66861333333333395</v>
      </c>
      <c r="AK49" s="29">
        <v>0.47833933333333301</v>
      </c>
      <c r="AL49" s="29">
        <v>0.57932033333333299</v>
      </c>
      <c r="AM49" s="29">
        <v>0.12482</v>
      </c>
      <c r="AN49" s="29">
        <v>0.421831333333333</v>
      </c>
      <c r="AO49" s="29">
        <v>4.2999999999999997E-2</v>
      </c>
      <c r="AP49" s="29">
        <v>0.17055500000000001</v>
      </c>
      <c r="AQ49" s="29">
        <v>4.2000000000000003E-2</v>
      </c>
      <c r="AR49" s="29">
        <v>4.8000000000000001E-2</v>
      </c>
      <c r="AS49" s="29">
        <v>8.7455000000000102E-2</v>
      </c>
      <c r="AT49" s="29">
        <v>0.51028799999999996</v>
      </c>
      <c r="AU49" s="29">
        <v>7.0363999999999996E-2</v>
      </c>
      <c r="AV49" s="29">
        <v>5.7000000000000002E-2</v>
      </c>
      <c r="AW49" s="29">
        <v>0.29912049275362318</v>
      </c>
      <c r="AX49" s="35">
        <v>13.75954266666667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0" width="15" customWidth="1"/>
  </cols>
  <sheetData>
    <row r="1" spans="1:50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9" t="s">
        <v>84</v>
      </c>
    </row>
    <row r="2" spans="1:50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34">
        <v>0</v>
      </c>
    </row>
    <row r="3" spans="1:50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34">
        <v>0</v>
      </c>
    </row>
    <row r="4" spans="1:50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34">
        <v>0</v>
      </c>
    </row>
    <row r="5" spans="1:50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34">
        <v>0</v>
      </c>
    </row>
    <row r="6" spans="1:50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34">
        <v>0</v>
      </c>
    </row>
    <row r="7" spans="1:50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34">
        <v>0</v>
      </c>
    </row>
    <row r="8" spans="1:50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34">
        <v>0</v>
      </c>
    </row>
    <row r="9" spans="1:50" x14ac:dyDescent="0.25">
      <c r="A9" s="24">
        <v>8</v>
      </c>
      <c r="B9" s="26">
        <v>3.5</v>
      </c>
      <c r="C9" s="28">
        <v>3.0107030333333339E-3</v>
      </c>
      <c r="D9" s="28">
        <v>2.5806026000000011E-3</v>
      </c>
      <c r="E9" s="28">
        <v>3.4408034666666681E-3</v>
      </c>
      <c r="F9" s="28">
        <v>3.4408034666666681E-3</v>
      </c>
      <c r="G9" s="28">
        <v>2.5806026000000011E-3</v>
      </c>
      <c r="H9" s="28">
        <v>3.4408034666666681E-3</v>
      </c>
      <c r="I9" s="28">
        <v>3.4408034666666681E-3</v>
      </c>
      <c r="J9" s="28">
        <v>2.1505021666666682E-3</v>
      </c>
      <c r="K9" s="28">
        <v>2.1505021666666682E-3</v>
      </c>
      <c r="L9" s="28">
        <v>3.4408034666666681E-3</v>
      </c>
      <c r="M9" s="28">
        <v>2.5806026000000011E-3</v>
      </c>
      <c r="N9" s="28">
        <v>3.4408034666666681E-3</v>
      </c>
      <c r="O9" s="28">
        <v>1.290301300000001E-3</v>
      </c>
      <c r="P9" s="28">
        <v>1.720401733333334E-3</v>
      </c>
      <c r="Q9" s="28">
        <v>3.4408034666666681E-3</v>
      </c>
      <c r="R9" s="28">
        <v>2.1505021666666682E-3</v>
      </c>
      <c r="S9" s="28">
        <v>1.290301300000001E-3</v>
      </c>
      <c r="T9" s="28">
        <v>3.4408034666666681E-3</v>
      </c>
      <c r="U9" s="28">
        <v>3.4408034666666681E-3</v>
      </c>
      <c r="V9" s="28">
        <v>2.1505021666666682E-3</v>
      </c>
      <c r="W9" s="28">
        <v>3.0107030333333339E-3</v>
      </c>
      <c r="X9" s="28">
        <v>2.1505021666666682E-3</v>
      </c>
      <c r="Y9" s="28">
        <v>3.4408034666666681E-3</v>
      </c>
      <c r="Z9" s="28">
        <v>2.1505021666666682E-3</v>
      </c>
      <c r="AA9" s="28">
        <v>3.0107030333333339E-3</v>
      </c>
      <c r="AB9" s="28">
        <v>2.1505021666666682E-3</v>
      </c>
      <c r="AC9" s="28">
        <v>3.4408034666666681E-3</v>
      </c>
      <c r="AD9" s="28">
        <v>1.720401733333334E-3</v>
      </c>
      <c r="AE9" s="28">
        <v>2.1505021666666682E-3</v>
      </c>
      <c r="AF9" s="28">
        <v>3.4408034666666681E-3</v>
      </c>
      <c r="AG9" s="28">
        <v>3.4408034666666681E-3</v>
      </c>
      <c r="AH9" s="28">
        <v>3.0107030333333339E-3</v>
      </c>
      <c r="AI9" s="28">
        <v>1.290301300000001E-3</v>
      </c>
      <c r="AJ9" s="28">
        <v>2.5806026000000011E-3</v>
      </c>
      <c r="AK9" s="28">
        <v>1.720401733333334E-3</v>
      </c>
      <c r="AL9" s="28">
        <v>1.720401733333334E-3</v>
      </c>
      <c r="AM9" s="28">
        <v>3.4408034666666681E-3</v>
      </c>
      <c r="AN9" s="28">
        <v>3.4408034666666681E-3</v>
      </c>
      <c r="AO9" s="28">
        <v>1.290301300000001E-3</v>
      </c>
      <c r="AP9" s="28">
        <v>1.290301300000001E-3</v>
      </c>
      <c r="AQ9" s="28">
        <v>3.4408034666666681E-3</v>
      </c>
      <c r="AR9" s="28">
        <v>3.4408034666666681E-3</v>
      </c>
      <c r="AS9" s="28">
        <v>3.4408034666666681E-3</v>
      </c>
      <c r="AT9" s="28">
        <v>2.1505021666666682E-3</v>
      </c>
      <c r="AU9" s="28">
        <v>3.4408034666666681E-3</v>
      </c>
      <c r="AV9" s="28">
        <v>3.4408034666666681E-3</v>
      </c>
      <c r="AW9" s="28">
        <v>2.6928027130434799E-3</v>
      </c>
      <c r="AX9" s="34">
        <v>0.1238689248000001</v>
      </c>
    </row>
    <row r="10" spans="1:50" x14ac:dyDescent="0.25">
      <c r="A10" s="24">
        <v>9</v>
      </c>
      <c r="B10" s="26">
        <v>4</v>
      </c>
      <c r="C10" s="28">
        <v>4.3517680966666562E-2</v>
      </c>
      <c r="D10" s="28">
        <v>3.7300869399999902E-2</v>
      </c>
      <c r="E10" s="28">
        <v>4.9734492533333202E-2</v>
      </c>
      <c r="F10" s="28">
        <v>4.9734492533333202E-2</v>
      </c>
      <c r="G10" s="28">
        <v>3.7300869399999902E-2</v>
      </c>
      <c r="H10" s="28">
        <v>4.9734492533333202E-2</v>
      </c>
      <c r="I10" s="28">
        <v>4.9734492533333202E-2</v>
      </c>
      <c r="J10" s="28">
        <v>3.1084057833333251E-2</v>
      </c>
      <c r="K10" s="28">
        <v>3.1084057833333251E-2</v>
      </c>
      <c r="L10" s="28">
        <v>4.9734492533333202E-2</v>
      </c>
      <c r="M10" s="28">
        <v>3.7300869399999902E-2</v>
      </c>
      <c r="N10" s="28">
        <v>4.9734492533333202E-2</v>
      </c>
      <c r="O10" s="28">
        <v>1.8650434699999951E-2</v>
      </c>
      <c r="P10" s="28">
        <v>2.4867246266666601E-2</v>
      </c>
      <c r="Q10" s="28">
        <v>4.9734492533333202E-2</v>
      </c>
      <c r="R10" s="28">
        <v>3.1084057833333251E-2</v>
      </c>
      <c r="S10" s="28">
        <v>1.8650434699999951E-2</v>
      </c>
      <c r="T10" s="28">
        <v>4.9734492533333202E-2</v>
      </c>
      <c r="U10" s="28">
        <v>4.9734492533333202E-2</v>
      </c>
      <c r="V10" s="28">
        <v>3.1084057833333251E-2</v>
      </c>
      <c r="W10" s="28">
        <v>4.3517680966666562E-2</v>
      </c>
      <c r="X10" s="28">
        <v>3.1084057833333251E-2</v>
      </c>
      <c r="Y10" s="28">
        <v>4.9734492533333202E-2</v>
      </c>
      <c r="Z10" s="28">
        <v>3.1084057833333251E-2</v>
      </c>
      <c r="AA10" s="28">
        <v>4.3517680966666562E-2</v>
      </c>
      <c r="AB10" s="28">
        <v>3.1084057833333251E-2</v>
      </c>
      <c r="AC10" s="28">
        <v>4.9734492533333202E-2</v>
      </c>
      <c r="AD10" s="28">
        <v>2.4867246266666601E-2</v>
      </c>
      <c r="AE10" s="28">
        <v>3.1084057833333251E-2</v>
      </c>
      <c r="AF10" s="28">
        <v>4.9734492533333202E-2</v>
      </c>
      <c r="AG10" s="28">
        <v>4.9734492533333202E-2</v>
      </c>
      <c r="AH10" s="28">
        <v>4.3517680966666562E-2</v>
      </c>
      <c r="AI10" s="28">
        <v>1.8650434699999951E-2</v>
      </c>
      <c r="AJ10" s="28">
        <v>3.7300869399999902E-2</v>
      </c>
      <c r="AK10" s="28">
        <v>2.4867246266666601E-2</v>
      </c>
      <c r="AL10" s="28">
        <v>2.4867246266666601E-2</v>
      </c>
      <c r="AM10" s="28">
        <v>4.9734492533333202E-2</v>
      </c>
      <c r="AN10" s="28">
        <v>4.9734492533333202E-2</v>
      </c>
      <c r="AO10" s="28">
        <v>1.8650434699999951E-2</v>
      </c>
      <c r="AP10" s="28">
        <v>1.8650434699999951E-2</v>
      </c>
      <c r="AQ10" s="28">
        <v>4.9734492533333202E-2</v>
      </c>
      <c r="AR10" s="28">
        <v>4.9734492533333202E-2</v>
      </c>
      <c r="AS10" s="28">
        <v>4.9734492533333202E-2</v>
      </c>
      <c r="AT10" s="28">
        <v>3.1084057833333251E-2</v>
      </c>
      <c r="AU10" s="28">
        <v>4.9734492533333202E-2</v>
      </c>
      <c r="AV10" s="28">
        <v>4.9734492533333202E-2</v>
      </c>
      <c r="AW10" s="28">
        <v>3.8922646330434678E-2</v>
      </c>
      <c r="AX10" s="34">
        <v>1.7904417311999949</v>
      </c>
    </row>
    <row r="11" spans="1:50" x14ac:dyDescent="0.25">
      <c r="A11" s="24">
        <v>10</v>
      </c>
      <c r="B11" s="26">
        <v>4.5</v>
      </c>
      <c r="C11" s="28">
        <v>0.20350186255</v>
      </c>
      <c r="D11" s="28">
        <v>0.17443016789999999</v>
      </c>
      <c r="E11" s="28">
        <v>0.2325735572</v>
      </c>
      <c r="F11" s="28">
        <v>0.2325735572</v>
      </c>
      <c r="G11" s="28">
        <v>0.17443016789999999</v>
      </c>
      <c r="H11" s="28">
        <v>0.2325735572</v>
      </c>
      <c r="I11" s="28">
        <v>0.2325735572</v>
      </c>
      <c r="J11" s="28">
        <v>0.14535847325000001</v>
      </c>
      <c r="K11" s="28">
        <v>0.14535847325000001</v>
      </c>
      <c r="L11" s="28">
        <v>0.2325735572</v>
      </c>
      <c r="M11" s="28">
        <v>0.17443016789999999</v>
      </c>
      <c r="N11" s="28">
        <v>0.2325735572</v>
      </c>
      <c r="O11" s="28">
        <v>8.7215083949999994E-2</v>
      </c>
      <c r="P11" s="28">
        <v>0.1162867786</v>
      </c>
      <c r="Q11" s="28">
        <v>0.2325735572</v>
      </c>
      <c r="R11" s="28">
        <v>0.14535847325000001</v>
      </c>
      <c r="S11" s="28">
        <v>8.7215083949999994E-2</v>
      </c>
      <c r="T11" s="28">
        <v>0.2325735572</v>
      </c>
      <c r="U11" s="28">
        <v>0.2325735572</v>
      </c>
      <c r="V11" s="28">
        <v>0.14535847325000001</v>
      </c>
      <c r="W11" s="28">
        <v>0.20350186255</v>
      </c>
      <c r="X11" s="28">
        <v>0.14535847325000001</v>
      </c>
      <c r="Y11" s="28">
        <v>0.2325735572</v>
      </c>
      <c r="Z11" s="28">
        <v>0.14535847325000001</v>
      </c>
      <c r="AA11" s="28">
        <v>0.20350186255</v>
      </c>
      <c r="AB11" s="28">
        <v>0.14535847325000001</v>
      </c>
      <c r="AC11" s="28">
        <v>0.2325735572</v>
      </c>
      <c r="AD11" s="28">
        <v>0.1162867786</v>
      </c>
      <c r="AE11" s="28">
        <v>0.14535847325000001</v>
      </c>
      <c r="AF11" s="28">
        <v>0.2325735572</v>
      </c>
      <c r="AG11" s="28">
        <v>0.2325735572</v>
      </c>
      <c r="AH11" s="28">
        <v>0.20350186255</v>
      </c>
      <c r="AI11" s="28">
        <v>8.7215083949999994E-2</v>
      </c>
      <c r="AJ11" s="28">
        <v>0.17443016789999999</v>
      </c>
      <c r="AK11" s="28">
        <v>0.1162867786</v>
      </c>
      <c r="AL11" s="28">
        <v>0.1162867786</v>
      </c>
      <c r="AM11" s="28">
        <v>0.2325735572</v>
      </c>
      <c r="AN11" s="28">
        <v>0.2325735572</v>
      </c>
      <c r="AO11" s="28">
        <v>8.7215083949999994E-2</v>
      </c>
      <c r="AP11" s="28">
        <v>8.7215083949999994E-2</v>
      </c>
      <c r="AQ11" s="28">
        <v>0.2325735572</v>
      </c>
      <c r="AR11" s="28">
        <v>0.2325735572</v>
      </c>
      <c r="AS11" s="28">
        <v>0.2325735572</v>
      </c>
      <c r="AT11" s="28">
        <v>0.14535847325000001</v>
      </c>
      <c r="AU11" s="28">
        <v>0.2325735572</v>
      </c>
      <c r="AV11" s="28">
        <v>0.2325735572</v>
      </c>
      <c r="AW11" s="28">
        <v>0.18201408824347831</v>
      </c>
      <c r="AX11" s="34">
        <v>8.372648059200003</v>
      </c>
    </row>
    <row r="12" spans="1:50" x14ac:dyDescent="0.25">
      <c r="A12" s="24">
        <v>11</v>
      </c>
      <c r="B12" s="26">
        <v>5</v>
      </c>
      <c r="C12" s="28">
        <v>0.40367275223333449</v>
      </c>
      <c r="D12" s="28">
        <v>0.34600521620000102</v>
      </c>
      <c r="E12" s="28">
        <v>0.46134028826666801</v>
      </c>
      <c r="F12" s="28">
        <v>0.46134028826666801</v>
      </c>
      <c r="G12" s="28">
        <v>0.34600521620000102</v>
      </c>
      <c r="H12" s="28">
        <v>0.46134028826666801</v>
      </c>
      <c r="I12" s="28">
        <v>0.46134028826666801</v>
      </c>
      <c r="J12" s="28">
        <v>0.2883376801666675</v>
      </c>
      <c r="K12" s="28">
        <v>0.2883376801666675</v>
      </c>
      <c r="L12" s="28">
        <v>0.46134028826666801</v>
      </c>
      <c r="M12" s="28">
        <v>0.34600521620000102</v>
      </c>
      <c r="N12" s="28">
        <v>0.46134028826666801</v>
      </c>
      <c r="O12" s="28">
        <v>0.17300260810000051</v>
      </c>
      <c r="P12" s="28">
        <v>0.230670144133334</v>
      </c>
      <c r="Q12" s="28">
        <v>0.46134028826666801</v>
      </c>
      <c r="R12" s="28">
        <v>0.2883376801666675</v>
      </c>
      <c r="S12" s="28">
        <v>0.17300260810000051</v>
      </c>
      <c r="T12" s="28">
        <v>0.46134028826666801</v>
      </c>
      <c r="U12" s="28">
        <v>0.46134028826666801</v>
      </c>
      <c r="V12" s="28">
        <v>0.2883376801666675</v>
      </c>
      <c r="W12" s="28">
        <v>0.40367275223333449</v>
      </c>
      <c r="X12" s="28">
        <v>0.2883376801666675</v>
      </c>
      <c r="Y12" s="28">
        <v>0.46134028826666801</v>
      </c>
      <c r="Z12" s="28">
        <v>0.2883376801666675</v>
      </c>
      <c r="AA12" s="28">
        <v>0.40367275223333449</v>
      </c>
      <c r="AB12" s="28">
        <v>0.2883376801666675</v>
      </c>
      <c r="AC12" s="28">
        <v>0.46134028826666801</v>
      </c>
      <c r="AD12" s="28">
        <v>0.230670144133334</v>
      </c>
      <c r="AE12" s="28">
        <v>0.2883376801666675</v>
      </c>
      <c r="AF12" s="28">
        <v>0.46134028826666801</v>
      </c>
      <c r="AG12" s="28">
        <v>0.46134028826666801</v>
      </c>
      <c r="AH12" s="28">
        <v>0.40367275223333449</v>
      </c>
      <c r="AI12" s="28">
        <v>0.17300260810000051</v>
      </c>
      <c r="AJ12" s="28">
        <v>0.34600521620000102</v>
      </c>
      <c r="AK12" s="28">
        <v>0.230670144133334</v>
      </c>
      <c r="AL12" s="28">
        <v>0.230670144133334</v>
      </c>
      <c r="AM12" s="28">
        <v>0.46134028826666801</v>
      </c>
      <c r="AN12" s="28">
        <v>0.46134028826666801</v>
      </c>
      <c r="AO12" s="28">
        <v>0.17300260810000051</v>
      </c>
      <c r="AP12" s="28">
        <v>0.17300260810000051</v>
      </c>
      <c r="AQ12" s="28">
        <v>0.46134028826666801</v>
      </c>
      <c r="AR12" s="28">
        <v>0.46134028826666801</v>
      </c>
      <c r="AS12" s="28">
        <v>0.46134028826666801</v>
      </c>
      <c r="AT12" s="28">
        <v>0.2883376801666675</v>
      </c>
      <c r="AU12" s="28">
        <v>0.46134028826666801</v>
      </c>
      <c r="AV12" s="28">
        <v>0.46134028826666801</v>
      </c>
      <c r="AW12" s="28">
        <v>0.36104892125217491</v>
      </c>
      <c r="AX12" s="34">
        <v>16.608250377600051</v>
      </c>
    </row>
    <row r="13" spans="1:50" x14ac:dyDescent="0.25">
      <c r="A13" s="24">
        <v>12</v>
      </c>
      <c r="B13" s="26">
        <v>5.5</v>
      </c>
      <c r="C13" s="28">
        <v>0.64912572946666547</v>
      </c>
      <c r="D13" s="28">
        <v>0.55639348239999897</v>
      </c>
      <c r="E13" s="28">
        <v>0.74185797653333196</v>
      </c>
      <c r="F13" s="28">
        <v>0.74185797653333196</v>
      </c>
      <c r="G13" s="28">
        <v>0.55639348239999897</v>
      </c>
      <c r="H13" s="28">
        <v>0.74185797653333196</v>
      </c>
      <c r="I13" s="28">
        <v>0.74185797653333196</v>
      </c>
      <c r="J13" s="28">
        <v>0.46366123533333248</v>
      </c>
      <c r="K13" s="28">
        <v>0.46366123533333248</v>
      </c>
      <c r="L13" s="28">
        <v>0.74185797653333196</v>
      </c>
      <c r="M13" s="28">
        <v>0.55639348239999897</v>
      </c>
      <c r="N13" s="28">
        <v>0.74185797653333196</v>
      </c>
      <c r="O13" s="28">
        <v>0.27819674119999949</v>
      </c>
      <c r="P13" s="28">
        <v>0.37092898826666598</v>
      </c>
      <c r="Q13" s="28">
        <v>0.74185797653333196</v>
      </c>
      <c r="R13" s="28">
        <v>0.46366123533333248</v>
      </c>
      <c r="S13" s="28">
        <v>0.27819674119999949</v>
      </c>
      <c r="T13" s="28">
        <v>0.74185797653333196</v>
      </c>
      <c r="U13" s="28">
        <v>0.74185797653333196</v>
      </c>
      <c r="V13" s="28">
        <v>0.46366123533333248</v>
      </c>
      <c r="W13" s="28">
        <v>0.64912572946666547</v>
      </c>
      <c r="X13" s="28">
        <v>0.46366123533333248</v>
      </c>
      <c r="Y13" s="28">
        <v>0.74185797653333196</v>
      </c>
      <c r="Z13" s="28">
        <v>0.46366123533333248</v>
      </c>
      <c r="AA13" s="28">
        <v>0.64912572946666547</v>
      </c>
      <c r="AB13" s="28">
        <v>0.46366123533333248</v>
      </c>
      <c r="AC13" s="28">
        <v>0.74185797653333196</v>
      </c>
      <c r="AD13" s="28">
        <v>0.37092898826666598</v>
      </c>
      <c r="AE13" s="28">
        <v>0.46366123533333248</v>
      </c>
      <c r="AF13" s="28">
        <v>0.74185797653333196</v>
      </c>
      <c r="AG13" s="28">
        <v>0.74185797653333196</v>
      </c>
      <c r="AH13" s="28">
        <v>0.64912572946666547</v>
      </c>
      <c r="AI13" s="28">
        <v>0.27819674119999949</v>
      </c>
      <c r="AJ13" s="28">
        <v>0.55639348239999897</v>
      </c>
      <c r="AK13" s="28">
        <v>0.37092898826666598</v>
      </c>
      <c r="AL13" s="28">
        <v>0.37092898826666598</v>
      </c>
      <c r="AM13" s="28">
        <v>0.74185797653333196</v>
      </c>
      <c r="AN13" s="28">
        <v>0.74185797653333196</v>
      </c>
      <c r="AO13" s="28">
        <v>0.27819674119999949</v>
      </c>
      <c r="AP13" s="28">
        <v>0.27819674119999949</v>
      </c>
      <c r="AQ13" s="28">
        <v>0.74185797653333196</v>
      </c>
      <c r="AR13" s="28">
        <v>0.74185797653333196</v>
      </c>
      <c r="AS13" s="28">
        <v>0.74185797653333196</v>
      </c>
      <c r="AT13" s="28">
        <v>0.46366123533333248</v>
      </c>
      <c r="AU13" s="28">
        <v>0.74185797653333196</v>
      </c>
      <c r="AV13" s="28">
        <v>0.74185797653333196</v>
      </c>
      <c r="AW13" s="28">
        <v>0.58058450337391199</v>
      </c>
      <c r="AX13" s="34">
        <v>26.706887155199951</v>
      </c>
    </row>
    <row r="14" spans="1:50" x14ac:dyDescent="0.25">
      <c r="A14" s="24">
        <v>13</v>
      </c>
      <c r="B14" s="26">
        <v>6</v>
      </c>
      <c r="C14" s="28">
        <v>0.91692876858333461</v>
      </c>
      <c r="D14" s="28">
        <v>0.78593894450000112</v>
      </c>
      <c r="E14" s="28">
        <v>1.0479185926666681</v>
      </c>
      <c r="F14" s="28">
        <v>1.0479185926666681</v>
      </c>
      <c r="G14" s="28">
        <v>0.78593894450000112</v>
      </c>
      <c r="H14" s="28">
        <v>1.0479185926666681</v>
      </c>
      <c r="I14" s="28">
        <v>1.0479185926666681</v>
      </c>
      <c r="J14" s="28">
        <v>0.65494912041666753</v>
      </c>
      <c r="K14" s="28">
        <v>0.65494912041666753</v>
      </c>
      <c r="L14" s="28">
        <v>1.0479185926666681</v>
      </c>
      <c r="M14" s="28">
        <v>0.78593894450000112</v>
      </c>
      <c r="N14" s="28">
        <v>1.0479185926666681</v>
      </c>
      <c r="O14" s="28">
        <v>0.39296947225000062</v>
      </c>
      <c r="P14" s="28">
        <v>0.52395929633333405</v>
      </c>
      <c r="Q14" s="28">
        <v>1.0479185926666681</v>
      </c>
      <c r="R14" s="28">
        <v>0.65494912041666753</v>
      </c>
      <c r="S14" s="28">
        <v>0.39296947225000062</v>
      </c>
      <c r="T14" s="28">
        <v>1.0479185926666681</v>
      </c>
      <c r="U14" s="28">
        <v>1.0479185926666681</v>
      </c>
      <c r="V14" s="28">
        <v>0.65494912041666753</v>
      </c>
      <c r="W14" s="28">
        <v>0.91692876858333461</v>
      </c>
      <c r="X14" s="28">
        <v>0.65494912041666753</v>
      </c>
      <c r="Y14" s="28">
        <v>1.0479185926666681</v>
      </c>
      <c r="Z14" s="28">
        <v>0.65494912041666753</v>
      </c>
      <c r="AA14" s="28">
        <v>0.91692876858333461</v>
      </c>
      <c r="AB14" s="28">
        <v>0.65494912041666753</v>
      </c>
      <c r="AC14" s="28">
        <v>1.0479185926666681</v>
      </c>
      <c r="AD14" s="28">
        <v>0.52395929633333405</v>
      </c>
      <c r="AE14" s="28">
        <v>0.65494912041666753</v>
      </c>
      <c r="AF14" s="28">
        <v>1.0479185926666681</v>
      </c>
      <c r="AG14" s="28">
        <v>1.0479185926666681</v>
      </c>
      <c r="AH14" s="28">
        <v>0.91692876858333461</v>
      </c>
      <c r="AI14" s="28">
        <v>0.39296947225000062</v>
      </c>
      <c r="AJ14" s="28">
        <v>0.78593894450000112</v>
      </c>
      <c r="AK14" s="28">
        <v>0.52395929633333405</v>
      </c>
      <c r="AL14" s="28">
        <v>0.52395929633333405</v>
      </c>
      <c r="AM14" s="28">
        <v>1.0479185926666681</v>
      </c>
      <c r="AN14" s="28">
        <v>1.0479185926666681</v>
      </c>
      <c r="AO14" s="28">
        <v>0.39296947225000062</v>
      </c>
      <c r="AP14" s="28">
        <v>0.39296947225000062</v>
      </c>
      <c r="AQ14" s="28">
        <v>1.0479185926666681</v>
      </c>
      <c r="AR14" s="28">
        <v>1.0479185926666681</v>
      </c>
      <c r="AS14" s="28">
        <v>1.0479185926666681</v>
      </c>
      <c r="AT14" s="28">
        <v>0.65494912041666753</v>
      </c>
      <c r="AU14" s="28">
        <v>1.0479185926666681</v>
      </c>
      <c r="AV14" s="28">
        <v>1.0479185926666681</v>
      </c>
      <c r="AW14" s="28">
        <v>0.82011020295652304</v>
      </c>
      <c r="AX14" s="34">
        <v>37.725069336000061</v>
      </c>
    </row>
    <row r="15" spans="1:50" x14ac:dyDescent="0.25">
      <c r="A15" s="24">
        <v>14</v>
      </c>
      <c r="B15" s="26">
        <v>6.5</v>
      </c>
      <c r="C15" s="28">
        <v>1.188023521766665</v>
      </c>
      <c r="D15" s="28">
        <v>1.018305875799999</v>
      </c>
      <c r="E15" s="28">
        <v>1.357741167733332</v>
      </c>
      <c r="F15" s="28">
        <v>1.357741167733332</v>
      </c>
      <c r="G15" s="28">
        <v>1.018305875799999</v>
      </c>
      <c r="H15" s="28">
        <v>1.357741167733332</v>
      </c>
      <c r="I15" s="28">
        <v>1.357741167733332</v>
      </c>
      <c r="J15" s="28">
        <v>0.84858822983333249</v>
      </c>
      <c r="K15" s="28">
        <v>0.84858822983333249</v>
      </c>
      <c r="L15" s="28">
        <v>1.357741167733332</v>
      </c>
      <c r="M15" s="28">
        <v>1.018305875799999</v>
      </c>
      <c r="N15" s="28">
        <v>1.357741167733332</v>
      </c>
      <c r="O15" s="28">
        <v>0.50915293789999949</v>
      </c>
      <c r="P15" s="28">
        <v>0.67887058386666599</v>
      </c>
      <c r="Q15" s="28">
        <v>1.357741167733332</v>
      </c>
      <c r="R15" s="28">
        <v>0.84858822983333249</v>
      </c>
      <c r="S15" s="28">
        <v>0.50915293789999949</v>
      </c>
      <c r="T15" s="28">
        <v>1.357741167733332</v>
      </c>
      <c r="U15" s="28">
        <v>1.357741167733332</v>
      </c>
      <c r="V15" s="28">
        <v>0.84858822983333249</v>
      </c>
      <c r="W15" s="28">
        <v>1.188023521766665</v>
      </c>
      <c r="X15" s="28">
        <v>0.84858822983333249</v>
      </c>
      <c r="Y15" s="28">
        <v>1.357741167733332</v>
      </c>
      <c r="Z15" s="28">
        <v>0.84858822983333249</v>
      </c>
      <c r="AA15" s="28">
        <v>1.188023521766665</v>
      </c>
      <c r="AB15" s="28">
        <v>0.84858822983333249</v>
      </c>
      <c r="AC15" s="28">
        <v>1.357741167733332</v>
      </c>
      <c r="AD15" s="28">
        <v>0.67887058386666599</v>
      </c>
      <c r="AE15" s="28">
        <v>0.84858822983333249</v>
      </c>
      <c r="AF15" s="28">
        <v>1.357741167733332</v>
      </c>
      <c r="AG15" s="28">
        <v>1.357741167733332</v>
      </c>
      <c r="AH15" s="28">
        <v>1.188023521766665</v>
      </c>
      <c r="AI15" s="28">
        <v>0.50915293789999949</v>
      </c>
      <c r="AJ15" s="28">
        <v>1.018305875799999</v>
      </c>
      <c r="AK15" s="28">
        <v>0.67887058386666599</v>
      </c>
      <c r="AL15" s="28">
        <v>0.67887058386666599</v>
      </c>
      <c r="AM15" s="28">
        <v>1.357741167733332</v>
      </c>
      <c r="AN15" s="28">
        <v>1.357741167733332</v>
      </c>
      <c r="AO15" s="28">
        <v>0.50915293789999949</v>
      </c>
      <c r="AP15" s="28">
        <v>0.50915293789999949</v>
      </c>
      <c r="AQ15" s="28">
        <v>1.357741167733332</v>
      </c>
      <c r="AR15" s="28">
        <v>1.357741167733332</v>
      </c>
      <c r="AS15" s="28">
        <v>1.357741167733332</v>
      </c>
      <c r="AT15" s="28">
        <v>0.84858822983333249</v>
      </c>
      <c r="AU15" s="28">
        <v>1.357741167733332</v>
      </c>
      <c r="AV15" s="28">
        <v>1.357741167733332</v>
      </c>
      <c r="AW15" s="28">
        <v>1.062580044313042</v>
      </c>
      <c r="AX15" s="34">
        <v>48.87868203839993</v>
      </c>
    </row>
    <row r="16" spans="1:50" x14ac:dyDescent="0.25">
      <c r="A16" s="24">
        <v>15</v>
      </c>
      <c r="B16" s="26">
        <v>7</v>
      </c>
      <c r="C16" s="28">
        <v>1.4577145229499999</v>
      </c>
      <c r="D16" s="28">
        <v>1.2494695911</v>
      </c>
      <c r="E16" s="28">
        <v>1.6659594548000001</v>
      </c>
      <c r="F16" s="28">
        <v>1.6659594548000001</v>
      </c>
      <c r="G16" s="28">
        <v>1.2494695911</v>
      </c>
      <c r="H16" s="28">
        <v>1.6659594548000001</v>
      </c>
      <c r="I16" s="28">
        <v>1.6659594548000001</v>
      </c>
      <c r="J16" s="28">
        <v>1.0412246592500001</v>
      </c>
      <c r="K16" s="28">
        <v>1.0412246592500001</v>
      </c>
      <c r="L16" s="28">
        <v>1.6659594548000001</v>
      </c>
      <c r="M16" s="28">
        <v>1.2494695911</v>
      </c>
      <c r="N16" s="28">
        <v>1.6659594548000001</v>
      </c>
      <c r="O16" s="28">
        <v>0.62473479555</v>
      </c>
      <c r="P16" s="28">
        <v>0.83297972740000004</v>
      </c>
      <c r="Q16" s="28">
        <v>1.6659594548000001</v>
      </c>
      <c r="R16" s="28">
        <v>1.0412246592500001</v>
      </c>
      <c r="S16" s="28">
        <v>0.62473479555</v>
      </c>
      <c r="T16" s="28">
        <v>1.6659594548000001</v>
      </c>
      <c r="U16" s="28">
        <v>1.6659594548000001</v>
      </c>
      <c r="V16" s="28">
        <v>1.0412246592500001</v>
      </c>
      <c r="W16" s="28">
        <v>1.4577145229499999</v>
      </c>
      <c r="X16" s="28">
        <v>1.0412246592500001</v>
      </c>
      <c r="Y16" s="28">
        <v>1.6659594548000001</v>
      </c>
      <c r="Z16" s="28">
        <v>1.0412246592500001</v>
      </c>
      <c r="AA16" s="28">
        <v>1.4577145229499999</v>
      </c>
      <c r="AB16" s="28">
        <v>1.0412246592500001</v>
      </c>
      <c r="AC16" s="28">
        <v>1.6659594548000001</v>
      </c>
      <c r="AD16" s="28">
        <v>0.83297972740000004</v>
      </c>
      <c r="AE16" s="28">
        <v>1.0412246592500001</v>
      </c>
      <c r="AF16" s="28">
        <v>1.6659594548000001</v>
      </c>
      <c r="AG16" s="28">
        <v>1.6659594548000001</v>
      </c>
      <c r="AH16" s="28">
        <v>1.4577145229499999</v>
      </c>
      <c r="AI16" s="28">
        <v>0.62473479555</v>
      </c>
      <c r="AJ16" s="28">
        <v>1.2494695911</v>
      </c>
      <c r="AK16" s="28">
        <v>0.83297972740000004</v>
      </c>
      <c r="AL16" s="28">
        <v>0.83297972740000004</v>
      </c>
      <c r="AM16" s="28">
        <v>1.6659594548000001</v>
      </c>
      <c r="AN16" s="28">
        <v>1.6659594548000001</v>
      </c>
      <c r="AO16" s="28">
        <v>0.62473479555</v>
      </c>
      <c r="AP16" s="28">
        <v>0.62473479555</v>
      </c>
      <c r="AQ16" s="28">
        <v>1.6659594548000001</v>
      </c>
      <c r="AR16" s="28">
        <v>1.6659594548000001</v>
      </c>
      <c r="AS16" s="28">
        <v>1.6659594548000001</v>
      </c>
      <c r="AT16" s="28">
        <v>1.0412246592500001</v>
      </c>
      <c r="AU16" s="28">
        <v>1.6659594548000001</v>
      </c>
      <c r="AV16" s="28">
        <v>1.6659594548000001</v>
      </c>
      <c r="AW16" s="28">
        <v>1.303794355930435</v>
      </c>
      <c r="AX16" s="34">
        <v>59.974540372800021</v>
      </c>
    </row>
    <row r="17" spans="1:50" x14ac:dyDescent="0.25">
      <c r="A17" s="24">
        <v>16</v>
      </c>
      <c r="B17" s="26">
        <v>7.5</v>
      </c>
      <c r="C17" s="28">
        <v>1.72779782875</v>
      </c>
      <c r="D17" s="28">
        <v>1.4809695675000001</v>
      </c>
      <c r="E17" s="28">
        <v>1.9746260899999999</v>
      </c>
      <c r="F17" s="28">
        <v>1.9746260899999999</v>
      </c>
      <c r="G17" s="28">
        <v>1.4809695675000001</v>
      </c>
      <c r="H17" s="28">
        <v>1.9746260899999999</v>
      </c>
      <c r="I17" s="28">
        <v>1.9746260899999999</v>
      </c>
      <c r="J17" s="28">
        <v>1.23414130625</v>
      </c>
      <c r="K17" s="28">
        <v>1.23414130625</v>
      </c>
      <c r="L17" s="28">
        <v>1.9746260899999999</v>
      </c>
      <c r="M17" s="28">
        <v>1.4809695675000001</v>
      </c>
      <c r="N17" s="28">
        <v>1.9746260899999999</v>
      </c>
      <c r="O17" s="28">
        <v>0.74048478374999993</v>
      </c>
      <c r="P17" s="28">
        <v>0.98731304499999994</v>
      </c>
      <c r="Q17" s="28">
        <v>1.9746260899999999</v>
      </c>
      <c r="R17" s="28">
        <v>1.23414130625</v>
      </c>
      <c r="S17" s="28">
        <v>0.74048478374999993</v>
      </c>
      <c r="T17" s="28">
        <v>1.9746260899999999</v>
      </c>
      <c r="U17" s="28">
        <v>1.9746260899999999</v>
      </c>
      <c r="V17" s="28">
        <v>1.23414130625</v>
      </c>
      <c r="W17" s="28">
        <v>1.72779782875</v>
      </c>
      <c r="X17" s="28">
        <v>1.23414130625</v>
      </c>
      <c r="Y17" s="28">
        <v>1.9746260899999999</v>
      </c>
      <c r="Z17" s="28">
        <v>1.23414130625</v>
      </c>
      <c r="AA17" s="28">
        <v>1.72779782875</v>
      </c>
      <c r="AB17" s="28">
        <v>1.23414130625</v>
      </c>
      <c r="AC17" s="28">
        <v>1.9746260899999999</v>
      </c>
      <c r="AD17" s="28">
        <v>0.98731304499999994</v>
      </c>
      <c r="AE17" s="28">
        <v>1.23414130625</v>
      </c>
      <c r="AF17" s="28">
        <v>1.9746260899999999</v>
      </c>
      <c r="AG17" s="28">
        <v>1.9746260899999999</v>
      </c>
      <c r="AH17" s="28">
        <v>1.72779782875</v>
      </c>
      <c r="AI17" s="28">
        <v>0.74048478374999993</v>
      </c>
      <c r="AJ17" s="28">
        <v>1.4809695675000001</v>
      </c>
      <c r="AK17" s="28">
        <v>0.98731304499999994</v>
      </c>
      <c r="AL17" s="28">
        <v>0.98731304499999994</v>
      </c>
      <c r="AM17" s="28">
        <v>1.9746260899999999</v>
      </c>
      <c r="AN17" s="28">
        <v>1.9746260899999999</v>
      </c>
      <c r="AO17" s="28">
        <v>0.74048478374999993</v>
      </c>
      <c r="AP17" s="28">
        <v>0.74048478374999993</v>
      </c>
      <c r="AQ17" s="28">
        <v>1.9746260899999999</v>
      </c>
      <c r="AR17" s="28">
        <v>1.9746260899999999</v>
      </c>
      <c r="AS17" s="28">
        <v>1.9746260899999999</v>
      </c>
      <c r="AT17" s="28">
        <v>1.23414130625</v>
      </c>
      <c r="AU17" s="28">
        <v>1.9746260899999999</v>
      </c>
      <c r="AV17" s="28">
        <v>1.9746260899999999</v>
      </c>
      <c r="AW17" s="28">
        <v>1.545359548695652</v>
      </c>
      <c r="AX17" s="34">
        <v>71.086539240000008</v>
      </c>
    </row>
    <row r="18" spans="1:50" x14ac:dyDescent="0.25">
      <c r="A18" s="24">
        <v>17</v>
      </c>
      <c r="B18" s="26">
        <v>8</v>
      </c>
      <c r="C18" s="28">
        <v>1.9812882234833351</v>
      </c>
      <c r="D18" s="28">
        <v>1.698247048700001</v>
      </c>
      <c r="E18" s="28">
        <v>2.2643293982666681</v>
      </c>
      <c r="F18" s="28">
        <v>2.2643293982666681</v>
      </c>
      <c r="G18" s="28">
        <v>1.698247048700001</v>
      </c>
      <c r="H18" s="28">
        <v>2.2643293982666681</v>
      </c>
      <c r="I18" s="28">
        <v>2.2643293982666681</v>
      </c>
      <c r="J18" s="28">
        <v>1.415205873916668</v>
      </c>
      <c r="K18" s="28">
        <v>1.415205873916668</v>
      </c>
      <c r="L18" s="28">
        <v>2.2643293982666681</v>
      </c>
      <c r="M18" s="28">
        <v>1.698247048700001</v>
      </c>
      <c r="N18" s="28">
        <v>2.2643293982666681</v>
      </c>
      <c r="O18" s="28">
        <v>0.8491235243500006</v>
      </c>
      <c r="P18" s="28">
        <v>1.1321646991333341</v>
      </c>
      <c r="Q18" s="28">
        <v>2.2643293982666681</v>
      </c>
      <c r="R18" s="28">
        <v>1.415205873916668</v>
      </c>
      <c r="S18" s="28">
        <v>0.8491235243500006</v>
      </c>
      <c r="T18" s="28">
        <v>2.2643293982666681</v>
      </c>
      <c r="U18" s="28">
        <v>2.2643293982666681</v>
      </c>
      <c r="V18" s="28">
        <v>1.415205873916668</v>
      </c>
      <c r="W18" s="28">
        <v>1.9812882234833351</v>
      </c>
      <c r="X18" s="28">
        <v>1.415205873916668</v>
      </c>
      <c r="Y18" s="28">
        <v>2.2643293982666681</v>
      </c>
      <c r="Z18" s="28">
        <v>1.415205873916668</v>
      </c>
      <c r="AA18" s="28">
        <v>1.9812882234833351</v>
      </c>
      <c r="AB18" s="28">
        <v>1.415205873916668</v>
      </c>
      <c r="AC18" s="28">
        <v>2.2643293982666681</v>
      </c>
      <c r="AD18" s="28">
        <v>1.1321646991333341</v>
      </c>
      <c r="AE18" s="28">
        <v>1.415205873916668</v>
      </c>
      <c r="AF18" s="28">
        <v>2.2643293982666681</v>
      </c>
      <c r="AG18" s="28">
        <v>2.2643293982666681</v>
      </c>
      <c r="AH18" s="28">
        <v>1.9812882234833351</v>
      </c>
      <c r="AI18" s="28">
        <v>0.8491235243500006</v>
      </c>
      <c r="AJ18" s="28">
        <v>1.698247048700001</v>
      </c>
      <c r="AK18" s="28">
        <v>1.1321646991333341</v>
      </c>
      <c r="AL18" s="28">
        <v>1.1321646991333341</v>
      </c>
      <c r="AM18" s="28">
        <v>2.2643293982666681</v>
      </c>
      <c r="AN18" s="28">
        <v>2.2643293982666681</v>
      </c>
      <c r="AO18" s="28">
        <v>0.8491235243500006</v>
      </c>
      <c r="AP18" s="28">
        <v>0.8491235243500006</v>
      </c>
      <c r="AQ18" s="28">
        <v>2.2643293982666681</v>
      </c>
      <c r="AR18" s="28">
        <v>2.2643293982666681</v>
      </c>
      <c r="AS18" s="28">
        <v>2.2643293982666681</v>
      </c>
      <c r="AT18" s="28">
        <v>1.415205873916668</v>
      </c>
      <c r="AU18" s="28">
        <v>2.2643293982666681</v>
      </c>
      <c r="AV18" s="28">
        <v>2.2643293982666681</v>
      </c>
      <c r="AW18" s="28">
        <v>1.772083876904349</v>
      </c>
      <c r="AX18" s="34">
        <v>81.515858337600065</v>
      </c>
    </row>
    <row r="19" spans="1:50" x14ac:dyDescent="0.25">
      <c r="A19" s="24">
        <v>18</v>
      </c>
      <c r="B19" s="26">
        <v>8.5</v>
      </c>
      <c r="C19" s="28">
        <v>2.2195695669000002</v>
      </c>
      <c r="D19" s="28">
        <v>1.9024882002000001</v>
      </c>
      <c r="E19" s="28">
        <v>2.5366509335999998</v>
      </c>
      <c r="F19" s="28">
        <v>2.5366509335999998</v>
      </c>
      <c r="G19" s="28">
        <v>1.9024882002000001</v>
      </c>
      <c r="H19" s="28">
        <v>2.5366509335999998</v>
      </c>
      <c r="I19" s="28">
        <v>2.5366509335999998</v>
      </c>
      <c r="J19" s="28">
        <v>1.5854068335</v>
      </c>
      <c r="K19" s="28">
        <v>1.5854068335</v>
      </c>
      <c r="L19" s="28">
        <v>2.5366509335999998</v>
      </c>
      <c r="M19" s="28">
        <v>1.9024882002000001</v>
      </c>
      <c r="N19" s="28">
        <v>2.5366509335999998</v>
      </c>
      <c r="O19" s="28">
        <v>0.95124410009999993</v>
      </c>
      <c r="P19" s="28">
        <v>1.2683254667999999</v>
      </c>
      <c r="Q19" s="28">
        <v>2.5366509335999998</v>
      </c>
      <c r="R19" s="28">
        <v>1.5854068335</v>
      </c>
      <c r="S19" s="28">
        <v>0.95124410009999993</v>
      </c>
      <c r="T19" s="28">
        <v>2.5366509335999998</v>
      </c>
      <c r="U19" s="28">
        <v>2.5366509335999998</v>
      </c>
      <c r="V19" s="28">
        <v>1.5854068335</v>
      </c>
      <c r="W19" s="28">
        <v>2.2195695669000002</v>
      </c>
      <c r="X19" s="28">
        <v>1.5854068335</v>
      </c>
      <c r="Y19" s="28">
        <v>2.5366509335999998</v>
      </c>
      <c r="Z19" s="28">
        <v>1.5854068335</v>
      </c>
      <c r="AA19" s="28">
        <v>2.2195695669000002</v>
      </c>
      <c r="AB19" s="28">
        <v>1.5854068335</v>
      </c>
      <c r="AC19" s="28">
        <v>2.5366509335999998</v>
      </c>
      <c r="AD19" s="28">
        <v>1.2683254667999999</v>
      </c>
      <c r="AE19" s="28">
        <v>1.5854068335</v>
      </c>
      <c r="AF19" s="28">
        <v>2.5366509335999998</v>
      </c>
      <c r="AG19" s="28">
        <v>2.5366509335999998</v>
      </c>
      <c r="AH19" s="28">
        <v>2.2195695669000002</v>
      </c>
      <c r="AI19" s="28">
        <v>0.95124410009999993</v>
      </c>
      <c r="AJ19" s="28">
        <v>1.9024882002000001</v>
      </c>
      <c r="AK19" s="28">
        <v>1.2683254667999999</v>
      </c>
      <c r="AL19" s="28">
        <v>1.2683254667999999</v>
      </c>
      <c r="AM19" s="28">
        <v>2.5366509335999998</v>
      </c>
      <c r="AN19" s="28">
        <v>2.5366509335999998</v>
      </c>
      <c r="AO19" s="28">
        <v>0.95124410009999993</v>
      </c>
      <c r="AP19" s="28">
        <v>0.95124410009999993</v>
      </c>
      <c r="AQ19" s="28">
        <v>2.5366509335999998</v>
      </c>
      <c r="AR19" s="28">
        <v>2.5366509335999998</v>
      </c>
      <c r="AS19" s="28">
        <v>2.5366509335999998</v>
      </c>
      <c r="AT19" s="28">
        <v>1.5854068335</v>
      </c>
      <c r="AU19" s="28">
        <v>2.5366509335999998</v>
      </c>
      <c r="AV19" s="28">
        <v>2.5366509335999998</v>
      </c>
      <c r="AW19" s="28">
        <v>1.985205078469565</v>
      </c>
      <c r="AX19" s="34">
        <v>91.319433609599997</v>
      </c>
    </row>
    <row r="20" spans="1:50" x14ac:dyDescent="0.25">
      <c r="A20" s="24">
        <v>19</v>
      </c>
      <c r="B20" s="26">
        <v>9</v>
      </c>
      <c r="C20" s="28">
        <v>2.4225034423333351</v>
      </c>
      <c r="D20" s="28">
        <v>2.0764315220000009</v>
      </c>
      <c r="E20" s="28">
        <v>2.768575362666668</v>
      </c>
      <c r="F20" s="28">
        <v>2.768575362666668</v>
      </c>
      <c r="G20" s="28">
        <v>2.0764315220000009</v>
      </c>
      <c r="H20" s="28">
        <v>2.768575362666668</v>
      </c>
      <c r="I20" s="28">
        <v>2.768575362666668</v>
      </c>
      <c r="J20" s="28">
        <v>1.730359601666668</v>
      </c>
      <c r="K20" s="28">
        <v>1.730359601666668</v>
      </c>
      <c r="L20" s="28">
        <v>2.768575362666668</v>
      </c>
      <c r="M20" s="28">
        <v>2.0764315220000009</v>
      </c>
      <c r="N20" s="28">
        <v>2.768575362666668</v>
      </c>
      <c r="O20" s="28">
        <v>1.038215761</v>
      </c>
      <c r="P20" s="28">
        <v>1.384287681333334</v>
      </c>
      <c r="Q20" s="28">
        <v>2.768575362666668</v>
      </c>
      <c r="R20" s="28">
        <v>1.730359601666668</v>
      </c>
      <c r="S20" s="28">
        <v>1.038215761</v>
      </c>
      <c r="T20" s="28">
        <v>2.768575362666668</v>
      </c>
      <c r="U20" s="28">
        <v>2.768575362666668</v>
      </c>
      <c r="V20" s="28">
        <v>1.730359601666668</v>
      </c>
      <c r="W20" s="28">
        <v>2.4225034423333351</v>
      </c>
      <c r="X20" s="28">
        <v>1.730359601666668</v>
      </c>
      <c r="Y20" s="28">
        <v>2.768575362666668</v>
      </c>
      <c r="Z20" s="28">
        <v>1.730359601666668</v>
      </c>
      <c r="AA20" s="28">
        <v>2.4225034423333351</v>
      </c>
      <c r="AB20" s="28">
        <v>1.730359601666668</v>
      </c>
      <c r="AC20" s="28">
        <v>2.768575362666668</v>
      </c>
      <c r="AD20" s="28">
        <v>1.384287681333334</v>
      </c>
      <c r="AE20" s="28">
        <v>1.730359601666668</v>
      </c>
      <c r="AF20" s="28">
        <v>2.768575362666668</v>
      </c>
      <c r="AG20" s="28">
        <v>2.768575362666668</v>
      </c>
      <c r="AH20" s="28">
        <v>2.4225034423333351</v>
      </c>
      <c r="AI20" s="28">
        <v>1.038215761</v>
      </c>
      <c r="AJ20" s="28">
        <v>2.0764315220000009</v>
      </c>
      <c r="AK20" s="28">
        <v>1.384287681333334</v>
      </c>
      <c r="AL20" s="28">
        <v>1.384287681333334</v>
      </c>
      <c r="AM20" s="28">
        <v>2.768575362666668</v>
      </c>
      <c r="AN20" s="28">
        <v>2.768575362666668</v>
      </c>
      <c r="AO20" s="28">
        <v>1.038215761</v>
      </c>
      <c r="AP20" s="28">
        <v>1.038215761</v>
      </c>
      <c r="AQ20" s="28">
        <v>2.768575362666668</v>
      </c>
      <c r="AR20" s="28">
        <v>2.768575362666668</v>
      </c>
      <c r="AS20" s="28">
        <v>2.768575362666668</v>
      </c>
      <c r="AT20" s="28">
        <v>1.730359601666668</v>
      </c>
      <c r="AU20" s="28">
        <v>2.768575362666668</v>
      </c>
      <c r="AV20" s="28">
        <v>2.768575362666668</v>
      </c>
      <c r="AW20" s="28">
        <v>2.1667111533913062</v>
      </c>
      <c r="AX20" s="34">
        <v>99.668713056000072</v>
      </c>
    </row>
    <row r="21" spans="1:50" x14ac:dyDescent="0.25">
      <c r="A21" s="24">
        <v>20</v>
      </c>
      <c r="B21" s="26">
        <v>9.5</v>
      </c>
      <c r="C21" s="28">
        <v>2.5955854803666649</v>
      </c>
      <c r="D21" s="28">
        <v>2.2247875545999989</v>
      </c>
      <c r="E21" s="28">
        <v>2.9663834061333318</v>
      </c>
      <c r="F21" s="28">
        <v>2.9663834061333318</v>
      </c>
      <c r="G21" s="28">
        <v>2.2247875545999989</v>
      </c>
      <c r="H21" s="28">
        <v>2.9663834061333318</v>
      </c>
      <c r="I21" s="28">
        <v>2.9663834061333318</v>
      </c>
      <c r="J21" s="28">
        <v>1.853989628833332</v>
      </c>
      <c r="K21" s="28">
        <v>1.853989628833332</v>
      </c>
      <c r="L21" s="28">
        <v>2.9663834061333318</v>
      </c>
      <c r="M21" s="28">
        <v>2.2247875545999989</v>
      </c>
      <c r="N21" s="28">
        <v>2.9663834061333318</v>
      </c>
      <c r="O21" s="28">
        <v>1.112393777299999</v>
      </c>
      <c r="P21" s="28">
        <v>1.4831917030666659</v>
      </c>
      <c r="Q21" s="28">
        <v>2.9663834061333318</v>
      </c>
      <c r="R21" s="28">
        <v>1.853989628833332</v>
      </c>
      <c r="S21" s="28">
        <v>1.112393777299999</v>
      </c>
      <c r="T21" s="28">
        <v>2.9663834061333318</v>
      </c>
      <c r="U21" s="28">
        <v>2.9663834061333318</v>
      </c>
      <c r="V21" s="28">
        <v>1.853989628833332</v>
      </c>
      <c r="W21" s="28">
        <v>2.5955854803666649</v>
      </c>
      <c r="X21" s="28">
        <v>1.853989628833332</v>
      </c>
      <c r="Y21" s="28">
        <v>2.9663834061333318</v>
      </c>
      <c r="Z21" s="28">
        <v>1.853989628833332</v>
      </c>
      <c r="AA21" s="28">
        <v>2.5955854803666649</v>
      </c>
      <c r="AB21" s="28">
        <v>1.853989628833332</v>
      </c>
      <c r="AC21" s="28">
        <v>2.9663834061333318</v>
      </c>
      <c r="AD21" s="28">
        <v>1.4831917030666659</v>
      </c>
      <c r="AE21" s="28">
        <v>1.853989628833332</v>
      </c>
      <c r="AF21" s="28">
        <v>2.9663834061333318</v>
      </c>
      <c r="AG21" s="28">
        <v>2.9663834061333318</v>
      </c>
      <c r="AH21" s="28">
        <v>2.5955854803666649</v>
      </c>
      <c r="AI21" s="28">
        <v>1.112393777299999</v>
      </c>
      <c r="AJ21" s="28">
        <v>2.2247875545999989</v>
      </c>
      <c r="AK21" s="28">
        <v>1.4831917030666659</v>
      </c>
      <c r="AL21" s="28">
        <v>1.4831917030666659</v>
      </c>
      <c r="AM21" s="28">
        <v>2.9663834061333318</v>
      </c>
      <c r="AN21" s="28">
        <v>2.9663834061333318</v>
      </c>
      <c r="AO21" s="28">
        <v>1.112393777299999</v>
      </c>
      <c r="AP21" s="28">
        <v>1.112393777299999</v>
      </c>
      <c r="AQ21" s="28">
        <v>2.9663834061333318</v>
      </c>
      <c r="AR21" s="28">
        <v>2.9663834061333318</v>
      </c>
      <c r="AS21" s="28">
        <v>2.9663834061333318</v>
      </c>
      <c r="AT21" s="28">
        <v>1.853989628833332</v>
      </c>
      <c r="AU21" s="28">
        <v>2.9663834061333318</v>
      </c>
      <c r="AV21" s="28">
        <v>2.9663834061333318</v>
      </c>
      <c r="AW21" s="28">
        <v>2.3215174482782599</v>
      </c>
      <c r="AX21" s="34">
        <v>106.7898026207999</v>
      </c>
    </row>
    <row r="22" spans="1:50" x14ac:dyDescent="0.25">
      <c r="A22" s="24">
        <v>21</v>
      </c>
      <c r="B22" s="26">
        <v>10</v>
      </c>
      <c r="C22" s="28">
        <v>2.7475078251833338</v>
      </c>
      <c r="D22" s="28">
        <v>2.3550067073000012</v>
      </c>
      <c r="E22" s="28">
        <v>3.1400089430666678</v>
      </c>
      <c r="F22" s="28">
        <v>3.1400089430666678</v>
      </c>
      <c r="G22" s="28">
        <v>2.3550067073000012</v>
      </c>
      <c r="H22" s="28">
        <v>3.1400089430666678</v>
      </c>
      <c r="I22" s="28">
        <v>3.1400089430666678</v>
      </c>
      <c r="J22" s="28">
        <v>1.962505589416667</v>
      </c>
      <c r="K22" s="28">
        <v>1.962505589416667</v>
      </c>
      <c r="L22" s="28">
        <v>3.1400089430666678</v>
      </c>
      <c r="M22" s="28">
        <v>2.3550067073000012</v>
      </c>
      <c r="N22" s="28">
        <v>3.1400089430666678</v>
      </c>
      <c r="O22" s="28">
        <v>1.1775033536499999</v>
      </c>
      <c r="P22" s="28">
        <v>1.5700044715333339</v>
      </c>
      <c r="Q22" s="28">
        <v>3.1400089430666678</v>
      </c>
      <c r="R22" s="28">
        <v>1.962505589416667</v>
      </c>
      <c r="S22" s="28">
        <v>1.1775033536499999</v>
      </c>
      <c r="T22" s="28">
        <v>3.1400089430666678</v>
      </c>
      <c r="U22" s="28">
        <v>3.1400089430666678</v>
      </c>
      <c r="V22" s="28">
        <v>1.962505589416667</v>
      </c>
      <c r="W22" s="28">
        <v>2.7475078251833338</v>
      </c>
      <c r="X22" s="28">
        <v>1.962505589416667</v>
      </c>
      <c r="Y22" s="28">
        <v>3.1400089430666678</v>
      </c>
      <c r="Z22" s="28">
        <v>1.962505589416667</v>
      </c>
      <c r="AA22" s="28">
        <v>2.7475078251833338</v>
      </c>
      <c r="AB22" s="28">
        <v>1.962505589416667</v>
      </c>
      <c r="AC22" s="28">
        <v>3.1400089430666678</v>
      </c>
      <c r="AD22" s="28">
        <v>1.5700044715333339</v>
      </c>
      <c r="AE22" s="28">
        <v>1.962505589416667</v>
      </c>
      <c r="AF22" s="28">
        <v>3.1400089430666678</v>
      </c>
      <c r="AG22" s="28">
        <v>3.1400089430666678</v>
      </c>
      <c r="AH22" s="28">
        <v>2.7475078251833338</v>
      </c>
      <c r="AI22" s="28">
        <v>1.1775033536499999</v>
      </c>
      <c r="AJ22" s="28">
        <v>2.3550067073000012</v>
      </c>
      <c r="AK22" s="28">
        <v>1.5700044715333339</v>
      </c>
      <c r="AL22" s="28">
        <v>1.5700044715333339</v>
      </c>
      <c r="AM22" s="28">
        <v>3.1400089430666678</v>
      </c>
      <c r="AN22" s="28">
        <v>3.1400089430666678</v>
      </c>
      <c r="AO22" s="28">
        <v>1.1775033536499999</v>
      </c>
      <c r="AP22" s="28">
        <v>1.1775033536499999</v>
      </c>
      <c r="AQ22" s="28">
        <v>3.1400089430666678</v>
      </c>
      <c r="AR22" s="28">
        <v>3.1400089430666678</v>
      </c>
      <c r="AS22" s="28">
        <v>3.1400089430666678</v>
      </c>
      <c r="AT22" s="28">
        <v>1.962505589416667</v>
      </c>
      <c r="AU22" s="28">
        <v>3.1400089430666678</v>
      </c>
      <c r="AV22" s="28">
        <v>3.1400089430666678</v>
      </c>
      <c r="AW22" s="28">
        <v>2.457398303269565</v>
      </c>
      <c r="AX22" s="34">
        <v>113.0403219504</v>
      </c>
    </row>
    <row r="23" spans="1:50" x14ac:dyDescent="0.25">
      <c r="A23" s="24">
        <v>22</v>
      </c>
      <c r="B23" s="26">
        <v>10.5</v>
      </c>
      <c r="C23" s="28">
        <v>2.87289198105</v>
      </c>
      <c r="D23" s="28">
        <v>2.4624788408999998</v>
      </c>
      <c r="E23" s="28">
        <v>3.2833051212000002</v>
      </c>
      <c r="F23" s="28">
        <v>3.2833051212000002</v>
      </c>
      <c r="G23" s="28">
        <v>2.4624788408999998</v>
      </c>
      <c r="H23" s="28">
        <v>3.2833051212000002</v>
      </c>
      <c r="I23" s="28">
        <v>3.2833051212000002</v>
      </c>
      <c r="J23" s="28">
        <v>2.0520657007500001</v>
      </c>
      <c r="K23" s="28">
        <v>2.0520657007500001</v>
      </c>
      <c r="L23" s="28">
        <v>3.2833051212000002</v>
      </c>
      <c r="M23" s="28">
        <v>2.4624788408999998</v>
      </c>
      <c r="N23" s="28">
        <v>3.2833051212000002</v>
      </c>
      <c r="O23" s="28">
        <v>1.2312394204499999</v>
      </c>
      <c r="P23" s="28">
        <v>1.6416525606000001</v>
      </c>
      <c r="Q23" s="28">
        <v>3.2833051212000002</v>
      </c>
      <c r="R23" s="28">
        <v>2.0520657007500001</v>
      </c>
      <c r="S23" s="28">
        <v>1.2312394204499999</v>
      </c>
      <c r="T23" s="28">
        <v>3.2833051212000002</v>
      </c>
      <c r="U23" s="28">
        <v>3.2833051212000002</v>
      </c>
      <c r="V23" s="28">
        <v>2.0520657007500001</v>
      </c>
      <c r="W23" s="28">
        <v>2.87289198105</v>
      </c>
      <c r="X23" s="28">
        <v>2.0520657007500001</v>
      </c>
      <c r="Y23" s="28">
        <v>3.2833051212000002</v>
      </c>
      <c r="Z23" s="28">
        <v>2.0520657007500001</v>
      </c>
      <c r="AA23" s="28">
        <v>2.87289198105</v>
      </c>
      <c r="AB23" s="28">
        <v>2.0520657007500001</v>
      </c>
      <c r="AC23" s="28">
        <v>3.2833051212000002</v>
      </c>
      <c r="AD23" s="28">
        <v>1.6416525606000001</v>
      </c>
      <c r="AE23" s="28">
        <v>2.0520657007500001</v>
      </c>
      <c r="AF23" s="28">
        <v>3.2833051212000002</v>
      </c>
      <c r="AG23" s="28">
        <v>3.2833051212000002</v>
      </c>
      <c r="AH23" s="28">
        <v>2.87289198105</v>
      </c>
      <c r="AI23" s="28">
        <v>1.2312394204499999</v>
      </c>
      <c r="AJ23" s="28">
        <v>2.4624788408999998</v>
      </c>
      <c r="AK23" s="28">
        <v>1.6416525606000001</v>
      </c>
      <c r="AL23" s="28">
        <v>1.6416525606000001</v>
      </c>
      <c r="AM23" s="28">
        <v>3.2833051212000002</v>
      </c>
      <c r="AN23" s="28">
        <v>3.2833051212000002</v>
      </c>
      <c r="AO23" s="28">
        <v>1.2312394204499999</v>
      </c>
      <c r="AP23" s="28">
        <v>1.2312394204499999</v>
      </c>
      <c r="AQ23" s="28">
        <v>3.2833051212000002</v>
      </c>
      <c r="AR23" s="28">
        <v>3.2833051212000002</v>
      </c>
      <c r="AS23" s="28">
        <v>3.2833051212000002</v>
      </c>
      <c r="AT23" s="28">
        <v>2.0520657007500001</v>
      </c>
      <c r="AU23" s="28">
        <v>3.2833051212000002</v>
      </c>
      <c r="AV23" s="28">
        <v>3.2833051212000002</v>
      </c>
      <c r="AW23" s="28">
        <v>2.569543138330435</v>
      </c>
      <c r="AX23" s="34">
        <v>118.1989843632</v>
      </c>
    </row>
    <row r="24" spans="1:50" x14ac:dyDescent="0.25">
      <c r="A24" s="24">
        <v>23</v>
      </c>
      <c r="B24" s="26">
        <v>11</v>
      </c>
      <c r="C24" s="28">
        <v>2.9618556840833339</v>
      </c>
      <c r="D24" s="28">
        <v>2.5387334435000009</v>
      </c>
      <c r="E24" s="28">
        <v>3.3849779246666678</v>
      </c>
      <c r="F24" s="28">
        <v>3.3849779246666678</v>
      </c>
      <c r="G24" s="28">
        <v>2.5387334435000009</v>
      </c>
      <c r="H24" s="28">
        <v>3.3849779246666678</v>
      </c>
      <c r="I24" s="28">
        <v>3.3849779246666678</v>
      </c>
      <c r="J24" s="28">
        <v>2.1156112029166669</v>
      </c>
      <c r="K24" s="28">
        <v>2.1156112029166669</v>
      </c>
      <c r="L24" s="28">
        <v>3.3849779246666678</v>
      </c>
      <c r="M24" s="28">
        <v>2.5387334435000009</v>
      </c>
      <c r="N24" s="28">
        <v>3.3849779246666678</v>
      </c>
      <c r="O24" s="28">
        <v>1.26936672175</v>
      </c>
      <c r="P24" s="28">
        <v>1.6924889623333339</v>
      </c>
      <c r="Q24" s="28">
        <v>3.3849779246666678</v>
      </c>
      <c r="R24" s="28">
        <v>2.1156112029166669</v>
      </c>
      <c r="S24" s="28">
        <v>1.26936672175</v>
      </c>
      <c r="T24" s="28">
        <v>3.3849779246666678</v>
      </c>
      <c r="U24" s="28">
        <v>3.3849779246666678</v>
      </c>
      <c r="V24" s="28">
        <v>2.1156112029166669</v>
      </c>
      <c r="W24" s="28">
        <v>2.9618556840833339</v>
      </c>
      <c r="X24" s="28">
        <v>2.1156112029166669</v>
      </c>
      <c r="Y24" s="28">
        <v>3.3849779246666678</v>
      </c>
      <c r="Z24" s="28">
        <v>2.1156112029166669</v>
      </c>
      <c r="AA24" s="28">
        <v>2.9618556840833339</v>
      </c>
      <c r="AB24" s="28">
        <v>2.1156112029166669</v>
      </c>
      <c r="AC24" s="28">
        <v>3.3849779246666678</v>
      </c>
      <c r="AD24" s="28">
        <v>1.6924889623333339</v>
      </c>
      <c r="AE24" s="28">
        <v>2.1156112029166669</v>
      </c>
      <c r="AF24" s="28">
        <v>3.3849779246666678</v>
      </c>
      <c r="AG24" s="28">
        <v>3.3849779246666678</v>
      </c>
      <c r="AH24" s="28">
        <v>2.9618556840833339</v>
      </c>
      <c r="AI24" s="28">
        <v>1.26936672175</v>
      </c>
      <c r="AJ24" s="28">
        <v>2.5387334435000009</v>
      </c>
      <c r="AK24" s="28">
        <v>1.6924889623333339</v>
      </c>
      <c r="AL24" s="28">
        <v>1.6924889623333339</v>
      </c>
      <c r="AM24" s="28">
        <v>3.3849779246666678</v>
      </c>
      <c r="AN24" s="28">
        <v>3.3849779246666678</v>
      </c>
      <c r="AO24" s="28">
        <v>1.26936672175</v>
      </c>
      <c r="AP24" s="28">
        <v>1.26936672175</v>
      </c>
      <c r="AQ24" s="28">
        <v>3.3849779246666678</v>
      </c>
      <c r="AR24" s="28">
        <v>3.3849779246666678</v>
      </c>
      <c r="AS24" s="28">
        <v>3.3849779246666678</v>
      </c>
      <c r="AT24" s="28">
        <v>2.1156112029166669</v>
      </c>
      <c r="AU24" s="28">
        <v>3.3849779246666678</v>
      </c>
      <c r="AV24" s="28">
        <v>3.3849779246666678</v>
      </c>
      <c r="AW24" s="28">
        <v>2.6491131584347838</v>
      </c>
      <c r="AX24" s="34">
        <v>121.8592052880001</v>
      </c>
    </row>
    <row r="25" spans="1:50" x14ac:dyDescent="0.25">
      <c r="A25" s="24">
        <v>24</v>
      </c>
      <c r="B25" s="26">
        <v>11.5</v>
      </c>
      <c r="C25" s="28">
        <v>3.0008708702</v>
      </c>
      <c r="D25" s="28">
        <v>2.5721750316000001</v>
      </c>
      <c r="E25" s="28">
        <v>3.4295667087999999</v>
      </c>
      <c r="F25" s="28">
        <v>3.4295667087999999</v>
      </c>
      <c r="G25" s="28">
        <v>2.5721750316000001</v>
      </c>
      <c r="H25" s="28">
        <v>3.4295667087999999</v>
      </c>
      <c r="I25" s="28">
        <v>3.4295667087999999</v>
      </c>
      <c r="J25" s="28">
        <v>2.1434791930000001</v>
      </c>
      <c r="K25" s="28">
        <v>2.1434791930000001</v>
      </c>
      <c r="L25" s="28">
        <v>3.4295667087999999</v>
      </c>
      <c r="M25" s="28">
        <v>2.5721750316000001</v>
      </c>
      <c r="N25" s="28">
        <v>3.4295667087999999</v>
      </c>
      <c r="O25" s="28">
        <v>1.2860875158</v>
      </c>
      <c r="P25" s="28">
        <v>1.7147833544</v>
      </c>
      <c r="Q25" s="28">
        <v>3.4295667087999999</v>
      </c>
      <c r="R25" s="28">
        <v>2.1434791930000001</v>
      </c>
      <c r="S25" s="28">
        <v>1.2860875158</v>
      </c>
      <c r="T25" s="28">
        <v>3.4295667087999999</v>
      </c>
      <c r="U25" s="28">
        <v>3.4295667087999999</v>
      </c>
      <c r="V25" s="28">
        <v>2.1434791930000001</v>
      </c>
      <c r="W25" s="28">
        <v>3.0008708702</v>
      </c>
      <c r="X25" s="28">
        <v>2.1434791930000001</v>
      </c>
      <c r="Y25" s="28">
        <v>3.4295667087999999</v>
      </c>
      <c r="Z25" s="28">
        <v>2.1434791930000001</v>
      </c>
      <c r="AA25" s="28">
        <v>3.0008708702</v>
      </c>
      <c r="AB25" s="28">
        <v>2.1434791930000001</v>
      </c>
      <c r="AC25" s="28">
        <v>3.4295667087999999</v>
      </c>
      <c r="AD25" s="28">
        <v>1.7147833544</v>
      </c>
      <c r="AE25" s="28">
        <v>2.1434791930000001</v>
      </c>
      <c r="AF25" s="28">
        <v>3.4295667087999999</v>
      </c>
      <c r="AG25" s="28">
        <v>3.4295667087999999</v>
      </c>
      <c r="AH25" s="28">
        <v>3.0008708702</v>
      </c>
      <c r="AI25" s="28">
        <v>1.2860875158</v>
      </c>
      <c r="AJ25" s="28">
        <v>2.5721750316000001</v>
      </c>
      <c r="AK25" s="28">
        <v>1.7147833544</v>
      </c>
      <c r="AL25" s="28">
        <v>1.7147833544</v>
      </c>
      <c r="AM25" s="28">
        <v>3.4295667087999999</v>
      </c>
      <c r="AN25" s="28">
        <v>3.4295667087999999</v>
      </c>
      <c r="AO25" s="28">
        <v>1.2860875158</v>
      </c>
      <c r="AP25" s="28">
        <v>1.2860875158</v>
      </c>
      <c r="AQ25" s="28">
        <v>3.4295667087999999</v>
      </c>
      <c r="AR25" s="28">
        <v>3.4295667087999999</v>
      </c>
      <c r="AS25" s="28">
        <v>3.4295667087999999</v>
      </c>
      <c r="AT25" s="28">
        <v>2.1434791930000001</v>
      </c>
      <c r="AU25" s="28">
        <v>3.4295667087999999</v>
      </c>
      <c r="AV25" s="28">
        <v>3.4295667087999999</v>
      </c>
      <c r="AW25" s="28">
        <v>2.684008728626087</v>
      </c>
      <c r="AX25" s="34">
        <v>123.4644015168</v>
      </c>
    </row>
    <row r="26" spans="1:50" x14ac:dyDescent="0.25">
      <c r="A26" s="24">
        <v>25</v>
      </c>
      <c r="B26" s="26">
        <v>12</v>
      </c>
      <c r="C26" s="28">
        <v>3.0121711629333352</v>
      </c>
      <c r="D26" s="28">
        <v>2.581860996800001</v>
      </c>
      <c r="E26" s="28">
        <v>3.442481329066668</v>
      </c>
      <c r="F26" s="28">
        <v>3.442481329066668</v>
      </c>
      <c r="G26" s="28">
        <v>2.581860996800001</v>
      </c>
      <c r="H26" s="28">
        <v>3.442481329066668</v>
      </c>
      <c r="I26" s="28">
        <v>3.442481329066668</v>
      </c>
      <c r="J26" s="28">
        <v>2.1515508306666669</v>
      </c>
      <c r="K26" s="28">
        <v>2.1515508306666669</v>
      </c>
      <c r="L26" s="28">
        <v>3.442481329066668</v>
      </c>
      <c r="M26" s="28">
        <v>2.581860996800001</v>
      </c>
      <c r="N26" s="28">
        <v>3.442481329066668</v>
      </c>
      <c r="O26" s="28">
        <v>1.290930498400001</v>
      </c>
      <c r="P26" s="28">
        <v>1.721240664533334</v>
      </c>
      <c r="Q26" s="28">
        <v>3.442481329066668</v>
      </c>
      <c r="R26" s="28">
        <v>2.1515508306666669</v>
      </c>
      <c r="S26" s="28">
        <v>1.290930498400001</v>
      </c>
      <c r="T26" s="28">
        <v>3.442481329066668</v>
      </c>
      <c r="U26" s="28">
        <v>3.442481329066668</v>
      </c>
      <c r="V26" s="28">
        <v>2.1515508306666669</v>
      </c>
      <c r="W26" s="28">
        <v>3.0121711629333352</v>
      </c>
      <c r="X26" s="28">
        <v>2.1515508306666669</v>
      </c>
      <c r="Y26" s="28">
        <v>3.442481329066668</v>
      </c>
      <c r="Z26" s="28">
        <v>2.1515508306666669</v>
      </c>
      <c r="AA26" s="28">
        <v>3.0121711629333352</v>
      </c>
      <c r="AB26" s="28">
        <v>2.1515508306666669</v>
      </c>
      <c r="AC26" s="28">
        <v>3.442481329066668</v>
      </c>
      <c r="AD26" s="28">
        <v>1.721240664533334</v>
      </c>
      <c r="AE26" s="28">
        <v>2.1515508306666669</v>
      </c>
      <c r="AF26" s="28">
        <v>3.442481329066668</v>
      </c>
      <c r="AG26" s="28">
        <v>3.442481329066668</v>
      </c>
      <c r="AH26" s="28">
        <v>3.0121711629333352</v>
      </c>
      <c r="AI26" s="28">
        <v>1.290930498400001</v>
      </c>
      <c r="AJ26" s="28">
        <v>2.581860996800001</v>
      </c>
      <c r="AK26" s="28">
        <v>1.721240664533334</v>
      </c>
      <c r="AL26" s="28">
        <v>1.721240664533334</v>
      </c>
      <c r="AM26" s="28">
        <v>3.442481329066668</v>
      </c>
      <c r="AN26" s="28">
        <v>3.442481329066668</v>
      </c>
      <c r="AO26" s="28">
        <v>1.290930498400001</v>
      </c>
      <c r="AP26" s="28">
        <v>1.290930498400001</v>
      </c>
      <c r="AQ26" s="28">
        <v>3.442481329066668</v>
      </c>
      <c r="AR26" s="28">
        <v>3.442481329066668</v>
      </c>
      <c r="AS26" s="28">
        <v>3.442481329066668</v>
      </c>
      <c r="AT26" s="28">
        <v>2.1515508306666669</v>
      </c>
      <c r="AU26" s="28">
        <v>3.442481329066668</v>
      </c>
      <c r="AV26" s="28">
        <v>3.442481329066668</v>
      </c>
      <c r="AW26" s="28">
        <v>2.6941158227478268</v>
      </c>
      <c r="AX26" s="34">
        <v>123.9293278464</v>
      </c>
    </row>
    <row r="27" spans="1:50" x14ac:dyDescent="0.25">
      <c r="A27" s="24">
        <v>26</v>
      </c>
      <c r="B27" s="26">
        <v>12.5</v>
      </c>
      <c r="C27" s="28">
        <v>2.9910314630000001</v>
      </c>
      <c r="D27" s="28">
        <v>2.563741254</v>
      </c>
      <c r="E27" s="28">
        <v>3.4183216719999998</v>
      </c>
      <c r="F27" s="28">
        <v>3.4183216719999998</v>
      </c>
      <c r="G27" s="28">
        <v>2.563741254</v>
      </c>
      <c r="H27" s="28">
        <v>3.4183216719999998</v>
      </c>
      <c r="I27" s="28">
        <v>3.4183216719999998</v>
      </c>
      <c r="J27" s="28">
        <v>2.1364510449999998</v>
      </c>
      <c r="K27" s="28">
        <v>2.1364510449999998</v>
      </c>
      <c r="L27" s="28">
        <v>3.4183216719999998</v>
      </c>
      <c r="M27" s="28">
        <v>2.563741254</v>
      </c>
      <c r="N27" s="28">
        <v>3.4183216719999998</v>
      </c>
      <c r="O27" s="28">
        <v>1.281870627</v>
      </c>
      <c r="P27" s="28">
        <v>1.7091608359999999</v>
      </c>
      <c r="Q27" s="28">
        <v>3.4183216719999998</v>
      </c>
      <c r="R27" s="28">
        <v>2.1364510449999998</v>
      </c>
      <c r="S27" s="28">
        <v>1.281870627</v>
      </c>
      <c r="T27" s="28">
        <v>3.4183216719999998</v>
      </c>
      <c r="U27" s="28">
        <v>3.4183216719999998</v>
      </c>
      <c r="V27" s="28">
        <v>2.1364510449999998</v>
      </c>
      <c r="W27" s="28">
        <v>2.9910314630000001</v>
      </c>
      <c r="X27" s="28">
        <v>2.1364510449999998</v>
      </c>
      <c r="Y27" s="28">
        <v>3.4183216719999998</v>
      </c>
      <c r="Z27" s="28">
        <v>2.1364510449999998</v>
      </c>
      <c r="AA27" s="28">
        <v>2.9910314630000001</v>
      </c>
      <c r="AB27" s="28">
        <v>2.1364510449999998</v>
      </c>
      <c r="AC27" s="28">
        <v>3.4183216719999998</v>
      </c>
      <c r="AD27" s="28">
        <v>1.7091608359999999</v>
      </c>
      <c r="AE27" s="28">
        <v>2.1364510449999998</v>
      </c>
      <c r="AF27" s="28">
        <v>3.4183216719999998</v>
      </c>
      <c r="AG27" s="28">
        <v>3.4183216719999998</v>
      </c>
      <c r="AH27" s="28">
        <v>2.9910314630000001</v>
      </c>
      <c r="AI27" s="28">
        <v>1.281870627</v>
      </c>
      <c r="AJ27" s="28">
        <v>2.563741254</v>
      </c>
      <c r="AK27" s="28">
        <v>1.7091608359999999</v>
      </c>
      <c r="AL27" s="28">
        <v>1.7091608359999999</v>
      </c>
      <c r="AM27" s="28">
        <v>3.4183216719999998</v>
      </c>
      <c r="AN27" s="28">
        <v>3.4183216719999998</v>
      </c>
      <c r="AO27" s="28">
        <v>1.281870627</v>
      </c>
      <c r="AP27" s="28">
        <v>1.281870627</v>
      </c>
      <c r="AQ27" s="28">
        <v>3.4183216719999998</v>
      </c>
      <c r="AR27" s="28">
        <v>3.4183216719999998</v>
      </c>
      <c r="AS27" s="28">
        <v>3.4183216719999998</v>
      </c>
      <c r="AT27" s="28">
        <v>2.1364510449999998</v>
      </c>
      <c r="AU27" s="28">
        <v>3.4183216719999998</v>
      </c>
      <c r="AV27" s="28">
        <v>3.4183216719999998</v>
      </c>
      <c r="AW27" s="28">
        <v>2.6752082650434792</v>
      </c>
      <c r="AX27" s="34">
        <v>123.059580192</v>
      </c>
    </row>
    <row r="28" spans="1:50" x14ac:dyDescent="0.25">
      <c r="A28" s="24">
        <v>27</v>
      </c>
      <c r="B28" s="26">
        <v>13</v>
      </c>
      <c r="C28" s="28">
        <v>2.92001367175</v>
      </c>
      <c r="D28" s="28">
        <v>2.5028688615000001</v>
      </c>
      <c r="E28" s="28">
        <v>3.337158482</v>
      </c>
      <c r="F28" s="28">
        <v>3.337158482</v>
      </c>
      <c r="G28" s="28">
        <v>2.5028688615000001</v>
      </c>
      <c r="H28" s="28">
        <v>3.337158482</v>
      </c>
      <c r="I28" s="28">
        <v>3.337158482</v>
      </c>
      <c r="J28" s="28">
        <v>2.0857240512500002</v>
      </c>
      <c r="K28" s="28">
        <v>2.0857240512500002</v>
      </c>
      <c r="L28" s="28">
        <v>3.337158482</v>
      </c>
      <c r="M28" s="28">
        <v>2.5028688615000001</v>
      </c>
      <c r="N28" s="28">
        <v>3.337158482</v>
      </c>
      <c r="O28" s="28">
        <v>1.25143443075</v>
      </c>
      <c r="P28" s="28">
        <v>1.668579241</v>
      </c>
      <c r="Q28" s="28">
        <v>3.337158482</v>
      </c>
      <c r="R28" s="28">
        <v>2.0857240512500002</v>
      </c>
      <c r="S28" s="28">
        <v>1.25143443075</v>
      </c>
      <c r="T28" s="28">
        <v>3.337158482</v>
      </c>
      <c r="U28" s="28">
        <v>3.337158482</v>
      </c>
      <c r="V28" s="28">
        <v>2.0857240512500002</v>
      </c>
      <c r="W28" s="28">
        <v>2.92001367175</v>
      </c>
      <c r="X28" s="28">
        <v>2.0857240512500002</v>
      </c>
      <c r="Y28" s="28">
        <v>3.337158482</v>
      </c>
      <c r="Z28" s="28">
        <v>2.0857240512500002</v>
      </c>
      <c r="AA28" s="28">
        <v>2.92001367175</v>
      </c>
      <c r="AB28" s="28">
        <v>2.0857240512500002</v>
      </c>
      <c r="AC28" s="28">
        <v>3.337158482</v>
      </c>
      <c r="AD28" s="28">
        <v>1.668579241</v>
      </c>
      <c r="AE28" s="28">
        <v>2.0857240512500002</v>
      </c>
      <c r="AF28" s="28">
        <v>3.337158482</v>
      </c>
      <c r="AG28" s="28">
        <v>3.337158482</v>
      </c>
      <c r="AH28" s="28">
        <v>2.92001367175</v>
      </c>
      <c r="AI28" s="28">
        <v>1.25143443075</v>
      </c>
      <c r="AJ28" s="28">
        <v>2.5028688615000001</v>
      </c>
      <c r="AK28" s="28">
        <v>1.668579241</v>
      </c>
      <c r="AL28" s="28">
        <v>1.668579241</v>
      </c>
      <c r="AM28" s="28">
        <v>3.337158482</v>
      </c>
      <c r="AN28" s="28">
        <v>3.337158482</v>
      </c>
      <c r="AO28" s="28">
        <v>1.25143443075</v>
      </c>
      <c r="AP28" s="28">
        <v>1.25143443075</v>
      </c>
      <c r="AQ28" s="28">
        <v>3.337158482</v>
      </c>
      <c r="AR28" s="28">
        <v>3.337158482</v>
      </c>
      <c r="AS28" s="28">
        <v>3.337158482</v>
      </c>
      <c r="AT28" s="28">
        <v>2.0857240512500002</v>
      </c>
      <c r="AU28" s="28">
        <v>3.337158482</v>
      </c>
      <c r="AV28" s="28">
        <v>3.337158482</v>
      </c>
      <c r="AW28" s="28">
        <v>2.6116892467826101</v>
      </c>
      <c r="AX28" s="34">
        <v>120.1377053520001</v>
      </c>
    </row>
    <row r="29" spans="1:50" x14ac:dyDescent="0.25">
      <c r="A29" s="24">
        <v>28</v>
      </c>
      <c r="B29" s="26">
        <v>13.5</v>
      </c>
      <c r="C29" s="28">
        <v>2.811667536533335</v>
      </c>
      <c r="D29" s="28">
        <v>2.410000745600001</v>
      </c>
      <c r="E29" s="28">
        <v>3.2133343274666681</v>
      </c>
      <c r="F29" s="28">
        <v>3.2133343274666681</v>
      </c>
      <c r="G29" s="28">
        <v>2.410000745600001</v>
      </c>
      <c r="H29" s="28">
        <v>3.2133343274666681</v>
      </c>
      <c r="I29" s="28">
        <v>3.2133343274666681</v>
      </c>
      <c r="J29" s="28">
        <v>2.008333954666667</v>
      </c>
      <c r="K29" s="28">
        <v>2.008333954666667</v>
      </c>
      <c r="L29" s="28">
        <v>3.2133343274666681</v>
      </c>
      <c r="M29" s="28">
        <v>2.410000745600001</v>
      </c>
      <c r="N29" s="28">
        <v>3.2133343274666681</v>
      </c>
      <c r="O29" s="28">
        <v>1.2050003728000001</v>
      </c>
      <c r="P29" s="28">
        <v>1.6066671637333341</v>
      </c>
      <c r="Q29" s="28">
        <v>3.2133343274666681</v>
      </c>
      <c r="R29" s="28">
        <v>2.008333954666667</v>
      </c>
      <c r="S29" s="28">
        <v>1.2050003728000001</v>
      </c>
      <c r="T29" s="28">
        <v>3.2133343274666681</v>
      </c>
      <c r="U29" s="28">
        <v>3.2133343274666681</v>
      </c>
      <c r="V29" s="28">
        <v>2.008333954666667</v>
      </c>
      <c r="W29" s="28">
        <v>2.811667536533335</v>
      </c>
      <c r="X29" s="28">
        <v>2.008333954666667</v>
      </c>
      <c r="Y29" s="28">
        <v>3.2133343274666681</v>
      </c>
      <c r="Z29" s="28">
        <v>2.008333954666667</v>
      </c>
      <c r="AA29" s="28">
        <v>2.811667536533335</v>
      </c>
      <c r="AB29" s="28">
        <v>2.008333954666667</v>
      </c>
      <c r="AC29" s="28">
        <v>3.2133343274666681</v>
      </c>
      <c r="AD29" s="28">
        <v>1.6066671637333341</v>
      </c>
      <c r="AE29" s="28">
        <v>2.008333954666667</v>
      </c>
      <c r="AF29" s="28">
        <v>3.2133343274666681</v>
      </c>
      <c r="AG29" s="28">
        <v>3.2133343274666681</v>
      </c>
      <c r="AH29" s="28">
        <v>2.811667536533335</v>
      </c>
      <c r="AI29" s="28">
        <v>1.2050003728000001</v>
      </c>
      <c r="AJ29" s="28">
        <v>2.410000745600001</v>
      </c>
      <c r="AK29" s="28">
        <v>1.6066671637333341</v>
      </c>
      <c r="AL29" s="28">
        <v>1.6066671637333341</v>
      </c>
      <c r="AM29" s="28">
        <v>3.2133343274666681</v>
      </c>
      <c r="AN29" s="28">
        <v>3.2133343274666681</v>
      </c>
      <c r="AO29" s="28">
        <v>1.2050003728000001</v>
      </c>
      <c r="AP29" s="28">
        <v>1.2050003728000001</v>
      </c>
      <c r="AQ29" s="28">
        <v>3.2133343274666681</v>
      </c>
      <c r="AR29" s="28">
        <v>3.2133343274666681</v>
      </c>
      <c r="AS29" s="28">
        <v>3.2133343274666681</v>
      </c>
      <c r="AT29" s="28">
        <v>2.008333954666667</v>
      </c>
      <c r="AU29" s="28">
        <v>3.2133343274666681</v>
      </c>
      <c r="AV29" s="28">
        <v>3.2133343274666681</v>
      </c>
      <c r="AW29" s="28">
        <v>2.5147833867130451</v>
      </c>
      <c r="AX29" s="34">
        <v>115.6800357888001</v>
      </c>
    </row>
    <row r="30" spans="1:50" x14ac:dyDescent="0.25">
      <c r="A30" s="24">
        <v>29</v>
      </c>
      <c r="B30" s="26">
        <v>14</v>
      </c>
      <c r="C30" s="28">
        <v>2.68231940655</v>
      </c>
      <c r="D30" s="28">
        <v>2.2991309199000001</v>
      </c>
      <c r="E30" s="28">
        <v>3.0655078931999999</v>
      </c>
      <c r="F30" s="28">
        <v>3.0655078931999999</v>
      </c>
      <c r="G30" s="28">
        <v>2.2991309199000001</v>
      </c>
      <c r="H30" s="28">
        <v>3.0655078931999999</v>
      </c>
      <c r="I30" s="28">
        <v>3.0655078931999999</v>
      </c>
      <c r="J30" s="28">
        <v>1.9159424332499999</v>
      </c>
      <c r="K30" s="28">
        <v>1.9159424332499999</v>
      </c>
      <c r="L30" s="28">
        <v>3.0655078931999999</v>
      </c>
      <c r="M30" s="28">
        <v>2.2991309199000001</v>
      </c>
      <c r="N30" s="28">
        <v>3.0655078931999999</v>
      </c>
      <c r="O30" s="28">
        <v>1.14956545995</v>
      </c>
      <c r="P30" s="28">
        <v>1.5327539466</v>
      </c>
      <c r="Q30" s="28">
        <v>3.0655078931999999</v>
      </c>
      <c r="R30" s="28">
        <v>1.9159424332499999</v>
      </c>
      <c r="S30" s="28">
        <v>1.14956545995</v>
      </c>
      <c r="T30" s="28">
        <v>3.0655078931999999</v>
      </c>
      <c r="U30" s="28">
        <v>3.0655078931999999</v>
      </c>
      <c r="V30" s="28">
        <v>1.9159424332499999</v>
      </c>
      <c r="W30" s="28">
        <v>2.68231940655</v>
      </c>
      <c r="X30" s="28">
        <v>1.9159424332499999</v>
      </c>
      <c r="Y30" s="28">
        <v>3.0655078931999999</v>
      </c>
      <c r="Z30" s="28">
        <v>1.9159424332499999</v>
      </c>
      <c r="AA30" s="28">
        <v>2.68231940655</v>
      </c>
      <c r="AB30" s="28">
        <v>1.9159424332499999</v>
      </c>
      <c r="AC30" s="28">
        <v>3.0655078931999999</v>
      </c>
      <c r="AD30" s="28">
        <v>1.5327539466</v>
      </c>
      <c r="AE30" s="28">
        <v>1.9159424332499999</v>
      </c>
      <c r="AF30" s="28">
        <v>3.0655078931999999</v>
      </c>
      <c r="AG30" s="28">
        <v>3.0655078931999999</v>
      </c>
      <c r="AH30" s="28">
        <v>2.68231940655</v>
      </c>
      <c r="AI30" s="28">
        <v>1.14956545995</v>
      </c>
      <c r="AJ30" s="28">
        <v>2.2991309199000001</v>
      </c>
      <c r="AK30" s="28">
        <v>1.5327539466</v>
      </c>
      <c r="AL30" s="28">
        <v>1.5327539466</v>
      </c>
      <c r="AM30" s="28">
        <v>3.0655078931999999</v>
      </c>
      <c r="AN30" s="28">
        <v>3.0655078931999999</v>
      </c>
      <c r="AO30" s="28">
        <v>1.14956545995</v>
      </c>
      <c r="AP30" s="28">
        <v>1.14956545995</v>
      </c>
      <c r="AQ30" s="28">
        <v>3.0655078931999999</v>
      </c>
      <c r="AR30" s="28">
        <v>3.0655078931999999</v>
      </c>
      <c r="AS30" s="28">
        <v>3.0655078931999999</v>
      </c>
      <c r="AT30" s="28">
        <v>1.9159424332499999</v>
      </c>
      <c r="AU30" s="28">
        <v>3.0655078931999999</v>
      </c>
      <c r="AV30" s="28">
        <v>3.0655078931999999</v>
      </c>
      <c r="AW30" s="28">
        <v>2.3990931338086958</v>
      </c>
      <c r="AX30" s="34">
        <v>110.3582841552</v>
      </c>
    </row>
    <row r="31" spans="1:50" x14ac:dyDescent="0.25">
      <c r="A31" s="24">
        <v>30</v>
      </c>
      <c r="B31" s="26">
        <v>14.5</v>
      </c>
      <c r="C31" s="28">
        <v>2.5184164014333348</v>
      </c>
      <c r="D31" s="28">
        <v>2.158642629800001</v>
      </c>
      <c r="E31" s="28">
        <v>2.8781901730666681</v>
      </c>
      <c r="F31" s="28">
        <v>2.8781901730666681</v>
      </c>
      <c r="G31" s="28">
        <v>2.158642629800001</v>
      </c>
      <c r="H31" s="28">
        <v>2.8781901730666681</v>
      </c>
      <c r="I31" s="28">
        <v>2.8781901730666681</v>
      </c>
      <c r="J31" s="28">
        <v>1.7988688581666681</v>
      </c>
      <c r="K31" s="28">
        <v>1.7988688581666681</v>
      </c>
      <c r="L31" s="28">
        <v>2.8781901730666681</v>
      </c>
      <c r="M31" s="28">
        <v>2.158642629800001</v>
      </c>
      <c r="N31" s="28">
        <v>2.8781901730666681</v>
      </c>
      <c r="O31" s="28">
        <v>1.0793213149000001</v>
      </c>
      <c r="P31" s="28">
        <v>1.4390950865333341</v>
      </c>
      <c r="Q31" s="28">
        <v>2.8781901730666681</v>
      </c>
      <c r="R31" s="28">
        <v>1.7988688581666681</v>
      </c>
      <c r="S31" s="28">
        <v>1.0793213149000001</v>
      </c>
      <c r="T31" s="28">
        <v>2.8781901730666681</v>
      </c>
      <c r="U31" s="28">
        <v>2.8781901730666681</v>
      </c>
      <c r="V31" s="28">
        <v>1.7988688581666681</v>
      </c>
      <c r="W31" s="28">
        <v>2.5184164014333348</v>
      </c>
      <c r="X31" s="28">
        <v>1.7988688581666681</v>
      </c>
      <c r="Y31" s="28">
        <v>2.8781901730666681</v>
      </c>
      <c r="Z31" s="28">
        <v>1.7988688581666681</v>
      </c>
      <c r="AA31" s="28">
        <v>2.5184164014333348</v>
      </c>
      <c r="AB31" s="28">
        <v>1.7988688581666681</v>
      </c>
      <c r="AC31" s="28">
        <v>2.8781901730666681</v>
      </c>
      <c r="AD31" s="28">
        <v>1.4390950865333341</v>
      </c>
      <c r="AE31" s="28">
        <v>1.7988688581666681</v>
      </c>
      <c r="AF31" s="28">
        <v>2.8781901730666681</v>
      </c>
      <c r="AG31" s="28">
        <v>2.8781901730666681</v>
      </c>
      <c r="AH31" s="28">
        <v>2.5184164014333348</v>
      </c>
      <c r="AI31" s="28">
        <v>1.0793213149000001</v>
      </c>
      <c r="AJ31" s="28">
        <v>2.158642629800001</v>
      </c>
      <c r="AK31" s="28">
        <v>1.4390950865333341</v>
      </c>
      <c r="AL31" s="28">
        <v>1.4390950865333341</v>
      </c>
      <c r="AM31" s="28">
        <v>2.8781901730666681</v>
      </c>
      <c r="AN31" s="28">
        <v>2.8781901730666681</v>
      </c>
      <c r="AO31" s="28">
        <v>1.0793213149000001</v>
      </c>
      <c r="AP31" s="28">
        <v>1.0793213149000001</v>
      </c>
      <c r="AQ31" s="28">
        <v>2.8781901730666681</v>
      </c>
      <c r="AR31" s="28">
        <v>2.8781901730666681</v>
      </c>
      <c r="AS31" s="28">
        <v>2.8781901730666681</v>
      </c>
      <c r="AT31" s="28">
        <v>1.7988688581666681</v>
      </c>
      <c r="AU31" s="28">
        <v>2.8781901730666681</v>
      </c>
      <c r="AV31" s="28">
        <v>2.8781901730666681</v>
      </c>
      <c r="AW31" s="28">
        <v>2.2524966571826099</v>
      </c>
      <c r="AX31" s="34">
        <v>103.6148462304001</v>
      </c>
    </row>
    <row r="32" spans="1:50" x14ac:dyDescent="0.25">
      <c r="A32" s="24">
        <v>31</v>
      </c>
      <c r="B32" s="26">
        <v>15</v>
      </c>
      <c r="C32" s="28">
        <v>2.34423743295</v>
      </c>
      <c r="D32" s="28">
        <v>2.0093463710999999</v>
      </c>
      <c r="E32" s="28">
        <v>2.6791284948</v>
      </c>
      <c r="F32" s="28">
        <v>2.6791284948</v>
      </c>
      <c r="G32" s="28">
        <v>2.0093463710999999</v>
      </c>
      <c r="H32" s="28">
        <v>2.6791284948</v>
      </c>
      <c r="I32" s="28">
        <v>2.6791284948</v>
      </c>
      <c r="J32" s="28">
        <v>1.6744553092500001</v>
      </c>
      <c r="K32" s="28">
        <v>1.6744553092500001</v>
      </c>
      <c r="L32" s="28">
        <v>2.6791284948</v>
      </c>
      <c r="M32" s="28">
        <v>2.0093463710999999</v>
      </c>
      <c r="N32" s="28">
        <v>2.6791284948</v>
      </c>
      <c r="O32" s="28">
        <v>1.00467318555</v>
      </c>
      <c r="P32" s="28">
        <v>1.3395642474</v>
      </c>
      <c r="Q32" s="28">
        <v>2.6791284948</v>
      </c>
      <c r="R32" s="28">
        <v>1.6744553092500001</v>
      </c>
      <c r="S32" s="28">
        <v>1.00467318555</v>
      </c>
      <c r="T32" s="28">
        <v>2.6791284948</v>
      </c>
      <c r="U32" s="28">
        <v>2.6791284948</v>
      </c>
      <c r="V32" s="28">
        <v>1.6744553092500001</v>
      </c>
      <c r="W32" s="28">
        <v>2.34423743295</v>
      </c>
      <c r="X32" s="28">
        <v>1.6744553092500001</v>
      </c>
      <c r="Y32" s="28">
        <v>2.6791284948</v>
      </c>
      <c r="Z32" s="28">
        <v>1.6744553092500001</v>
      </c>
      <c r="AA32" s="28">
        <v>2.34423743295</v>
      </c>
      <c r="AB32" s="28">
        <v>1.6744553092500001</v>
      </c>
      <c r="AC32" s="28">
        <v>2.6791284948</v>
      </c>
      <c r="AD32" s="28">
        <v>1.3395642474</v>
      </c>
      <c r="AE32" s="28">
        <v>1.6744553092500001</v>
      </c>
      <c r="AF32" s="28">
        <v>2.6791284948</v>
      </c>
      <c r="AG32" s="28">
        <v>2.6791284948</v>
      </c>
      <c r="AH32" s="28">
        <v>2.34423743295</v>
      </c>
      <c r="AI32" s="28">
        <v>1.00467318555</v>
      </c>
      <c r="AJ32" s="28">
        <v>2.0093463710999999</v>
      </c>
      <c r="AK32" s="28">
        <v>1.3395642474</v>
      </c>
      <c r="AL32" s="28">
        <v>1.3395642474</v>
      </c>
      <c r="AM32" s="28">
        <v>2.6791284948</v>
      </c>
      <c r="AN32" s="28">
        <v>2.6791284948</v>
      </c>
      <c r="AO32" s="28">
        <v>1.00467318555</v>
      </c>
      <c r="AP32" s="28">
        <v>1.00467318555</v>
      </c>
      <c r="AQ32" s="28">
        <v>2.6791284948</v>
      </c>
      <c r="AR32" s="28">
        <v>2.6791284948</v>
      </c>
      <c r="AS32" s="28">
        <v>2.6791284948</v>
      </c>
      <c r="AT32" s="28">
        <v>1.6744553092500001</v>
      </c>
      <c r="AU32" s="28">
        <v>2.6791284948</v>
      </c>
      <c r="AV32" s="28">
        <v>2.6791284948</v>
      </c>
      <c r="AW32" s="28">
        <v>2.0967092568000001</v>
      </c>
      <c r="AX32" s="34">
        <v>96.448625812799989</v>
      </c>
    </row>
    <row r="33" spans="1:50" x14ac:dyDescent="0.25">
      <c r="A33" s="24">
        <v>32</v>
      </c>
      <c r="B33" s="26">
        <v>15.5</v>
      </c>
      <c r="C33" s="28">
        <v>2.1346358721333338</v>
      </c>
      <c r="D33" s="28">
        <v>1.8296878904000009</v>
      </c>
      <c r="E33" s="28">
        <v>2.4395838538666679</v>
      </c>
      <c r="F33" s="28">
        <v>2.4395838538666679</v>
      </c>
      <c r="G33" s="28">
        <v>1.8296878904000009</v>
      </c>
      <c r="H33" s="28">
        <v>2.4395838538666679</v>
      </c>
      <c r="I33" s="28">
        <v>2.4395838538666679</v>
      </c>
      <c r="J33" s="28">
        <v>1.524739908666668</v>
      </c>
      <c r="K33" s="28">
        <v>1.524739908666668</v>
      </c>
      <c r="L33" s="28">
        <v>2.4395838538666679</v>
      </c>
      <c r="M33" s="28">
        <v>1.8296878904000009</v>
      </c>
      <c r="N33" s="28">
        <v>2.4395838538666679</v>
      </c>
      <c r="O33" s="28">
        <v>0.91484394520000045</v>
      </c>
      <c r="P33" s="28">
        <v>1.2197919269333339</v>
      </c>
      <c r="Q33" s="28">
        <v>2.4395838538666679</v>
      </c>
      <c r="R33" s="28">
        <v>1.524739908666668</v>
      </c>
      <c r="S33" s="28">
        <v>0.91484394520000045</v>
      </c>
      <c r="T33" s="28">
        <v>2.4395838538666679</v>
      </c>
      <c r="U33" s="28">
        <v>2.4395838538666679</v>
      </c>
      <c r="V33" s="28">
        <v>1.524739908666668</v>
      </c>
      <c r="W33" s="28">
        <v>2.1346358721333338</v>
      </c>
      <c r="X33" s="28">
        <v>1.524739908666668</v>
      </c>
      <c r="Y33" s="28">
        <v>2.4395838538666679</v>
      </c>
      <c r="Z33" s="28">
        <v>1.524739908666668</v>
      </c>
      <c r="AA33" s="28">
        <v>2.1346358721333338</v>
      </c>
      <c r="AB33" s="28">
        <v>1.524739908666668</v>
      </c>
      <c r="AC33" s="28">
        <v>2.4395838538666679</v>
      </c>
      <c r="AD33" s="28">
        <v>1.2197919269333339</v>
      </c>
      <c r="AE33" s="28">
        <v>1.524739908666668</v>
      </c>
      <c r="AF33" s="28">
        <v>2.4395838538666679</v>
      </c>
      <c r="AG33" s="28">
        <v>2.4395838538666679</v>
      </c>
      <c r="AH33" s="28">
        <v>2.1346358721333338</v>
      </c>
      <c r="AI33" s="28">
        <v>0.91484394520000045</v>
      </c>
      <c r="AJ33" s="28">
        <v>1.8296878904000009</v>
      </c>
      <c r="AK33" s="28">
        <v>1.2197919269333339</v>
      </c>
      <c r="AL33" s="28">
        <v>1.2197919269333339</v>
      </c>
      <c r="AM33" s="28">
        <v>2.4395838538666679</v>
      </c>
      <c r="AN33" s="28">
        <v>2.4395838538666679</v>
      </c>
      <c r="AO33" s="28">
        <v>0.91484394520000045</v>
      </c>
      <c r="AP33" s="28">
        <v>0.91484394520000045</v>
      </c>
      <c r="AQ33" s="28">
        <v>2.4395838538666679</v>
      </c>
      <c r="AR33" s="28">
        <v>2.4395838538666679</v>
      </c>
      <c r="AS33" s="28">
        <v>2.4395838538666679</v>
      </c>
      <c r="AT33" s="28">
        <v>1.524739908666668</v>
      </c>
      <c r="AU33" s="28">
        <v>2.4395838538666679</v>
      </c>
      <c r="AV33" s="28">
        <v>2.4395838538666679</v>
      </c>
      <c r="AW33" s="28">
        <v>1.9092395378086959</v>
      </c>
      <c r="AX33" s="34">
        <v>87.825018739200033</v>
      </c>
    </row>
    <row r="34" spans="1:50" x14ac:dyDescent="0.25">
      <c r="A34" s="24">
        <v>33</v>
      </c>
      <c r="B34" s="26">
        <v>16</v>
      </c>
      <c r="C34" s="28">
        <v>1.8985750501666649</v>
      </c>
      <c r="D34" s="28">
        <v>1.627350042999999</v>
      </c>
      <c r="E34" s="28">
        <v>2.1698000573333318</v>
      </c>
      <c r="F34" s="28">
        <v>2.1698000573333318</v>
      </c>
      <c r="G34" s="28">
        <v>1.627350042999999</v>
      </c>
      <c r="H34" s="28">
        <v>2.1698000573333318</v>
      </c>
      <c r="I34" s="28">
        <v>2.1698000573333318</v>
      </c>
      <c r="J34" s="28">
        <v>1.3561250358333321</v>
      </c>
      <c r="K34" s="28">
        <v>1.3561250358333321</v>
      </c>
      <c r="L34" s="28">
        <v>2.1698000573333318</v>
      </c>
      <c r="M34" s="28">
        <v>1.627350042999999</v>
      </c>
      <c r="N34" s="28">
        <v>2.1698000573333318</v>
      </c>
      <c r="O34" s="28">
        <v>0.81367502149999948</v>
      </c>
      <c r="P34" s="28">
        <v>1.0849000286666659</v>
      </c>
      <c r="Q34" s="28">
        <v>2.1698000573333318</v>
      </c>
      <c r="R34" s="28">
        <v>1.3561250358333321</v>
      </c>
      <c r="S34" s="28">
        <v>0.81367502149999948</v>
      </c>
      <c r="T34" s="28">
        <v>2.1698000573333318</v>
      </c>
      <c r="U34" s="28">
        <v>2.1698000573333318</v>
      </c>
      <c r="V34" s="28">
        <v>1.3561250358333321</v>
      </c>
      <c r="W34" s="28">
        <v>1.8985750501666649</v>
      </c>
      <c r="X34" s="28">
        <v>1.3561250358333321</v>
      </c>
      <c r="Y34" s="28">
        <v>2.1698000573333318</v>
      </c>
      <c r="Z34" s="28">
        <v>1.3561250358333321</v>
      </c>
      <c r="AA34" s="28">
        <v>1.8985750501666649</v>
      </c>
      <c r="AB34" s="28">
        <v>1.3561250358333321</v>
      </c>
      <c r="AC34" s="28">
        <v>2.1698000573333318</v>
      </c>
      <c r="AD34" s="28">
        <v>1.0849000286666659</v>
      </c>
      <c r="AE34" s="28">
        <v>1.3561250358333321</v>
      </c>
      <c r="AF34" s="28">
        <v>2.1698000573333318</v>
      </c>
      <c r="AG34" s="28">
        <v>2.1698000573333318</v>
      </c>
      <c r="AH34" s="28">
        <v>1.8985750501666649</v>
      </c>
      <c r="AI34" s="28">
        <v>0.81367502149999948</v>
      </c>
      <c r="AJ34" s="28">
        <v>1.627350042999999</v>
      </c>
      <c r="AK34" s="28">
        <v>1.0849000286666659</v>
      </c>
      <c r="AL34" s="28">
        <v>1.0849000286666659</v>
      </c>
      <c r="AM34" s="28">
        <v>2.1698000573333318</v>
      </c>
      <c r="AN34" s="28">
        <v>2.1698000573333318</v>
      </c>
      <c r="AO34" s="28">
        <v>0.81367502149999948</v>
      </c>
      <c r="AP34" s="28">
        <v>0.81367502149999948</v>
      </c>
      <c r="AQ34" s="28">
        <v>2.1698000573333318</v>
      </c>
      <c r="AR34" s="28">
        <v>2.1698000573333318</v>
      </c>
      <c r="AS34" s="28">
        <v>2.1698000573333318</v>
      </c>
      <c r="AT34" s="28">
        <v>1.3561250358333321</v>
      </c>
      <c r="AU34" s="28">
        <v>2.1698000573333318</v>
      </c>
      <c r="AV34" s="28">
        <v>2.1698000573333318</v>
      </c>
      <c r="AW34" s="28">
        <v>1.6981043926956509</v>
      </c>
      <c r="AX34" s="34">
        <v>78.112802063999951</v>
      </c>
    </row>
    <row r="35" spans="1:50" x14ac:dyDescent="0.25">
      <c r="A35" s="24">
        <v>34</v>
      </c>
      <c r="B35" s="26">
        <v>16.5</v>
      </c>
      <c r="C35" s="28">
        <v>1.613562363816665</v>
      </c>
      <c r="D35" s="28">
        <v>1.3830534546999991</v>
      </c>
      <c r="E35" s="28">
        <v>1.844071272933332</v>
      </c>
      <c r="F35" s="28">
        <v>1.844071272933332</v>
      </c>
      <c r="G35" s="28">
        <v>1.3830534546999991</v>
      </c>
      <c r="H35" s="28">
        <v>1.844071272933332</v>
      </c>
      <c r="I35" s="28">
        <v>1.844071272933332</v>
      </c>
      <c r="J35" s="28">
        <v>1.152544545583333</v>
      </c>
      <c r="K35" s="28">
        <v>1.152544545583333</v>
      </c>
      <c r="L35" s="28">
        <v>1.844071272933332</v>
      </c>
      <c r="M35" s="28">
        <v>1.3830534546999991</v>
      </c>
      <c r="N35" s="28">
        <v>1.844071272933332</v>
      </c>
      <c r="O35" s="28">
        <v>0.69152672734999943</v>
      </c>
      <c r="P35" s="28">
        <v>0.92203563646666598</v>
      </c>
      <c r="Q35" s="28">
        <v>1.844071272933332</v>
      </c>
      <c r="R35" s="28">
        <v>1.152544545583333</v>
      </c>
      <c r="S35" s="28">
        <v>0.69152672734999943</v>
      </c>
      <c r="T35" s="28">
        <v>1.844071272933332</v>
      </c>
      <c r="U35" s="28">
        <v>1.844071272933332</v>
      </c>
      <c r="V35" s="28">
        <v>1.152544545583333</v>
      </c>
      <c r="W35" s="28">
        <v>1.613562363816665</v>
      </c>
      <c r="X35" s="28">
        <v>1.152544545583333</v>
      </c>
      <c r="Y35" s="28">
        <v>1.844071272933332</v>
      </c>
      <c r="Z35" s="28">
        <v>1.152544545583333</v>
      </c>
      <c r="AA35" s="28">
        <v>1.613562363816665</v>
      </c>
      <c r="AB35" s="28">
        <v>1.152544545583333</v>
      </c>
      <c r="AC35" s="28">
        <v>1.844071272933332</v>
      </c>
      <c r="AD35" s="28">
        <v>0.92203563646666598</v>
      </c>
      <c r="AE35" s="28">
        <v>1.152544545583333</v>
      </c>
      <c r="AF35" s="28">
        <v>1.844071272933332</v>
      </c>
      <c r="AG35" s="28">
        <v>1.844071272933332</v>
      </c>
      <c r="AH35" s="28">
        <v>1.613562363816665</v>
      </c>
      <c r="AI35" s="28">
        <v>0.69152672734999943</v>
      </c>
      <c r="AJ35" s="28">
        <v>1.3830534546999991</v>
      </c>
      <c r="AK35" s="28">
        <v>0.92203563646666598</v>
      </c>
      <c r="AL35" s="28">
        <v>0.92203563646666598</v>
      </c>
      <c r="AM35" s="28">
        <v>1.844071272933332</v>
      </c>
      <c r="AN35" s="28">
        <v>1.844071272933332</v>
      </c>
      <c r="AO35" s="28">
        <v>0.69152672734999943</v>
      </c>
      <c r="AP35" s="28">
        <v>0.69152672734999943</v>
      </c>
      <c r="AQ35" s="28">
        <v>1.844071272933332</v>
      </c>
      <c r="AR35" s="28">
        <v>1.844071272933332</v>
      </c>
      <c r="AS35" s="28">
        <v>1.844071272933332</v>
      </c>
      <c r="AT35" s="28">
        <v>1.152544545583333</v>
      </c>
      <c r="AU35" s="28">
        <v>1.844071272933332</v>
      </c>
      <c r="AV35" s="28">
        <v>1.844071272933332</v>
      </c>
      <c r="AW35" s="28">
        <v>1.4431862135999991</v>
      </c>
      <c r="AX35" s="34">
        <v>66.386565825599973</v>
      </c>
    </row>
    <row r="36" spans="1:50" x14ac:dyDescent="0.25">
      <c r="A36" s="24">
        <v>35</v>
      </c>
      <c r="B36" s="26">
        <v>17</v>
      </c>
      <c r="C36" s="28">
        <v>1.346810261416665</v>
      </c>
      <c r="D36" s="28">
        <v>1.1544087954999991</v>
      </c>
      <c r="E36" s="28">
        <v>1.5392117273333319</v>
      </c>
      <c r="F36" s="28">
        <v>1.5392117273333319</v>
      </c>
      <c r="G36" s="28">
        <v>1.1544087954999991</v>
      </c>
      <c r="H36" s="28">
        <v>1.5392117273333319</v>
      </c>
      <c r="I36" s="28">
        <v>1.5392117273333319</v>
      </c>
      <c r="J36" s="28">
        <v>0.96200732958333246</v>
      </c>
      <c r="K36" s="28">
        <v>0.96200732958333246</v>
      </c>
      <c r="L36" s="28">
        <v>1.5392117273333319</v>
      </c>
      <c r="M36" s="28">
        <v>1.1544087954999991</v>
      </c>
      <c r="N36" s="28">
        <v>1.5392117273333319</v>
      </c>
      <c r="O36" s="28">
        <v>0.57720439774999943</v>
      </c>
      <c r="P36" s="28">
        <v>0.76960586366666595</v>
      </c>
      <c r="Q36" s="28">
        <v>1.5392117273333319</v>
      </c>
      <c r="R36" s="28">
        <v>0.96200732958333246</v>
      </c>
      <c r="S36" s="28">
        <v>0.57720439774999943</v>
      </c>
      <c r="T36" s="28">
        <v>1.5392117273333319</v>
      </c>
      <c r="U36" s="28">
        <v>1.5392117273333319</v>
      </c>
      <c r="V36" s="28">
        <v>0.96200732958333246</v>
      </c>
      <c r="W36" s="28">
        <v>1.346810261416665</v>
      </c>
      <c r="X36" s="28">
        <v>0.96200732958333246</v>
      </c>
      <c r="Y36" s="28">
        <v>1.5392117273333319</v>
      </c>
      <c r="Z36" s="28">
        <v>0.96200732958333246</v>
      </c>
      <c r="AA36" s="28">
        <v>1.346810261416665</v>
      </c>
      <c r="AB36" s="28">
        <v>0.96200732958333246</v>
      </c>
      <c r="AC36" s="28">
        <v>1.5392117273333319</v>
      </c>
      <c r="AD36" s="28">
        <v>0.76960586366666595</v>
      </c>
      <c r="AE36" s="28">
        <v>0.96200732958333246</v>
      </c>
      <c r="AF36" s="28">
        <v>1.5392117273333319</v>
      </c>
      <c r="AG36" s="28">
        <v>1.5392117273333319</v>
      </c>
      <c r="AH36" s="28">
        <v>1.346810261416665</v>
      </c>
      <c r="AI36" s="28">
        <v>0.57720439774999943</v>
      </c>
      <c r="AJ36" s="28">
        <v>1.1544087954999991</v>
      </c>
      <c r="AK36" s="28">
        <v>0.76960586366666595</v>
      </c>
      <c r="AL36" s="28">
        <v>0.76960586366666595</v>
      </c>
      <c r="AM36" s="28">
        <v>1.5392117273333319</v>
      </c>
      <c r="AN36" s="28">
        <v>1.5392117273333319</v>
      </c>
      <c r="AO36" s="28">
        <v>0.57720439774999943</v>
      </c>
      <c r="AP36" s="28">
        <v>0.57720439774999943</v>
      </c>
      <c r="AQ36" s="28">
        <v>1.5392117273333319</v>
      </c>
      <c r="AR36" s="28">
        <v>1.5392117273333319</v>
      </c>
      <c r="AS36" s="28">
        <v>1.5392117273333319</v>
      </c>
      <c r="AT36" s="28">
        <v>0.96200732958333246</v>
      </c>
      <c r="AU36" s="28">
        <v>1.5392117273333319</v>
      </c>
      <c r="AV36" s="28">
        <v>1.5392117273333319</v>
      </c>
      <c r="AW36" s="28">
        <v>1.204600482260868</v>
      </c>
      <c r="AX36" s="34">
        <v>55.411622183999953</v>
      </c>
    </row>
    <row r="37" spans="1:50" x14ac:dyDescent="0.25">
      <c r="A37" s="24">
        <v>36</v>
      </c>
      <c r="B37" s="26">
        <v>17.5</v>
      </c>
      <c r="C37" s="28">
        <v>1.0727059185500001</v>
      </c>
      <c r="D37" s="28">
        <v>0.9194622159000001</v>
      </c>
      <c r="E37" s="28">
        <v>1.2259496212000001</v>
      </c>
      <c r="F37" s="28">
        <v>1.2259496212000001</v>
      </c>
      <c r="G37" s="28">
        <v>0.9194622159000001</v>
      </c>
      <c r="H37" s="28">
        <v>1.2259496212000001</v>
      </c>
      <c r="I37" s="28">
        <v>1.2259496212000001</v>
      </c>
      <c r="J37" s="28">
        <v>0.76621851325000001</v>
      </c>
      <c r="K37" s="28">
        <v>0.76621851325000001</v>
      </c>
      <c r="L37" s="28">
        <v>1.2259496212000001</v>
      </c>
      <c r="M37" s="28">
        <v>0.9194622159000001</v>
      </c>
      <c r="N37" s="28">
        <v>1.2259496212000001</v>
      </c>
      <c r="O37" s="28">
        <v>0.45973110795000011</v>
      </c>
      <c r="P37" s="28">
        <v>0.61297481060000003</v>
      </c>
      <c r="Q37" s="28">
        <v>1.2259496212000001</v>
      </c>
      <c r="R37" s="28">
        <v>0.76621851325000001</v>
      </c>
      <c r="S37" s="28">
        <v>0.45973110795000011</v>
      </c>
      <c r="T37" s="28">
        <v>1.2259496212000001</v>
      </c>
      <c r="U37" s="28">
        <v>1.2259496212000001</v>
      </c>
      <c r="V37" s="28">
        <v>0.76621851325000001</v>
      </c>
      <c r="W37" s="28">
        <v>1.0727059185500001</v>
      </c>
      <c r="X37" s="28">
        <v>0.76621851325000001</v>
      </c>
      <c r="Y37" s="28">
        <v>1.2259496212000001</v>
      </c>
      <c r="Z37" s="28">
        <v>0.76621851325000001</v>
      </c>
      <c r="AA37" s="28">
        <v>1.0727059185500001</v>
      </c>
      <c r="AB37" s="28">
        <v>0.76621851325000001</v>
      </c>
      <c r="AC37" s="28">
        <v>1.2259496212000001</v>
      </c>
      <c r="AD37" s="28">
        <v>0.61297481060000003</v>
      </c>
      <c r="AE37" s="28">
        <v>0.76621851325000001</v>
      </c>
      <c r="AF37" s="28">
        <v>1.2259496212000001</v>
      </c>
      <c r="AG37" s="28">
        <v>1.2259496212000001</v>
      </c>
      <c r="AH37" s="28">
        <v>1.0727059185500001</v>
      </c>
      <c r="AI37" s="28">
        <v>0.45973110795000011</v>
      </c>
      <c r="AJ37" s="28">
        <v>0.9194622159000001</v>
      </c>
      <c r="AK37" s="28">
        <v>0.61297481060000003</v>
      </c>
      <c r="AL37" s="28">
        <v>0.61297481060000003</v>
      </c>
      <c r="AM37" s="28">
        <v>1.2259496212000001</v>
      </c>
      <c r="AN37" s="28">
        <v>1.2259496212000001</v>
      </c>
      <c r="AO37" s="28">
        <v>0.45973110795000011</v>
      </c>
      <c r="AP37" s="28">
        <v>0.45973110795000011</v>
      </c>
      <c r="AQ37" s="28">
        <v>1.2259496212000001</v>
      </c>
      <c r="AR37" s="28">
        <v>1.2259496212000001</v>
      </c>
      <c r="AS37" s="28">
        <v>1.2259496212000001</v>
      </c>
      <c r="AT37" s="28">
        <v>0.76621851325000001</v>
      </c>
      <c r="AU37" s="28">
        <v>1.2259496212000001</v>
      </c>
      <c r="AV37" s="28">
        <v>1.2259496212000001</v>
      </c>
      <c r="AW37" s="28">
        <v>0.95943883398260899</v>
      </c>
      <c r="AX37" s="34">
        <v>44.134186363200023</v>
      </c>
    </row>
    <row r="38" spans="1:50" x14ac:dyDescent="0.25">
      <c r="A38" s="24">
        <v>37</v>
      </c>
      <c r="B38" s="26">
        <v>18</v>
      </c>
      <c r="C38" s="28">
        <v>0.80755231783333448</v>
      </c>
      <c r="D38" s="28">
        <v>0.69218770100000104</v>
      </c>
      <c r="E38" s="28">
        <v>0.92291693466666802</v>
      </c>
      <c r="F38" s="28">
        <v>0.92291693466666802</v>
      </c>
      <c r="G38" s="28">
        <v>0.69218770100000104</v>
      </c>
      <c r="H38" s="28">
        <v>0.92291693466666802</v>
      </c>
      <c r="I38" s="28">
        <v>0.92291693466666802</v>
      </c>
      <c r="J38" s="28">
        <v>0.5768230841666675</v>
      </c>
      <c r="K38" s="28">
        <v>0.5768230841666675</v>
      </c>
      <c r="L38" s="28">
        <v>0.92291693466666802</v>
      </c>
      <c r="M38" s="28">
        <v>0.69218770100000104</v>
      </c>
      <c r="N38" s="28">
        <v>0.92291693466666802</v>
      </c>
      <c r="O38" s="28">
        <v>0.34609385050000052</v>
      </c>
      <c r="P38" s="28">
        <v>0.46145846733333401</v>
      </c>
      <c r="Q38" s="28">
        <v>0.92291693466666802</v>
      </c>
      <c r="R38" s="28">
        <v>0.5768230841666675</v>
      </c>
      <c r="S38" s="28">
        <v>0.34609385050000052</v>
      </c>
      <c r="T38" s="28">
        <v>0.92291693466666802</v>
      </c>
      <c r="U38" s="28">
        <v>0.92291693466666802</v>
      </c>
      <c r="V38" s="28">
        <v>0.5768230841666675</v>
      </c>
      <c r="W38" s="28">
        <v>0.80755231783333448</v>
      </c>
      <c r="X38" s="28">
        <v>0.5768230841666675</v>
      </c>
      <c r="Y38" s="28">
        <v>0.92291693466666802</v>
      </c>
      <c r="Z38" s="28">
        <v>0.5768230841666675</v>
      </c>
      <c r="AA38" s="28">
        <v>0.80755231783333448</v>
      </c>
      <c r="AB38" s="28">
        <v>0.5768230841666675</v>
      </c>
      <c r="AC38" s="28">
        <v>0.92291693466666802</v>
      </c>
      <c r="AD38" s="28">
        <v>0.46145846733333401</v>
      </c>
      <c r="AE38" s="28">
        <v>0.5768230841666675</v>
      </c>
      <c r="AF38" s="28">
        <v>0.92291693466666802</v>
      </c>
      <c r="AG38" s="28">
        <v>0.92291693466666802</v>
      </c>
      <c r="AH38" s="28">
        <v>0.80755231783333448</v>
      </c>
      <c r="AI38" s="28">
        <v>0.34609385050000052</v>
      </c>
      <c r="AJ38" s="28">
        <v>0.69218770100000104</v>
      </c>
      <c r="AK38" s="28">
        <v>0.46145846733333401</v>
      </c>
      <c r="AL38" s="28">
        <v>0.46145846733333401</v>
      </c>
      <c r="AM38" s="28">
        <v>0.92291693466666802</v>
      </c>
      <c r="AN38" s="28">
        <v>0.92291693466666802</v>
      </c>
      <c r="AO38" s="28">
        <v>0.34609385050000052</v>
      </c>
      <c r="AP38" s="28">
        <v>0.34609385050000052</v>
      </c>
      <c r="AQ38" s="28">
        <v>0.92291693466666802</v>
      </c>
      <c r="AR38" s="28">
        <v>0.92291693466666802</v>
      </c>
      <c r="AS38" s="28">
        <v>0.92291693466666802</v>
      </c>
      <c r="AT38" s="28">
        <v>0.5768230841666675</v>
      </c>
      <c r="AU38" s="28">
        <v>0.92291693466666802</v>
      </c>
      <c r="AV38" s="28">
        <v>0.92291693466666802</v>
      </c>
      <c r="AW38" s="28">
        <v>0.72228281843478326</v>
      </c>
      <c r="AX38" s="34">
        <v>33.225009648000032</v>
      </c>
    </row>
    <row r="39" spans="1:50" x14ac:dyDescent="0.25">
      <c r="A39" s="24">
        <v>38</v>
      </c>
      <c r="B39" s="26">
        <v>18.5</v>
      </c>
      <c r="C39" s="28">
        <v>0.55190688524999998</v>
      </c>
      <c r="D39" s="28">
        <v>0.47306304449999997</v>
      </c>
      <c r="E39" s="28">
        <v>0.63075072600000004</v>
      </c>
      <c r="F39" s="28">
        <v>0.63075072600000004</v>
      </c>
      <c r="G39" s="28">
        <v>0.47306304449999997</v>
      </c>
      <c r="H39" s="28">
        <v>0.63075072600000004</v>
      </c>
      <c r="I39" s="28">
        <v>0.63075072600000004</v>
      </c>
      <c r="J39" s="28">
        <v>0.39421920375000002</v>
      </c>
      <c r="K39" s="28">
        <v>0.39421920375000002</v>
      </c>
      <c r="L39" s="28">
        <v>0.63075072600000004</v>
      </c>
      <c r="M39" s="28">
        <v>0.47306304449999997</v>
      </c>
      <c r="N39" s="28">
        <v>0.63075072600000004</v>
      </c>
      <c r="O39" s="28">
        <v>0.23653152224999999</v>
      </c>
      <c r="P39" s="28">
        <v>0.31537536300000002</v>
      </c>
      <c r="Q39" s="28">
        <v>0.63075072600000004</v>
      </c>
      <c r="R39" s="28">
        <v>0.39421920375000002</v>
      </c>
      <c r="S39" s="28">
        <v>0.23653152224999999</v>
      </c>
      <c r="T39" s="28">
        <v>0.63075072600000004</v>
      </c>
      <c r="U39" s="28">
        <v>0.63075072600000004</v>
      </c>
      <c r="V39" s="28">
        <v>0.39421920375000002</v>
      </c>
      <c r="W39" s="28">
        <v>0.55190688524999998</v>
      </c>
      <c r="X39" s="28">
        <v>0.39421920375000002</v>
      </c>
      <c r="Y39" s="28">
        <v>0.63075072600000004</v>
      </c>
      <c r="Z39" s="28">
        <v>0.39421920375000002</v>
      </c>
      <c r="AA39" s="28">
        <v>0.55190688524999998</v>
      </c>
      <c r="AB39" s="28">
        <v>0.39421920375000002</v>
      </c>
      <c r="AC39" s="28">
        <v>0.63075072600000004</v>
      </c>
      <c r="AD39" s="28">
        <v>0.31537536300000002</v>
      </c>
      <c r="AE39" s="28">
        <v>0.39421920375000002</v>
      </c>
      <c r="AF39" s="28">
        <v>0.63075072600000004</v>
      </c>
      <c r="AG39" s="28">
        <v>0.63075072600000004</v>
      </c>
      <c r="AH39" s="28">
        <v>0.55190688524999998</v>
      </c>
      <c r="AI39" s="28">
        <v>0.23653152224999999</v>
      </c>
      <c r="AJ39" s="28">
        <v>0.47306304449999997</v>
      </c>
      <c r="AK39" s="28">
        <v>0.31537536300000002</v>
      </c>
      <c r="AL39" s="28">
        <v>0.31537536300000002</v>
      </c>
      <c r="AM39" s="28">
        <v>0.63075072600000004</v>
      </c>
      <c r="AN39" s="28">
        <v>0.63075072600000004</v>
      </c>
      <c r="AO39" s="28">
        <v>0.23653152224999999</v>
      </c>
      <c r="AP39" s="28">
        <v>0.23653152224999999</v>
      </c>
      <c r="AQ39" s="28">
        <v>0.63075072600000004</v>
      </c>
      <c r="AR39" s="28">
        <v>0.63075072600000004</v>
      </c>
      <c r="AS39" s="28">
        <v>0.63075072600000004</v>
      </c>
      <c r="AT39" s="28">
        <v>0.39421920375000002</v>
      </c>
      <c r="AU39" s="28">
        <v>0.63075072600000004</v>
      </c>
      <c r="AV39" s="28">
        <v>0.63075072600000004</v>
      </c>
      <c r="AW39" s="28">
        <v>0.49363100295652168</v>
      </c>
      <c r="AX39" s="34">
        <v>22.707026136</v>
      </c>
    </row>
    <row r="40" spans="1:50" x14ac:dyDescent="0.25">
      <c r="A40" s="24">
        <v>39</v>
      </c>
      <c r="B40" s="26">
        <v>19</v>
      </c>
      <c r="C40" s="28">
        <v>0.32228065426666652</v>
      </c>
      <c r="D40" s="28">
        <v>0.27624056079999992</v>
      </c>
      <c r="E40" s="28">
        <v>0.36832074773333318</v>
      </c>
      <c r="F40" s="28">
        <v>0.36832074773333318</v>
      </c>
      <c r="G40" s="28">
        <v>0.27624056079999992</v>
      </c>
      <c r="H40" s="28">
        <v>0.36832074773333318</v>
      </c>
      <c r="I40" s="28">
        <v>0.36832074773333318</v>
      </c>
      <c r="J40" s="28">
        <v>0.23020046733333319</v>
      </c>
      <c r="K40" s="28">
        <v>0.23020046733333319</v>
      </c>
      <c r="L40" s="28">
        <v>0.36832074773333318</v>
      </c>
      <c r="M40" s="28">
        <v>0.27624056079999992</v>
      </c>
      <c r="N40" s="28">
        <v>0.36832074773333318</v>
      </c>
      <c r="O40" s="28">
        <v>0.13812028039999991</v>
      </c>
      <c r="P40" s="28">
        <v>0.18416037386666659</v>
      </c>
      <c r="Q40" s="28">
        <v>0.36832074773333318</v>
      </c>
      <c r="R40" s="28">
        <v>0.23020046733333319</v>
      </c>
      <c r="S40" s="28">
        <v>0.13812028039999991</v>
      </c>
      <c r="T40" s="28">
        <v>0.36832074773333318</v>
      </c>
      <c r="U40" s="28">
        <v>0.36832074773333318</v>
      </c>
      <c r="V40" s="28">
        <v>0.23020046733333319</v>
      </c>
      <c r="W40" s="28">
        <v>0.32228065426666652</v>
      </c>
      <c r="X40" s="28">
        <v>0.23020046733333319</v>
      </c>
      <c r="Y40" s="28">
        <v>0.36832074773333318</v>
      </c>
      <c r="Z40" s="28">
        <v>0.23020046733333319</v>
      </c>
      <c r="AA40" s="28">
        <v>0.32228065426666652</v>
      </c>
      <c r="AB40" s="28">
        <v>0.23020046733333319</v>
      </c>
      <c r="AC40" s="28">
        <v>0.36832074773333318</v>
      </c>
      <c r="AD40" s="28">
        <v>0.18416037386666659</v>
      </c>
      <c r="AE40" s="28">
        <v>0.23020046733333319</v>
      </c>
      <c r="AF40" s="28">
        <v>0.36832074773333318</v>
      </c>
      <c r="AG40" s="28">
        <v>0.36832074773333318</v>
      </c>
      <c r="AH40" s="28">
        <v>0.32228065426666652</v>
      </c>
      <c r="AI40" s="28">
        <v>0.13812028039999991</v>
      </c>
      <c r="AJ40" s="28">
        <v>0.27624056079999992</v>
      </c>
      <c r="AK40" s="28">
        <v>0.18416037386666659</v>
      </c>
      <c r="AL40" s="28">
        <v>0.18416037386666659</v>
      </c>
      <c r="AM40" s="28">
        <v>0.36832074773333318</v>
      </c>
      <c r="AN40" s="28">
        <v>0.36832074773333318</v>
      </c>
      <c r="AO40" s="28">
        <v>0.13812028039999991</v>
      </c>
      <c r="AP40" s="28">
        <v>0.13812028039999991</v>
      </c>
      <c r="AQ40" s="28">
        <v>0.36832074773333318</v>
      </c>
      <c r="AR40" s="28">
        <v>0.36832074773333318</v>
      </c>
      <c r="AS40" s="28">
        <v>0.36832074773333318</v>
      </c>
      <c r="AT40" s="28">
        <v>0.23020046733333319</v>
      </c>
      <c r="AU40" s="28">
        <v>0.36832074773333318</v>
      </c>
      <c r="AV40" s="28">
        <v>0.36832074773333318</v>
      </c>
      <c r="AW40" s="28">
        <v>0.28825101996521718</v>
      </c>
      <c r="AX40" s="34">
        <v>13.259546918399989</v>
      </c>
    </row>
    <row r="41" spans="1:50" x14ac:dyDescent="0.25">
      <c r="A41" s="24">
        <v>40</v>
      </c>
      <c r="B41" s="26">
        <v>19.5</v>
      </c>
      <c r="C41" s="28">
        <v>9.3764954849999999E-2</v>
      </c>
      <c r="D41" s="28">
        <v>8.0369961300000001E-2</v>
      </c>
      <c r="E41" s="28">
        <v>0.1071599484</v>
      </c>
      <c r="F41" s="28">
        <v>0.1071599484</v>
      </c>
      <c r="G41" s="28">
        <v>8.0369961300000001E-2</v>
      </c>
      <c r="H41" s="28">
        <v>0.1071599484</v>
      </c>
      <c r="I41" s="28">
        <v>0.1071599484</v>
      </c>
      <c r="J41" s="28">
        <v>6.6974967750000003E-2</v>
      </c>
      <c r="K41" s="28">
        <v>6.6974967750000003E-2</v>
      </c>
      <c r="L41" s="28">
        <v>0.1071599484</v>
      </c>
      <c r="M41" s="28">
        <v>8.0369961300000001E-2</v>
      </c>
      <c r="N41" s="28">
        <v>0.1071599484</v>
      </c>
      <c r="O41" s="28">
        <v>4.018498065E-2</v>
      </c>
      <c r="P41" s="28">
        <v>5.3579974199999998E-2</v>
      </c>
      <c r="Q41" s="28">
        <v>0.1071599484</v>
      </c>
      <c r="R41" s="28">
        <v>6.6974967750000003E-2</v>
      </c>
      <c r="S41" s="28">
        <v>4.018498065E-2</v>
      </c>
      <c r="T41" s="28">
        <v>0.1071599484</v>
      </c>
      <c r="U41" s="28">
        <v>0.1071599484</v>
      </c>
      <c r="V41" s="28">
        <v>6.6974967750000003E-2</v>
      </c>
      <c r="W41" s="28">
        <v>9.3764954849999999E-2</v>
      </c>
      <c r="X41" s="28">
        <v>6.6974967750000003E-2</v>
      </c>
      <c r="Y41" s="28">
        <v>0.1071599484</v>
      </c>
      <c r="Z41" s="28">
        <v>6.6974967750000003E-2</v>
      </c>
      <c r="AA41" s="28">
        <v>9.3764954849999999E-2</v>
      </c>
      <c r="AB41" s="28">
        <v>6.6974967750000003E-2</v>
      </c>
      <c r="AC41" s="28">
        <v>0.1071599484</v>
      </c>
      <c r="AD41" s="28">
        <v>5.3579974199999998E-2</v>
      </c>
      <c r="AE41" s="28">
        <v>6.6974967750000003E-2</v>
      </c>
      <c r="AF41" s="28">
        <v>0.1071599484</v>
      </c>
      <c r="AG41" s="28">
        <v>0.1071599484</v>
      </c>
      <c r="AH41" s="28">
        <v>9.3764954849999999E-2</v>
      </c>
      <c r="AI41" s="28">
        <v>4.018498065E-2</v>
      </c>
      <c r="AJ41" s="28">
        <v>8.0369961300000001E-2</v>
      </c>
      <c r="AK41" s="28">
        <v>5.3579974199999998E-2</v>
      </c>
      <c r="AL41" s="28">
        <v>5.3579974199999998E-2</v>
      </c>
      <c r="AM41" s="28">
        <v>0.1071599484</v>
      </c>
      <c r="AN41" s="28">
        <v>0.1071599484</v>
      </c>
      <c r="AO41" s="28">
        <v>4.018498065E-2</v>
      </c>
      <c r="AP41" s="28">
        <v>4.018498065E-2</v>
      </c>
      <c r="AQ41" s="28">
        <v>0.1071599484</v>
      </c>
      <c r="AR41" s="28">
        <v>0.1071599484</v>
      </c>
      <c r="AS41" s="28">
        <v>0.1071599484</v>
      </c>
      <c r="AT41" s="28">
        <v>6.6974967750000003E-2</v>
      </c>
      <c r="AU41" s="28">
        <v>0.1071599484</v>
      </c>
      <c r="AV41" s="28">
        <v>0.1071599484</v>
      </c>
      <c r="AW41" s="28">
        <v>8.3864307443478281E-2</v>
      </c>
      <c r="AX41" s="34">
        <v>3.8577581424000011</v>
      </c>
    </row>
    <row r="42" spans="1:50" x14ac:dyDescent="0.25">
      <c r="A42" s="24">
        <v>41</v>
      </c>
      <c r="B42" s="26">
        <v>20</v>
      </c>
      <c r="C42" s="28">
        <v>1.7293304233333341E-2</v>
      </c>
      <c r="D42" s="28">
        <v>1.4822832200000011E-2</v>
      </c>
      <c r="E42" s="28">
        <v>1.9763776266666679E-2</v>
      </c>
      <c r="F42" s="28">
        <v>1.9763776266666679E-2</v>
      </c>
      <c r="G42" s="28">
        <v>1.4822832200000011E-2</v>
      </c>
      <c r="H42" s="28">
        <v>1.9763776266666679E-2</v>
      </c>
      <c r="I42" s="28">
        <v>1.9763776266666679E-2</v>
      </c>
      <c r="J42" s="28">
        <v>1.235236016666667E-2</v>
      </c>
      <c r="K42" s="28">
        <v>1.235236016666667E-2</v>
      </c>
      <c r="L42" s="28">
        <v>1.9763776266666679E-2</v>
      </c>
      <c r="M42" s="28">
        <v>1.4822832200000011E-2</v>
      </c>
      <c r="N42" s="28">
        <v>1.9763776266666679E-2</v>
      </c>
      <c r="O42" s="28">
        <v>7.4114161000000036E-3</v>
      </c>
      <c r="P42" s="28">
        <v>9.8818881333333393E-3</v>
      </c>
      <c r="Q42" s="28">
        <v>1.9763776266666679E-2</v>
      </c>
      <c r="R42" s="28">
        <v>1.235236016666667E-2</v>
      </c>
      <c r="S42" s="28">
        <v>7.4114161000000036E-3</v>
      </c>
      <c r="T42" s="28">
        <v>1.9763776266666679E-2</v>
      </c>
      <c r="U42" s="28">
        <v>1.9763776266666679E-2</v>
      </c>
      <c r="V42" s="28">
        <v>1.235236016666667E-2</v>
      </c>
      <c r="W42" s="28">
        <v>1.7293304233333341E-2</v>
      </c>
      <c r="X42" s="28">
        <v>1.235236016666667E-2</v>
      </c>
      <c r="Y42" s="28">
        <v>1.9763776266666679E-2</v>
      </c>
      <c r="Z42" s="28">
        <v>1.235236016666667E-2</v>
      </c>
      <c r="AA42" s="28">
        <v>1.7293304233333341E-2</v>
      </c>
      <c r="AB42" s="28">
        <v>1.235236016666667E-2</v>
      </c>
      <c r="AC42" s="28">
        <v>1.9763776266666679E-2</v>
      </c>
      <c r="AD42" s="28">
        <v>9.8818881333333393E-3</v>
      </c>
      <c r="AE42" s="28">
        <v>1.235236016666667E-2</v>
      </c>
      <c r="AF42" s="28">
        <v>1.9763776266666679E-2</v>
      </c>
      <c r="AG42" s="28">
        <v>1.9763776266666679E-2</v>
      </c>
      <c r="AH42" s="28">
        <v>1.7293304233333341E-2</v>
      </c>
      <c r="AI42" s="28">
        <v>7.4114161000000036E-3</v>
      </c>
      <c r="AJ42" s="28">
        <v>1.4822832200000011E-2</v>
      </c>
      <c r="AK42" s="28">
        <v>9.8818881333333393E-3</v>
      </c>
      <c r="AL42" s="28">
        <v>9.8818881333333393E-3</v>
      </c>
      <c r="AM42" s="28">
        <v>1.9763776266666679E-2</v>
      </c>
      <c r="AN42" s="28">
        <v>1.9763776266666679E-2</v>
      </c>
      <c r="AO42" s="28">
        <v>7.4114161000000036E-3</v>
      </c>
      <c r="AP42" s="28">
        <v>7.4114161000000036E-3</v>
      </c>
      <c r="AQ42" s="28">
        <v>1.9763776266666679E-2</v>
      </c>
      <c r="AR42" s="28">
        <v>1.9763776266666679E-2</v>
      </c>
      <c r="AS42" s="28">
        <v>1.9763776266666679E-2</v>
      </c>
      <c r="AT42" s="28">
        <v>1.235236016666667E-2</v>
      </c>
      <c r="AU42" s="28">
        <v>1.9763776266666679E-2</v>
      </c>
      <c r="AV42" s="28">
        <v>1.9763776266666679E-2</v>
      </c>
      <c r="AW42" s="28">
        <v>1.5467303165217409E-2</v>
      </c>
      <c r="AX42" s="34">
        <v>0.71149594560000062</v>
      </c>
    </row>
    <row r="43" spans="1:50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34">
        <v>0</v>
      </c>
    </row>
    <row r="44" spans="1:50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34">
        <v>0</v>
      </c>
    </row>
    <row r="45" spans="1:50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34">
        <v>0</v>
      </c>
    </row>
    <row r="46" spans="1:50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34">
        <v>0</v>
      </c>
    </row>
    <row r="47" spans="1:50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34">
        <v>0</v>
      </c>
    </row>
    <row r="48" spans="1:50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34">
        <v>0</v>
      </c>
    </row>
    <row r="49" spans="1:50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3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0" width="15" customWidth="1"/>
  </cols>
  <sheetData>
    <row r="1" spans="1:50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9" t="s">
        <v>84</v>
      </c>
    </row>
    <row r="2" spans="1:50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34">
        <v>0</v>
      </c>
    </row>
    <row r="3" spans="1:50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34">
        <v>0</v>
      </c>
    </row>
    <row r="4" spans="1:50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34">
        <v>0</v>
      </c>
    </row>
    <row r="5" spans="1:50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34">
        <v>0</v>
      </c>
    </row>
    <row r="6" spans="1:50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34">
        <v>0</v>
      </c>
    </row>
    <row r="7" spans="1:50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34">
        <v>0</v>
      </c>
    </row>
    <row r="8" spans="1:50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34">
        <v>0</v>
      </c>
    </row>
    <row r="9" spans="1:50" x14ac:dyDescent="0.25">
      <c r="A9" s="24">
        <v>8</v>
      </c>
      <c r="B9" s="26">
        <v>3.5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34">
        <v>0</v>
      </c>
    </row>
    <row r="10" spans="1:50" x14ac:dyDescent="0.25">
      <c r="A10" s="24">
        <v>9</v>
      </c>
      <c r="B10" s="26">
        <v>4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1.4999999999999999E-2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1.0999999999999999E-2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5.6521739130434788E-4</v>
      </c>
      <c r="AX10" s="34">
        <v>2.5999999999999999E-2</v>
      </c>
    </row>
    <row r="11" spans="1:50" x14ac:dyDescent="0.25">
      <c r="A11" s="24">
        <v>10</v>
      </c>
      <c r="B11" s="26">
        <v>4.5</v>
      </c>
      <c r="C11" s="28">
        <v>7.8E-2</v>
      </c>
      <c r="D11" s="28">
        <v>0.11899999999999999</v>
      </c>
      <c r="E11" s="28">
        <v>0.183</v>
      </c>
      <c r="F11" s="28">
        <v>6.2E-2</v>
      </c>
      <c r="G11" s="28">
        <v>0.11899999999999999</v>
      </c>
      <c r="H11" s="28">
        <v>0.19800000000000001</v>
      </c>
      <c r="I11" s="28">
        <v>0.18099999999999999</v>
      </c>
      <c r="J11" s="28">
        <v>2.5999999999999999E-2</v>
      </c>
      <c r="K11" s="28">
        <v>0</v>
      </c>
      <c r="L11" s="28">
        <v>0.157</v>
      </c>
      <c r="M11" s="28">
        <v>0</v>
      </c>
      <c r="N11" s="28">
        <v>4.5999999999999999E-2</v>
      </c>
      <c r="O11" s="28">
        <v>0</v>
      </c>
      <c r="P11" s="28">
        <v>1.2E-2</v>
      </c>
      <c r="Q11" s="28">
        <v>0.18099999999999999</v>
      </c>
      <c r="R11" s="28">
        <v>4.5000000000000012E-2</v>
      </c>
      <c r="S11" s="28">
        <v>0</v>
      </c>
      <c r="T11" s="28">
        <v>7.5999999999999998E-2</v>
      </c>
      <c r="U11" s="28">
        <v>2.1000000000000001E-2</v>
      </c>
      <c r="V11" s="28">
        <v>0</v>
      </c>
      <c r="W11" s="28">
        <v>8.3999999999999991E-2</v>
      </c>
      <c r="X11" s="28">
        <v>9.4E-2</v>
      </c>
      <c r="Y11" s="28">
        <v>0.158</v>
      </c>
      <c r="Z11" s="28">
        <v>0</v>
      </c>
      <c r="AA11" s="28">
        <v>0.16</v>
      </c>
      <c r="AB11" s="28">
        <v>9.6000000000000002E-2</v>
      </c>
      <c r="AC11" s="28">
        <v>0.17499999999999999</v>
      </c>
      <c r="AD11" s="28">
        <v>0.06</v>
      </c>
      <c r="AE11" s="28">
        <v>9.1999999999999998E-2</v>
      </c>
      <c r="AF11" s="28">
        <v>0.112</v>
      </c>
      <c r="AG11" s="28">
        <v>7.0000000000000001E-3</v>
      </c>
      <c r="AH11" s="28">
        <v>0</v>
      </c>
      <c r="AI11" s="28">
        <v>3.6999999999999998E-2</v>
      </c>
      <c r="AJ11" s="28">
        <v>0.03</v>
      </c>
      <c r="AK11" s="28">
        <v>5.5E-2</v>
      </c>
      <c r="AL11" s="28">
        <v>0</v>
      </c>
      <c r="AM11" s="28">
        <v>9.5000000000000001E-2</v>
      </c>
      <c r="AN11" s="28">
        <v>5.7000000000000002E-2</v>
      </c>
      <c r="AO11" s="28">
        <v>1.7000000000000001E-2</v>
      </c>
      <c r="AP11" s="28">
        <v>0</v>
      </c>
      <c r="AQ11" s="28">
        <v>0.191</v>
      </c>
      <c r="AR11" s="28">
        <v>2.3E-2</v>
      </c>
      <c r="AS11" s="28">
        <v>0.18099999999999999</v>
      </c>
      <c r="AT11" s="28">
        <v>4.2000000000000003E-2</v>
      </c>
      <c r="AU11" s="28">
        <v>0</v>
      </c>
      <c r="AV11" s="28">
        <v>0</v>
      </c>
      <c r="AW11" s="28">
        <v>7.1086956521739131E-2</v>
      </c>
      <c r="AX11" s="34">
        <v>3.27</v>
      </c>
    </row>
    <row r="12" spans="1:50" x14ac:dyDescent="0.25">
      <c r="A12" s="24">
        <v>11</v>
      </c>
      <c r="B12" s="26">
        <v>5</v>
      </c>
      <c r="C12" s="28">
        <v>0.26300000000000001</v>
      </c>
      <c r="D12" s="28">
        <v>0.05</v>
      </c>
      <c r="E12" s="28">
        <v>0.38700000000000001</v>
      </c>
      <c r="F12" s="28">
        <v>0.40300000000000002</v>
      </c>
      <c r="G12" s="28">
        <v>0.29099999999999998</v>
      </c>
      <c r="H12" s="28">
        <v>0.27</v>
      </c>
      <c r="I12" s="28">
        <v>0.23400000000000001</v>
      </c>
      <c r="J12" s="28">
        <v>0.23200000000000001</v>
      </c>
      <c r="K12" s="28">
        <v>0.23300000000000001</v>
      </c>
      <c r="L12" s="28">
        <v>0.253</v>
      </c>
      <c r="M12" s="28">
        <v>0.23699999999999999</v>
      </c>
      <c r="N12" s="28">
        <v>0.25600000000000001</v>
      </c>
      <c r="O12" s="28">
        <v>0.01</v>
      </c>
      <c r="P12" s="28">
        <v>0.123</v>
      </c>
      <c r="Q12" s="28">
        <v>0.40899999999999997</v>
      </c>
      <c r="R12" s="28">
        <v>5.8000000000000003E-2</v>
      </c>
      <c r="S12" s="28">
        <v>0.11600000000000001</v>
      </c>
      <c r="T12" s="28">
        <v>0.30299999999999999</v>
      </c>
      <c r="U12" s="28">
        <v>0.38800000000000001</v>
      </c>
      <c r="V12" s="28">
        <v>0.17499999999999999</v>
      </c>
      <c r="W12" s="28">
        <v>0.35499999999999998</v>
      </c>
      <c r="X12" s="28">
        <v>0.23699999999999999</v>
      </c>
      <c r="Y12" s="28">
        <v>0.27</v>
      </c>
      <c r="Z12" s="28">
        <v>0.153</v>
      </c>
      <c r="AA12" s="28">
        <v>0.316</v>
      </c>
      <c r="AB12" s="28">
        <v>0.112</v>
      </c>
      <c r="AC12" s="28">
        <v>0.40300000000000002</v>
      </c>
      <c r="AD12" s="28">
        <v>6.0999999999999999E-2</v>
      </c>
      <c r="AE12" s="28">
        <v>0.25800000000000001</v>
      </c>
      <c r="AF12" s="28">
        <v>0.41</v>
      </c>
      <c r="AG12" s="28">
        <v>0.36900000000000011</v>
      </c>
      <c r="AH12" s="28">
        <v>0.29699999999999999</v>
      </c>
      <c r="AI12" s="28">
        <v>1.4999999999999999E-2</v>
      </c>
      <c r="AJ12" s="28">
        <v>0.32</v>
      </c>
      <c r="AK12" s="28">
        <v>1.7999999999999999E-2</v>
      </c>
      <c r="AL12" s="28">
        <v>1.7999999999999999E-2</v>
      </c>
      <c r="AM12" s="28">
        <v>0.40799999999999997</v>
      </c>
      <c r="AN12" s="28">
        <v>4.8000000000000001E-2</v>
      </c>
      <c r="AO12" s="28">
        <v>0.03</v>
      </c>
      <c r="AP12" s="28">
        <v>0.11600000000000001</v>
      </c>
      <c r="AQ12" s="28">
        <v>0.41899999999999998</v>
      </c>
      <c r="AR12" s="28">
        <v>0.41299999999999998</v>
      </c>
      <c r="AS12" s="28">
        <v>0.17499999999999999</v>
      </c>
      <c r="AT12" s="28">
        <v>0.115</v>
      </c>
      <c r="AU12" s="28">
        <v>0.40600000000000003</v>
      </c>
      <c r="AV12" s="28">
        <v>0.40400000000000003</v>
      </c>
      <c r="AW12" s="28">
        <v>0.23558695652173919</v>
      </c>
      <c r="AX12" s="34">
        <v>10.837</v>
      </c>
    </row>
    <row r="13" spans="1:50" x14ac:dyDescent="0.25">
      <c r="A13" s="24">
        <v>12</v>
      </c>
      <c r="B13" s="26">
        <v>5.5</v>
      </c>
      <c r="C13" s="28">
        <v>0.46800000000000003</v>
      </c>
      <c r="D13" s="28">
        <v>0.496</v>
      </c>
      <c r="E13" s="28">
        <v>0.53900000000000003</v>
      </c>
      <c r="F13" s="28">
        <v>0.58799999999999997</v>
      </c>
      <c r="G13" s="28">
        <v>0.501</v>
      </c>
      <c r="H13" s="28">
        <v>0.63900000000000001</v>
      </c>
      <c r="I13" s="28">
        <v>0.57300000000000006</v>
      </c>
      <c r="J13" s="28">
        <v>0.4</v>
      </c>
      <c r="K13" s="28">
        <v>0.32300000000000001</v>
      </c>
      <c r="L13" s="28">
        <v>0.60899999999999999</v>
      </c>
      <c r="M13" s="28">
        <v>0.501</v>
      </c>
      <c r="N13" s="28">
        <v>0.623</v>
      </c>
      <c r="O13" s="28">
        <v>0.14099999999999999</v>
      </c>
      <c r="P13" s="28">
        <v>0</v>
      </c>
      <c r="Q13" s="28">
        <v>0.69</v>
      </c>
      <c r="R13" s="28">
        <v>0.40899999999999997</v>
      </c>
      <c r="S13" s="28">
        <v>0.221</v>
      </c>
      <c r="T13" s="28">
        <v>0.623</v>
      </c>
      <c r="U13" s="28">
        <v>0.66799999999999993</v>
      </c>
      <c r="V13" s="28">
        <v>0.375</v>
      </c>
      <c r="W13" s="28">
        <v>0.50800000000000001</v>
      </c>
      <c r="X13" s="28">
        <v>0.13800000000000001</v>
      </c>
      <c r="Y13" s="28">
        <v>0.68900000000000006</v>
      </c>
      <c r="Z13" s="28">
        <v>0.157</v>
      </c>
      <c r="AA13" s="28">
        <v>0.58299999999999996</v>
      </c>
      <c r="AB13" s="28">
        <v>0.39700000000000002</v>
      </c>
      <c r="AC13" s="28">
        <v>0.68400000000000005</v>
      </c>
      <c r="AD13" s="28">
        <v>0.26200000000000001</v>
      </c>
      <c r="AE13" s="28">
        <v>0.316</v>
      </c>
      <c r="AF13" s="28">
        <v>0.55900000000000005</v>
      </c>
      <c r="AG13" s="28">
        <v>0.51800000000000002</v>
      </c>
      <c r="AH13" s="28">
        <v>0.40300000000000002</v>
      </c>
      <c r="AI13" s="28">
        <v>9.5000000000000001E-2</v>
      </c>
      <c r="AJ13" s="28">
        <v>0.501</v>
      </c>
      <c r="AK13" s="28">
        <v>0.31</v>
      </c>
      <c r="AL13" s="28">
        <v>0.20899999999999999</v>
      </c>
      <c r="AM13" s="28">
        <v>0.60899999999999999</v>
      </c>
      <c r="AN13" s="28">
        <v>0.104</v>
      </c>
      <c r="AO13" s="28">
        <v>0.23499999999999999</v>
      </c>
      <c r="AP13" s="28">
        <v>0</v>
      </c>
      <c r="AQ13" s="28">
        <v>0.56999999999999995</v>
      </c>
      <c r="AR13" s="28">
        <v>0.59399999999999997</v>
      </c>
      <c r="AS13" s="28">
        <v>0.67699999999999994</v>
      </c>
      <c r="AT13" s="28">
        <v>0.35899999999999999</v>
      </c>
      <c r="AU13" s="28">
        <v>0.68700000000000006</v>
      </c>
      <c r="AV13" s="28">
        <v>0.63200000000000001</v>
      </c>
      <c r="AW13" s="28">
        <v>0.43876086956521748</v>
      </c>
      <c r="AX13" s="34">
        <v>20.18300000000001</v>
      </c>
    </row>
    <row r="14" spans="1:50" x14ac:dyDescent="0.25">
      <c r="A14" s="24">
        <v>13</v>
      </c>
      <c r="B14" s="26">
        <v>6</v>
      </c>
      <c r="C14" s="28">
        <v>0.76300000000000001</v>
      </c>
      <c r="D14" s="28">
        <v>0.53</v>
      </c>
      <c r="E14" s="28">
        <v>0.998</v>
      </c>
      <c r="F14" s="28">
        <v>0.86199999999999999</v>
      </c>
      <c r="G14" s="28">
        <v>0.73099999999999998</v>
      </c>
      <c r="H14" s="28">
        <v>1.0129999999999999</v>
      </c>
      <c r="I14" s="28">
        <v>0.80599999999999994</v>
      </c>
      <c r="J14" s="28">
        <v>0.43099999999999999</v>
      </c>
      <c r="K14" s="28">
        <v>0.57700000000000007</v>
      </c>
      <c r="L14" s="28">
        <v>0.90900000000000003</v>
      </c>
      <c r="M14" s="28">
        <v>0.53300000000000003</v>
      </c>
      <c r="N14" s="28">
        <v>0.79</v>
      </c>
      <c r="O14" s="28">
        <v>0.22600000000000001</v>
      </c>
      <c r="P14" s="28">
        <v>0.45400000000000001</v>
      </c>
      <c r="Q14" s="28">
        <v>0.99599999999999989</v>
      </c>
      <c r="R14" s="28">
        <v>0.6</v>
      </c>
      <c r="S14" s="28">
        <v>0.20300000000000001</v>
      </c>
      <c r="T14" s="28">
        <v>0.79400000000000004</v>
      </c>
      <c r="U14" s="28">
        <v>0.83600000000000008</v>
      </c>
      <c r="V14" s="28">
        <v>0.55400000000000005</v>
      </c>
      <c r="W14" s="28">
        <v>0.80400000000000005</v>
      </c>
      <c r="X14" s="28">
        <v>0.35</v>
      </c>
      <c r="Y14" s="28">
        <v>0.97299999999999998</v>
      </c>
      <c r="Z14" s="28">
        <v>0.42499999999999999</v>
      </c>
      <c r="AA14" s="28">
        <v>0.81400000000000006</v>
      </c>
      <c r="AB14" s="28">
        <v>0.58299999999999996</v>
      </c>
      <c r="AC14" s="28">
        <v>0.94200000000000006</v>
      </c>
      <c r="AD14" s="28">
        <v>0.46800000000000003</v>
      </c>
      <c r="AE14" s="28">
        <v>0.6130000000000001</v>
      </c>
      <c r="AF14" s="28">
        <v>0.95799999999999996</v>
      </c>
      <c r="AG14" s="28">
        <v>0.95799999999999996</v>
      </c>
      <c r="AH14" s="28">
        <v>0.70799999999999996</v>
      </c>
      <c r="AI14" s="28">
        <v>0.23200000000000001</v>
      </c>
      <c r="AJ14" s="28">
        <v>0.67100000000000004</v>
      </c>
      <c r="AK14" s="28">
        <v>0.46300000000000002</v>
      </c>
      <c r="AL14" s="28">
        <v>0.36699999999999999</v>
      </c>
      <c r="AM14" s="28">
        <v>0.11799999999999999</v>
      </c>
      <c r="AN14" s="28">
        <v>0.55300000000000005</v>
      </c>
      <c r="AO14" s="28">
        <v>0.222</v>
      </c>
      <c r="AP14" s="28">
        <v>0.32</v>
      </c>
      <c r="AQ14" s="28">
        <v>1.006</v>
      </c>
      <c r="AR14" s="28">
        <v>0.93099999999999994</v>
      </c>
      <c r="AS14" s="28">
        <v>0.93099999999999994</v>
      </c>
      <c r="AT14" s="28">
        <v>0.621</v>
      </c>
      <c r="AU14" s="28">
        <v>0.85400000000000009</v>
      </c>
      <c r="AV14" s="28">
        <v>0.86899999999999999</v>
      </c>
      <c r="AW14" s="28">
        <v>0.65999999999999992</v>
      </c>
      <c r="AX14" s="34">
        <v>30.36</v>
      </c>
    </row>
    <row r="15" spans="1:50" x14ac:dyDescent="0.25">
      <c r="A15" s="24">
        <v>14</v>
      </c>
      <c r="B15" s="26">
        <v>6.5</v>
      </c>
      <c r="C15" s="28">
        <v>1.1379999999999999</v>
      </c>
      <c r="D15" s="28">
        <v>0.91799999999999993</v>
      </c>
      <c r="E15" s="28">
        <v>1.1299999999999999</v>
      </c>
      <c r="F15" s="28">
        <v>1.169</v>
      </c>
      <c r="G15" s="28">
        <v>0.83399999999999996</v>
      </c>
      <c r="H15" s="28">
        <v>1.119</v>
      </c>
      <c r="I15" s="28">
        <v>1.083</v>
      </c>
      <c r="J15" s="28">
        <v>0.79299999999999993</v>
      </c>
      <c r="K15" s="28">
        <v>0.79400000000000004</v>
      </c>
      <c r="L15" s="28">
        <v>1.2330000000000001</v>
      </c>
      <c r="M15" s="28">
        <v>0.96299999999999997</v>
      </c>
      <c r="N15" s="28">
        <v>1.248</v>
      </c>
      <c r="O15" s="28">
        <v>0.46300000000000002</v>
      </c>
      <c r="P15" s="28">
        <v>0.48299999999999998</v>
      </c>
      <c r="Q15" s="28">
        <v>1.306</v>
      </c>
      <c r="R15" s="28">
        <v>0.79400000000000004</v>
      </c>
      <c r="S15" s="28">
        <v>0</v>
      </c>
      <c r="T15" s="28">
        <v>1.3180000000000001</v>
      </c>
      <c r="U15" s="28">
        <v>1.2609999999999999</v>
      </c>
      <c r="V15" s="28">
        <v>0.72499999999999998</v>
      </c>
      <c r="W15" s="28">
        <v>1.139</v>
      </c>
      <c r="X15" s="28">
        <v>0.628</v>
      </c>
      <c r="Y15" s="28">
        <v>1.1659999999999999</v>
      </c>
      <c r="Z15" s="28">
        <v>0.72499999999999998</v>
      </c>
      <c r="AA15" s="28">
        <v>1.137</v>
      </c>
      <c r="AB15" s="28">
        <v>0.25900000000000001</v>
      </c>
      <c r="AC15" s="28">
        <v>1.2689999999999999</v>
      </c>
      <c r="AD15" s="28">
        <v>0.48599999999999999</v>
      </c>
      <c r="AE15" s="28">
        <v>0.81899999999999995</v>
      </c>
      <c r="AF15" s="28">
        <v>1.3069999999999999</v>
      </c>
      <c r="AG15" s="28">
        <v>1.2949999999999999</v>
      </c>
      <c r="AH15" s="28">
        <v>1.06</v>
      </c>
      <c r="AI15" s="28">
        <v>0.314</v>
      </c>
      <c r="AJ15" s="28">
        <v>0.94099999999999995</v>
      </c>
      <c r="AK15" s="28">
        <v>0.46700000000000003</v>
      </c>
      <c r="AL15" s="28">
        <v>0.51900000000000002</v>
      </c>
      <c r="AM15" s="28">
        <v>0.75800000000000001</v>
      </c>
      <c r="AN15" s="28">
        <v>0</v>
      </c>
      <c r="AO15" s="28">
        <v>0.46600000000000003</v>
      </c>
      <c r="AP15" s="28">
        <v>0.374</v>
      </c>
      <c r="AQ15" s="28">
        <v>1.2210000000000001</v>
      </c>
      <c r="AR15" s="28">
        <v>1.31</v>
      </c>
      <c r="AS15" s="28">
        <v>1.292</v>
      </c>
      <c r="AT15" s="28">
        <v>0.63600000000000001</v>
      </c>
      <c r="AU15" s="28">
        <v>1.266</v>
      </c>
      <c r="AV15" s="28">
        <v>1.145</v>
      </c>
      <c r="AW15" s="28">
        <v>0.88632608695652193</v>
      </c>
      <c r="AX15" s="34">
        <v>40.771000000000008</v>
      </c>
    </row>
    <row r="16" spans="1:50" x14ac:dyDescent="0.25">
      <c r="A16" s="24">
        <v>15</v>
      </c>
      <c r="B16" s="26">
        <v>7</v>
      </c>
      <c r="C16" s="28">
        <v>0.32700000000000001</v>
      </c>
      <c r="D16" s="28">
        <v>1.2050000000000001</v>
      </c>
      <c r="E16" s="28">
        <v>1.6160000000000001</v>
      </c>
      <c r="F16" s="28">
        <v>1.5740000000000001</v>
      </c>
      <c r="G16" s="28">
        <v>0.96599999999999997</v>
      </c>
      <c r="H16" s="28">
        <v>1.611</v>
      </c>
      <c r="I16" s="28">
        <v>1.3340000000000001</v>
      </c>
      <c r="J16" s="28">
        <v>0.98499999999999999</v>
      </c>
      <c r="K16" s="28">
        <v>0.98599999999999988</v>
      </c>
      <c r="L16" s="28">
        <v>1.6120000000000001</v>
      </c>
      <c r="M16" s="28">
        <v>1.1419999999999999</v>
      </c>
      <c r="N16" s="28">
        <v>1.556</v>
      </c>
      <c r="O16" s="28">
        <v>0.47699999999999998</v>
      </c>
      <c r="P16" s="28">
        <v>0</v>
      </c>
      <c r="Q16" s="28">
        <v>1.5580000000000001</v>
      </c>
      <c r="R16" s="28">
        <v>0.7649999999999999</v>
      </c>
      <c r="S16" s="28">
        <v>0.39500000000000002</v>
      </c>
      <c r="T16" s="28">
        <v>1.5449999999999999</v>
      </c>
      <c r="U16" s="28">
        <v>1.3069999999999999</v>
      </c>
      <c r="V16" s="28">
        <v>0.81200000000000006</v>
      </c>
      <c r="W16" s="28">
        <v>1.409</v>
      </c>
      <c r="X16" s="28">
        <v>0.83</v>
      </c>
      <c r="Y16" s="28">
        <v>1.613</v>
      </c>
      <c r="Z16" s="28">
        <v>0.82600000000000007</v>
      </c>
      <c r="AA16" s="28">
        <v>1.4139999999999999</v>
      </c>
      <c r="AB16" s="28">
        <v>0.99199999999999999</v>
      </c>
      <c r="AC16" s="28">
        <v>1.258</v>
      </c>
      <c r="AD16" s="28">
        <v>0.747</v>
      </c>
      <c r="AE16" s="28">
        <v>1.0109999999999999</v>
      </c>
      <c r="AF16" s="28">
        <v>1.5449999999999999</v>
      </c>
      <c r="AG16" s="28">
        <v>0.71599999999999997</v>
      </c>
      <c r="AH16" s="28">
        <v>1.256</v>
      </c>
      <c r="AI16" s="28">
        <v>0.41699999999999998</v>
      </c>
      <c r="AJ16" s="28">
        <v>1.0960000000000001</v>
      </c>
      <c r="AK16" s="28">
        <v>0.77200000000000002</v>
      </c>
      <c r="AL16" s="28">
        <v>0.63900000000000001</v>
      </c>
      <c r="AM16" s="28">
        <v>0.65600000000000003</v>
      </c>
      <c r="AN16" s="28">
        <v>0</v>
      </c>
      <c r="AO16" s="28">
        <v>0.52700000000000002</v>
      </c>
      <c r="AP16" s="28">
        <v>0.54600000000000004</v>
      </c>
      <c r="AQ16" s="28">
        <v>1.49</v>
      </c>
      <c r="AR16" s="28">
        <v>1.0069999999999999</v>
      </c>
      <c r="AS16" s="28">
        <v>1.3939999999999999</v>
      </c>
      <c r="AT16" s="28">
        <v>0.90600000000000003</v>
      </c>
      <c r="AU16" s="28">
        <v>1.4890000000000001</v>
      </c>
      <c r="AV16" s="28">
        <v>1.609</v>
      </c>
      <c r="AW16" s="28">
        <v>1.0421304347826079</v>
      </c>
      <c r="AX16" s="34">
        <v>47.937999999999988</v>
      </c>
    </row>
    <row r="17" spans="1:50" x14ac:dyDescent="0.25">
      <c r="A17" s="24">
        <v>16</v>
      </c>
      <c r="B17" s="26">
        <v>7.5</v>
      </c>
      <c r="C17" s="28">
        <v>1.4430000000000001</v>
      </c>
      <c r="D17" s="28">
        <v>1.327</v>
      </c>
      <c r="E17" s="28">
        <v>1.6180000000000001</v>
      </c>
      <c r="F17" s="28">
        <v>1.72</v>
      </c>
      <c r="G17" s="28">
        <v>1.2989999999999999</v>
      </c>
      <c r="H17" s="28">
        <v>1.35</v>
      </c>
      <c r="I17" s="28">
        <v>1.5049999999999999</v>
      </c>
      <c r="J17" s="28">
        <v>1.1140000000000001</v>
      </c>
      <c r="K17" s="28">
        <v>1.07</v>
      </c>
      <c r="L17" s="28">
        <v>1.8779999999999999</v>
      </c>
      <c r="M17" s="28">
        <v>1.2589999999999999</v>
      </c>
      <c r="N17" s="28">
        <v>1.7809999999999999</v>
      </c>
      <c r="O17" s="28">
        <v>0.61199999999999999</v>
      </c>
      <c r="P17" s="28">
        <v>0</v>
      </c>
      <c r="Q17" s="28">
        <v>0.63400000000000001</v>
      </c>
      <c r="R17" s="28">
        <v>1.179</v>
      </c>
      <c r="S17" s="28">
        <v>0.55900000000000005</v>
      </c>
      <c r="T17" s="28">
        <v>1.6970000000000001</v>
      </c>
      <c r="U17" s="28">
        <v>1.901</v>
      </c>
      <c r="V17" s="28">
        <v>1.133</v>
      </c>
      <c r="W17" s="28">
        <v>1.5649999999999999</v>
      </c>
      <c r="X17" s="28">
        <v>0.91</v>
      </c>
      <c r="Y17" s="28">
        <v>1.448</v>
      </c>
      <c r="Z17" s="28">
        <v>1.08</v>
      </c>
      <c r="AA17" s="28">
        <v>1.6839999999999999</v>
      </c>
      <c r="AB17" s="28">
        <v>1.012</v>
      </c>
      <c r="AC17" s="28">
        <v>1.5720000000000001</v>
      </c>
      <c r="AD17" s="28">
        <v>0.878</v>
      </c>
      <c r="AE17" s="28">
        <v>1.181</v>
      </c>
      <c r="AF17" s="28">
        <v>1.5509999999999999</v>
      </c>
      <c r="AG17" s="28">
        <v>1.7749999999999999</v>
      </c>
      <c r="AH17" s="28">
        <v>1.206</v>
      </c>
      <c r="AI17" s="28">
        <v>0.626</v>
      </c>
      <c r="AJ17" s="28">
        <v>1.349</v>
      </c>
      <c r="AK17" s="28">
        <v>0.91900000000000004</v>
      </c>
      <c r="AL17" s="28">
        <v>0.84199999999999997</v>
      </c>
      <c r="AM17" s="28">
        <v>0</v>
      </c>
      <c r="AN17" s="28">
        <v>1.462</v>
      </c>
      <c r="AO17" s="28">
        <v>0.625</v>
      </c>
      <c r="AP17" s="28">
        <v>0.55900000000000005</v>
      </c>
      <c r="AQ17" s="28">
        <v>1.7030000000000001</v>
      </c>
      <c r="AR17" s="28">
        <v>1.1619999999999999</v>
      </c>
      <c r="AS17" s="28">
        <v>1.8740000000000001</v>
      </c>
      <c r="AT17" s="28">
        <v>1.2</v>
      </c>
      <c r="AU17" s="28">
        <v>1.843</v>
      </c>
      <c r="AV17" s="28">
        <v>1.827</v>
      </c>
      <c r="AW17" s="28">
        <v>1.2376521739130431</v>
      </c>
      <c r="AX17" s="34">
        <v>56.932000000000002</v>
      </c>
    </row>
    <row r="18" spans="1:50" x14ac:dyDescent="0.25">
      <c r="A18" s="24">
        <v>17</v>
      </c>
      <c r="B18" s="26">
        <v>8</v>
      </c>
      <c r="C18" s="28">
        <v>1.742</v>
      </c>
      <c r="D18" s="28">
        <v>1.4950000000000001</v>
      </c>
      <c r="E18" s="28">
        <v>0</v>
      </c>
      <c r="F18" s="28">
        <v>0.373</v>
      </c>
      <c r="G18" s="28">
        <v>1.006</v>
      </c>
      <c r="H18" s="28">
        <v>0</v>
      </c>
      <c r="I18" s="28">
        <v>1.351</v>
      </c>
      <c r="J18" s="28">
        <v>1.2470000000000001</v>
      </c>
      <c r="K18" s="28">
        <v>1.36</v>
      </c>
      <c r="L18" s="28">
        <v>0.73399999999999999</v>
      </c>
      <c r="M18" s="28">
        <v>1.0980000000000001</v>
      </c>
      <c r="N18" s="28">
        <v>0.76100000000000001</v>
      </c>
      <c r="O18" s="28">
        <v>0.628</v>
      </c>
      <c r="P18" s="28">
        <v>0</v>
      </c>
      <c r="Q18" s="28">
        <v>0</v>
      </c>
      <c r="R18" s="28">
        <v>1.2569999999999999</v>
      </c>
      <c r="S18" s="28">
        <v>0.74099999999999999</v>
      </c>
      <c r="T18" s="28">
        <v>0.317</v>
      </c>
      <c r="U18" s="28">
        <v>0.46100000000000002</v>
      </c>
      <c r="V18" s="28">
        <v>1.38</v>
      </c>
      <c r="W18" s="28">
        <v>0.501</v>
      </c>
      <c r="X18" s="28">
        <v>1.3420000000000001</v>
      </c>
      <c r="Y18" s="28">
        <v>0</v>
      </c>
      <c r="Z18" s="28">
        <v>1.33</v>
      </c>
      <c r="AA18" s="28">
        <v>0.56400000000000006</v>
      </c>
      <c r="AB18" s="28">
        <v>1.222</v>
      </c>
      <c r="AC18" s="28">
        <v>0</v>
      </c>
      <c r="AD18" s="28">
        <v>0.92400000000000004</v>
      </c>
      <c r="AE18" s="28">
        <v>1.28</v>
      </c>
      <c r="AF18" s="28">
        <v>0</v>
      </c>
      <c r="AG18" s="28">
        <v>1.1479999999999999</v>
      </c>
      <c r="AH18" s="28">
        <v>1.579</v>
      </c>
      <c r="AI18" s="28">
        <v>0.47699999999999998</v>
      </c>
      <c r="AJ18" s="28">
        <v>0.88400000000000001</v>
      </c>
      <c r="AK18" s="28">
        <v>0.92699999999999994</v>
      </c>
      <c r="AL18" s="28">
        <v>0.97299999999999998</v>
      </c>
      <c r="AM18" s="28">
        <v>0.26500000000000001</v>
      </c>
      <c r="AN18" s="28">
        <v>2.1760000000000002</v>
      </c>
      <c r="AO18" s="28">
        <v>0.80599999999999994</v>
      </c>
      <c r="AP18" s="28">
        <v>0.66400000000000003</v>
      </c>
      <c r="AQ18" s="28">
        <v>0</v>
      </c>
      <c r="AR18" s="28">
        <v>2.1960000000000002</v>
      </c>
      <c r="AS18" s="28">
        <v>0</v>
      </c>
      <c r="AT18" s="28">
        <v>1.272</v>
      </c>
      <c r="AU18" s="28">
        <v>4.5999999999999999E-2</v>
      </c>
      <c r="AV18" s="28">
        <v>1.482</v>
      </c>
      <c r="AW18" s="28">
        <v>0.82628260869565218</v>
      </c>
      <c r="AX18" s="34">
        <v>38.009</v>
      </c>
    </row>
    <row r="19" spans="1:50" x14ac:dyDescent="0.25">
      <c r="A19" s="24">
        <v>18</v>
      </c>
      <c r="B19" s="26">
        <v>8.5</v>
      </c>
      <c r="C19" s="28">
        <v>0</v>
      </c>
      <c r="D19" s="28">
        <v>0.44800000000000001</v>
      </c>
      <c r="E19" s="28">
        <v>0</v>
      </c>
      <c r="F19" s="28">
        <v>0</v>
      </c>
      <c r="G19" s="28">
        <v>1.0820000000000001</v>
      </c>
      <c r="H19" s="28">
        <v>0</v>
      </c>
      <c r="I19" s="28">
        <v>0</v>
      </c>
      <c r="J19" s="28">
        <v>1.3160000000000001</v>
      </c>
      <c r="K19" s="28">
        <v>1.37</v>
      </c>
      <c r="L19" s="28">
        <v>0</v>
      </c>
      <c r="M19" s="28">
        <v>1.147</v>
      </c>
      <c r="N19" s="28">
        <v>0</v>
      </c>
      <c r="O19" s="28">
        <v>0.88700000000000001</v>
      </c>
      <c r="P19" s="28">
        <v>1.1040000000000001</v>
      </c>
      <c r="Q19" s="28">
        <v>0</v>
      </c>
      <c r="R19" s="28">
        <v>1.413</v>
      </c>
      <c r="S19" s="28">
        <v>0.433</v>
      </c>
      <c r="T19" s="28">
        <v>0</v>
      </c>
      <c r="U19" s="28">
        <v>0</v>
      </c>
      <c r="V19" s="28">
        <v>1.492</v>
      </c>
      <c r="W19" s="28">
        <v>0</v>
      </c>
      <c r="X19" s="28">
        <v>1.2829999999999999</v>
      </c>
      <c r="Y19" s="28">
        <v>0</v>
      </c>
      <c r="Z19" s="28">
        <v>1.4390000000000001</v>
      </c>
      <c r="AA19" s="28">
        <v>0</v>
      </c>
      <c r="AB19" s="28">
        <v>1.536</v>
      </c>
      <c r="AC19" s="28">
        <v>0</v>
      </c>
      <c r="AD19" s="28">
        <v>1.012</v>
      </c>
      <c r="AE19" s="28">
        <v>0.55300000000000005</v>
      </c>
      <c r="AF19" s="28">
        <v>0</v>
      </c>
      <c r="AG19" s="28">
        <v>0</v>
      </c>
      <c r="AH19" s="28">
        <v>0.155</v>
      </c>
      <c r="AI19" s="28">
        <v>0</v>
      </c>
      <c r="AJ19" s="28">
        <v>0</v>
      </c>
      <c r="AK19" s="28">
        <v>1.2070000000000001</v>
      </c>
      <c r="AL19" s="28">
        <v>1.0960000000000001</v>
      </c>
      <c r="AM19" s="28">
        <v>1.615</v>
      </c>
      <c r="AN19" s="28">
        <v>2.2519999999999998</v>
      </c>
      <c r="AO19" s="28">
        <v>0.78100000000000003</v>
      </c>
      <c r="AP19" s="28">
        <v>0.84099999999999997</v>
      </c>
      <c r="AQ19" s="28">
        <v>0</v>
      </c>
      <c r="AR19" s="28">
        <v>0</v>
      </c>
      <c r="AS19" s="28">
        <v>0</v>
      </c>
      <c r="AT19" s="28">
        <v>1.4630000000000001</v>
      </c>
      <c r="AU19" s="28">
        <v>0</v>
      </c>
      <c r="AV19" s="28">
        <v>0</v>
      </c>
      <c r="AW19" s="28">
        <v>0.56358695652173918</v>
      </c>
      <c r="AX19" s="34">
        <v>25.925000000000001</v>
      </c>
    </row>
    <row r="20" spans="1:50" x14ac:dyDescent="0.25">
      <c r="A20" s="24">
        <v>19</v>
      </c>
      <c r="B20" s="26">
        <v>9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0.87</v>
      </c>
      <c r="P20" s="28">
        <v>1.1499999999999999</v>
      </c>
      <c r="Q20" s="28">
        <v>0</v>
      </c>
      <c r="R20" s="28">
        <v>0.28799999999999998</v>
      </c>
      <c r="S20" s="28">
        <v>0.8630000000000001</v>
      </c>
      <c r="T20" s="28">
        <v>0</v>
      </c>
      <c r="U20" s="28">
        <v>0</v>
      </c>
      <c r="V20" s="28">
        <v>0.85</v>
      </c>
      <c r="W20" s="28">
        <v>0</v>
      </c>
      <c r="X20" s="28">
        <v>1.3560000000000001</v>
      </c>
      <c r="Y20" s="28">
        <v>0</v>
      </c>
      <c r="Z20" s="28">
        <v>1.512</v>
      </c>
      <c r="AA20" s="28">
        <v>0</v>
      </c>
      <c r="AB20" s="28">
        <v>0.55400000000000005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5.0000000000000001E-3</v>
      </c>
      <c r="AJ20" s="28">
        <v>0</v>
      </c>
      <c r="AK20" s="28">
        <v>0.11600000000000001</v>
      </c>
      <c r="AL20" s="28">
        <v>1.2450000000000001</v>
      </c>
      <c r="AM20" s="28">
        <v>2.093</v>
      </c>
      <c r="AN20" s="28">
        <v>1.8120000000000001</v>
      </c>
      <c r="AO20" s="28">
        <v>0.995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0.29802173913043473</v>
      </c>
      <c r="AX20" s="34">
        <v>13.709</v>
      </c>
    </row>
    <row r="21" spans="1:50" x14ac:dyDescent="0.25">
      <c r="A21" s="24">
        <v>20</v>
      </c>
      <c r="B21" s="26">
        <v>9.5</v>
      </c>
      <c r="C21" s="28">
        <v>1.413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0.51700000000000002</v>
      </c>
      <c r="P21" s="28">
        <v>1.444</v>
      </c>
      <c r="Q21" s="28">
        <v>0</v>
      </c>
      <c r="R21" s="28">
        <v>0</v>
      </c>
      <c r="S21" s="28">
        <v>0.95299999999999996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0.66200000000000003</v>
      </c>
      <c r="AJ21" s="28">
        <v>0</v>
      </c>
      <c r="AK21" s="28">
        <v>0.69399999999999995</v>
      </c>
      <c r="AL21" s="28">
        <v>0.78</v>
      </c>
      <c r="AM21" s="28">
        <v>0.77600000000000002</v>
      </c>
      <c r="AN21" s="28">
        <v>0</v>
      </c>
      <c r="AO21" s="28">
        <v>0.96899999999999997</v>
      </c>
      <c r="AP21" s="28">
        <v>0.86599999999999999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0.19726086956521741</v>
      </c>
      <c r="AX21" s="34">
        <v>9.0739999999999998</v>
      </c>
    </row>
    <row r="22" spans="1:50" x14ac:dyDescent="0.25">
      <c r="A22" s="24">
        <v>21</v>
      </c>
      <c r="B22" s="26">
        <v>10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0.56499999999999995</v>
      </c>
      <c r="P22" s="28">
        <v>1.3069999999999999</v>
      </c>
      <c r="Q22" s="28">
        <v>0</v>
      </c>
      <c r="R22" s="28">
        <v>0</v>
      </c>
      <c r="S22" s="28">
        <v>1.1080000000000001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0.56800000000000006</v>
      </c>
      <c r="AE22" s="28">
        <v>0</v>
      </c>
      <c r="AF22" s="28">
        <v>0</v>
      </c>
      <c r="AG22" s="28">
        <v>0</v>
      </c>
      <c r="AH22" s="28">
        <v>0</v>
      </c>
      <c r="AI22" s="28">
        <v>0.41899999999999998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0.47299999999999998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9.6521739130434797E-2</v>
      </c>
      <c r="AX22" s="34">
        <v>4.4400000000000004</v>
      </c>
    </row>
    <row r="23" spans="1:50" x14ac:dyDescent="0.25">
      <c r="A23" s="24">
        <v>22</v>
      </c>
      <c r="B23" s="26">
        <v>10.5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0.78700000000000003</v>
      </c>
      <c r="P23" s="28">
        <v>1.5289999999999999</v>
      </c>
      <c r="Q23" s="28">
        <v>0</v>
      </c>
      <c r="R23" s="28">
        <v>0</v>
      </c>
      <c r="S23" s="28">
        <v>0.184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1.5860000000000001</v>
      </c>
      <c r="AE23" s="28">
        <v>0</v>
      </c>
      <c r="AF23" s="28">
        <v>0</v>
      </c>
      <c r="AG23" s="28">
        <v>0</v>
      </c>
      <c r="AH23" s="28">
        <v>0</v>
      </c>
      <c r="AI23" s="28">
        <v>1.151</v>
      </c>
      <c r="AJ23" s="28">
        <v>0</v>
      </c>
      <c r="AK23" s="28">
        <v>1.232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0.1406304347826087</v>
      </c>
      <c r="AX23" s="34">
        <v>6.4690000000000003</v>
      </c>
    </row>
    <row r="24" spans="1:50" x14ac:dyDescent="0.25">
      <c r="A24" s="24">
        <v>23</v>
      </c>
      <c r="B24" s="26">
        <v>11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0.69899999999999995</v>
      </c>
      <c r="P24" s="28">
        <v>0.45300000000000001</v>
      </c>
      <c r="Q24" s="28">
        <v>0</v>
      </c>
      <c r="R24" s="28">
        <v>0</v>
      </c>
      <c r="S24" s="28">
        <v>0.441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0.50800000000000001</v>
      </c>
      <c r="AE24" s="28">
        <v>0</v>
      </c>
      <c r="AF24" s="28">
        <v>0</v>
      </c>
      <c r="AG24" s="28">
        <v>0</v>
      </c>
      <c r="AH24" s="28">
        <v>0</v>
      </c>
      <c r="AI24" s="28">
        <v>1.119</v>
      </c>
      <c r="AJ24" s="28">
        <v>0</v>
      </c>
      <c r="AK24" s="28">
        <v>1.4350000000000001</v>
      </c>
      <c r="AL24" s="28">
        <v>0</v>
      </c>
      <c r="AM24" s="28">
        <v>0</v>
      </c>
      <c r="AN24" s="28">
        <v>0</v>
      </c>
      <c r="AO24" s="28">
        <v>0</v>
      </c>
      <c r="AP24" s="28">
        <v>0.87200000000000011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0.1201521739130435</v>
      </c>
      <c r="AX24" s="34">
        <v>5.5269999999999992</v>
      </c>
    </row>
    <row r="25" spans="1:50" x14ac:dyDescent="0.25">
      <c r="A25" s="24">
        <v>24</v>
      </c>
      <c r="B25" s="26">
        <v>11.5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1.0349999999999999</v>
      </c>
      <c r="AJ25" s="28">
        <v>0</v>
      </c>
      <c r="AK25" s="28">
        <v>0.95100000000000007</v>
      </c>
      <c r="AL25" s="28">
        <v>0</v>
      </c>
      <c r="AM25" s="28">
        <v>0</v>
      </c>
      <c r="AN25" s="28">
        <v>0</v>
      </c>
      <c r="AO25" s="28">
        <v>0</v>
      </c>
      <c r="AP25" s="28">
        <v>1.1220000000000001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6.7565217391304347E-2</v>
      </c>
      <c r="AX25" s="34">
        <v>3.1080000000000001</v>
      </c>
    </row>
    <row r="26" spans="1:50" x14ac:dyDescent="0.25">
      <c r="A26" s="24">
        <v>25</v>
      </c>
      <c r="B26" s="26">
        <v>12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0.86799999999999999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0.94499999999999995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1.2410000000000001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6.6391304347826086E-2</v>
      </c>
      <c r="AX26" s="34">
        <v>3.0539999999999998</v>
      </c>
    </row>
    <row r="27" spans="1:50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0.76800000000000002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7.5999999999999998E-2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0.45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2.8130434782608699E-2</v>
      </c>
      <c r="AX27" s="34">
        <v>1.294</v>
      </c>
    </row>
    <row r="28" spans="1:50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0.56599999999999995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1.2304347826086959E-2</v>
      </c>
      <c r="AX28" s="34">
        <v>0.56599999999999995</v>
      </c>
    </row>
    <row r="29" spans="1:50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34">
        <v>0</v>
      </c>
    </row>
    <row r="30" spans="1:50" x14ac:dyDescent="0.25">
      <c r="A30" s="24">
        <v>29</v>
      </c>
      <c r="B30" s="26">
        <v>14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34">
        <v>0</v>
      </c>
    </row>
    <row r="31" spans="1:50" x14ac:dyDescent="0.25">
      <c r="A31" s="24">
        <v>30</v>
      </c>
      <c r="B31" s="26">
        <v>14.5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34">
        <v>0</v>
      </c>
    </row>
    <row r="32" spans="1:50" x14ac:dyDescent="0.25">
      <c r="A32" s="24">
        <v>31</v>
      </c>
      <c r="B32" s="26">
        <v>15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0.29099999999999998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6.3260869565217401E-3</v>
      </c>
      <c r="AX32" s="34">
        <v>0.29099999999999998</v>
      </c>
    </row>
    <row r="33" spans="1:50" x14ac:dyDescent="0.25">
      <c r="A33" s="24">
        <v>32</v>
      </c>
      <c r="B33" s="26">
        <v>15.5</v>
      </c>
      <c r="C33" s="28">
        <v>0</v>
      </c>
      <c r="D33" s="28">
        <v>0.48799999999999999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1.060869565217391E-2</v>
      </c>
      <c r="AX33" s="34">
        <v>0.48799999999999999</v>
      </c>
    </row>
    <row r="34" spans="1:50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34">
        <v>0</v>
      </c>
    </row>
    <row r="35" spans="1:50" x14ac:dyDescent="0.25">
      <c r="A35" s="24">
        <v>34</v>
      </c>
      <c r="B35" s="26">
        <v>16.5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0.111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2.413043478260869E-3</v>
      </c>
      <c r="AX35" s="34">
        <v>0.111</v>
      </c>
    </row>
    <row r="36" spans="1:50" x14ac:dyDescent="0.25">
      <c r="A36" s="24">
        <v>35</v>
      </c>
      <c r="B36" s="26">
        <v>17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0.224</v>
      </c>
      <c r="AJ36" s="28">
        <v>0</v>
      </c>
      <c r="AK36" s="28">
        <v>0</v>
      </c>
      <c r="AL36" s="28">
        <v>0</v>
      </c>
      <c r="AM36" s="28">
        <v>0</v>
      </c>
      <c r="AN36" s="28">
        <v>0.215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9.5434782608695649E-3</v>
      </c>
      <c r="AX36" s="34">
        <v>0.439</v>
      </c>
    </row>
    <row r="37" spans="1:50" x14ac:dyDescent="0.25">
      <c r="A37" s="24">
        <v>36</v>
      </c>
      <c r="B37" s="26">
        <v>17.5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0.32500000000000001</v>
      </c>
      <c r="AT37" s="28">
        <v>0</v>
      </c>
      <c r="AU37" s="28">
        <v>0</v>
      </c>
      <c r="AV37" s="28">
        <v>0</v>
      </c>
      <c r="AW37" s="28">
        <v>7.0652173913043478E-3</v>
      </c>
      <c r="AX37" s="34">
        <v>0.32500000000000001</v>
      </c>
    </row>
    <row r="38" spans="1:50" x14ac:dyDescent="0.25">
      <c r="A38" s="24">
        <v>37</v>
      </c>
      <c r="B38" s="26">
        <v>18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8.3000000000000004E-2</v>
      </c>
      <c r="AS38" s="28">
        <v>0</v>
      </c>
      <c r="AT38" s="28">
        <v>0</v>
      </c>
      <c r="AU38" s="28">
        <v>0</v>
      </c>
      <c r="AV38" s="28">
        <v>0</v>
      </c>
      <c r="AW38" s="28">
        <v>1.8043478260869571E-3</v>
      </c>
      <c r="AX38" s="34">
        <v>8.3000000000000004E-2</v>
      </c>
    </row>
    <row r="39" spans="1:50" x14ac:dyDescent="0.25">
      <c r="A39" s="24">
        <v>38</v>
      </c>
      <c r="B39" s="26">
        <v>18.5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5.6000000000000001E-2</v>
      </c>
      <c r="K39" s="28">
        <v>0</v>
      </c>
      <c r="L39" s="28">
        <v>0</v>
      </c>
      <c r="M39" s="28">
        <v>0.39100000000000001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9.717391304347827E-3</v>
      </c>
      <c r="AX39" s="34">
        <v>0.44700000000000001</v>
      </c>
    </row>
    <row r="40" spans="1:50" x14ac:dyDescent="0.25">
      <c r="A40" s="24">
        <v>39</v>
      </c>
      <c r="B40" s="26">
        <v>19</v>
      </c>
      <c r="C40" s="28">
        <v>0</v>
      </c>
      <c r="D40" s="28">
        <v>0.17199999999999999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5.8999999999999997E-2</v>
      </c>
      <c r="K40" s="28">
        <v>0</v>
      </c>
      <c r="L40" s="28">
        <v>0</v>
      </c>
      <c r="M40" s="28">
        <v>5.0999999999999997E-2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0.13600000000000001</v>
      </c>
      <c r="W40" s="28">
        <v>0</v>
      </c>
      <c r="X40" s="28">
        <v>0</v>
      </c>
      <c r="Y40" s="28">
        <v>0</v>
      </c>
      <c r="Z40" s="28">
        <v>2.3E-2</v>
      </c>
      <c r="AA40" s="28">
        <v>0</v>
      </c>
      <c r="AB40" s="28">
        <v>0</v>
      </c>
      <c r="AC40" s="28">
        <v>0.23300000000000001</v>
      </c>
      <c r="AD40" s="28">
        <v>8.0000000000000002E-3</v>
      </c>
      <c r="AE40" s="28">
        <v>0</v>
      </c>
      <c r="AF40" s="28">
        <v>0</v>
      </c>
      <c r="AG40" s="28">
        <v>0</v>
      </c>
      <c r="AH40" s="28">
        <v>5.7000000000000002E-2</v>
      </c>
      <c r="AI40" s="28">
        <v>0</v>
      </c>
      <c r="AJ40" s="28">
        <v>0.10100000000000001</v>
      </c>
      <c r="AK40" s="28">
        <v>0</v>
      </c>
      <c r="AL40" s="28">
        <v>3.7999999999999999E-2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1.908695652173913E-2</v>
      </c>
      <c r="AX40" s="34">
        <v>0.87800000000000011</v>
      </c>
    </row>
    <row r="41" spans="1:50" x14ac:dyDescent="0.25">
      <c r="A41" s="24">
        <v>40</v>
      </c>
      <c r="B41" s="26">
        <v>19.5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2.1000000000000001E-2</v>
      </c>
      <c r="AW41" s="28">
        <v>4.5652173913043469E-4</v>
      </c>
      <c r="AX41" s="34">
        <v>2.1000000000000001E-2</v>
      </c>
    </row>
    <row r="42" spans="1:50" x14ac:dyDescent="0.25">
      <c r="A42" s="24">
        <v>41</v>
      </c>
      <c r="B42" s="26">
        <v>20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34">
        <v>0</v>
      </c>
    </row>
    <row r="43" spans="1:50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34">
        <v>0</v>
      </c>
    </row>
    <row r="44" spans="1:50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34">
        <v>0</v>
      </c>
    </row>
    <row r="45" spans="1:50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34">
        <v>0</v>
      </c>
    </row>
    <row r="46" spans="1:50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34">
        <v>0</v>
      </c>
    </row>
    <row r="47" spans="1:50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34">
        <v>0</v>
      </c>
    </row>
    <row r="48" spans="1:50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34">
        <v>0</v>
      </c>
    </row>
    <row r="49" spans="1:50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3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0" width="15" customWidth="1"/>
  </cols>
  <sheetData>
    <row r="1" spans="1:50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9" t="s">
        <v>84</v>
      </c>
    </row>
    <row r="2" spans="1:50" x14ac:dyDescent="0.25">
      <c r="A2" s="24">
        <v>1</v>
      </c>
      <c r="B2" s="26">
        <v>0</v>
      </c>
      <c r="C2" s="28">
        <v>0.37</v>
      </c>
      <c r="D2" s="28">
        <v>0.20100000000000001</v>
      </c>
      <c r="E2" s="28">
        <v>0.16300000000000001</v>
      </c>
      <c r="F2" s="28">
        <v>5.8000000000000003E-2</v>
      </c>
      <c r="G2" s="28">
        <v>0.24299999999999999</v>
      </c>
      <c r="H2" s="28">
        <v>0.124</v>
      </c>
      <c r="I2" s="28">
        <v>0.33800000000000002</v>
      </c>
      <c r="J2" s="28">
        <v>0.23200000000000001</v>
      </c>
      <c r="K2" s="28">
        <v>0.214</v>
      </c>
      <c r="L2" s="28">
        <v>0.48799999999999999</v>
      </c>
      <c r="M2" s="28">
        <v>0.312</v>
      </c>
      <c r="N2" s="28">
        <v>0.21</v>
      </c>
      <c r="O2" s="28">
        <v>0.316</v>
      </c>
      <c r="P2" s="28">
        <v>6.0999999999999999E-2</v>
      </c>
      <c r="Q2" s="28">
        <v>5.1999999999999998E-2</v>
      </c>
      <c r="R2" s="28">
        <v>0.20599999999999999</v>
      </c>
      <c r="S2" s="28">
        <v>0.252</v>
      </c>
      <c r="T2" s="28">
        <v>0.105</v>
      </c>
      <c r="U2" s="28">
        <v>0.45200000000000001</v>
      </c>
      <c r="V2" s="28">
        <v>0.17599999999999999</v>
      </c>
      <c r="W2" s="28">
        <v>0.14099999999999999</v>
      </c>
      <c r="X2" s="28">
        <v>0.26800000000000002</v>
      </c>
      <c r="Y2" s="28">
        <v>0.11799999999999999</v>
      </c>
      <c r="Z2" s="28">
        <v>7.2000000000000008E-2</v>
      </c>
      <c r="AA2" s="28">
        <v>4.3999999999999997E-2</v>
      </c>
      <c r="AB2" s="28">
        <v>0.122</v>
      </c>
      <c r="AC2" s="28">
        <v>0.20699999999999999</v>
      </c>
      <c r="AD2" s="28">
        <v>0.59899999999999998</v>
      </c>
      <c r="AE2" s="28">
        <v>0.03</v>
      </c>
      <c r="AF2" s="28">
        <v>6.6000000000000003E-2</v>
      </c>
      <c r="AG2" s="28">
        <v>0.14000000000000001</v>
      </c>
      <c r="AH2" s="28">
        <v>7.1000000000000008E-2</v>
      </c>
      <c r="AI2" s="28">
        <v>0.439</v>
      </c>
      <c r="AJ2" s="28">
        <v>2.5999999999999999E-2</v>
      </c>
      <c r="AK2" s="28">
        <v>0.21199999999999999</v>
      </c>
      <c r="AL2" s="28">
        <v>0.06</v>
      </c>
      <c r="AM2" s="28">
        <v>0.13800000000000001</v>
      </c>
      <c r="AN2" s="28">
        <v>0.125</v>
      </c>
      <c r="AO2" s="28">
        <v>4.2999999999999997E-2</v>
      </c>
      <c r="AP2" s="28">
        <v>0.29799999999999999</v>
      </c>
      <c r="AQ2" s="28">
        <v>0.48499999999999999</v>
      </c>
      <c r="AR2" s="28">
        <v>0.97900000000000009</v>
      </c>
      <c r="AS2" s="28">
        <v>0.245</v>
      </c>
      <c r="AT2" s="28">
        <v>9.6000000000000002E-2</v>
      </c>
      <c r="AU2" s="28">
        <v>0.13100000000000001</v>
      </c>
      <c r="AV2" s="28">
        <v>0.14000000000000001</v>
      </c>
      <c r="AW2" s="28">
        <v>0.21452173913043479</v>
      </c>
      <c r="AX2" s="34">
        <v>9.8680000000000003</v>
      </c>
    </row>
    <row r="3" spans="1:50" x14ac:dyDescent="0.25">
      <c r="A3" s="24">
        <v>2</v>
      </c>
      <c r="B3" s="26">
        <v>0.5</v>
      </c>
      <c r="C3" s="28">
        <v>4.9000000000000002E-2</v>
      </c>
      <c r="D3" s="28">
        <v>4.3999999999999997E-2</v>
      </c>
      <c r="E3" s="28">
        <v>0.05</v>
      </c>
      <c r="F3" s="28">
        <v>0.255</v>
      </c>
      <c r="G3" s="28">
        <v>0.32900000000000001</v>
      </c>
      <c r="H3" s="28">
        <v>3.5000000000000003E-2</v>
      </c>
      <c r="I3" s="28">
        <v>5.1999999999999998E-2</v>
      </c>
      <c r="J3" s="28">
        <v>5.6000000000000001E-2</v>
      </c>
      <c r="K3" s="28">
        <v>0.45900000000000002</v>
      </c>
      <c r="L3" s="28">
        <v>0.374</v>
      </c>
      <c r="M3" s="28">
        <v>0.253</v>
      </c>
      <c r="N3" s="28">
        <v>0.17699999999999999</v>
      </c>
      <c r="O3" s="28">
        <v>0.14799999999999999</v>
      </c>
      <c r="P3" s="28">
        <v>0.185</v>
      </c>
      <c r="Q3" s="28">
        <v>5.1999999999999998E-2</v>
      </c>
      <c r="R3" s="28">
        <v>0.124</v>
      </c>
      <c r="S3" s="28">
        <v>5.7000000000000002E-2</v>
      </c>
      <c r="T3" s="28">
        <v>0.28599999999999998</v>
      </c>
      <c r="U3" s="28">
        <v>6.6000000000000003E-2</v>
      </c>
      <c r="V3" s="28">
        <v>0.151</v>
      </c>
      <c r="W3" s="28">
        <v>0.113</v>
      </c>
      <c r="X3" s="28">
        <v>0.39100000000000001</v>
      </c>
      <c r="Y3" s="28">
        <v>0.14799999999999999</v>
      </c>
      <c r="Z3" s="28">
        <v>0.31</v>
      </c>
      <c r="AA3" s="28">
        <v>4.3999999999999997E-2</v>
      </c>
      <c r="AB3" s="28">
        <v>8.3999999999999991E-2</v>
      </c>
      <c r="AC3" s="28">
        <v>9.2999999999999999E-2</v>
      </c>
      <c r="AD3" s="28">
        <v>0.10199999999999999</v>
      </c>
      <c r="AE3" s="28">
        <v>0.159</v>
      </c>
      <c r="AF3" s="28">
        <v>0.20599999999999999</v>
      </c>
      <c r="AG3" s="28">
        <v>0.21199999999999999</v>
      </c>
      <c r="AH3" s="28">
        <v>0.28599999999999998</v>
      </c>
      <c r="AI3" s="28">
        <v>6.0999999999999999E-2</v>
      </c>
      <c r="AJ3" s="28">
        <v>2.5999999999999999E-2</v>
      </c>
      <c r="AK3" s="28">
        <v>0.14000000000000001</v>
      </c>
      <c r="AL3" s="28">
        <v>0.217</v>
      </c>
      <c r="AM3" s="28">
        <v>0.17599999999999999</v>
      </c>
      <c r="AN3" s="28">
        <v>5.6000000000000001E-2</v>
      </c>
      <c r="AO3" s="28">
        <v>0.17100000000000001</v>
      </c>
      <c r="AP3" s="28">
        <v>6.8000000000000005E-2</v>
      </c>
      <c r="AQ3" s="28">
        <v>4.2000000000000003E-2</v>
      </c>
      <c r="AR3" s="28">
        <v>0.46300000000000002</v>
      </c>
      <c r="AS3" s="28">
        <v>6.4999999999999988E-2</v>
      </c>
      <c r="AT3" s="28">
        <v>0.19</v>
      </c>
      <c r="AU3" s="28">
        <v>0.20100000000000001</v>
      </c>
      <c r="AV3" s="28">
        <v>1.65</v>
      </c>
      <c r="AW3" s="28">
        <v>0.19295652173913039</v>
      </c>
      <c r="AX3" s="34">
        <v>8.8759999999999994</v>
      </c>
    </row>
    <row r="4" spans="1:50" x14ac:dyDescent="0.25">
      <c r="A4" s="24">
        <v>3</v>
      </c>
      <c r="B4" s="26">
        <v>1</v>
      </c>
      <c r="C4" s="28">
        <v>0.12</v>
      </c>
      <c r="D4" s="28">
        <v>4.3999999999999997E-2</v>
      </c>
      <c r="E4" s="28">
        <v>0.22800000000000001</v>
      </c>
      <c r="F4" s="28">
        <v>0.13700000000000001</v>
      </c>
      <c r="G4" s="28">
        <v>0.32800000000000001</v>
      </c>
      <c r="H4" s="28">
        <v>3.5000000000000003E-2</v>
      </c>
      <c r="I4" s="28">
        <v>0.28899999999999998</v>
      </c>
      <c r="J4" s="28">
        <v>0.16800000000000001</v>
      </c>
      <c r="K4" s="28">
        <v>5.5E-2</v>
      </c>
      <c r="L4" s="28">
        <v>0.20899999999999999</v>
      </c>
      <c r="M4" s="28">
        <v>5.5E-2</v>
      </c>
      <c r="N4" s="28">
        <v>0.21099999999999999</v>
      </c>
      <c r="O4" s="28">
        <v>4.5999999999999999E-2</v>
      </c>
      <c r="P4" s="28">
        <v>0.13500000000000001</v>
      </c>
      <c r="Q4" s="28">
        <v>5.1999999999999998E-2</v>
      </c>
      <c r="R4" s="28">
        <v>0.158</v>
      </c>
      <c r="S4" s="28">
        <v>0.22600000000000001</v>
      </c>
      <c r="T4" s="28">
        <v>0.04</v>
      </c>
      <c r="U4" s="28">
        <v>0.13500000000000001</v>
      </c>
      <c r="V4" s="28">
        <v>0.112</v>
      </c>
      <c r="W4" s="28">
        <v>4.9000000000000002E-2</v>
      </c>
      <c r="X4" s="28">
        <v>5.0999999999999997E-2</v>
      </c>
      <c r="Y4" s="28">
        <v>5.2999999999999999E-2</v>
      </c>
      <c r="Z4" s="28">
        <v>0.14899999999999999</v>
      </c>
      <c r="AA4" s="28">
        <v>0.11</v>
      </c>
      <c r="AB4" s="28">
        <v>0.33200000000000002</v>
      </c>
      <c r="AC4" s="28">
        <v>5.8000000000000003E-2</v>
      </c>
      <c r="AD4" s="28">
        <v>5.6000000000000001E-2</v>
      </c>
      <c r="AE4" s="28">
        <v>0.03</v>
      </c>
      <c r="AF4" s="28">
        <v>5.0999999999999997E-2</v>
      </c>
      <c r="AG4" s="28">
        <v>7.8E-2</v>
      </c>
      <c r="AH4" s="28">
        <v>0.14000000000000001</v>
      </c>
      <c r="AI4" s="28">
        <v>0.155</v>
      </c>
      <c r="AJ4" s="28">
        <v>0.14399999999999999</v>
      </c>
      <c r="AK4" s="28">
        <v>0.40699999999999997</v>
      </c>
      <c r="AL4" s="28">
        <v>4.9000000000000002E-2</v>
      </c>
      <c r="AM4" s="28">
        <v>4.8000000000000001E-2</v>
      </c>
      <c r="AN4" s="28">
        <v>5.6000000000000001E-2</v>
      </c>
      <c r="AO4" s="28">
        <v>4.2999999999999997E-2</v>
      </c>
      <c r="AP4" s="28">
        <v>0.112</v>
      </c>
      <c r="AQ4" s="28">
        <v>0.154</v>
      </c>
      <c r="AR4" s="28">
        <v>6.9999999999999993E-2</v>
      </c>
      <c r="AS4" s="28">
        <v>0.20799999999999999</v>
      </c>
      <c r="AT4" s="28">
        <v>0.157</v>
      </c>
      <c r="AU4" s="28">
        <v>5.5E-2</v>
      </c>
      <c r="AV4" s="28">
        <v>0.372</v>
      </c>
      <c r="AW4" s="28">
        <v>0.1297826086956522</v>
      </c>
      <c r="AX4" s="34">
        <v>5.9700000000000006</v>
      </c>
    </row>
    <row r="5" spans="1:50" x14ac:dyDescent="0.25">
      <c r="A5" s="24">
        <v>4</v>
      </c>
      <c r="B5" s="26">
        <v>1.5</v>
      </c>
      <c r="C5" s="28">
        <v>0.17799999999999999</v>
      </c>
      <c r="D5" s="28">
        <v>0.183</v>
      </c>
      <c r="E5" s="28">
        <v>0.05</v>
      </c>
      <c r="F5" s="28">
        <v>5.8000000000000003E-2</v>
      </c>
      <c r="G5" s="28">
        <v>0.23100000000000001</v>
      </c>
      <c r="H5" s="28">
        <v>0.20499999999999999</v>
      </c>
      <c r="I5" s="28">
        <v>0.108</v>
      </c>
      <c r="J5" s="28">
        <v>0.12</v>
      </c>
      <c r="K5" s="28">
        <v>0.16400000000000001</v>
      </c>
      <c r="L5" s="28">
        <v>5.3999999999999999E-2</v>
      </c>
      <c r="M5" s="28">
        <v>5.5E-2</v>
      </c>
      <c r="N5" s="28">
        <v>0.126</v>
      </c>
      <c r="O5" s="28">
        <v>0.128</v>
      </c>
      <c r="P5" s="28">
        <v>0.161</v>
      </c>
      <c r="Q5" s="28">
        <v>5.1999999999999998E-2</v>
      </c>
      <c r="R5" s="28">
        <v>0.14199999999999999</v>
      </c>
      <c r="S5" s="28">
        <v>8.3999999999999991E-2</v>
      </c>
      <c r="T5" s="28">
        <v>0.27300000000000002</v>
      </c>
      <c r="U5" s="28">
        <v>0.15</v>
      </c>
      <c r="V5" s="28">
        <v>0.19</v>
      </c>
      <c r="W5" s="28">
        <v>0.20499999999999999</v>
      </c>
      <c r="X5" s="28">
        <v>0.316</v>
      </c>
      <c r="Y5" s="28">
        <v>0.14799999999999999</v>
      </c>
      <c r="Z5" s="28">
        <v>0.38</v>
      </c>
      <c r="AA5" s="28">
        <v>4.3999999999999997E-2</v>
      </c>
      <c r="AB5" s="28">
        <v>4.9000000000000002E-2</v>
      </c>
      <c r="AC5" s="28">
        <v>8.3999999999999991E-2</v>
      </c>
      <c r="AD5" s="28">
        <v>5.6000000000000001E-2</v>
      </c>
      <c r="AE5" s="28">
        <v>0.11799999999999999</v>
      </c>
      <c r="AF5" s="28">
        <v>0.159</v>
      </c>
      <c r="AG5" s="28">
        <v>0.19500000000000001</v>
      </c>
      <c r="AH5" s="28">
        <v>4.1000000000000002E-2</v>
      </c>
      <c r="AI5" s="28">
        <v>0.17199999999999999</v>
      </c>
      <c r="AJ5" s="28">
        <v>2.5999999999999999E-2</v>
      </c>
      <c r="AK5" s="28">
        <v>0.45300000000000001</v>
      </c>
      <c r="AL5" s="28">
        <v>7.8E-2</v>
      </c>
      <c r="AM5" s="28">
        <v>0.26600000000000001</v>
      </c>
      <c r="AN5" s="28">
        <v>5.6000000000000001E-2</v>
      </c>
      <c r="AO5" s="28">
        <v>4.2999999999999997E-2</v>
      </c>
      <c r="AP5" s="28">
        <v>0.254</v>
      </c>
      <c r="AQ5" s="28">
        <v>0.06</v>
      </c>
      <c r="AR5" s="28">
        <v>0.19400000000000001</v>
      </c>
      <c r="AS5" s="28">
        <v>0.13</v>
      </c>
      <c r="AT5" s="28">
        <v>3.4000000000000002E-2</v>
      </c>
      <c r="AU5" s="28">
        <v>0.20799999999999999</v>
      </c>
      <c r="AV5" s="28">
        <v>0.154</v>
      </c>
      <c r="AW5" s="28">
        <v>0.14423913043478259</v>
      </c>
      <c r="AX5" s="34">
        <v>6.6349999999999998</v>
      </c>
    </row>
    <row r="6" spans="1:50" x14ac:dyDescent="0.25">
      <c r="A6" s="24">
        <v>5</v>
      </c>
      <c r="B6" s="26">
        <v>2</v>
      </c>
      <c r="C6" s="28">
        <v>8.6999999999999994E-2</v>
      </c>
      <c r="D6" s="28">
        <v>0.17399999999999999</v>
      </c>
      <c r="E6" s="28">
        <v>0.20300000000000001</v>
      </c>
      <c r="F6" s="28">
        <v>0.252</v>
      </c>
      <c r="G6" s="28">
        <v>5.5E-2</v>
      </c>
      <c r="H6" s="28">
        <v>8.8999999999999996E-2</v>
      </c>
      <c r="I6" s="28">
        <v>0.10199999999999999</v>
      </c>
      <c r="J6" s="28">
        <v>5.6000000000000001E-2</v>
      </c>
      <c r="K6" s="28">
        <v>5.5E-2</v>
      </c>
      <c r="L6" s="28">
        <v>0.13300000000000001</v>
      </c>
      <c r="M6" s="28">
        <v>0.22600000000000001</v>
      </c>
      <c r="N6" s="28">
        <v>0.29199999999999998</v>
      </c>
      <c r="O6" s="28">
        <v>0.23200000000000001</v>
      </c>
      <c r="P6" s="28">
        <v>0.14899999999999999</v>
      </c>
      <c r="Q6" s="28">
        <v>5.1999999999999998E-2</v>
      </c>
      <c r="R6" s="28">
        <v>0.13400000000000001</v>
      </c>
      <c r="S6" s="28">
        <v>0.128</v>
      </c>
      <c r="T6" s="28">
        <v>0.11700000000000001</v>
      </c>
      <c r="U6" s="28">
        <v>8.1000000000000003E-2</v>
      </c>
      <c r="V6" s="28">
        <v>0.10100000000000001</v>
      </c>
      <c r="W6" s="28">
        <v>4.9000000000000002E-2</v>
      </c>
      <c r="X6" s="28">
        <v>5.0999999999999997E-2</v>
      </c>
      <c r="Y6" s="28">
        <v>0.11799999999999999</v>
      </c>
      <c r="Z6" s="28">
        <v>0.155</v>
      </c>
      <c r="AA6" s="28">
        <v>4.3999999999999997E-2</v>
      </c>
      <c r="AB6" s="28">
        <v>0.21299999999999999</v>
      </c>
      <c r="AC6" s="28">
        <v>0.111</v>
      </c>
      <c r="AD6" s="28">
        <v>6.4000000000000001E-2</v>
      </c>
      <c r="AE6" s="28">
        <v>7.1000000000000008E-2</v>
      </c>
      <c r="AF6" s="28">
        <v>0.113</v>
      </c>
      <c r="AG6" s="28">
        <v>0.17100000000000001</v>
      </c>
      <c r="AH6" s="28">
        <v>0.13900000000000001</v>
      </c>
      <c r="AI6" s="28">
        <v>0.151</v>
      </c>
      <c r="AJ6" s="28">
        <v>2.5999999999999999E-2</v>
      </c>
      <c r="AK6" s="28">
        <v>0.33200000000000002</v>
      </c>
      <c r="AL6" s="28">
        <v>0.222</v>
      </c>
      <c r="AM6" s="28">
        <v>4.8000000000000001E-2</v>
      </c>
      <c r="AN6" s="28">
        <v>5.6000000000000001E-2</v>
      </c>
      <c r="AO6" s="28">
        <v>0.17100000000000001</v>
      </c>
      <c r="AP6" s="28">
        <v>0.05</v>
      </c>
      <c r="AQ6" s="28">
        <v>4.2000000000000003E-2</v>
      </c>
      <c r="AR6" s="28">
        <v>7.1000000000000008E-2</v>
      </c>
      <c r="AS6" s="28">
        <v>5.1999999999999998E-2</v>
      </c>
      <c r="AT6" s="28">
        <v>0.26700000000000002</v>
      </c>
      <c r="AU6" s="28">
        <v>0.124</v>
      </c>
      <c r="AV6" s="28">
        <v>7.4999999999999997E-2</v>
      </c>
      <c r="AW6" s="28">
        <v>0.124</v>
      </c>
      <c r="AX6" s="34">
        <v>5.7039999999999997</v>
      </c>
    </row>
    <row r="7" spans="1:50" x14ac:dyDescent="0.25">
      <c r="A7" s="24">
        <v>6</v>
      </c>
      <c r="B7" s="26">
        <v>2.5</v>
      </c>
      <c r="C7" s="28">
        <v>0.21099999999999999</v>
      </c>
      <c r="D7" s="28">
        <v>4.3999999999999997E-2</v>
      </c>
      <c r="E7" s="28">
        <v>7.3999999999999996E-2</v>
      </c>
      <c r="F7" s="28">
        <v>0.14000000000000001</v>
      </c>
      <c r="G7" s="28">
        <v>5.5E-2</v>
      </c>
      <c r="H7" s="28">
        <v>7.2000000000000008E-2</v>
      </c>
      <c r="I7" s="28">
        <v>0.254</v>
      </c>
      <c r="J7" s="28">
        <v>0.152</v>
      </c>
      <c r="K7" s="28">
        <v>5.5E-2</v>
      </c>
      <c r="L7" s="28">
        <v>0.20899999999999999</v>
      </c>
      <c r="M7" s="28">
        <v>8.2000000000000003E-2</v>
      </c>
      <c r="N7" s="28">
        <v>0.11600000000000001</v>
      </c>
      <c r="O7" s="28">
        <v>4.5999999999999999E-2</v>
      </c>
      <c r="P7" s="28">
        <v>0.22700000000000001</v>
      </c>
      <c r="Q7" s="28">
        <v>5.1999999999999998E-2</v>
      </c>
      <c r="R7" s="28">
        <v>0.17399999999999999</v>
      </c>
      <c r="S7" s="28">
        <v>0.18099999999999999</v>
      </c>
      <c r="T7" s="28">
        <v>7.2000000000000008E-2</v>
      </c>
      <c r="U7" s="28">
        <v>0.20399999999999999</v>
      </c>
      <c r="V7" s="28">
        <v>0.41199999999999998</v>
      </c>
      <c r="W7" s="28">
        <v>0.155</v>
      </c>
      <c r="X7" s="28">
        <v>0.186</v>
      </c>
      <c r="Y7" s="28">
        <v>5.2999999999999999E-2</v>
      </c>
      <c r="Z7" s="28">
        <v>0.105</v>
      </c>
      <c r="AA7" s="28">
        <v>8.7999999999999995E-2</v>
      </c>
      <c r="AB7" s="28">
        <v>7.4999999999999997E-2</v>
      </c>
      <c r="AC7" s="28">
        <v>0.10199999999999999</v>
      </c>
      <c r="AD7" s="28">
        <v>0.215</v>
      </c>
      <c r="AE7" s="28">
        <v>0.03</v>
      </c>
      <c r="AF7" s="28">
        <v>5.0999999999999997E-2</v>
      </c>
      <c r="AG7" s="28">
        <v>0.10199999999999999</v>
      </c>
      <c r="AH7" s="28">
        <v>0.23799999999999999</v>
      </c>
      <c r="AI7" s="28">
        <v>0.19800000000000001</v>
      </c>
      <c r="AJ7" s="28">
        <v>0.115</v>
      </c>
      <c r="AK7" s="28">
        <v>0.50900000000000001</v>
      </c>
      <c r="AL7" s="28">
        <v>0.13900000000000001</v>
      </c>
      <c r="AM7" s="28">
        <v>0.17</v>
      </c>
      <c r="AN7" s="28">
        <v>0.125</v>
      </c>
      <c r="AO7" s="28">
        <v>4.2999999999999997E-2</v>
      </c>
      <c r="AP7" s="28">
        <v>0.28499999999999998</v>
      </c>
      <c r="AQ7" s="28">
        <v>0.13700000000000001</v>
      </c>
      <c r="AR7" s="28">
        <v>4.8000000000000001E-2</v>
      </c>
      <c r="AS7" s="28">
        <v>5.1999999999999998E-2</v>
      </c>
      <c r="AT7" s="28">
        <v>0.08</v>
      </c>
      <c r="AU7" s="28">
        <v>9.7000000000000003E-2</v>
      </c>
      <c r="AV7" s="28">
        <v>0</v>
      </c>
      <c r="AW7" s="28">
        <v>0.13543478260869571</v>
      </c>
      <c r="AX7" s="34">
        <v>6.2300000000000013</v>
      </c>
    </row>
    <row r="8" spans="1:50" x14ac:dyDescent="0.25">
      <c r="A8" s="24">
        <v>7</v>
      </c>
      <c r="B8" s="26">
        <v>3</v>
      </c>
      <c r="C8" s="28">
        <v>0.124</v>
      </c>
      <c r="D8" s="28">
        <v>0.23300000000000001</v>
      </c>
      <c r="E8" s="28">
        <v>8.2000000000000003E-2</v>
      </c>
      <c r="F8" s="28">
        <v>5.8000000000000003E-2</v>
      </c>
      <c r="G8" s="28">
        <v>5.5E-2</v>
      </c>
      <c r="H8" s="28">
        <v>0.221</v>
      </c>
      <c r="I8" s="28">
        <v>9.2999999999999999E-2</v>
      </c>
      <c r="J8" s="28">
        <v>0.13600000000000001</v>
      </c>
      <c r="K8" s="28">
        <v>0.125</v>
      </c>
      <c r="L8" s="28">
        <v>0.129</v>
      </c>
      <c r="M8" s="28">
        <v>9.0999999999999998E-2</v>
      </c>
      <c r="N8" s="28">
        <v>6.8000000000000005E-2</v>
      </c>
      <c r="O8" s="28">
        <v>0.129</v>
      </c>
      <c r="P8" s="28">
        <v>6.8999999999999992E-2</v>
      </c>
      <c r="Q8" s="28">
        <v>5.1999999999999998E-2</v>
      </c>
      <c r="R8" s="28">
        <v>0.109</v>
      </c>
      <c r="S8" s="28">
        <v>7.4999999999999997E-2</v>
      </c>
      <c r="T8" s="28">
        <v>0.21199999999999999</v>
      </c>
      <c r="U8" s="28">
        <v>5.8000000000000003E-2</v>
      </c>
      <c r="V8" s="28">
        <v>0.439</v>
      </c>
      <c r="W8" s="28">
        <v>9.8999999999999991E-2</v>
      </c>
      <c r="X8" s="28">
        <v>7.2000000000000008E-2</v>
      </c>
      <c r="Y8" s="28">
        <v>0.11799999999999999</v>
      </c>
      <c r="Z8" s="28">
        <v>0.45100000000000001</v>
      </c>
      <c r="AA8" s="28">
        <v>0.52800000000000002</v>
      </c>
      <c r="AB8" s="28">
        <v>4.9000000000000002E-2</v>
      </c>
      <c r="AC8" s="28">
        <v>9.2999999999999999E-2</v>
      </c>
      <c r="AD8" s="28">
        <v>5.6000000000000001E-2</v>
      </c>
      <c r="AE8" s="28">
        <v>0.159</v>
      </c>
      <c r="AF8" s="28">
        <v>0.221</v>
      </c>
      <c r="AG8" s="28">
        <v>0.193</v>
      </c>
      <c r="AH8" s="28">
        <v>0.12</v>
      </c>
      <c r="AI8" s="28">
        <v>0.16500000000000001</v>
      </c>
      <c r="AJ8" s="28">
        <v>5.6000000000000001E-2</v>
      </c>
      <c r="AK8" s="28">
        <v>0.33800000000000002</v>
      </c>
      <c r="AL8" s="28">
        <v>0.17100000000000001</v>
      </c>
      <c r="AM8" s="28">
        <v>0.14399999999999999</v>
      </c>
      <c r="AN8" s="28">
        <v>0.06</v>
      </c>
      <c r="AO8" s="28">
        <v>0.17100000000000001</v>
      </c>
      <c r="AP8" s="28">
        <v>8.1000000000000003E-2</v>
      </c>
      <c r="AQ8" s="28">
        <v>7.6999999999999999E-2</v>
      </c>
      <c r="AR8" s="28">
        <v>0.10199999999999999</v>
      </c>
      <c r="AS8" s="28">
        <v>0.13800000000000001</v>
      </c>
      <c r="AT8" s="28">
        <v>3.4000000000000002E-2</v>
      </c>
      <c r="AU8" s="28">
        <v>0.23499999999999999</v>
      </c>
      <c r="AV8" s="28">
        <v>0</v>
      </c>
      <c r="AW8" s="28">
        <v>0.1410652173913044</v>
      </c>
      <c r="AX8" s="34">
        <v>6.4890000000000008</v>
      </c>
    </row>
    <row r="9" spans="1:50" x14ac:dyDescent="0.25">
      <c r="A9" s="24">
        <v>8</v>
      </c>
      <c r="B9" s="26">
        <v>3.5</v>
      </c>
      <c r="C9" s="28">
        <v>0.14499999999999999</v>
      </c>
      <c r="D9" s="28">
        <v>0.121</v>
      </c>
      <c r="E9" s="28">
        <v>0.192</v>
      </c>
      <c r="F9" s="28">
        <v>0.19</v>
      </c>
      <c r="G9" s="28">
        <v>5.1999999999999998E-2</v>
      </c>
      <c r="H9" s="28">
        <v>3.2000000000000001E-2</v>
      </c>
      <c r="I9" s="28">
        <v>0.152</v>
      </c>
      <c r="J9" s="28">
        <v>5.3999999999999999E-2</v>
      </c>
      <c r="K9" s="28">
        <v>9.1999999999999998E-2</v>
      </c>
      <c r="L9" s="28">
        <v>0.16</v>
      </c>
      <c r="M9" s="28">
        <v>0.214</v>
      </c>
      <c r="N9" s="28">
        <v>0.36199999999999999</v>
      </c>
      <c r="O9" s="28">
        <v>0.23</v>
      </c>
      <c r="P9" s="28">
        <v>0.20699999999999999</v>
      </c>
      <c r="Q9" s="28">
        <v>4.9000000000000002E-2</v>
      </c>
      <c r="R9" s="28">
        <v>0.23899999999999999</v>
      </c>
      <c r="S9" s="28">
        <v>0.23300000000000001</v>
      </c>
      <c r="T9" s="28">
        <v>3.6999999999999998E-2</v>
      </c>
      <c r="U9" s="28">
        <v>0.224</v>
      </c>
      <c r="V9" s="28">
        <v>0.22900000000000001</v>
      </c>
      <c r="W9" s="28">
        <v>4.5999999999999999E-2</v>
      </c>
      <c r="X9" s="28">
        <v>6.4000000000000001E-2</v>
      </c>
      <c r="Y9" s="28">
        <v>0.14399999999999999</v>
      </c>
      <c r="Z9" s="28">
        <v>9.8999999999999991E-2</v>
      </c>
      <c r="AA9" s="28">
        <v>0.25800000000000001</v>
      </c>
      <c r="AB9" s="28">
        <v>0.33900000000000002</v>
      </c>
      <c r="AC9" s="28">
        <v>5.5E-2</v>
      </c>
      <c r="AD9" s="28">
        <v>0.221</v>
      </c>
      <c r="AE9" s="28">
        <v>2.8000000000000001E-2</v>
      </c>
      <c r="AF9" s="28">
        <v>4.8000000000000001E-2</v>
      </c>
      <c r="AG9" s="28">
        <v>0.156</v>
      </c>
      <c r="AH9" s="28">
        <v>3.7999999999999999E-2</v>
      </c>
      <c r="AI9" s="28">
        <v>0.17899999999999999</v>
      </c>
      <c r="AJ9" s="28">
        <v>2.3E-2</v>
      </c>
      <c r="AK9" s="28">
        <v>0</v>
      </c>
      <c r="AL9" s="28">
        <v>0.185</v>
      </c>
      <c r="AM9" s="28">
        <v>5.7000000000000002E-2</v>
      </c>
      <c r="AN9" s="28">
        <v>0.11700000000000001</v>
      </c>
      <c r="AO9" s="28">
        <v>4.2000000000000003E-2</v>
      </c>
      <c r="AP9" s="28">
        <v>8.3000000000000004E-2</v>
      </c>
      <c r="AQ9" s="28">
        <v>3.9E-2</v>
      </c>
      <c r="AR9" s="28">
        <v>0.16</v>
      </c>
      <c r="AS9" s="28">
        <v>0.19600000000000001</v>
      </c>
      <c r="AT9" s="28">
        <v>0.20100000000000001</v>
      </c>
      <c r="AU9" s="28">
        <v>5.1999999999999998E-2</v>
      </c>
      <c r="AV9" s="28">
        <v>0</v>
      </c>
      <c r="AW9" s="28">
        <v>0.13139130434782609</v>
      </c>
      <c r="AX9" s="34">
        <v>6.0439999999999987</v>
      </c>
    </row>
    <row r="10" spans="1:50" x14ac:dyDescent="0.25">
      <c r="A10" s="24">
        <v>9</v>
      </c>
      <c r="B10" s="26">
        <v>4</v>
      </c>
      <c r="C10" s="28">
        <v>7.3999999999999996E-2</v>
      </c>
      <c r="D10" s="28">
        <v>0.105</v>
      </c>
      <c r="E10" s="28">
        <v>2.6551279999999998E-4</v>
      </c>
      <c r="F10" s="28">
        <v>0.14899999999999999</v>
      </c>
      <c r="G10" s="28">
        <v>1.7999999999999999E-2</v>
      </c>
      <c r="H10" s="28">
        <v>0</v>
      </c>
      <c r="I10" s="28">
        <v>0.192</v>
      </c>
      <c r="J10" s="28">
        <v>0.13700000000000001</v>
      </c>
      <c r="K10" s="28">
        <v>2.4E-2</v>
      </c>
      <c r="L10" s="28">
        <v>0.111</v>
      </c>
      <c r="M10" s="28">
        <v>1.7999999999999999E-2</v>
      </c>
      <c r="N10" s="28">
        <v>0.01</v>
      </c>
      <c r="O10" s="28">
        <v>2.7E-2</v>
      </c>
      <c r="P10" s="28">
        <v>1.7999999999999999E-2</v>
      </c>
      <c r="Q10" s="28">
        <v>2E-3</v>
      </c>
      <c r="R10" s="28">
        <v>5.8999999999999997E-2</v>
      </c>
      <c r="S10" s="28">
        <v>3.7999999999999999E-2</v>
      </c>
      <c r="T10" s="28">
        <v>8.3000000000000004E-2</v>
      </c>
      <c r="U10" s="28">
        <v>8.0000000000000002E-3</v>
      </c>
      <c r="V10" s="28">
        <v>9.1999999999999998E-2</v>
      </c>
      <c r="W10" s="28">
        <v>9.0000000000000011E-2</v>
      </c>
      <c r="X10" s="28">
        <v>0.27</v>
      </c>
      <c r="Y10" s="28">
        <v>3.0000000000000001E-3</v>
      </c>
      <c r="Z10" s="28">
        <v>0.246</v>
      </c>
      <c r="AA10" s="28">
        <v>6.3E-2</v>
      </c>
      <c r="AB10" s="28">
        <v>4.3999999999999997E-2</v>
      </c>
      <c r="AC10" s="28">
        <v>8.6999999999999994E-2</v>
      </c>
      <c r="AD10" s="28">
        <v>3.1E-2</v>
      </c>
      <c r="AE10" s="28">
        <v>0.105</v>
      </c>
      <c r="AF10" s="28">
        <v>0.10199999999999999</v>
      </c>
      <c r="AG10" s="28">
        <v>7.6999999999999999E-2</v>
      </c>
      <c r="AH10" s="28">
        <v>0.13600000000000001</v>
      </c>
      <c r="AI10" s="28">
        <v>0.22900000000000001</v>
      </c>
      <c r="AJ10" s="28">
        <v>0</v>
      </c>
      <c r="AK10" s="28">
        <v>0</v>
      </c>
      <c r="AL10" s="28">
        <v>7.9000000000000001E-2</v>
      </c>
      <c r="AM10" s="28">
        <v>0.113</v>
      </c>
      <c r="AN10" s="28">
        <v>1.4E-2</v>
      </c>
      <c r="AO10" s="28">
        <v>2.4E-2</v>
      </c>
      <c r="AP10" s="28">
        <v>0.189</v>
      </c>
      <c r="AQ10" s="28">
        <v>0.122</v>
      </c>
      <c r="AR10" s="28">
        <v>6.0000000000000001E-3</v>
      </c>
      <c r="AS10" s="28">
        <v>2E-3</v>
      </c>
      <c r="AT10" s="28">
        <v>0.113</v>
      </c>
      <c r="AU10" s="28">
        <v>5.0000000000000001E-3</v>
      </c>
      <c r="AV10" s="28">
        <v>0</v>
      </c>
      <c r="AW10" s="28">
        <v>7.2070989408695635E-2</v>
      </c>
      <c r="AX10" s="34">
        <v>3.315265512799999</v>
      </c>
    </row>
    <row r="11" spans="1:50" x14ac:dyDescent="0.25">
      <c r="A11" s="24">
        <v>10</v>
      </c>
      <c r="B11" s="26">
        <v>4.5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1.7999999999999999E-2</v>
      </c>
      <c r="L11" s="28">
        <v>0</v>
      </c>
      <c r="M11" s="28">
        <v>0.108</v>
      </c>
      <c r="N11" s="28">
        <v>0</v>
      </c>
      <c r="O11" s="28">
        <v>0.111</v>
      </c>
      <c r="P11" s="28">
        <v>0</v>
      </c>
      <c r="Q11" s="28">
        <v>0</v>
      </c>
      <c r="R11" s="28">
        <v>0</v>
      </c>
      <c r="S11" s="28">
        <v>0.16500000000000001</v>
      </c>
      <c r="T11" s="28">
        <v>0</v>
      </c>
      <c r="U11" s="28">
        <v>0</v>
      </c>
      <c r="V11" s="28">
        <v>6.2E-2</v>
      </c>
      <c r="W11" s="28">
        <v>0</v>
      </c>
      <c r="X11" s="28">
        <v>0</v>
      </c>
      <c r="Y11" s="28">
        <v>0</v>
      </c>
      <c r="Z11" s="28">
        <v>0.13300000000000001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8.0000000000000002E-3</v>
      </c>
      <c r="AI11" s="28">
        <v>0</v>
      </c>
      <c r="AJ11" s="28">
        <v>0</v>
      </c>
      <c r="AK11" s="28">
        <v>0</v>
      </c>
      <c r="AL11" s="28">
        <v>3.9E-2</v>
      </c>
      <c r="AM11" s="28">
        <v>0</v>
      </c>
      <c r="AN11" s="28">
        <v>0</v>
      </c>
      <c r="AO11" s="28">
        <v>0</v>
      </c>
      <c r="AP11" s="28">
        <v>3.6999999999999998E-2</v>
      </c>
      <c r="AQ11" s="28">
        <v>0</v>
      </c>
      <c r="AR11" s="28">
        <v>0</v>
      </c>
      <c r="AS11" s="28">
        <v>0</v>
      </c>
      <c r="AT11" s="28">
        <v>0</v>
      </c>
      <c r="AU11" s="28">
        <v>4.3999999999999997E-2</v>
      </c>
      <c r="AV11" s="28">
        <v>0</v>
      </c>
      <c r="AW11" s="28">
        <v>1.5760869565217391E-2</v>
      </c>
      <c r="AX11" s="34">
        <v>0.72500000000000009</v>
      </c>
    </row>
    <row r="12" spans="1:50" x14ac:dyDescent="0.25">
      <c r="A12" s="24">
        <v>11</v>
      </c>
      <c r="B12" s="26">
        <v>5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34">
        <v>0</v>
      </c>
    </row>
    <row r="13" spans="1:50" x14ac:dyDescent="0.25">
      <c r="A13" s="24">
        <v>12</v>
      </c>
      <c r="B13" s="26">
        <v>5.5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5.5E-2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8.0000000000000002E-3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1.3695652173913041E-3</v>
      </c>
      <c r="AX13" s="34">
        <v>6.3E-2</v>
      </c>
    </row>
    <row r="14" spans="1:50" x14ac:dyDescent="0.25">
      <c r="A14" s="24">
        <v>13</v>
      </c>
      <c r="B14" s="26">
        <v>6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34">
        <v>0</v>
      </c>
    </row>
    <row r="15" spans="1:50" x14ac:dyDescent="0.25">
      <c r="A15" s="24">
        <v>14</v>
      </c>
      <c r="B15" s="26">
        <v>6.5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0.71100000000000008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1.27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4.3065217391304353E-2</v>
      </c>
      <c r="AX15" s="34">
        <v>1.9810000000000001</v>
      </c>
    </row>
    <row r="16" spans="1:50" x14ac:dyDescent="0.25">
      <c r="A16" s="24">
        <v>15</v>
      </c>
      <c r="B16" s="26">
        <v>7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0.20599999999999999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0.90200000000000002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2.4086956521739131E-2</v>
      </c>
      <c r="AX16" s="34">
        <v>1.1080000000000001</v>
      </c>
    </row>
    <row r="17" spans="1:50" x14ac:dyDescent="0.25">
      <c r="A17" s="24">
        <v>16</v>
      </c>
      <c r="B17" s="26">
        <v>7.5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0.69899999999999995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0.71199999999999997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3.067391304347826E-2</v>
      </c>
      <c r="AX17" s="34">
        <v>1.411</v>
      </c>
    </row>
    <row r="18" spans="1:50" x14ac:dyDescent="0.25">
      <c r="A18" s="24">
        <v>17</v>
      </c>
      <c r="B18" s="26">
        <v>8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0.3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6.5217391304347823E-3</v>
      </c>
      <c r="AX18" s="34">
        <v>0.3</v>
      </c>
    </row>
    <row r="19" spans="1:50" x14ac:dyDescent="0.25">
      <c r="A19" s="24">
        <v>18</v>
      </c>
      <c r="B19" s="26">
        <v>8.5</v>
      </c>
      <c r="C19" s="28">
        <v>0.435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0.33300000000000002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1.6695652173913049E-2</v>
      </c>
      <c r="AX19" s="34">
        <v>0.76800000000000002</v>
      </c>
    </row>
    <row r="20" spans="1:50" x14ac:dyDescent="0.25">
      <c r="A20" s="24">
        <v>19</v>
      </c>
      <c r="B20" s="26">
        <v>9</v>
      </c>
      <c r="C20" s="28">
        <v>0.29899999999999999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8.8999999999999996E-2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0.28499999999999998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1.46304347826087E-2</v>
      </c>
      <c r="AX20" s="34">
        <v>0.67300000000000004</v>
      </c>
    </row>
    <row r="21" spans="1:50" x14ac:dyDescent="0.25">
      <c r="A21" s="24">
        <v>20</v>
      </c>
      <c r="B21" s="26">
        <v>9.5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0.53300000000000003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1.158695652173913E-2</v>
      </c>
      <c r="AX21" s="34">
        <v>0.53300000000000003</v>
      </c>
    </row>
    <row r="22" spans="1:50" x14ac:dyDescent="0.25">
      <c r="A22" s="24">
        <v>21</v>
      </c>
      <c r="B22" s="26">
        <v>10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1.4379999999999999</v>
      </c>
      <c r="AL22" s="28">
        <v>0</v>
      </c>
      <c r="AM22" s="28">
        <v>0</v>
      </c>
      <c r="AN22" s="28">
        <v>0</v>
      </c>
      <c r="AO22" s="28">
        <v>0</v>
      </c>
      <c r="AP22" s="28">
        <v>0.27800000000000002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3.7304347826086957E-2</v>
      </c>
      <c r="AX22" s="34">
        <v>1.716</v>
      </c>
    </row>
    <row r="23" spans="1:50" x14ac:dyDescent="0.25">
      <c r="A23" s="24">
        <v>22</v>
      </c>
      <c r="B23" s="26">
        <v>10.5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0.36299999999999999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7.8913043478260874E-3</v>
      </c>
      <c r="AX23" s="34">
        <v>0.36299999999999999</v>
      </c>
    </row>
    <row r="24" spans="1:50" x14ac:dyDescent="0.25">
      <c r="A24" s="24">
        <v>23</v>
      </c>
      <c r="B24" s="26">
        <v>11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34">
        <v>0</v>
      </c>
    </row>
    <row r="25" spans="1:50" x14ac:dyDescent="0.25">
      <c r="A25" s="24">
        <v>24</v>
      </c>
      <c r="B25" s="26">
        <v>11.5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0.64499999999999991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1.4021739130434779E-2</v>
      </c>
      <c r="AX25" s="34">
        <v>0.64499999999999991</v>
      </c>
    </row>
    <row r="26" spans="1:50" x14ac:dyDescent="0.25">
      <c r="A26" s="24">
        <v>25</v>
      </c>
      <c r="B26" s="26">
        <v>12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34">
        <v>0</v>
      </c>
    </row>
    <row r="27" spans="1:50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34">
        <v>0</v>
      </c>
    </row>
    <row r="28" spans="1:50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34">
        <v>0</v>
      </c>
    </row>
    <row r="29" spans="1:50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34">
        <v>0</v>
      </c>
    </row>
    <row r="30" spans="1:50" x14ac:dyDescent="0.25">
      <c r="A30" s="24">
        <v>29</v>
      </c>
      <c r="B30" s="26">
        <v>14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34">
        <v>0</v>
      </c>
    </row>
    <row r="31" spans="1:50" x14ac:dyDescent="0.25">
      <c r="A31" s="24">
        <v>30</v>
      </c>
      <c r="B31" s="26">
        <v>14.5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0.26200000000000001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5.6956521739130444E-3</v>
      </c>
      <c r="AX31" s="34">
        <v>0.26200000000000001</v>
      </c>
    </row>
    <row r="32" spans="1:50" x14ac:dyDescent="0.25">
      <c r="A32" s="24">
        <v>31</v>
      </c>
      <c r="B32" s="26">
        <v>15</v>
      </c>
      <c r="C32" s="28">
        <v>0</v>
      </c>
      <c r="D32" s="28">
        <v>0.439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9.5434782608695649E-3</v>
      </c>
      <c r="AX32" s="34">
        <v>0.439</v>
      </c>
    </row>
    <row r="33" spans="1:50" x14ac:dyDescent="0.25">
      <c r="A33" s="24">
        <v>32</v>
      </c>
      <c r="B33" s="26">
        <v>15.5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34">
        <v>0</v>
      </c>
    </row>
    <row r="34" spans="1:50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0.311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6.7608695652173912E-3</v>
      </c>
      <c r="AX34" s="34">
        <v>0.311</v>
      </c>
    </row>
    <row r="35" spans="1:50" x14ac:dyDescent="0.25">
      <c r="A35" s="24">
        <v>34</v>
      </c>
      <c r="B35" s="26">
        <v>16.5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0.19400000000000001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4.2173913043478256E-3</v>
      </c>
      <c r="AX35" s="34">
        <v>0.19400000000000001</v>
      </c>
    </row>
    <row r="36" spans="1:50" x14ac:dyDescent="0.25">
      <c r="A36" s="24">
        <v>35</v>
      </c>
      <c r="B36" s="26">
        <v>17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1.1439999999999999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0.29199999999999998</v>
      </c>
      <c r="AT36" s="28">
        <v>0</v>
      </c>
      <c r="AU36" s="28">
        <v>0</v>
      </c>
      <c r="AV36" s="28">
        <v>0</v>
      </c>
      <c r="AW36" s="28">
        <v>3.1217391304347829E-2</v>
      </c>
      <c r="AX36" s="34">
        <v>1.4359999999999999</v>
      </c>
    </row>
    <row r="37" spans="1:50" x14ac:dyDescent="0.25">
      <c r="A37" s="24">
        <v>36</v>
      </c>
      <c r="B37" s="26">
        <v>17.5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2.331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0.68400000000000005</v>
      </c>
      <c r="AJ37" s="28">
        <v>2.137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1.264</v>
      </c>
      <c r="AQ37" s="28">
        <v>0</v>
      </c>
      <c r="AR37" s="28">
        <v>7.4999999999999997E-2</v>
      </c>
      <c r="AS37" s="28">
        <v>0</v>
      </c>
      <c r="AT37" s="28">
        <v>0</v>
      </c>
      <c r="AU37" s="28">
        <v>0</v>
      </c>
      <c r="AV37" s="28">
        <v>0</v>
      </c>
      <c r="AW37" s="28">
        <v>0.1411086956521739</v>
      </c>
      <c r="AX37" s="34">
        <v>6.4910000000000014</v>
      </c>
    </row>
    <row r="38" spans="1:50" x14ac:dyDescent="0.25">
      <c r="A38" s="24">
        <v>37</v>
      </c>
      <c r="B38" s="26">
        <v>18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2.0459999999999998</v>
      </c>
      <c r="K38" s="28">
        <v>0</v>
      </c>
      <c r="L38" s="28">
        <v>0</v>
      </c>
      <c r="M38" s="28">
        <v>0.39800000000000002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6.9999999999999993E-2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0.44</v>
      </c>
      <c r="AJ38" s="28">
        <v>3.2709999999999999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1.0449999999999999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0.15804347826086959</v>
      </c>
      <c r="AX38" s="34">
        <v>7.27</v>
      </c>
    </row>
    <row r="39" spans="1:50" x14ac:dyDescent="0.25">
      <c r="A39" s="24">
        <v>38</v>
      </c>
      <c r="B39" s="26">
        <v>18.5</v>
      </c>
      <c r="C39" s="28">
        <v>0</v>
      </c>
      <c r="D39" s="28">
        <v>1.9790000000000001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0.40500000000000003</v>
      </c>
      <c r="T39" s="28">
        <v>0</v>
      </c>
      <c r="U39" s="28">
        <v>0</v>
      </c>
      <c r="V39" s="28">
        <v>0.122</v>
      </c>
      <c r="W39" s="28">
        <v>0</v>
      </c>
      <c r="X39" s="28">
        <v>0</v>
      </c>
      <c r="Y39" s="28">
        <v>0</v>
      </c>
      <c r="Z39" s="28">
        <v>0.23599999999999999</v>
      </c>
      <c r="AA39" s="28">
        <v>0</v>
      </c>
      <c r="AB39" s="28">
        <v>0</v>
      </c>
      <c r="AC39" s="28">
        <v>0.67900000000000005</v>
      </c>
      <c r="AD39" s="28">
        <v>8.0000000000000002E-3</v>
      </c>
      <c r="AE39" s="28">
        <v>0</v>
      </c>
      <c r="AF39" s="28">
        <v>0</v>
      </c>
      <c r="AG39" s="28">
        <v>0</v>
      </c>
      <c r="AH39" s="28">
        <v>5.0999999999999997E-2</v>
      </c>
      <c r="AI39" s="28">
        <v>2.5529999999999999</v>
      </c>
      <c r="AJ39" s="28">
        <v>4.2000000000000003E-2</v>
      </c>
      <c r="AK39" s="28">
        <v>1.804</v>
      </c>
      <c r="AL39" s="28">
        <v>0.152</v>
      </c>
      <c r="AM39" s="28">
        <v>0</v>
      </c>
      <c r="AN39" s="28">
        <v>0</v>
      </c>
      <c r="AO39" s="28">
        <v>0</v>
      </c>
      <c r="AP39" s="28">
        <v>0.42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0.1837173913043478</v>
      </c>
      <c r="AX39" s="34">
        <v>8.4510000000000005</v>
      </c>
    </row>
    <row r="40" spans="1:50" x14ac:dyDescent="0.25">
      <c r="A40" s="24">
        <v>39</v>
      </c>
      <c r="B40" s="26">
        <v>19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0.67599999999999993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0.42299999999999999</v>
      </c>
      <c r="P40" s="28">
        <v>0</v>
      </c>
      <c r="Q40" s="28">
        <v>0</v>
      </c>
      <c r="R40" s="28">
        <v>0.46</v>
      </c>
      <c r="S40" s="28">
        <v>0.19700000000000001</v>
      </c>
      <c r="T40" s="28">
        <v>0.17499999999999999</v>
      </c>
      <c r="U40" s="28">
        <v>0</v>
      </c>
      <c r="V40" s="28">
        <v>0</v>
      </c>
      <c r="W40" s="28">
        <v>0</v>
      </c>
      <c r="X40" s="28">
        <v>9.0000000000000011E-2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0.374</v>
      </c>
      <c r="AG40" s="28">
        <v>0</v>
      </c>
      <c r="AH40" s="28">
        <v>0</v>
      </c>
      <c r="AI40" s="28">
        <v>0.17899999999999999</v>
      </c>
      <c r="AJ40" s="28">
        <v>0</v>
      </c>
      <c r="AK40" s="28">
        <v>1.575</v>
      </c>
      <c r="AL40" s="28">
        <v>0</v>
      </c>
      <c r="AM40" s="28">
        <v>1.6140000000000001</v>
      </c>
      <c r="AN40" s="28">
        <v>0</v>
      </c>
      <c r="AO40" s="28">
        <v>0</v>
      </c>
      <c r="AP40" s="28">
        <v>0.154</v>
      </c>
      <c r="AQ40" s="28">
        <v>0</v>
      </c>
      <c r="AR40" s="28">
        <v>0</v>
      </c>
      <c r="AS40" s="28">
        <v>9.2999999999999999E-2</v>
      </c>
      <c r="AT40" s="28">
        <v>0</v>
      </c>
      <c r="AU40" s="28">
        <v>0</v>
      </c>
      <c r="AV40" s="28">
        <v>1.9E-2</v>
      </c>
      <c r="AW40" s="28">
        <v>0.13106521739130431</v>
      </c>
      <c r="AX40" s="34">
        <v>6.0289999999999999</v>
      </c>
    </row>
    <row r="41" spans="1:50" x14ac:dyDescent="0.25">
      <c r="A41" s="24">
        <v>40</v>
      </c>
      <c r="B41" s="26">
        <v>19.5</v>
      </c>
      <c r="C41" s="28">
        <v>0.16800000000000001</v>
      </c>
      <c r="D41" s="28">
        <v>0.36299999999999999</v>
      </c>
      <c r="E41" s="28">
        <v>0.28799999999999998</v>
      </c>
      <c r="F41" s="28">
        <v>0</v>
      </c>
      <c r="G41" s="28">
        <v>0.105</v>
      </c>
      <c r="H41" s="28">
        <v>0.3</v>
      </c>
      <c r="I41" s="28">
        <v>0.252</v>
      </c>
      <c r="J41" s="28">
        <v>0.14899999999999999</v>
      </c>
      <c r="K41" s="28">
        <v>0.46400000000000002</v>
      </c>
      <c r="L41" s="28">
        <v>0</v>
      </c>
      <c r="M41" s="28">
        <v>0.36599999999999999</v>
      </c>
      <c r="N41" s="28">
        <v>5.8000000000000003E-2</v>
      </c>
      <c r="O41" s="28">
        <v>0.26700000000000002</v>
      </c>
      <c r="P41" s="28">
        <v>9.2999999999999999E-2</v>
      </c>
      <c r="Q41" s="28">
        <v>0.35</v>
      </c>
      <c r="R41" s="28">
        <v>0.374</v>
      </c>
      <c r="S41" s="28">
        <v>0.34300000000000003</v>
      </c>
      <c r="T41" s="28">
        <v>0.34699999999999998</v>
      </c>
      <c r="U41" s="28">
        <v>0.23200000000000001</v>
      </c>
      <c r="V41" s="28">
        <v>0.35199999999999998</v>
      </c>
      <c r="W41" s="28">
        <v>0.28199999999999997</v>
      </c>
      <c r="X41" s="28">
        <v>0.185</v>
      </c>
      <c r="Y41" s="28">
        <v>0.57300000000000006</v>
      </c>
      <c r="Z41" s="28">
        <v>0.32800000000000001</v>
      </c>
      <c r="AA41" s="28">
        <v>0</v>
      </c>
      <c r="AB41" s="28">
        <v>1.256</v>
      </c>
      <c r="AC41" s="28">
        <v>0.35399999999999998</v>
      </c>
      <c r="AD41" s="28">
        <v>0.63600000000000001</v>
      </c>
      <c r="AE41" s="28">
        <v>0.52800000000000002</v>
      </c>
      <c r="AF41" s="28">
        <v>0.93599999999999994</v>
      </c>
      <c r="AG41" s="28">
        <v>0.01</v>
      </c>
      <c r="AH41" s="28">
        <v>0.317</v>
      </c>
      <c r="AI41" s="28">
        <v>0.72799999999999998</v>
      </c>
      <c r="AJ41" s="28">
        <v>0.29099999999999998</v>
      </c>
      <c r="AK41" s="28">
        <v>2.226</v>
      </c>
      <c r="AL41" s="28">
        <v>0.16200000000000001</v>
      </c>
      <c r="AM41" s="28">
        <v>0.309</v>
      </c>
      <c r="AN41" s="28">
        <v>0.22500000000000001</v>
      </c>
      <c r="AO41" s="28">
        <v>6.7000000000000004E-2</v>
      </c>
      <c r="AP41" s="28">
        <v>0.55199999999999994</v>
      </c>
      <c r="AQ41" s="28">
        <v>0.17299999999999999</v>
      </c>
      <c r="AR41" s="28">
        <v>0.28199999999999997</v>
      </c>
      <c r="AS41" s="28">
        <v>0.14699999999999999</v>
      </c>
      <c r="AT41" s="28">
        <v>0.44400000000000001</v>
      </c>
      <c r="AU41" s="28">
        <v>0.21199999999999999</v>
      </c>
      <c r="AV41" s="28">
        <v>0</v>
      </c>
      <c r="AW41" s="28">
        <v>0.34986956521739132</v>
      </c>
      <c r="AX41" s="34">
        <v>16.094000000000001</v>
      </c>
    </row>
    <row r="42" spans="1:50" x14ac:dyDescent="0.25">
      <c r="A42" s="24">
        <v>41</v>
      </c>
      <c r="B42" s="26">
        <v>20</v>
      </c>
      <c r="C42" s="28">
        <v>0.28999999999999998</v>
      </c>
      <c r="D42" s="28">
        <v>0.28799999999999998</v>
      </c>
      <c r="E42" s="28">
        <v>0.34899999999999998</v>
      </c>
      <c r="F42" s="28">
        <v>0.42799999999999999</v>
      </c>
      <c r="G42" s="28">
        <v>0.127</v>
      </c>
      <c r="H42" s="28">
        <v>0.33900000000000002</v>
      </c>
      <c r="I42" s="28">
        <v>0.191</v>
      </c>
      <c r="J42" s="28">
        <v>0.99400000000000011</v>
      </c>
      <c r="K42" s="28">
        <v>0.96399999999999997</v>
      </c>
      <c r="L42" s="28">
        <v>0.26700000000000002</v>
      </c>
      <c r="M42" s="28">
        <v>0.70499999999999996</v>
      </c>
      <c r="N42" s="28">
        <v>0.2</v>
      </c>
      <c r="O42" s="28">
        <v>0.38800000000000001</v>
      </c>
      <c r="P42" s="28">
        <v>0.14000000000000001</v>
      </c>
      <c r="Q42" s="28">
        <v>0.58399999999999996</v>
      </c>
      <c r="R42" s="28">
        <v>0.89100000000000001</v>
      </c>
      <c r="S42" s="28">
        <v>0.372</v>
      </c>
      <c r="T42" s="28">
        <v>0.371</v>
      </c>
      <c r="U42" s="28">
        <v>0.7380000000000001</v>
      </c>
      <c r="V42" s="28">
        <v>0.58899999999999997</v>
      </c>
      <c r="W42" s="28">
        <v>0.59599999999999997</v>
      </c>
      <c r="X42" s="28">
        <v>0.19500000000000001</v>
      </c>
      <c r="Y42" s="28">
        <v>0.53100000000000003</v>
      </c>
      <c r="Z42" s="28">
        <v>0.45700000000000002</v>
      </c>
      <c r="AA42" s="28">
        <v>8.5000000000000006E-2</v>
      </c>
      <c r="AB42" s="28">
        <v>0.55000000000000004</v>
      </c>
      <c r="AC42" s="28">
        <v>0.53200000000000003</v>
      </c>
      <c r="AD42" s="28">
        <v>0.66299999999999992</v>
      </c>
      <c r="AE42" s="28">
        <v>0.42099999999999999</v>
      </c>
      <c r="AF42" s="28">
        <v>0.96500000000000008</v>
      </c>
      <c r="AG42" s="28">
        <v>5.6000000000000001E-2</v>
      </c>
      <c r="AH42" s="28">
        <v>0.28000000000000003</v>
      </c>
      <c r="AI42" s="28">
        <v>0.752</v>
      </c>
      <c r="AJ42" s="28">
        <v>0.66600000000000004</v>
      </c>
      <c r="AK42" s="28">
        <v>0.84099999999999997</v>
      </c>
      <c r="AL42" s="28">
        <v>8.8999999999999996E-2</v>
      </c>
      <c r="AM42" s="28">
        <v>0.52400000000000002</v>
      </c>
      <c r="AN42" s="28">
        <v>0.51500000000000001</v>
      </c>
      <c r="AO42" s="28">
        <v>3.5999999999999997E-2</v>
      </c>
      <c r="AP42" s="28">
        <v>0.44600000000000001</v>
      </c>
      <c r="AQ42" s="28">
        <v>0.111</v>
      </c>
      <c r="AR42" s="28">
        <v>0.159</v>
      </c>
      <c r="AS42" s="28">
        <v>0.749</v>
      </c>
      <c r="AT42" s="28">
        <v>0.27400000000000002</v>
      </c>
      <c r="AU42" s="28">
        <v>2.258</v>
      </c>
      <c r="AV42" s="28">
        <v>3.6999999999999998E-2</v>
      </c>
      <c r="AW42" s="28">
        <v>0.47832608695652179</v>
      </c>
      <c r="AX42" s="34">
        <v>22.003</v>
      </c>
    </row>
    <row r="43" spans="1:50" x14ac:dyDescent="0.25">
      <c r="A43" s="24">
        <v>42</v>
      </c>
      <c r="B43" s="26">
        <v>20.5</v>
      </c>
      <c r="C43" s="28">
        <v>0.30599999999999999</v>
      </c>
      <c r="D43" s="28">
        <v>0.41</v>
      </c>
      <c r="E43" s="28">
        <v>0.57700000000000007</v>
      </c>
      <c r="F43" s="28">
        <v>0.247</v>
      </c>
      <c r="G43" s="28">
        <v>5.5E-2</v>
      </c>
      <c r="H43" s="28">
        <v>0.39100000000000001</v>
      </c>
      <c r="I43" s="28">
        <v>0.13700000000000001</v>
      </c>
      <c r="J43" s="28">
        <v>0.61199999999999999</v>
      </c>
      <c r="K43" s="28">
        <v>0.91400000000000003</v>
      </c>
      <c r="L43" s="28">
        <v>0.43099999999999999</v>
      </c>
      <c r="M43" s="28">
        <v>0.78700000000000003</v>
      </c>
      <c r="N43" s="28">
        <v>9.1999999999999998E-2</v>
      </c>
      <c r="O43" s="28">
        <v>0.45600000000000002</v>
      </c>
      <c r="P43" s="28">
        <v>0.10199999999999999</v>
      </c>
      <c r="Q43" s="28">
        <v>0.47499999999999998</v>
      </c>
      <c r="R43" s="28">
        <v>0.39</v>
      </c>
      <c r="S43" s="28">
        <v>0.69099999999999995</v>
      </c>
      <c r="T43" s="28">
        <v>0.39100000000000001</v>
      </c>
      <c r="U43" s="28">
        <v>0.82200000000000006</v>
      </c>
      <c r="V43" s="28">
        <v>0.94099999999999995</v>
      </c>
      <c r="W43" s="28">
        <v>0.84900000000000009</v>
      </c>
      <c r="X43" s="28">
        <v>0.193</v>
      </c>
      <c r="Y43" s="28">
        <v>0.51900000000000002</v>
      </c>
      <c r="Z43" s="28">
        <v>0.746</v>
      </c>
      <c r="AA43" s="28">
        <v>5.0999999999999997E-2</v>
      </c>
      <c r="AB43" s="28">
        <v>0.442</v>
      </c>
      <c r="AC43" s="28">
        <v>0.27200000000000002</v>
      </c>
      <c r="AD43" s="28">
        <v>0.65100000000000002</v>
      </c>
      <c r="AE43" s="28">
        <v>0.52700000000000002</v>
      </c>
      <c r="AF43" s="28">
        <v>0.45700000000000002</v>
      </c>
      <c r="AG43" s="28">
        <v>0.27700000000000002</v>
      </c>
      <c r="AH43" s="28">
        <v>4.1000000000000002E-2</v>
      </c>
      <c r="AI43" s="28">
        <v>1.0229999999999999</v>
      </c>
      <c r="AJ43" s="28">
        <v>0.505</v>
      </c>
      <c r="AK43" s="28">
        <v>0.72499999999999998</v>
      </c>
      <c r="AL43" s="28">
        <v>0.22900000000000001</v>
      </c>
      <c r="AM43" s="28">
        <v>0.50700000000000001</v>
      </c>
      <c r="AN43" s="28">
        <v>0.78100000000000003</v>
      </c>
      <c r="AO43" s="28">
        <v>4.2999999999999997E-2</v>
      </c>
      <c r="AP43" s="28">
        <v>0.67599999999999993</v>
      </c>
      <c r="AQ43" s="28">
        <v>8.3000000000000004E-2</v>
      </c>
      <c r="AR43" s="28">
        <v>0.52700000000000002</v>
      </c>
      <c r="AS43" s="28">
        <v>0.88400000000000001</v>
      </c>
      <c r="AT43" s="28">
        <v>0.25800000000000001</v>
      </c>
      <c r="AU43" s="28">
        <v>0.47199999999999998</v>
      </c>
      <c r="AV43" s="28">
        <v>0.245</v>
      </c>
      <c r="AW43" s="28">
        <v>0.46108695652173909</v>
      </c>
      <c r="AX43" s="34">
        <v>21.21</v>
      </c>
    </row>
    <row r="44" spans="1:50" x14ac:dyDescent="0.25">
      <c r="A44" s="24">
        <v>43</v>
      </c>
      <c r="B44" s="26">
        <v>21</v>
      </c>
      <c r="C44" s="28">
        <v>0.18099999999999999</v>
      </c>
      <c r="D44" s="28">
        <v>0.36900000000000011</v>
      </c>
      <c r="E44" s="28">
        <v>0.70399999999999996</v>
      </c>
      <c r="F44" s="28">
        <v>0.63300000000000001</v>
      </c>
      <c r="G44" s="28">
        <v>5.5E-2</v>
      </c>
      <c r="H44" s="28">
        <v>3.5000000000000003E-2</v>
      </c>
      <c r="I44" s="28">
        <v>0.114</v>
      </c>
      <c r="J44" s="28">
        <v>0</v>
      </c>
      <c r="K44" s="28">
        <v>0.78500000000000003</v>
      </c>
      <c r="L44" s="28">
        <v>0.112</v>
      </c>
      <c r="M44" s="28">
        <v>0.78900000000000003</v>
      </c>
      <c r="N44" s="28">
        <v>0.23200000000000001</v>
      </c>
      <c r="O44" s="28">
        <v>0.43600000000000011</v>
      </c>
      <c r="P44" s="28">
        <v>0.23</v>
      </c>
      <c r="Q44" s="28">
        <v>0.68099999999999994</v>
      </c>
      <c r="R44" s="28">
        <v>0.53100000000000003</v>
      </c>
      <c r="S44" s="28">
        <v>0.41</v>
      </c>
      <c r="T44" s="28">
        <v>0.499</v>
      </c>
      <c r="U44" s="28">
        <v>0.84199999999999997</v>
      </c>
      <c r="V44" s="28">
        <v>1.5349999999999999</v>
      </c>
      <c r="W44" s="28">
        <v>0.79299999999999993</v>
      </c>
      <c r="X44" s="28">
        <v>0.45400000000000001</v>
      </c>
      <c r="Y44" s="28">
        <v>0.56999999999999995</v>
      </c>
      <c r="Z44" s="28">
        <v>0.69800000000000006</v>
      </c>
      <c r="AA44" s="28">
        <v>0.10299999999999999</v>
      </c>
      <c r="AB44" s="28">
        <v>0.4</v>
      </c>
      <c r="AC44" s="28">
        <v>1.35</v>
      </c>
      <c r="AD44" s="28">
        <v>0.72400000000000009</v>
      </c>
      <c r="AE44" s="28">
        <v>0.57499999999999996</v>
      </c>
      <c r="AF44" s="28">
        <v>0.55800000000000005</v>
      </c>
      <c r="AG44" s="28">
        <v>5.3999999999999999E-2</v>
      </c>
      <c r="AH44" s="28">
        <v>0.21199999999999999</v>
      </c>
      <c r="AI44" s="28">
        <v>0.80500000000000005</v>
      </c>
      <c r="AJ44" s="28">
        <v>0.35099999999999998</v>
      </c>
      <c r="AK44" s="28">
        <v>0</v>
      </c>
      <c r="AL44" s="28">
        <v>0.13900000000000001</v>
      </c>
      <c r="AM44" s="28">
        <v>0.57099999999999995</v>
      </c>
      <c r="AN44" s="28">
        <v>0.441</v>
      </c>
      <c r="AO44" s="28">
        <v>0.17100000000000001</v>
      </c>
      <c r="AP44" s="28">
        <v>1.3819999999999999</v>
      </c>
      <c r="AQ44" s="28">
        <v>4.2000000000000003E-2</v>
      </c>
      <c r="AR44" s="28">
        <v>0.31</v>
      </c>
      <c r="AS44" s="28">
        <v>0.75</v>
      </c>
      <c r="AT44" s="28">
        <v>0.10299999999999999</v>
      </c>
      <c r="AU44" s="28">
        <v>0.47899999999999998</v>
      </c>
      <c r="AV44" s="28">
        <v>0.2</v>
      </c>
      <c r="AW44" s="28">
        <v>0.46539130434782611</v>
      </c>
      <c r="AX44" s="34">
        <v>21.408000000000001</v>
      </c>
    </row>
    <row r="45" spans="1:50" x14ac:dyDescent="0.25">
      <c r="A45" s="24">
        <v>44</v>
      </c>
      <c r="B45" s="26">
        <v>21.5</v>
      </c>
      <c r="C45" s="28">
        <v>0.53799999999999992</v>
      </c>
      <c r="D45" s="28">
        <v>0.27100000000000002</v>
      </c>
      <c r="E45" s="28">
        <v>0.378</v>
      </c>
      <c r="F45" s="28">
        <v>0.27300000000000002</v>
      </c>
      <c r="G45" s="28">
        <v>5.5E-2</v>
      </c>
      <c r="H45" s="28">
        <v>0.115</v>
      </c>
      <c r="I45" s="28">
        <v>0.127</v>
      </c>
      <c r="J45" s="28">
        <v>0</v>
      </c>
      <c r="K45" s="28">
        <v>0.77600000000000002</v>
      </c>
      <c r="L45" s="28">
        <v>0.159</v>
      </c>
      <c r="M45" s="28">
        <v>0.874</v>
      </c>
      <c r="N45" s="28">
        <v>0.193</v>
      </c>
      <c r="O45" s="28">
        <v>0.36099999999999999</v>
      </c>
      <c r="P45" s="28">
        <v>7.8E-2</v>
      </c>
      <c r="Q45" s="28">
        <v>0.82899999999999996</v>
      </c>
      <c r="R45" s="28">
        <v>0.59699999999999998</v>
      </c>
      <c r="S45" s="28">
        <v>0.99199999999999999</v>
      </c>
      <c r="T45" s="28">
        <v>0.32800000000000001</v>
      </c>
      <c r="U45" s="28">
        <v>0.82200000000000006</v>
      </c>
      <c r="V45" s="28">
        <v>0.78100000000000003</v>
      </c>
      <c r="W45" s="28">
        <v>0.73199999999999998</v>
      </c>
      <c r="X45" s="28">
        <v>0.183</v>
      </c>
      <c r="Y45" s="28">
        <v>0.377</v>
      </c>
      <c r="Z45" s="28">
        <v>0.373</v>
      </c>
      <c r="AA45" s="28">
        <v>0.128</v>
      </c>
      <c r="AB45" s="28">
        <v>0.85699999999999998</v>
      </c>
      <c r="AC45" s="28">
        <v>0.505</v>
      </c>
      <c r="AD45" s="28">
        <v>0.56599999999999995</v>
      </c>
      <c r="AE45" s="28">
        <v>0.441</v>
      </c>
      <c r="AF45" s="28">
        <v>0.62</v>
      </c>
      <c r="AG45" s="28">
        <v>0.29799999999999999</v>
      </c>
      <c r="AH45" s="28">
        <v>0.24399999999999999</v>
      </c>
      <c r="AI45" s="28">
        <v>0</v>
      </c>
      <c r="AJ45" s="28">
        <v>0</v>
      </c>
      <c r="AK45" s="28">
        <v>0</v>
      </c>
      <c r="AL45" s="28">
        <v>9.6000000000000002E-2</v>
      </c>
      <c r="AM45" s="28">
        <v>0.89200000000000002</v>
      </c>
      <c r="AN45" s="28">
        <v>0.95399999999999996</v>
      </c>
      <c r="AO45" s="28">
        <v>4.2999999999999997E-2</v>
      </c>
      <c r="AP45" s="28">
        <v>0.85400000000000009</v>
      </c>
      <c r="AQ45" s="28">
        <v>0.17199999999999999</v>
      </c>
      <c r="AR45" s="28">
        <v>0.64600000000000002</v>
      </c>
      <c r="AS45" s="28">
        <v>0.85400000000000009</v>
      </c>
      <c r="AT45" s="28">
        <v>0.16500000000000001</v>
      </c>
      <c r="AU45" s="28">
        <v>0.3</v>
      </c>
      <c r="AV45" s="28">
        <v>0.19600000000000001</v>
      </c>
      <c r="AW45" s="28">
        <v>0.4139782608695653</v>
      </c>
      <c r="AX45" s="34">
        <v>19.042999999999999</v>
      </c>
    </row>
    <row r="46" spans="1:50" x14ac:dyDescent="0.25">
      <c r="A46" s="24">
        <v>45</v>
      </c>
      <c r="B46" s="26">
        <v>22</v>
      </c>
      <c r="C46" s="28">
        <v>0.58699999999999997</v>
      </c>
      <c r="D46" s="28">
        <v>0.17899999999999999</v>
      </c>
      <c r="E46" s="28">
        <v>0.57300000000000006</v>
      </c>
      <c r="F46" s="28">
        <v>0.51800000000000002</v>
      </c>
      <c r="G46" s="28">
        <v>5.5E-2</v>
      </c>
      <c r="H46" s="28">
        <v>0.45300000000000001</v>
      </c>
      <c r="I46" s="28">
        <v>0.20799999999999999</v>
      </c>
      <c r="J46" s="28">
        <v>0</v>
      </c>
      <c r="K46" s="28">
        <v>0.79100000000000004</v>
      </c>
      <c r="L46" s="28">
        <v>0.17399999999999999</v>
      </c>
      <c r="M46" s="28">
        <v>0.56800000000000006</v>
      </c>
      <c r="N46" s="28">
        <v>7.5999999999999998E-2</v>
      </c>
      <c r="O46" s="28">
        <v>0.60199999999999998</v>
      </c>
      <c r="P46" s="28">
        <v>0.29199999999999998</v>
      </c>
      <c r="Q46" s="28">
        <v>0.83600000000000008</v>
      </c>
      <c r="R46" s="28">
        <v>0.42599999999999999</v>
      </c>
      <c r="S46" s="28">
        <v>0.55099999999999993</v>
      </c>
      <c r="T46" s="28">
        <v>0.23200000000000001</v>
      </c>
      <c r="U46" s="28">
        <v>0.73</v>
      </c>
      <c r="V46" s="28">
        <v>1.506</v>
      </c>
      <c r="W46" s="28">
        <v>1.5209999999999999</v>
      </c>
      <c r="X46" s="28">
        <v>0.53</v>
      </c>
      <c r="Y46" s="28">
        <v>0.33500000000000002</v>
      </c>
      <c r="Z46" s="28">
        <v>0.57399999999999995</v>
      </c>
      <c r="AA46" s="28">
        <v>4.3999999999999997E-2</v>
      </c>
      <c r="AB46" s="28">
        <v>0.36699999999999999</v>
      </c>
      <c r="AC46" s="28">
        <v>0.59500000000000008</v>
      </c>
      <c r="AD46" s="28">
        <v>0.42799999999999999</v>
      </c>
      <c r="AE46" s="28">
        <v>0.159</v>
      </c>
      <c r="AF46" s="28">
        <v>0.94700000000000006</v>
      </c>
      <c r="AG46" s="28">
        <v>5.3999999999999999E-2</v>
      </c>
      <c r="AH46" s="28">
        <v>0.10199999999999999</v>
      </c>
      <c r="AI46" s="28">
        <v>0</v>
      </c>
      <c r="AJ46" s="28">
        <v>0</v>
      </c>
      <c r="AK46" s="28">
        <v>0</v>
      </c>
      <c r="AL46" s="28">
        <v>0.51200000000000001</v>
      </c>
      <c r="AM46" s="28">
        <v>0.91500000000000004</v>
      </c>
      <c r="AN46" s="28">
        <v>0.51200000000000001</v>
      </c>
      <c r="AO46" s="28">
        <v>4.2999999999999997E-2</v>
      </c>
      <c r="AP46" s="28">
        <v>0.38</v>
      </c>
      <c r="AQ46" s="28">
        <v>4.2000000000000003E-2</v>
      </c>
      <c r="AR46" s="28">
        <v>0.52600000000000002</v>
      </c>
      <c r="AS46" s="28">
        <v>0.68</v>
      </c>
      <c r="AT46" s="28">
        <v>0.112</v>
      </c>
      <c r="AU46" s="28">
        <v>0.54699999999999993</v>
      </c>
      <c r="AV46" s="28">
        <v>0.248</v>
      </c>
      <c r="AW46" s="28">
        <v>0.42456521739130437</v>
      </c>
      <c r="AX46" s="34">
        <v>19.53</v>
      </c>
    </row>
    <row r="47" spans="1:50" x14ac:dyDescent="0.25">
      <c r="A47" s="24">
        <v>46</v>
      </c>
      <c r="B47" s="26">
        <v>22.5</v>
      </c>
      <c r="C47" s="28">
        <v>0.48599999999999999</v>
      </c>
      <c r="D47" s="28">
        <v>0.42799999999999999</v>
      </c>
      <c r="E47" s="28">
        <v>0.16700000000000001</v>
      </c>
      <c r="F47" s="28">
        <v>0.58200000000000007</v>
      </c>
      <c r="G47" s="28">
        <v>5.5E-2</v>
      </c>
      <c r="H47" s="28">
        <v>0.159</v>
      </c>
      <c r="I47" s="28">
        <v>0.114</v>
      </c>
      <c r="J47" s="28">
        <v>0</v>
      </c>
      <c r="K47" s="28">
        <v>0.68700000000000006</v>
      </c>
      <c r="L47" s="28">
        <v>7.2000000000000008E-2</v>
      </c>
      <c r="M47" s="28">
        <v>0.94200000000000006</v>
      </c>
      <c r="N47" s="28">
        <v>0.28199999999999997</v>
      </c>
      <c r="O47" s="28">
        <v>0.40300000000000002</v>
      </c>
      <c r="P47" s="28">
        <v>0.495</v>
      </c>
      <c r="Q47" s="28">
        <v>0.61799999999999999</v>
      </c>
      <c r="R47" s="28">
        <v>1.099</v>
      </c>
      <c r="S47" s="28">
        <v>0.81800000000000006</v>
      </c>
      <c r="T47" s="28">
        <v>9.7000000000000003E-2</v>
      </c>
      <c r="U47" s="28">
        <v>0.77100000000000002</v>
      </c>
      <c r="V47" s="28">
        <v>0.76200000000000001</v>
      </c>
      <c r="W47" s="28">
        <v>1.5649999999999999</v>
      </c>
      <c r="X47" s="28">
        <v>0.39900000000000002</v>
      </c>
      <c r="Y47" s="28">
        <v>5.2999999999999999E-2</v>
      </c>
      <c r="Z47" s="28">
        <v>9.8000000000000004E-2</v>
      </c>
      <c r="AA47" s="28">
        <v>4.3999999999999997E-2</v>
      </c>
      <c r="AB47" s="28">
        <v>0.222</v>
      </c>
      <c r="AC47" s="28">
        <v>1.548</v>
      </c>
      <c r="AD47" s="28">
        <v>0.39800000000000002</v>
      </c>
      <c r="AE47" s="28">
        <v>0.03</v>
      </c>
      <c r="AF47" s="28">
        <v>0.72000000000000008</v>
      </c>
      <c r="AG47" s="28">
        <v>0.19</v>
      </c>
      <c r="AH47" s="28">
        <v>7.3999999999999996E-2</v>
      </c>
      <c r="AI47" s="28">
        <v>0</v>
      </c>
      <c r="AJ47" s="28">
        <v>0</v>
      </c>
      <c r="AK47" s="28">
        <v>0</v>
      </c>
      <c r="AL47" s="28">
        <v>1.1950000000000001</v>
      </c>
      <c r="AM47" s="28">
        <v>1.016</v>
      </c>
      <c r="AN47" s="28">
        <v>0.34399999999999997</v>
      </c>
      <c r="AO47" s="28">
        <v>0.17100000000000001</v>
      </c>
      <c r="AP47" s="28">
        <v>0</v>
      </c>
      <c r="AQ47" s="28">
        <v>0.10100000000000001</v>
      </c>
      <c r="AR47" s="28">
        <v>0.69399999999999995</v>
      </c>
      <c r="AS47" s="28">
        <v>0.83899999999999997</v>
      </c>
      <c r="AT47" s="28">
        <v>0.27900000000000003</v>
      </c>
      <c r="AU47" s="28">
        <v>0.81200000000000006</v>
      </c>
      <c r="AV47" s="28">
        <v>0.13100000000000001</v>
      </c>
      <c r="AW47" s="28">
        <v>0.43391304347826087</v>
      </c>
      <c r="AX47" s="34">
        <v>19.96</v>
      </c>
    </row>
    <row r="48" spans="1:50" x14ac:dyDescent="0.25">
      <c r="A48" s="24">
        <v>47</v>
      </c>
      <c r="B48" s="26">
        <v>23</v>
      </c>
      <c r="C48" s="28">
        <v>0.65300000000000002</v>
      </c>
      <c r="D48" s="28">
        <v>0.38</v>
      </c>
      <c r="E48" s="28">
        <v>0.155</v>
      </c>
      <c r="F48" s="28">
        <v>0.71100000000000008</v>
      </c>
      <c r="G48" s="28">
        <v>5.5E-2</v>
      </c>
      <c r="H48" s="28">
        <v>0.13900000000000001</v>
      </c>
      <c r="I48" s="28">
        <v>0.127</v>
      </c>
      <c r="J48" s="28">
        <v>0</v>
      </c>
      <c r="K48" s="28">
        <v>6.3E-2</v>
      </c>
      <c r="L48" s="28">
        <v>0.24199999999999999</v>
      </c>
      <c r="M48" s="28">
        <v>0.60699999999999998</v>
      </c>
      <c r="N48" s="28">
        <v>0.14199999999999999</v>
      </c>
      <c r="O48" s="28">
        <v>0.22</v>
      </c>
      <c r="P48" s="28">
        <v>9.0999999999999998E-2</v>
      </c>
      <c r="Q48" s="28">
        <v>0.46300000000000002</v>
      </c>
      <c r="R48" s="28">
        <v>0.47199999999999998</v>
      </c>
      <c r="S48" s="28">
        <v>0.66400000000000003</v>
      </c>
      <c r="T48" s="28">
        <v>0.224</v>
      </c>
      <c r="U48" s="28">
        <v>0.92</v>
      </c>
      <c r="V48" s="28">
        <v>0.70600000000000007</v>
      </c>
      <c r="W48" s="28">
        <v>0.83399999999999996</v>
      </c>
      <c r="X48" s="28">
        <v>0.24</v>
      </c>
      <c r="Y48" s="28">
        <v>0.16200000000000001</v>
      </c>
      <c r="Z48" s="28">
        <v>0.307</v>
      </c>
      <c r="AA48" s="28">
        <v>0.127</v>
      </c>
      <c r="AB48" s="28">
        <v>0.19400000000000001</v>
      </c>
      <c r="AC48" s="28">
        <v>0.76100000000000001</v>
      </c>
      <c r="AD48" s="28">
        <v>0.70299999999999996</v>
      </c>
      <c r="AE48" s="28">
        <v>0.159</v>
      </c>
      <c r="AF48" s="28">
        <v>0.56200000000000006</v>
      </c>
      <c r="AG48" s="28">
        <v>0.16200000000000001</v>
      </c>
      <c r="AH48" s="28">
        <v>0.14699999999999999</v>
      </c>
      <c r="AI48" s="28">
        <v>0</v>
      </c>
      <c r="AJ48" s="28">
        <v>0</v>
      </c>
      <c r="AK48" s="28">
        <v>0</v>
      </c>
      <c r="AL48" s="28">
        <v>0.502</v>
      </c>
      <c r="AM48" s="28">
        <v>0.189</v>
      </c>
      <c r="AN48" s="28">
        <v>0.504</v>
      </c>
      <c r="AO48" s="28">
        <v>4.2999999999999997E-2</v>
      </c>
      <c r="AP48" s="28">
        <v>0</v>
      </c>
      <c r="AQ48" s="28">
        <v>0.113</v>
      </c>
      <c r="AR48" s="28">
        <v>0.17100000000000001</v>
      </c>
      <c r="AS48" s="28">
        <v>0.39200000000000002</v>
      </c>
      <c r="AT48" s="28">
        <v>0.19900000000000001</v>
      </c>
      <c r="AU48" s="28">
        <v>0.96299999999999997</v>
      </c>
      <c r="AV48" s="28">
        <v>0.314</v>
      </c>
      <c r="AW48" s="28">
        <v>0.3213478260869565</v>
      </c>
      <c r="AX48" s="34">
        <v>14.782</v>
      </c>
    </row>
    <row r="49" spans="1:50" x14ac:dyDescent="0.25">
      <c r="A49" s="25">
        <v>48</v>
      </c>
      <c r="B49" s="27">
        <v>23.5</v>
      </c>
      <c r="C49" s="29">
        <v>4.9000000000000002E-2</v>
      </c>
      <c r="D49" s="29">
        <v>0.187</v>
      </c>
      <c r="E49" s="29">
        <v>0.123</v>
      </c>
      <c r="F49" s="29">
        <v>0.54900000000000004</v>
      </c>
      <c r="G49" s="29">
        <v>5.5E-2</v>
      </c>
      <c r="H49" s="29">
        <v>0.155</v>
      </c>
      <c r="I49" s="29">
        <v>0.17899999999999999</v>
      </c>
      <c r="J49" s="29">
        <v>0</v>
      </c>
      <c r="K49" s="29">
        <v>0.156</v>
      </c>
      <c r="L49" s="29">
        <v>8.2000000000000003E-2</v>
      </c>
      <c r="M49" s="29">
        <v>0.11799999999999999</v>
      </c>
      <c r="N49" s="29">
        <v>0.24399999999999999</v>
      </c>
      <c r="O49" s="29">
        <v>0.46</v>
      </c>
      <c r="P49" s="29">
        <v>5.1999999999999998E-2</v>
      </c>
      <c r="Q49" s="29">
        <v>0.47699999999999998</v>
      </c>
      <c r="R49" s="29">
        <v>0.78400000000000003</v>
      </c>
      <c r="S49" s="29">
        <v>0.30599999999999999</v>
      </c>
      <c r="T49" s="29">
        <v>0.16</v>
      </c>
      <c r="U49" s="29">
        <v>0.78299999999999992</v>
      </c>
      <c r="V49" s="29">
        <v>0</v>
      </c>
      <c r="W49" s="29">
        <v>0</v>
      </c>
      <c r="X49" s="29">
        <v>0.38200000000000001</v>
      </c>
      <c r="Y49" s="29">
        <v>0.104</v>
      </c>
      <c r="Z49" s="29">
        <v>0.223</v>
      </c>
      <c r="AA49" s="29">
        <v>0.26400000000000001</v>
      </c>
      <c r="AB49" s="29">
        <v>0.11</v>
      </c>
      <c r="AC49" s="29">
        <v>0.78500000000000003</v>
      </c>
      <c r="AD49" s="29">
        <v>0.72000000000000008</v>
      </c>
      <c r="AE49" s="29">
        <v>0.03</v>
      </c>
      <c r="AF49" s="29">
        <v>0.40500000000000003</v>
      </c>
      <c r="AG49" s="29">
        <v>0.104</v>
      </c>
      <c r="AH49" s="29">
        <v>0.29299999999999998</v>
      </c>
      <c r="AI49" s="29">
        <v>0</v>
      </c>
      <c r="AJ49" s="29">
        <v>0</v>
      </c>
      <c r="AK49" s="29">
        <v>0</v>
      </c>
      <c r="AL49" s="29">
        <v>0.57899999999999996</v>
      </c>
      <c r="AM49" s="29">
        <v>0.125</v>
      </c>
      <c r="AN49" s="29">
        <v>0.42199999999999999</v>
      </c>
      <c r="AO49" s="29">
        <v>4.2999999999999997E-2</v>
      </c>
      <c r="AP49" s="29">
        <v>0</v>
      </c>
      <c r="AQ49" s="29">
        <v>4.2000000000000003E-2</v>
      </c>
      <c r="AR49" s="29">
        <v>4.8000000000000001E-2</v>
      </c>
      <c r="AS49" s="29">
        <v>8.6999999999999994E-2</v>
      </c>
      <c r="AT49" s="29">
        <v>0.51</v>
      </c>
      <c r="AU49" s="29">
        <v>6.9999999999999993E-2</v>
      </c>
      <c r="AV49" s="29">
        <v>5.7000000000000002E-2</v>
      </c>
      <c r="AW49" s="29">
        <v>0.22439130434782609</v>
      </c>
      <c r="AX49" s="35">
        <v>10.321999999999999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0" width="15" customWidth="1"/>
  </cols>
  <sheetData>
    <row r="1" spans="1:50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9" t="s">
        <v>84</v>
      </c>
    </row>
    <row r="2" spans="1:50" x14ac:dyDescent="0.25">
      <c r="A2" s="24">
        <v>1</v>
      </c>
      <c r="B2" s="26">
        <v>0</v>
      </c>
      <c r="C2" s="28">
        <v>-3.0233333333301582E-4</v>
      </c>
      <c r="D2" s="28">
        <v>-4.2533333333399931E-4</v>
      </c>
      <c r="E2" s="28">
        <v>-3.8666666666992138E-5</v>
      </c>
      <c r="F2" s="28">
        <v>0</v>
      </c>
      <c r="G2" s="28">
        <v>-4.4666666666698379E-4</v>
      </c>
      <c r="H2" s="28">
        <v>-2.113333333329942E-4</v>
      </c>
      <c r="I2" s="28">
        <v>-8.5333333332993089E-5</v>
      </c>
      <c r="J2" s="28">
        <v>-4.2533333333300011E-4</v>
      </c>
      <c r="K2" s="28">
        <v>-8.7333333332995089E-5</v>
      </c>
      <c r="L2" s="28">
        <v>-2.033333333301135E-5</v>
      </c>
      <c r="M2" s="28">
        <v>-3.4933333333297961E-4</v>
      </c>
      <c r="N2" s="28">
        <v>3.1299999999998002E-4</v>
      </c>
      <c r="O2" s="28">
        <v>3.8166666666700211E-4</v>
      </c>
      <c r="P2" s="28">
        <v>-4.9599999999999644E-4</v>
      </c>
      <c r="Q2" s="28">
        <v>0</v>
      </c>
      <c r="R2" s="28">
        <v>4.1133333333301381E-4</v>
      </c>
      <c r="S2" s="28">
        <v>1.6933333333402081E-4</v>
      </c>
      <c r="T2" s="28">
        <v>-3.6166666666700992E-4</v>
      </c>
      <c r="U2" s="28">
        <v>8.53333333330486E-5</v>
      </c>
      <c r="V2" s="28">
        <v>-1.2666666666699691E-4</v>
      </c>
      <c r="W2" s="28">
        <v>7.0333333332978087E-5</v>
      </c>
      <c r="X2" s="28">
        <v>-1.5999999999999351E-4</v>
      </c>
      <c r="Y2" s="28">
        <v>4.9899999999999944E-4</v>
      </c>
      <c r="Z2" s="28">
        <v>2.1333333333328761E-4</v>
      </c>
      <c r="AA2" s="28">
        <v>0</v>
      </c>
      <c r="AB2" s="28">
        <v>-2.6400000000000029E-4</v>
      </c>
      <c r="AC2" s="28">
        <v>-2.666666666698014E-5</v>
      </c>
      <c r="AD2" s="28">
        <v>2.9133333333297712E-4</v>
      </c>
      <c r="AE2" s="28">
        <v>-3.4694469519536142E-18</v>
      </c>
      <c r="AF2" s="28">
        <v>4.8333333333329398E-4</v>
      </c>
      <c r="AG2" s="28">
        <v>1.056666666670036E-4</v>
      </c>
      <c r="AH2" s="28">
        <v>3.2933333333329262E-4</v>
      </c>
      <c r="AI2" s="28">
        <v>-3.6200000000002902E-4</v>
      </c>
      <c r="AJ2" s="28">
        <v>0</v>
      </c>
      <c r="AK2" s="28">
        <v>3.5266666666700092E-4</v>
      </c>
      <c r="AL2" s="28">
        <v>2.8533333333329719E-4</v>
      </c>
      <c r="AM2" s="28">
        <v>-2.8199999999997671E-4</v>
      </c>
      <c r="AN2" s="28">
        <v>-2.406666666669999E-4</v>
      </c>
      <c r="AO2" s="28">
        <v>-6.9388939039072284E-18</v>
      </c>
      <c r="AP2" s="28">
        <v>2.8000000000027999E-5</v>
      </c>
      <c r="AQ2" s="28">
        <v>-3.8333333334028552E-5</v>
      </c>
      <c r="AR2" s="28">
        <v>-3.3333333333107618E-5</v>
      </c>
      <c r="AS2" s="28">
        <v>-1.7200000000000551E-4</v>
      </c>
      <c r="AT2" s="28">
        <v>-3.3333333333329662E-4</v>
      </c>
      <c r="AU2" s="28">
        <v>7.1666666666997392E-5</v>
      </c>
      <c r="AV2" s="28">
        <v>-3.1466666666699061E-4</v>
      </c>
      <c r="AW2" s="28">
        <v>-3.2884057971025331E-5</v>
      </c>
      <c r="AX2" s="34">
        <v>-1.512666666667165E-3</v>
      </c>
    </row>
    <row r="3" spans="1:50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-4.8333333333300249E-4</v>
      </c>
      <c r="G3" s="28">
        <v>-3.97333333332972E-4</v>
      </c>
      <c r="H3" s="28">
        <v>6.9388939039072284E-18</v>
      </c>
      <c r="I3" s="28">
        <v>0</v>
      </c>
      <c r="J3" s="28">
        <v>0</v>
      </c>
      <c r="K3" s="28">
        <v>2.6100000000001122E-4</v>
      </c>
      <c r="L3" s="28">
        <v>-1.4666666666601769E-4</v>
      </c>
      <c r="M3" s="28">
        <v>-4.1066666666700341E-4</v>
      </c>
      <c r="N3" s="28">
        <v>4.2333333333299811E-4</v>
      </c>
      <c r="O3" s="28">
        <v>-9.9999999999988987E-5</v>
      </c>
      <c r="P3" s="28">
        <v>-1.653333333329898E-4</v>
      </c>
      <c r="Q3" s="28">
        <v>0</v>
      </c>
      <c r="R3" s="28">
        <v>4.5000000000000601E-4</v>
      </c>
      <c r="S3" s="28">
        <v>0</v>
      </c>
      <c r="T3" s="28">
        <v>-2.8233333333405047E-4</v>
      </c>
      <c r="U3" s="28">
        <v>-3.1233333333330338E-4</v>
      </c>
      <c r="V3" s="28">
        <v>3.879999999999717E-4</v>
      </c>
      <c r="W3" s="28">
        <v>-2.5899999999999529E-4</v>
      </c>
      <c r="X3" s="28">
        <v>3.5033333333300831E-4</v>
      </c>
      <c r="Y3" s="28">
        <v>-3.903333333329928E-4</v>
      </c>
      <c r="Z3" s="28">
        <v>2.6533333333300663E-4</v>
      </c>
      <c r="AA3" s="28">
        <v>0</v>
      </c>
      <c r="AB3" s="28">
        <v>-3.746666666666898E-4</v>
      </c>
      <c r="AC3" s="28">
        <v>2.0799999999990271E-4</v>
      </c>
      <c r="AD3" s="28">
        <v>-4.720000000000002E-4</v>
      </c>
      <c r="AE3" s="28">
        <v>9.5999999999984986E-5</v>
      </c>
      <c r="AF3" s="28">
        <v>-1.666666666669814E-4</v>
      </c>
      <c r="AG3" s="28">
        <v>3.0900000000000372E-4</v>
      </c>
      <c r="AH3" s="28">
        <v>-4.696666666670346E-4</v>
      </c>
      <c r="AI3" s="28">
        <v>-1.759999999999956E-4</v>
      </c>
      <c r="AJ3" s="28">
        <v>0</v>
      </c>
      <c r="AK3" s="28">
        <v>4.946666666670041E-4</v>
      </c>
      <c r="AL3" s="28">
        <v>-2.030000000000087E-4</v>
      </c>
      <c r="AM3" s="28">
        <v>3.3333333332996602E-5</v>
      </c>
      <c r="AN3" s="28">
        <v>0</v>
      </c>
      <c r="AO3" s="28">
        <v>-4.0866666666700141E-4</v>
      </c>
      <c r="AP3" s="28">
        <v>3.3500000000000202E-4</v>
      </c>
      <c r="AQ3" s="28">
        <v>6.9388939039072284E-18</v>
      </c>
      <c r="AR3" s="28">
        <v>8.8000000000032497E-5</v>
      </c>
      <c r="AS3" s="28">
        <v>3.8000000000010248E-5</v>
      </c>
      <c r="AT3" s="28">
        <v>-9.2000000000008741E-5</v>
      </c>
      <c r="AU3" s="28">
        <v>-3.9300000000000451E-4</v>
      </c>
      <c r="AV3" s="28">
        <v>4.5733333332997889E-4</v>
      </c>
      <c r="AW3" s="28">
        <v>-3.2731884058067612E-5</v>
      </c>
      <c r="AX3" s="34">
        <v>-1.5056666666711099E-3</v>
      </c>
    </row>
    <row r="4" spans="1:50" x14ac:dyDescent="0.25">
      <c r="A4" s="24">
        <v>3</v>
      </c>
      <c r="B4" s="26">
        <v>1</v>
      </c>
      <c r="C4" s="28">
        <v>-3.5666666666700492E-4</v>
      </c>
      <c r="D4" s="28">
        <v>0</v>
      </c>
      <c r="E4" s="28">
        <v>-4.8933333333300855E-4</v>
      </c>
      <c r="F4" s="28">
        <v>-2.6666666669838972E-6</v>
      </c>
      <c r="G4" s="28">
        <v>5.8666666666984391E-5</v>
      </c>
      <c r="H4" s="28">
        <v>6.9388939039072284E-18</v>
      </c>
      <c r="I4" s="28">
        <v>4.0000000000039997E-5</v>
      </c>
      <c r="J4" s="28">
        <v>-2.7066666666697442E-4</v>
      </c>
      <c r="K4" s="28">
        <v>0</v>
      </c>
      <c r="L4" s="28">
        <v>-2.226666666670096E-4</v>
      </c>
      <c r="M4" s="28">
        <v>0</v>
      </c>
      <c r="N4" s="28">
        <v>-1.656666666669804E-4</v>
      </c>
      <c r="O4" s="28">
        <v>0</v>
      </c>
      <c r="P4" s="28">
        <v>-1.7866666666702111E-4</v>
      </c>
      <c r="Q4" s="28">
        <v>0</v>
      </c>
      <c r="R4" s="28">
        <v>2.3499999999998519E-4</v>
      </c>
      <c r="S4" s="28">
        <v>-4.4466666666698179E-4</v>
      </c>
      <c r="T4" s="28">
        <v>0</v>
      </c>
      <c r="U4" s="28">
        <v>-1.2333333333300331E-4</v>
      </c>
      <c r="V4" s="28">
        <v>1.906666666669915E-4</v>
      </c>
      <c r="W4" s="28">
        <v>0</v>
      </c>
      <c r="X4" s="28">
        <v>0</v>
      </c>
      <c r="Y4" s="28">
        <v>0</v>
      </c>
      <c r="Z4" s="28">
        <v>1.7000000000017002E-5</v>
      </c>
      <c r="AA4" s="28">
        <v>-5.3999999999998487E-5</v>
      </c>
      <c r="AB4" s="28">
        <v>1.01999999999991E-4</v>
      </c>
      <c r="AC4" s="28">
        <v>0</v>
      </c>
      <c r="AD4" s="28">
        <v>0</v>
      </c>
      <c r="AE4" s="28">
        <v>-3.4694469519536142E-18</v>
      </c>
      <c r="AF4" s="28">
        <v>0</v>
      </c>
      <c r="AG4" s="28">
        <v>1.15000000000004E-4</v>
      </c>
      <c r="AH4" s="28">
        <v>-2.699999999999925E-5</v>
      </c>
      <c r="AI4" s="28">
        <v>4.6666666670136534E-6</v>
      </c>
      <c r="AJ4" s="28">
        <v>7.3333333332981088E-5</v>
      </c>
      <c r="AK4" s="28">
        <v>8.2666666666952882E-5</v>
      </c>
      <c r="AL4" s="28">
        <v>0</v>
      </c>
      <c r="AM4" s="28">
        <v>0</v>
      </c>
      <c r="AN4" s="28">
        <v>0</v>
      </c>
      <c r="AO4" s="28">
        <v>-6.9388939039072284E-18</v>
      </c>
      <c r="AP4" s="28">
        <v>2.6199999999999829E-4</v>
      </c>
      <c r="AQ4" s="28">
        <v>3.6600000000000521E-4</v>
      </c>
      <c r="AR4" s="28">
        <v>1.387778780781446E-17</v>
      </c>
      <c r="AS4" s="28">
        <v>2.0000000000020002E-6</v>
      </c>
      <c r="AT4" s="28">
        <v>2.4799999999999822E-4</v>
      </c>
      <c r="AU4" s="28">
        <v>0</v>
      </c>
      <c r="AV4" s="28">
        <v>-7.6000000000020496E-5</v>
      </c>
      <c r="AW4" s="28">
        <v>-1.335507246378285E-5</v>
      </c>
      <c r="AX4" s="34">
        <v>-6.1433333333401133E-4</v>
      </c>
    </row>
    <row r="5" spans="1:50" x14ac:dyDescent="0.25">
      <c r="A5" s="24">
        <v>4</v>
      </c>
      <c r="B5" s="26">
        <v>1.5</v>
      </c>
      <c r="C5" s="28">
        <v>-3.5866666666697911E-4</v>
      </c>
      <c r="D5" s="28">
        <v>-3.3733333333299531E-4</v>
      </c>
      <c r="E5" s="28">
        <v>0</v>
      </c>
      <c r="F5" s="28">
        <v>0</v>
      </c>
      <c r="G5" s="28">
        <v>3.0099999999999572E-4</v>
      </c>
      <c r="H5" s="28">
        <v>9.8666666667024394E-5</v>
      </c>
      <c r="I5" s="28">
        <v>-2.8399999999999259E-4</v>
      </c>
      <c r="J5" s="28">
        <v>-1.5466666666701101E-4</v>
      </c>
      <c r="K5" s="28">
        <v>-1.873333333330118E-4</v>
      </c>
      <c r="L5" s="28">
        <v>0</v>
      </c>
      <c r="M5" s="28">
        <v>0</v>
      </c>
      <c r="N5" s="28">
        <v>1.05999999999995E-4</v>
      </c>
      <c r="O5" s="28">
        <v>-4.800000000000082E-4</v>
      </c>
      <c r="P5" s="28">
        <v>4.800000000000082E-4</v>
      </c>
      <c r="Q5" s="28">
        <v>0</v>
      </c>
      <c r="R5" s="28">
        <v>-2.403333333330093E-4</v>
      </c>
      <c r="S5" s="28">
        <v>-3.860000000000946E-4</v>
      </c>
      <c r="T5" s="28">
        <v>2.8533333333297112E-4</v>
      </c>
      <c r="U5" s="28">
        <v>2.5200000000000222E-4</v>
      </c>
      <c r="V5" s="28">
        <v>-4.7333333333010603E-5</v>
      </c>
      <c r="W5" s="28">
        <v>-1.886666666669756E-4</v>
      </c>
      <c r="X5" s="28">
        <v>3.1999999999998702E-4</v>
      </c>
      <c r="Y5" s="28">
        <v>-3.903333333329928E-4</v>
      </c>
      <c r="Z5" s="28">
        <v>4.9599999999999644E-4</v>
      </c>
      <c r="AA5" s="28">
        <v>0</v>
      </c>
      <c r="AB5" s="28">
        <v>0</v>
      </c>
      <c r="AC5" s="28">
        <v>4.0600000000000358E-4</v>
      </c>
      <c r="AD5" s="28">
        <v>0</v>
      </c>
      <c r="AE5" s="28">
        <v>2.0000000000006121E-5</v>
      </c>
      <c r="AF5" s="28">
        <v>3.833333333329858E-4</v>
      </c>
      <c r="AG5" s="28">
        <v>4.9933333333299079E-4</v>
      </c>
      <c r="AH5" s="28">
        <v>0</v>
      </c>
      <c r="AI5" s="28">
        <v>-1.7800000000001151E-4</v>
      </c>
      <c r="AJ5" s="28">
        <v>0</v>
      </c>
      <c r="AK5" s="28">
        <v>-4.5733333333303211E-4</v>
      </c>
      <c r="AL5" s="28">
        <v>-4.8399999999999832E-4</v>
      </c>
      <c r="AM5" s="28">
        <v>-2.5300000000000322E-4</v>
      </c>
      <c r="AN5" s="28">
        <v>0</v>
      </c>
      <c r="AO5" s="28">
        <v>-6.9388939039072284E-18</v>
      </c>
      <c r="AP5" s="28">
        <v>1.053333333330131E-4</v>
      </c>
      <c r="AQ5" s="28">
        <v>-2.5800000000000128E-4</v>
      </c>
      <c r="AR5" s="28">
        <v>-2.5733333333299862E-4</v>
      </c>
      <c r="AS5" s="28">
        <v>2.280000000000337E-4</v>
      </c>
      <c r="AT5" s="28">
        <v>0</v>
      </c>
      <c r="AU5" s="28">
        <v>-4.5933333333297849E-4</v>
      </c>
      <c r="AV5" s="28">
        <v>-4.746666666670118E-4</v>
      </c>
      <c r="AW5" s="28">
        <v>-4.1202898550719788E-5</v>
      </c>
      <c r="AX5" s="34">
        <v>-1.8953333333331099E-3</v>
      </c>
    </row>
    <row r="6" spans="1:50" x14ac:dyDescent="0.25">
      <c r="A6" s="24">
        <v>5</v>
      </c>
      <c r="B6" s="26">
        <v>2</v>
      </c>
      <c r="C6" s="28">
        <v>-3.5600000000009241E-4</v>
      </c>
      <c r="D6" s="28">
        <v>2.0000000000020002E-6</v>
      </c>
      <c r="E6" s="28">
        <v>3.0466666666698061E-4</v>
      </c>
      <c r="F6" s="28">
        <v>-2.05999999999984E-4</v>
      </c>
      <c r="G6" s="28">
        <v>0</v>
      </c>
      <c r="H6" s="28">
        <v>-4.7999999999989718E-4</v>
      </c>
      <c r="I6" s="28">
        <v>-3.8399999999999551E-4</v>
      </c>
      <c r="J6" s="28">
        <v>0</v>
      </c>
      <c r="K6" s="28">
        <v>0</v>
      </c>
      <c r="L6" s="28">
        <v>-3.4000000000006247E-5</v>
      </c>
      <c r="M6" s="28">
        <v>-3.5466666666697511E-4</v>
      </c>
      <c r="N6" s="28">
        <v>4.6800000000002401E-4</v>
      </c>
      <c r="O6" s="28">
        <v>3.1099999999997801E-4</v>
      </c>
      <c r="P6" s="28">
        <v>9.6000000000012742E-5</v>
      </c>
      <c r="Q6" s="28">
        <v>0</v>
      </c>
      <c r="R6" s="28">
        <v>4.2999999999987493E-5</v>
      </c>
      <c r="S6" s="28">
        <v>-2.9333333332992592E-5</v>
      </c>
      <c r="T6" s="28">
        <v>7.0000000000000617E-5</v>
      </c>
      <c r="U6" s="28">
        <v>6.2999999999993617E-5</v>
      </c>
      <c r="V6" s="28">
        <v>3.5399999999999321E-4</v>
      </c>
      <c r="W6" s="28">
        <v>0</v>
      </c>
      <c r="X6" s="28">
        <v>0</v>
      </c>
      <c r="Y6" s="28">
        <v>4.9899999999999944E-4</v>
      </c>
      <c r="Z6" s="28">
        <v>-2.25000000000003E-4</v>
      </c>
      <c r="AA6" s="28">
        <v>0</v>
      </c>
      <c r="AB6" s="28">
        <v>4.703333333330173E-4</v>
      </c>
      <c r="AC6" s="28">
        <v>-1.8800000000000761E-4</v>
      </c>
      <c r="AD6" s="28">
        <v>-4.119999999999957E-4</v>
      </c>
      <c r="AE6" s="28">
        <v>7.599999999999274E-5</v>
      </c>
      <c r="AF6" s="28">
        <v>-6.6666666666992391E-5</v>
      </c>
      <c r="AG6" s="28">
        <v>3.843333333329868E-4</v>
      </c>
      <c r="AH6" s="28">
        <v>-3.2399999999999102E-4</v>
      </c>
      <c r="AI6" s="28">
        <v>-2.260000000000317E-4</v>
      </c>
      <c r="AJ6" s="28">
        <v>0</v>
      </c>
      <c r="AK6" s="28">
        <v>-3.3266666666603722E-4</v>
      </c>
      <c r="AL6" s="28">
        <v>1.6066666666700311E-4</v>
      </c>
      <c r="AM6" s="28">
        <v>0</v>
      </c>
      <c r="AN6" s="28">
        <v>0</v>
      </c>
      <c r="AO6" s="28">
        <v>-4.0866666666700141E-4</v>
      </c>
      <c r="AP6" s="28">
        <v>0</v>
      </c>
      <c r="AQ6" s="28">
        <v>6.9388939039072284E-18</v>
      </c>
      <c r="AR6" s="28">
        <v>1.199999999999812E-5</v>
      </c>
      <c r="AS6" s="28">
        <v>0</v>
      </c>
      <c r="AT6" s="28">
        <v>-6.266666666693288E-5</v>
      </c>
      <c r="AU6" s="28">
        <v>1.3799999999999921E-4</v>
      </c>
      <c r="AV6" s="28">
        <v>0.280528</v>
      </c>
      <c r="AW6" s="28">
        <v>6.0845724637681089E-3</v>
      </c>
      <c r="AX6" s="34">
        <v>0.27989033333333302</v>
      </c>
    </row>
    <row r="7" spans="1:50" x14ac:dyDescent="0.25">
      <c r="A7" s="24">
        <v>6</v>
      </c>
      <c r="B7" s="26">
        <v>2.5</v>
      </c>
      <c r="C7" s="28">
        <v>-3.5933333333298961E-4</v>
      </c>
      <c r="D7" s="28">
        <v>0</v>
      </c>
      <c r="E7" s="28">
        <v>2.0599999999999791E-4</v>
      </c>
      <c r="F7" s="28">
        <v>-2.7999999999997471E-4</v>
      </c>
      <c r="G7" s="28">
        <v>0</v>
      </c>
      <c r="H7" s="28">
        <v>1.3833333333339301E-4</v>
      </c>
      <c r="I7" s="28">
        <v>8.9333333332997089E-5</v>
      </c>
      <c r="J7" s="28">
        <v>-2.3200000000001E-4</v>
      </c>
      <c r="K7" s="28">
        <v>0</v>
      </c>
      <c r="L7" s="28">
        <v>-2.226666666670096E-4</v>
      </c>
      <c r="M7" s="28">
        <v>-5.6000000000000487E-5</v>
      </c>
      <c r="N7" s="28">
        <v>3.7466666666699511E-4</v>
      </c>
      <c r="O7" s="28">
        <v>0</v>
      </c>
      <c r="P7" s="28">
        <v>-2.8266666666698642E-4</v>
      </c>
      <c r="Q7" s="28">
        <v>0</v>
      </c>
      <c r="R7" s="28">
        <v>-3.3166666666697991E-4</v>
      </c>
      <c r="S7" s="28">
        <v>1.986666666669856E-4</v>
      </c>
      <c r="T7" s="28">
        <v>-3.1833333333330938E-4</v>
      </c>
      <c r="U7" s="28">
        <v>6.5666666667019147E-5</v>
      </c>
      <c r="V7" s="28">
        <v>4.3000000000004151E-4</v>
      </c>
      <c r="W7" s="28">
        <v>2.35000000000013E-4</v>
      </c>
      <c r="X7" s="28">
        <v>1.5333333333300561E-4</v>
      </c>
      <c r="Y7" s="28">
        <v>0</v>
      </c>
      <c r="Z7" s="28">
        <v>-1.9100000000001061E-4</v>
      </c>
      <c r="AA7" s="28">
        <v>-3.599999999999437E-5</v>
      </c>
      <c r="AB7" s="28">
        <v>-3.1000000000100392E-5</v>
      </c>
      <c r="AC7" s="28">
        <v>1.0000000000009999E-5</v>
      </c>
      <c r="AD7" s="28">
        <v>3.4800000000001502E-4</v>
      </c>
      <c r="AE7" s="28">
        <v>-3.4694469519536142E-18</v>
      </c>
      <c r="AF7" s="28">
        <v>0</v>
      </c>
      <c r="AG7" s="28">
        <v>2.30000000000008E-4</v>
      </c>
      <c r="AH7" s="28">
        <v>5.8999999999975739E-5</v>
      </c>
      <c r="AI7" s="28">
        <v>6.6666666700965216E-7</v>
      </c>
      <c r="AJ7" s="28">
        <v>-4.45000000000001E-4</v>
      </c>
      <c r="AK7" s="28">
        <v>-4.5333333333297249E-4</v>
      </c>
      <c r="AL7" s="28">
        <v>2.6266666666702188E-4</v>
      </c>
      <c r="AM7" s="28">
        <v>-3.6833333333299861E-4</v>
      </c>
      <c r="AN7" s="28">
        <v>-2.406666666669999E-4</v>
      </c>
      <c r="AO7" s="28">
        <v>-6.9388939039072284E-18</v>
      </c>
      <c r="AP7" s="28">
        <v>4.0166666666702211E-4</v>
      </c>
      <c r="AQ7" s="28">
        <v>-3.7599999999998751E-4</v>
      </c>
      <c r="AR7" s="28">
        <v>0</v>
      </c>
      <c r="AS7" s="28">
        <v>0</v>
      </c>
      <c r="AT7" s="28">
        <v>2.179999999998988E-4</v>
      </c>
      <c r="AU7" s="28">
        <v>-3.9800000000000951E-4</v>
      </c>
      <c r="AV7" s="28">
        <v>6.4526E-2</v>
      </c>
      <c r="AW7" s="28">
        <v>1.376630434782632E-3</v>
      </c>
      <c r="AX7" s="34">
        <v>6.3325000000001061E-2</v>
      </c>
    </row>
    <row r="8" spans="1:50" x14ac:dyDescent="0.25">
      <c r="A8" s="24">
        <v>7</v>
      </c>
      <c r="B8" s="26">
        <v>3</v>
      </c>
      <c r="C8" s="28">
        <v>2.8799999999999659E-4</v>
      </c>
      <c r="D8" s="28">
        <v>2.190000000000247E-4</v>
      </c>
      <c r="E8" s="28">
        <v>2.7466666666670081E-4</v>
      </c>
      <c r="F8" s="28">
        <v>0</v>
      </c>
      <c r="G8" s="28">
        <v>0</v>
      </c>
      <c r="H8" s="28">
        <v>4.8033333333299949E-4</v>
      </c>
      <c r="I8" s="28">
        <v>4.4000000000002371E-5</v>
      </c>
      <c r="J8" s="28">
        <v>-1.933333333330178E-4</v>
      </c>
      <c r="K8" s="28">
        <v>-4.8999999999993493E-5</v>
      </c>
      <c r="L8" s="28">
        <v>-4.210000000000047E-4</v>
      </c>
      <c r="M8" s="28">
        <v>-7.4666666666695081E-5</v>
      </c>
      <c r="N8" s="28">
        <v>4.679999999999962E-4</v>
      </c>
      <c r="O8" s="28">
        <v>-3.4333333332997602E-5</v>
      </c>
      <c r="P8" s="28">
        <v>3.386666666667093E-4</v>
      </c>
      <c r="Q8" s="28">
        <v>0</v>
      </c>
      <c r="R8" s="28">
        <v>1.666666666698402E-5</v>
      </c>
      <c r="S8" s="28">
        <v>-2.5733333333330388E-4</v>
      </c>
      <c r="T8" s="28">
        <v>1.15000000000004E-4</v>
      </c>
      <c r="U8" s="28">
        <v>0</v>
      </c>
      <c r="V8" s="28">
        <v>-7.6666666670166528E-6</v>
      </c>
      <c r="W8" s="28">
        <v>-4.2366666666669722E-4</v>
      </c>
      <c r="X8" s="28">
        <v>3.3999999999999309E-4</v>
      </c>
      <c r="Y8" s="28">
        <v>4.9899999999999944E-4</v>
      </c>
      <c r="Z8" s="28">
        <v>0</v>
      </c>
      <c r="AA8" s="28">
        <v>1.976666666669846E-4</v>
      </c>
      <c r="AB8" s="28">
        <v>0</v>
      </c>
      <c r="AC8" s="28">
        <v>2.0799999999990271E-4</v>
      </c>
      <c r="AD8" s="28">
        <v>0</v>
      </c>
      <c r="AE8" s="28">
        <v>9.5999999999984986E-5</v>
      </c>
      <c r="AF8" s="28">
        <v>3.1666666666699261E-4</v>
      </c>
      <c r="AG8" s="28">
        <v>1.5866666666700111E-4</v>
      </c>
      <c r="AH8" s="28">
        <v>9.9999999999988987E-5</v>
      </c>
      <c r="AI8" s="28">
        <v>-3.4400000000001102E-4</v>
      </c>
      <c r="AJ8" s="28">
        <v>-4.8166666666660252E-4</v>
      </c>
      <c r="AK8" s="28">
        <v>6.0832000000000053E-2</v>
      </c>
      <c r="AL8" s="28">
        <v>-2.286666666670156E-4</v>
      </c>
      <c r="AM8" s="28">
        <v>1.196666666669899E-4</v>
      </c>
      <c r="AN8" s="28">
        <v>4.4666666666692827E-5</v>
      </c>
      <c r="AO8" s="28">
        <v>-4.0866666666700141E-4</v>
      </c>
      <c r="AP8" s="28">
        <v>-3.8666666666700711E-5</v>
      </c>
      <c r="AQ8" s="28">
        <v>4.8399999999999832E-4</v>
      </c>
      <c r="AR8" s="28">
        <v>-3.0533333333299112E-4</v>
      </c>
      <c r="AS8" s="28">
        <v>4.6300000000001901E-4</v>
      </c>
      <c r="AT8" s="28">
        <v>0</v>
      </c>
      <c r="AU8" s="28">
        <v>7.6666666667002392E-5</v>
      </c>
      <c r="AV8" s="28">
        <v>0.16500400000000001</v>
      </c>
      <c r="AW8" s="28">
        <v>4.9547028985507608E-3</v>
      </c>
      <c r="AX8" s="34">
        <v>0.227916333333335</v>
      </c>
    </row>
    <row r="9" spans="1:50" x14ac:dyDescent="0.25">
      <c r="A9" s="24">
        <v>8</v>
      </c>
      <c r="B9" s="26">
        <v>3.5</v>
      </c>
      <c r="C9" s="28">
        <v>-1.1003636666631619E-4</v>
      </c>
      <c r="D9" s="28">
        <v>-1.3493593333299689E-4</v>
      </c>
      <c r="E9" s="28">
        <v>-2.048034666666809E-4</v>
      </c>
      <c r="F9" s="28">
        <v>-4.0647013333366949E-4</v>
      </c>
      <c r="G9" s="28">
        <v>4.1939740000000031E-4</v>
      </c>
      <c r="H9" s="28">
        <v>-4.4080346666666709E-4</v>
      </c>
      <c r="I9" s="28">
        <v>-3.3547013333365411E-4</v>
      </c>
      <c r="J9" s="28">
        <v>-1.5050216666666341E-4</v>
      </c>
      <c r="K9" s="28">
        <v>-2.8883549999995928E-4</v>
      </c>
      <c r="L9" s="28">
        <v>4.76196533333334E-4</v>
      </c>
      <c r="M9" s="28">
        <v>8.3397399999990407E-5</v>
      </c>
      <c r="N9" s="28">
        <v>-1.638034666666677E-4</v>
      </c>
      <c r="O9" s="28">
        <v>-4.2763463333300722E-4</v>
      </c>
      <c r="P9" s="28">
        <v>-7.2401733333310458E-5</v>
      </c>
      <c r="Q9" s="28">
        <v>-4.4080346666667408E-4</v>
      </c>
      <c r="R9" s="28">
        <v>-1.550216666670878E-5</v>
      </c>
      <c r="S9" s="28">
        <v>1.363653666670295E-4</v>
      </c>
      <c r="T9" s="28">
        <v>-4.4080346666666709E-4</v>
      </c>
      <c r="U9" s="28">
        <v>-3.1213679999966831E-4</v>
      </c>
      <c r="V9" s="28">
        <v>4.9449783333330166E-4</v>
      </c>
      <c r="W9" s="28">
        <v>-1.0703033333329949E-5</v>
      </c>
      <c r="X9" s="28">
        <v>3.9616450000003189E-4</v>
      </c>
      <c r="Y9" s="28">
        <v>1.6886320000031321E-4</v>
      </c>
      <c r="Z9" s="28">
        <v>-3.7596883333365638E-4</v>
      </c>
      <c r="AA9" s="28">
        <v>-4.9470303333332133E-4</v>
      </c>
      <c r="AB9" s="28">
        <v>-3.9216883333270669E-4</v>
      </c>
      <c r="AC9" s="28">
        <v>-4.4080346666666709E-4</v>
      </c>
      <c r="AD9" s="28">
        <v>2.1559826666667231E-4</v>
      </c>
      <c r="AE9" s="28">
        <v>-1.505021666666703E-4</v>
      </c>
      <c r="AF9" s="28">
        <v>-4.4080346666667408E-4</v>
      </c>
      <c r="AG9" s="28">
        <v>-1.8480346666666089E-4</v>
      </c>
      <c r="AH9" s="28">
        <v>-1.0703033333329949E-5</v>
      </c>
      <c r="AI9" s="28">
        <v>-2.963463333297001E-5</v>
      </c>
      <c r="AJ9" s="28">
        <v>4.1939739999999679E-4</v>
      </c>
      <c r="AK9" s="28">
        <v>0.41221526493333371</v>
      </c>
      <c r="AL9" s="28">
        <v>2.1093159999968641E-4</v>
      </c>
      <c r="AM9" s="28">
        <v>3.6252986666672482E-4</v>
      </c>
      <c r="AN9" s="28">
        <v>2.7386320000033487E-4</v>
      </c>
      <c r="AO9" s="28">
        <v>-2.9030129999999682E-4</v>
      </c>
      <c r="AP9" s="28">
        <v>2.9969869999998949E-4</v>
      </c>
      <c r="AQ9" s="28">
        <v>-4.4080346666666709E-4</v>
      </c>
      <c r="AR9" s="28">
        <v>-3.8080346666666259E-4</v>
      </c>
      <c r="AS9" s="28">
        <v>3.2619653333332282E-4</v>
      </c>
      <c r="AT9" s="28">
        <v>3.1549783333331688E-4</v>
      </c>
      <c r="AU9" s="28">
        <v>-4.4080346666666709E-4</v>
      </c>
      <c r="AV9" s="28">
        <v>0.27616719653333338</v>
      </c>
      <c r="AW9" s="28">
        <v>1.4890274098550781E-2</v>
      </c>
      <c r="AX9" s="34">
        <v>0.68495260853333573</v>
      </c>
    </row>
    <row r="10" spans="1:50" x14ac:dyDescent="0.25">
      <c r="A10" s="24">
        <v>9</v>
      </c>
      <c r="B10" s="26">
        <v>4</v>
      </c>
      <c r="C10" s="28">
        <v>4.9631903333342831E-4</v>
      </c>
      <c r="D10" s="28">
        <v>4.9513060000008768E-4</v>
      </c>
      <c r="E10" s="28">
        <v>-5.3333331993918494E-9</v>
      </c>
      <c r="F10" s="28">
        <v>-2.5482586666619728E-4</v>
      </c>
      <c r="G10" s="28">
        <v>-3.0086939999990348E-4</v>
      </c>
      <c r="H10" s="28">
        <v>2.6550746666680232E-4</v>
      </c>
      <c r="I10" s="28">
        <v>-8.7492533333205502E-5</v>
      </c>
      <c r="J10" s="28">
        <v>-3.5472450000023642E-4</v>
      </c>
      <c r="K10" s="28">
        <v>-8.4057833333251591E-5</v>
      </c>
      <c r="L10" s="28">
        <v>-4.5615920000020849E-4</v>
      </c>
      <c r="M10" s="28">
        <v>-3.0086939999990348E-4</v>
      </c>
      <c r="N10" s="28">
        <v>2.9917413333349798E-4</v>
      </c>
      <c r="O10" s="28">
        <v>3.4956530000004871E-4</v>
      </c>
      <c r="P10" s="28">
        <v>-3.2579599999901787E-5</v>
      </c>
      <c r="Q10" s="28">
        <v>2.6550746666679538E-4</v>
      </c>
      <c r="R10" s="28">
        <v>-3.5905783333324559E-4</v>
      </c>
      <c r="S10" s="28">
        <v>3.4956530000005559E-4</v>
      </c>
      <c r="T10" s="28">
        <v>-4.4182586666620388E-4</v>
      </c>
      <c r="U10" s="28">
        <v>2.6550746666680058E-4</v>
      </c>
      <c r="V10" s="28">
        <v>-3.3572450000024512E-4</v>
      </c>
      <c r="W10" s="28">
        <v>4.7031903333343011E-4</v>
      </c>
      <c r="X10" s="28">
        <v>-3.1072450000024793E-4</v>
      </c>
      <c r="Y10" s="28">
        <v>2.6550746666679619E-4</v>
      </c>
      <c r="Z10" s="28">
        <v>6.2608833333699376E-5</v>
      </c>
      <c r="AA10" s="28">
        <v>-2.3534763333354911E-4</v>
      </c>
      <c r="AB10" s="28">
        <v>-1.150578333333485E-4</v>
      </c>
      <c r="AC10" s="28">
        <v>4.8350746666681038E-4</v>
      </c>
      <c r="AD10" s="28">
        <v>1.3275373333340029E-4</v>
      </c>
      <c r="AE10" s="28">
        <v>-4.6005783333326328E-4</v>
      </c>
      <c r="AF10" s="28">
        <v>-9.2825866666187973E-5</v>
      </c>
      <c r="AG10" s="28">
        <v>-3.8949253333318829E-4</v>
      </c>
      <c r="AH10" s="28">
        <v>-3.9734763333357242E-4</v>
      </c>
      <c r="AI10" s="28">
        <v>-3.1043469999994522E-4</v>
      </c>
      <c r="AJ10" s="28">
        <v>-3.0086939999990348E-4</v>
      </c>
      <c r="AK10" s="28">
        <v>9.8049753733333397E-2</v>
      </c>
      <c r="AL10" s="28">
        <v>-5.9912933333600149E-5</v>
      </c>
      <c r="AM10" s="28">
        <v>4.9550746666679468E-4</v>
      </c>
      <c r="AN10" s="28">
        <v>3.5484080000019839E-4</v>
      </c>
      <c r="AO10" s="28">
        <v>3.4956530000004518E-4</v>
      </c>
      <c r="AP10" s="28">
        <v>-8.3768033332931591E-5</v>
      </c>
      <c r="AQ10" s="28">
        <v>3.735074666668114E-4</v>
      </c>
      <c r="AR10" s="28">
        <v>-6.3825866666500711E-5</v>
      </c>
      <c r="AS10" s="28">
        <v>2.6550746666679538E-4</v>
      </c>
      <c r="AT10" s="28">
        <v>-3.9405783333322508E-4</v>
      </c>
      <c r="AU10" s="28">
        <v>2.6550746666679798E-4</v>
      </c>
      <c r="AV10" s="28">
        <v>7.2655074666667999E-3</v>
      </c>
      <c r="AW10" s="28">
        <v>2.2912773043479162E-3</v>
      </c>
      <c r="AX10" s="34">
        <v>0.1053987560000041</v>
      </c>
    </row>
    <row r="11" spans="1:50" x14ac:dyDescent="0.25">
      <c r="A11" s="24">
        <v>10</v>
      </c>
      <c r="B11" s="26">
        <v>4.5</v>
      </c>
      <c r="C11" s="28">
        <v>-4.2352921666698179E-4</v>
      </c>
      <c r="D11" s="28">
        <v>-4.5283456666657401E-4</v>
      </c>
      <c r="E11" s="28">
        <v>4.2644279999998203E-4</v>
      </c>
      <c r="F11" s="28">
        <v>2.7977613333299289E-4</v>
      </c>
      <c r="G11" s="28">
        <v>-4.3016789999998639E-4</v>
      </c>
      <c r="H11" s="28">
        <v>4.2644279999998203E-4</v>
      </c>
      <c r="I11" s="28">
        <v>4.2644280000000978E-4</v>
      </c>
      <c r="J11" s="28">
        <v>4.868600833329885E-4</v>
      </c>
      <c r="K11" s="28">
        <v>4.5419341666698421E-4</v>
      </c>
      <c r="L11" s="28">
        <v>3.6144280000000029E-4</v>
      </c>
      <c r="M11" s="28">
        <v>-3.2883456666700511E-4</v>
      </c>
      <c r="N11" s="28">
        <v>1.5977613333299781E-4</v>
      </c>
      <c r="O11" s="28">
        <v>3.9324938333300252E-4</v>
      </c>
      <c r="P11" s="28">
        <v>3.9055473333299631E-4</v>
      </c>
      <c r="Q11" s="28">
        <v>4.2644280000000978E-4</v>
      </c>
      <c r="R11" s="28">
        <v>1.068600833330005E-4</v>
      </c>
      <c r="S11" s="28">
        <v>-4.5750616665979349E-5</v>
      </c>
      <c r="T11" s="28">
        <v>1.077761333330013E-4</v>
      </c>
      <c r="U11" s="28">
        <v>1.7977613333298309E-4</v>
      </c>
      <c r="V11" s="28">
        <v>4.6086008333298678E-4</v>
      </c>
      <c r="W11" s="28">
        <v>3.2147078333299989E-4</v>
      </c>
      <c r="X11" s="28">
        <v>-3.5847325000001867E-4</v>
      </c>
      <c r="Y11" s="28">
        <v>2.5944279999998149E-4</v>
      </c>
      <c r="Z11" s="28">
        <v>3.0352675000000501E-4</v>
      </c>
      <c r="AA11" s="28">
        <v>4.9813745000001908E-4</v>
      </c>
      <c r="AB11" s="28">
        <v>-3.584732500000049E-4</v>
      </c>
      <c r="AC11" s="28">
        <v>4.2644279999998203E-4</v>
      </c>
      <c r="AD11" s="28">
        <v>-2.8677859999999561E-4</v>
      </c>
      <c r="AE11" s="28">
        <v>1.135267499999815E-4</v>
      </c>
      <c r="AF11" s="28">
        <v>1.014428000000039E-4</v>
      </c>
      <c r="AG11" s="28">
        <v>4.961094666669991E-4</v>
      </c>
      <c r="AH11" s="28">
        <v>-3.5152921666699999E-4</v>
      </c>
      <c r="AI11" s="28">
        <v>-2.150839499999932E-4</v>
      </c>
      <c r="AJ11" s="28">
        <v>-3.5683456666698801E-4</v>
      </c>
      <c r="AK11" s="28">
        <v>-2.8677860000000249E-4</v>
      </c>
      <c r="AL11" s="28">
        <v>-4.1111193333300678E-4</v>
      </c>
      <c r="AM11" s="28">
        <v>1.4444280000000531E-4</v>
      </c>
      <c r="AN11" s="28">
        <v>-4.4689053333298728E-4</v>
      </c>
      <c r="AO11" s="28">
        <v>1.259160500000078E-4</v>
      </c>
      <c r="AP11" s="28">
        <v>-2.417283332993569E-6</v>
      </c>
      <c r="AQ11" s="28">
        <v>4.2644280000000978E-4</v>
      </c>
      <c r="AR11" s="28">
        <v>-4.8955720000001118E-4</v>
      </c>
      <c r="AS11" s="28">
        <v>4.2644280000000978E-4</v>
      </c>
      <c r="AT11" s="28">
        <v>-3.1473250000010888E-5</v>
      </c>
      <c r="AU11" s="28">
        <v>1.0510946666701659E-4</v>
      </c>
      <c r="AV11" s="28">
        <v>0.15503844280000001</v>
      </c>
      <c r="AW11" s="28">
        <v>3.447766828985465E-3</v>
      </c>
      <c r="AX11" s="34">
        <v>0.15859727413333141</v>
      </c>
    </row>
    <row r="12" spans="1:50" x14ac:dyDescent="0.25">
      <c r="A12" s="24">
        <v>11</v>
      </c>
      <c r="B12" s="26">
        <v>5</v>
      </c>
      <c r="C12" s="28">
        <v>1.6358109999853321E-4</v>
      </c>
      <c r="D12" s="28">
        <v>1.934504666659814E-4</v>
      </c>
      <c r="E12" s="28">
        <v>-1.342882666680589E-4</v>
      </c>
      <c r="F12" s="28">
        <v>-3.402882666680429E-4</v>
      </c>
      <c r="G12" s="28">
        <v>-5.2162000009903231E-6</v>
      </c>
      <c r="H12" s="28">
        <v>-3.5928826666797859E-4</v>
      </c>
      <c r="I12" s="28">
        <v>3.7771173333198132E-4</v>
      </c>
      <c r="J12" s="28">
        <v>-3.3768016666749218E-4</v>
      </c>
      <c r="K12" s="28">
        <v>-3.3768016666751999E-4</v>
      </c>
      <c r="L12" s="28">
        <v>4.3704506666497611E-4</v>
      </c>
      <c r="M12" s="28">
        <v>-1.1721620000104679E-4</v>
      </c>
      <c r="N12" s="28">
        <v>3.0104506666500658E-4</v>
      </c>
      <c r="O12" s="28">
        <v>9.4791899999493653E-5</v>
      </c>
      <c r="P12" s="28">
        <v>-3.0014413333399881E-4</v>
      </c>
      <c r="Q12" s="28">
        <v>-3.4028826666798739E-4</v>
      </c>
      <c r="R12" s="28">
        <v>5.5319833332491408E-5</v>
      </c>
      <c r="S12" s="28">
        <v>-2.6081000005090389E-6</v>
      </c>
      <c r="T12" s="28">
        <v>1.6771173333202111E-4</v>
      </c>
      <c r="U12" s="28">
        <v>3.5045066665406743E-5</v>
      </c>
      <c r="V12" s="28">
        <v>-9.1013500000514114E-5</v>
      </c>
      <c r="W12" s="28">
        <v>3.2724776666548378E-4</v>
      </c>
      <c r="X12" s="28">
        <v>-3.3768016666751999E-4</v>
      </c>
      <c r="Y12" s="28">
        <v>-6.4621600000980273E-5</v>
      </c>
      <c r="Z12" s="28">
        <v>-4.0534683333451338E-4</v>
      </c>
      <c r="AA12" s="28">
        <v>2.9124776666550328E-4</v>
      </c>
      <c r="AB12" s="28">
        <v>-4.968016666749564E-5</v>
      </c>
      <c r="AC12" s="28">
        <v>-3.402882666680429E-4</v>
      </c>
      <c r="AD12" s="28">
        <v>1.4985586666599329E-4</v>
      </c>
      <c r="AE12" s="28">
        <v>-3.3768016666746448E-4</v>
      </c>
      <c r="AF12" s="28">
        <v>-3.402882666680429E-4</v>
      </c>
      <c r="AG12" s="28">
        <v>2.4371173333204149E-4</v>
      </c>
      <c r="AH12" s="28">
        <v>-1.1075223333451011E-4</v>
      </c>
      <c r="AI12" s="28">
        <v>3.2572523333247901E-4</v>
      </c>
      <c r="AJ12" s="28">
        <v>-5.2162000009903231E-6</v>
      </c>
      <c r="AK12" s="28">
        <v>-3.1747746666700721E-4</v>
      </c>
      <c r="AL12" s="28">
        <v>-1.7914413333398879E-4</v>
      </c>
      <c r="AM12" s="28">
        <v>-3.5595493333462352E-4</v>
      </c>
      <c r="AN12" s="28">
        <v>3.971173333201794E-5</v>
      </c>
      <c r="AO12" s="28">
        <v>2.4772523333249988E-4</v>
      </c>
      <c r="AP12" s="28">
        <v>-8.460810000050778E-5</v>
      </c>
      <c r="AQ12" s="28">
        <v>-3.402882666680429E-4</v>
      </c>
      <c r="AR12" s="28">
        <v>-3.4028826666798739E-4</v>
      </c>
      <c r="AS12" s="28">
        <v>-1.102882666680349E-4</v>
      </c>
      <c r="AT12" s="28">
        <v>-2.368016666749739E-5</v>
      </c>
      <c r="AU12" s="28">
        <v>-3.4028826666798739E-4</v>
      </c>
      <c r="AV12" s="28">
        <v>-3.4028826666798739E-4</v>
      </c>
      <c r="AW12" s="28">
        <v>-7.2579223189466377E-5</v>
      </c>
      <c r="AX12" s="34">
        <v>-3.338644266715454E-3</v>
      </c>
    </row>
    <row r="13" spans="1:50" x14ac:dyDescent="0.25">
      <c r="A13" s="24">
        <v>12</v>
      </c>
      <c r="B13" s="26">
        <v>5.5</v>
      </c>
      <c r="C13" s="28">
        <v>-3.7172946666552692E-4</v>
      </c>
      <c r="D13" s="28">
        <v>7.2517600001043014E-5</v>
      </c>
      <c r="E13" s="28">
        <v>4.4669013333509261E-4</v>
      </c>
      <c r="F13" s="28">
        <v>6.7356800001028283E-5</v>
      </c>
      <c r="G13" s="28">
        <v>-3.9348239999892343E-4</v>
      </c>
      <c r="H13" s="28">
        <v>-2.2030986666499161E-4</v>
      </c>
      <c r="I13" s="28">
        <v>1.7635680000116499E-4</v>
      </c>
      <c r="J13" s="28">
        <v>3.1943133333423018E-4</v>
      </c>
      <c r="K13" s="28">
        <v>-1.6556866666544989E-4</v>
      </c>
      <c r="L13" s="28">
        <v>1.080234666680502E-4</v>
      </c>
      <c r="M13" s="28">
        <v>-3.9348239999892343E-4</v>
      </c>
      <c r="N13" s="28">
        <v>-2.3864319999900019E-4</v>
      </c>
      <c r="O13" s="28">
        <v>-8.7741199999463726E-5</v>
      </c>
      <c r="P13" s="28">
        <v>3.254506666699325E-5</v>
      </c>
      <c r="Q13" s="28">
        <v>1.420234666680287E-4</v>
      </c>
      <c r="R13" s="28">
        <v>3.387646666675459E-4</v>
      </c>
      <c r="S13" s="28">
        <v>-1.967411999994895E-4</v>
      </c>
      <c r="T13" s="28">
        <v>9.435680000102753E-5</v>
      </c>
      <c r="U13" s="28">
        <v>-4.826431999986891E-4</v>
      </c>
      <c r="V13" s="28">
        <v>-3.4568666665790733E-5</v>
      </c>
      <c r="W13" s="28">
        <v>-5.5396133332497037E-5</v>
      </c>
      <c r="X13" s="28">
        <v>-7.7901999999491212E-5</v>
      </c>
      <c r="Y13" s="28">
        <v>1.420234666681397E-4</v>
      </c>
      <c r="Z13" s="28">
        <v>-7.4901999999460456E-5</v>
      </c>
      <c r="AA13" s="28">
        <v>-1.4372946666552089E-4</v>
      </c>
      <c r="AB13" s="28">
        <v>2.3339800000082839E-4</v>
      </c>
      <c r="AC13" s="28">
        <v>1.420234666681397E-4</v>
      </c>
      <c r="AD13" s="28">
        <v>1.870117333340193E-4</v>
      </c>
      <c r="AE13" s="28">
        <v>-3.0123533333248348E-4</v>
      </c>
      <c r="AF13" s="28">
        <v>-2.4964319999887241E-4</v>
      </c>
      <c r="AG13" s="28">
        <v>1.5435680000108751E-4</v>
      </c>
      <c r="AH13" s="28">
        <v>3.1493720000147501E-4</v>
      </c>
      <c r="AI13" s="28">
        <v>8.3592133333504348E-5</v>
      </c>
      <c r="AJ13" s="28">
        <v>1.2485093333447489E-4</v>
      </c>
      <c r="AK13" s="28">
        <v>7.1011733334014338E-5</v>
      </c>
      <c r="AL13" s="28">
        <v>-7.5654933332974794E-5</v>
      </c>
      <c r="AM13" s="28">
        <v>-1.2430986666500671E-4</v>
      </c>
      <c r="AN13" s="28">
        <v>-2.2597653333199241E-4</v>
      </c>
      <c r="AO13" s="28">
        <v>-1.967411999995172E-4</v>
      </c>
      <c r="AP13" s="28">
        <v>4.1759213333354001E-4</v>
      </c>
      <c r="AQ13" s="28">
        <v>2.5002346666802572E-4</v>
      </c>
      <c r="AR13" s="28">
        <v>-1.393098666649939E-4</v>
      </c>
      <c r="AS13" s="28">
        <v>1.8002346666801119E-4</v>
      </c>
      <c r="AT13" s="28">
        <v>-1.462353333324673E-4</v>
      </c>
      <c r="AU13" s="28">
        <v>1.420234666681397E-4</v>
      </c>
      <c r="AV13" s="28">
        <v>-1.759765333319008E-4</v>
      </c>
      <c r="AW13" s="28">
        <v>-7.1954028975178806E-6</v>
      </c>
      <c r="AX13" s="34">
        <v>-3.3098853328582262E-4</v>
      </c>
    </row>
    <row r="14" spans="1:50" x14ac:dyDescent="0.25">
      <c r="A14" s="24">
        <v>13</v>
      </c>
      <c r="B14" s="26">
        <v>6</v>
      </c>
      <c r="C14" s="28">
        <v>2.4589808333241869E-4</v>
      </c>
      <c r="D14" s="28">
        <v>3.9305549999890671E-4</v>
      </c>
      <c r="E14" s="28">
        <v>8.1407333331950937E-5</v>
      </c>
      <c r="F14" s="28">
        <v>-8.55926666680773E-5</v>
      </c>
      <c r="G14" s="28">
        <v>6.1055499998907692E-5</v>
      </c>
      <c r="H14" s="28">
        <v>8.1407333331728893E-5</v>
      </c>
      <c r="I14" s="28">
        <v>-3.7859266666817598E-4</v>
      </c>
      <c r="J14" s="28">
        <v>-3.5512041666757588E-4</v>
      </c>
      <c r="K14" s="28">
        <v>3.6787958333250881E-4</v>
      </c>
      <c r="L14" s="28">
        <v>-4.9459266666807E-4</v>
      </c>
      <c r="M14" s="28">
        <v>-3.4961116666809572E-4</v>
      </c>
      <c r="N14" s="28">
        <v>-4.3092600000105291E-4</v>
      </c>
      <c r="O14" s="28">
        <v>-2.9213891666762798E-4</v>
      </c>
      <c r="P14" s="28">
        <v>4.6417033333262531E-4</v>
      </c>
      <c r="Q14" s="28">
        <v>8.1407333331839915E-5</v>
      </c>
      <c r="R14" s="28">
        <v>5.0879583332497091E-5</v>
      </c>
      <c r="S14" s="28">
        <v>1.005277499993851E-4</v>
      </c>
      <c r="T14" s="28">
        <v>3.5774066666494081E-4</v>
      </c>
      <c r="U14" s="28">
        <v>-1.652593333349994E-4</v>
      </c>
      <c r="V14" s="28">
        <v>2.0287958333253811E-4</v>
      </c>
      <c r="W14" s="28">
        <v>-1.8776858333457991E-4</v>
      </c>
      <c r="X14" s="28">
        <v>4.0287958333246049E-4</v>
      </c>
      <c r="Y14" s="28">
        <v>-8.55926666680773E-5</v>
      </c>
      <c r="Z14" s="28">
        <v>-9.5120416667537899E-5</v>
      </c>
      <c r="AA14" s="28">
        <v>-3.1010191666758219E-4</v>
      </c>
      <c r="AB14" s="28">
        <v>1.8104624999903951E-4</v>
      </c>
      <c r="AC14" s="28">
        <v>4.9240733333200115E-4</v>
      </c>
      <c r="AD14" s="28">
        <v>4.0703666665919958E-5</v>
      </c>
      <c r="AE14" s="28">
        <v>-2.1312041666743389E-4</v>
      </c>
      <c r="AF14" s="28">
        <v>-2.1025933333473909E-4</v>
      </c>
      <c r="AG14" s="28">
        <v>-1.002593333347956E-4</v>
      </c>
      <c r="AH14" s="28">
        <v>4.6323141666537731E-4</v>
      </c>
      <c r="AI14" s="28">
        <v>2.7852774999939661E-4</v>
      </c>
      <c r="AJ14" s="28">
        <v>-3.8394450000112101E-4</v>
      </c>
      <c r="AK14" s="28">
        <v>4.0703666665919958E-5</v>
      </c>
      <c r="AL14" s="28">
        <v>2.0603699999893749E-4</v>
      </c>
      <c r="AM14" s="28">
        <v>2.6474066666493101E-4</v>
      </c>
      <c r="AN14" s="28">
        <v>1.480739999989433E-4</v>
      </c>
      <c r="AO14" s="28">
        <v>-3.7813891666760302E-4</v>
      </c>
      <c r="AP14" s="28">
        <v>-1.3480558333389681E-4</v>
      </c>
      <c r="AQ14" s="28">
        <v>8.1407333331950937E-5</v>
      </c>
      <c r="AR14" s="28">
        <v>1.174073333318759E-4</v>
      </c>
      <c r="AS14" s="28">
        <v>2.714073333318634E-4</v>
      </c>
      <c r="AT14" s="28">
        <v>5.0879583332497091E-5</v>
      </c>
      <c r="AU14" s="28">
        <v>-2.4525933333496841E-4</v>
      </c>
      <c r="AV14" s="28">
        <v>4.7740733333190288E-4</v>
      </c>
      <c r="AW14" s="28">
        <v>2.4107913042331619E-5</v>
      </c>
      <c r="AX14" s="34">
        <v>1.108963999947254E-3</v>
      </c>
    </row>
    <row r="15" spans="1:50" x14ac:dyDescent="0.25">
      <c r="A15" s="24">
        <v>14</v>
      </c>
      <c r="B15" s="26">
        <v>6.5</v>
      </c>
      <c r="C15" s="28">
        <v>-2.6258843333182291E-4</v>
      </c>
      <c r="D15" s="28">
        <v>2.6790866667902868E-5</v>
      </c>
      <c r="E15" s="28">
        <v>-2.3050106666500089E-4</v>
      </c>
      <c r="F15" s="28">
        <v>1.183226666778836E-5</v>
      </c>
      <c r="G15" s="28">
        <v>2.6412420000099251E-4</v>
      </c>
      <c r="H15" s="28">
        <v>-1.925010666650184E-4</v>
      </c>
      <c r="I15" s="28">
        <v>-2.218343999988992E-4</v>
      </c>
      <c r="J15" s="28">
        <v>4.1177016666749111E-4</v>
      </c>
      <c r="K15" s="28">
        <v>4.1177016666760208E-4</v>
      </c>
      <c r="L15" s="28">
        <v>-3.878343999990097E-4</v>
      </c>
      <c r="M15" s="28">
        <v>-3.0587579999896702E-4</v>
      </c>
      <c r="N15" s="28">
        <v>-3.0350106666499071E-4</v>
      </c>
      <c r="O15" s="28">
        <v>-1.52937899999539E-4</v>
      </c>
      <c r="P15" s="28">
        <v>-3.1645053333301249E-4</v>
      </c>
      <c r="Q15" s="28">
        <v>2.5883226666811859E-4</v>
      </c>
      <c r="R15" s="28">
        <v>4.1177016666760208E-4</v>
      </c>
      <c r="S15" s="28">
        <v>2.257287666704855E-4</v>
      </c>
      <c r="T15" s="28">
        <v>2.588322666678966E-4</v>
      </c>
      <c r="U15" s="28">
        <v>-2.9783439999864209E-4</v>
      </c>
      <c r="V15" s="28">
        <v>-4.2256316666555721E-4</v>
      </c>
      <c r="W15" s="28">
        <v>-2.3521766665091089E-5</v>
      </c>
      <c r="X15" s="28">
        <v>2.9043683333451748E-4</v>
      </c>
      <c r="Y15" s="28">
        <v>-4.6550106666498609E-4</v>
      </c>
      <c r="Z15" s="28">
        <v>4.6043683333452101E-4</v>
      </c>
      <c r="AA15" s="28">
        <v>3.0381156666847708E-4</v>
      </c>
      <c r="AB15" s="28">
        <v>-3.9556316666644609E-4</v>
      </c>
      <c r="AC15" s="28">
        <v>6.5832266667786854E-5</v>
      </c>
      <c r="AD15" s="28">
        <v>-2.8658386666602359E-4</v>
      </c>
      <c r="AE15" s="28">
        <v>4.1177016666749111E-4</v>
      </c>
      <c r="AF15" s="28">
        <v>2.588322666678966E-4</v>
      </c>
      <c r="AG15" s="28">
        <v>-6.0167733332061601E-5</v>
      </c>
      <c r="AH15" s="28">
        <v>-4.9188433332014718E-5</v>
      </c>
      <c r="AI15" s="28">
        <v>-4.6027123333247649E-4</v>
      </c>
      <c r="AJ15" s="28">
        <v>3.6079086666751531E-4</v>
      </c>
      <c r="AK15" s="28">
        <v>4.8208280000100467E-4</v>
      </c>
      <c r="AL15" s="28">
        <v>-4.5125053333294751E-4</v>
      </c>
      <c r="AM15" s="28">
        <v>-2.7550106666496271E-4</v>
      </c>
      <c r="AN15" s="28">
        <v>3.8832266668009652E-5</v>
      </c>
      <c r="AO15" s="28">
        <v>-1.52937899999539E-4</v>
      </c>
      <c r="AP15" s="28">
        <v>4.7706210000053589E-4</v>
      </c>
      <c r="AQ15" s="28">
        <v>-1.171677333318133E-4</v>
      </c>
      <c r="AR15" s="28">
        <v>2.5883226666811859E-4</v>
      </c>
      <c r="AS15" s="28">
        <v>4.4083226666802311E-4</v>
      </c>
      <c r="AT15" s="28">
        <v>-3.6589649999940738E-4</v>
      </c>
      <c r="AU15" s="28">
        <v>1.721656000013283E-4</v>
      </c>
      <c r="AV15" s="28">
        <v>-2.0716773333195879E-4</v>
      </c>
      <c r="AW15" s="28">
        <v>-2.2167768104148391E-6</v>
      </c>
      <c r="AX15" s="34">
        <v>-1.019717332790826E-4</v>
      </c>
    </row>
    <row r="16" spans="1:50" x14ac:dyDescent="0.25">
      <c r="A16" s="24">
        <v>15</v>
      </c>
      <c r="B16" s="26">
        <v>7</v>
      </c>
      <c r="C16" s="28">
        <v>-4.4192294999989562E-4</v>
      </c>
      <c r="D16" s="28">
        <v>-4.6959110000011067E-4</v>
      </c>
      <c r="E16" s="28">
        <v>4.0545200000074999E-5</v>
      </c>
      <c r="F16" s="28">
        <v>-1.03454800000069E-4</v>
      </c>
      <c r="G16" s="28">
        <v>-2.319244333330861E-4</v>
      </c>
      <c r="H16" s="28">
        <v>1.105451999998674E-4</v>
      </c>
      <c r="I16" s="28">
        <v>-3.7245480000014369E-4</v>
      </c>
      <c r="J16" s="28">
        <v>-2.2465925000003659E-4</v>
      </c>
      <c r="K16" s="28">
        <v>-2.2465925000014761E-4</v>
      </c>
      <c r="L16" s="28">
        <v>4.0545199999852948E-5</v>
      </c>
      <c r="M16" s="28">
        <v>-4.7049110000019212E-4</v>
      </c>
      <c r="N16" s="28">
        <v>4.2587853333309061E-4</v>
      </c>
      <c r="O16" s="28">
        <v>1.652044500000116E-4</v>
      </c>
      <c r="P16" s="28">
        <v>-1.4559406667005731E-4</v>
      </c>
      <c r="Q16" s="28">
        <v>-3.294548000001285E-4</v>
      </c>
      <c r="R16" s="28">
        <v>-3.6765925000015193E-4</v>
      </c>
      <c r="S16" s="28">
        <v>3.2920445000000909E-4</v>
      </c>
      <c r="T16" s="28">
        <v>3.5154519999980321E-4</v>
      </c>
      <c r="U16" s="28">
        <v>3.1421186666680262E-4</v>
      </c>
      <c r="V16" s="28">
        <v>-1.099258333403519E-5</v>
      </c>
      <c r="W16" s="28">
        <v>2.8547705000003809E-4</v>
      </c>
      <c r="X16" s="28">
        <v>-1.5465925000013309E-4</v>
      </c>
      <c r="Y16" s="28">
        <v>4.0545199999852948E-5</v>
      </c>
      <c r="Z16" s="28">
        <v>-4.8399258333298167E-4</v>
      </c>
      <c r="AA16" s="28">
        <v>2.8547705000003809E-4</v>
      </c>
      <c r="AB16" s="28">
        <v>-2.2465925000003659E-4</v>
      </c>
      <c r="AC16" s="28">
        <v>1.3021186666684059E-4</v>
      </c>
      <c r="AD16" s="28">
        <v>3.7227259999994539E-4</v>
      </c>
      <c r="AE16" s="28">
        <v>-2.2465925000014761E-4</v>
      </c>
      <c r="AF16" s="28">
        <v>-2.8445480000005569E-4</v>
      </c>
      <c r="AG16" s="28">
        <v>-3.7695480000010662E-4</v>
      </c>
      <c r="AH16" s="28">
        <v>-4.1318961666703119E-4</v>
      </c>
      <c r="AI16" s="28">
        <v>-8.2795550000014373E-5</v>
      </c>
      <c r="AJ16" s="28">
        <v>1.4940889999981441E-4</v>
      </c>
      <c r="AK16" s="28">
        <v>2.02726000000375E-5</v>
      </c>
      <c r="AL16" s="28">
        <v>-3.2394066666996402E-5</v>
      </c>
      <c r="AM16" s="28">
        <v>-3.2278813332997652E-4</v>
      </c>
      <c r="AN16" s="28">
        <v>-4.59454800000203E-4</v>
      </c>
      <c r="AO16" s="28">
        <v>-5.2795549999928859E-5</v>
      </c>
      <c r="AP16" s="28">
        <v>-1.9146221666666019E-4</v>
      </c>
      <c r="AQ16" s="28">
        <v>4.6654519999989041E-4</v>
      </c>
      <c r="AR16" s="28">
        <v>2.8521186666718989E-4</v>
      </c>
      <c r="AS16" s="28">
        <v>8.8545200000123003E-5</v>
      </c>
      <c r="AT16" s="28">
        <v>-2.9565925000007992E-4</v>
      </c>
      <c r="AU16" s="28">
        <v>4.0287853333298429E-4</v>
      </c>
      <c r="AV16" s="28">
        <v>4.0545199999852948E-5</v>
      </c>
      <c r="AW16" s="28">
        <v>-5.7558828985571439E-5</v>
      </c>
      <c r="AX16" s="34">
        <v>-2.6477061333362861E-3</v>
      </c>
    </row>
    <row r="17" spans="1:50" x14ac:dyDescent="0.25">
      <c r="A17" s="24">
        <v>16</v>
      </c>
      <c r="B17" s="26">
        <v>7.5</v>
      </c>
      <c r="C17" s="28">
        <v>-2.8287500000168109E-6</v>
      </c>
      <c r="D17" s="28">
        <v>-1.9623416666703089E-4</v>
      </c>
      <c r="E17" s="28">
        <v>-0.21787075666666689</v>
      </c>
      <c r="F17" s="28">
        <v>-1.0942333333296971E-4</v>
      </c>
      <c r="G17" s="28">
        <v>4.9909916666690535E-4</v>
      </c>
      <c r="H17" s="28">
        <v>-0.38868075666666679</v>
      </c>
      <c r="I17" s="28">
        <v>-1.517566666666692E-4</v>
      </c>
      <c r="J17" s="28">
        <v>-2.959729166671643E-4</v>
      </c>
      <c r="K17" s="28">
        <v>-3.2863958333284588E-4</v>
      </c>
      <c r="L17" s="28">
        <v>-4.140900000000336E-4</v>
      </c>
      <c r="M17" s="28">
        <v>3.0443249999989602E-4</v>
      </c>
      <c r="N17" s="28">
        <v>-4.0775666666670318E-4</v>
      </c>
      <c r="O17" s="28">
        <v>4.8088291666703592E-4</v>
      </c>
      <c r="P17" s="28">
        <v>-6.1911666669800525E-5</v>
      </c>
      <c r="Q17" s="28">
        <v>-1.2886260899999999</v>
      </c>
      <c r="R17" s="28">
        <v>-1.4130625000019489E-4</v>
      </c>
      <c r="S17" s="28">
        <v>-2.8611708333292629E-4</v>
      </c>
      <c r="T17" s="28">
        <v>-4.7175666666698918E-4</v>
      </c>
      <c r="U17" s="28">
        <v>-1.5008999999999159E-4</v>
      </c>
      <c r="V17" s="28">
        <v>2.126937499997705E-4</v>
      </c>
      <c r="W17" s="28">
        <v>-4.8049541666705942E-4</v>
      </c>
      <c r="X17" s="28">
        <v>3.8676041666707572E-4</v>
      </c>
      <c r="Y17" s="28">
        <v>-0.47362608999999978</v>
      </c>
      <c r="Z17" s="28">
        <v>1.600270833330697E-4</v>
      </c>
      <c r="AA17" s="28">
        <v>2.0217124999999389E-4</v>
      </c>
      <c r="AB17" s="28">
        <v>-1.4639583332920481E-5</v>
      </c>
      <c r="AC17" s="28">
        <v>-5.001308999999976E-2</v>
      </c>
      <c r="AD17" s="28">
        <v>2.9550000000266859E-6</v>
      </c>
      <c r="AE17" s="28">
        <v>3.3069375000005508E-4</v>
      </c>
      <c r="AF17" s="28">
        <v>-0.27198442333333261</v>
      </c>
      <c r="AG17" s="28">
        <v>2.1034333333314059E-4</v>
      </c>
      <c r="AH17" s="28">
        <v>2.6017124999988539E-4</v>
      </c>
      <c r="AI17" s="28">
        <v>4.5921625000011618E-4</v>
      </c>
      <c r="AJ17" s="28">
        <v>2.9643249999988802E-4</v>
      </c>
      <c r="AK17" s="28">
        <v>-4.3337833333334519E-4</v>
      </c>
      <c r="AL17" s="28">
        <v>-6.671166666694095E-5</v>
      </c>
      <c r="AM17" s="28">
        <v>4.7243333330282411E-5</v>
      </c>
      <c r="AN17" s="28">
        <v>3.2057666666607249E-4</v>
      </c>
      <c r="AO17" s="28">
        <v>4.2454958333304482E-4</v>
      </c>
      <c r="AP17" s="28">
        <v>-4.2783749999886211E-5</v>
      </c>
      <c r="AQ17" s="28">
        <v>-4.814342333333288E-2</v>
      </c>
      <c r="AR17" s="28">
        <v>-3.1942333333367928E-4</v>
      </c>
      <c r="AS17" s="28">
        <v>-4.8626089999999733E-2</v>
      </c>
      <c r="AT17" s="28">
        <v>-1.413062499999729E-4</v>
      </c>
      <c r="AU17" s="28">
        <v>-3.5575666666698419E-4</v>
      </c>
      <c r="AV17" s="28">
        <v>-3.1408999999982262E-4</v>
      </c>
      <c r="AW17" s="28">
        <v>-6.0612150869565333E-2</v>
      </c>
      <c r="AX17" s="34">
        <v>-2.7881589400000051</v>
      </c>
    </row>
    <row r="18" spans="1:50" x14ac:dyDescent="0.25">
      <c r="A18" s="24">
        <v>17</v>
      </c>
      <c r="B18" s="26">
        <v>8</v>
      </c>
      <c r="C18" s="28">
        <v>1.5864318333180799E-4</v>
      </c>
      <c r="D18" s="28">
        <v>-3.5571536666778591E-4</v>
      </c>
      <c r="E18" s="28">
        <v>-2.1163300649333352</v>
      </c>
      <c r="F18" s="28">
        <v>-1.7543320649333349</v>
      </c>
      <c r="G18" s="28">
        <v>-2.7971536666693281E-4</v>
      </c>
      <c r="H18" s="28">
        <v>-1.1240490649333379</v>
      </c>
      <c r="I18" s="28">
        <v>-0.59004873160000115</v>
      </c>
      <c r="J18" s="28">
        <v>-4.7654058333490568E-4</v>
      </c>
      <c r="K18" s="28">
        <v>-2.0587391666793131E-4</v>
      </c>
      <c r="L18" s="28">
        <v>-1.284798064933335</v>
      </c>
      <c r="M18" s="28">
        <v>-1.2271536666785821E-4</v>
      </c>
      <c r="N18" s="28">
        <v>-1.379026398266668</v>
      </c>
      <c r="O18" s="28">
        <v>-4.4785768333366338E-4</v>
      </c>
      <c r="P18" s="28">
        <v>-1.680324666641364E-4</v>
      </c>
      <c r="Q18" s="28">
        <v>-2.2123293982666681</v>
      </c>
      <c r="R18" s="28">
        <v>-1.8054058333483169E-4</v>
      </c>
      <c r="S18" s="28">
        <v>-7.6857683333653171E-5</v>
      </c>
      <c r="T18" s="28">
        <v>-1.9009930649333351</v>
      </c>
      <c r="U18" s="28">
        <v>-1.7034573982666681</v>
      </c>
      <c r="V18" s="28">
        <v>-4.6654058333461812E-4</v>
      </c>
      <c r="W18" s="28">
        <v>-1.388794223483335</v>
      </c>
      <c r="X18" s="28">
        <v>8.9692749998704357E-5</v>
      </c>
      <c r="Y18" s="28">
        <v>-2.1021643982666678</v>
      </c>
      <c r="Z18" s="28">
        <v>2.5582608333207801E-4</v>
      </c>
      <c r="AA18" s="28">
        <v>-1.354969890150002</v>
      </c>
      <c r="AB18" s="28">
        <v>3.947927499989845E-4</v>
      </c>
      <c r="AC18" s="28">
        <v>-2.0456140649333352</v>
      </c>
      <c r="AD18" s="28">
        <v>-4.0469913333407442E-4</v>
      </c>
      <c r="AE18" s="28">
        <v>4.1812608333202661E-4</v>
      </c>
      <c r="AF18" s="28">
        <v>-2.213329398266668</v>
      </c>
      <c r="AG18" s="28">
        <v>-1.023745398266668</v>
      </c>
      <c r="AH18" s="28">
        <v>-2.6689015000203042E-4</v>
      </c>
      <c r="AI18" s="28">
        <v>-2.2552435000061649E-4</v>
      </c>
      <c r="AJ18" s="28">
        <v>-0.77643971536666767</v>
      </c>
      <c r="AK18" s="28">
        <v>3.0830086666588929E-4</v>
      </c>
      <c r="AL18" s="28">
        <v>3.396341999989394E-4</v>
      </c>
      <c r="AM18" s="28">
        <v>3.2726840000185659E-4</v>
      </c>
      <c r="AN18" s="28">
        <v>2.7935066665207842E-5</v>
      </c>
      <c r="AO18" s="28">
        <v>-1.2352435000062559E-4</v>
      </c>
      <c r="AP18" s="28">
        <v>-1.965243500005043E-4</v>
      </c>
      <c r="AQ18" s="28">
        <v>-2.0001213982666681</v>
      </c>
      <c r="AR18" s="28">
        <v>-1.0062731600001479E-2</v>
      </c>
      <c r="AS18" s="28">
        <v>-1.8222367316000021</v>
      </c>
      <c r="AT18" s="28">
        <v>4.8412608333214807E-4</v>
      </c>
      <c r="AU18" s="28">
        <v>-2.1095553982666679</v>
      </c>
      <c r="AV18" s="28">
        <v>-0.48502939826666819</v>
      </c>
      <c r="AW18" s="28">
        <v>-0.6825787000927549</v>
      </c>
      <c r="AX18" s="34">
        <v>-31.398620204266731</v>
      </c>
    </row>
    <row r="19" spans="1:50" x14ac:dyDescent="0.25">
      <c r="A19" s="24">
        <v>18</v>
      </c>
      <c r="B19" s="26">
        <v>8.5</v>
      </c>
      <c r="C19" s="28">
        <v>1.3043309999988259E-4</v>
      </c>
      <c r="D19" s="28">
        <v>-1.366578866866667</v>
      </c>
      <c r="E19" s="28">
        <v>-2.4866509336</v>
      </c>
      <c r="F19" s="28">
        <v>-2.3621032669333331</v>
      </c>
      <c r="G19" s="28">
        <v>-4.0629533533333977E-2</v>
      </c>
      <c r="H19" s="28">
        <v>-2.3434109336</v>
      </c>
      <c r="I19" s="28">
        <v>-2.3049509335999998</v>
      </c>
      <c r="J19" s="28">
        <v>-0.21340683350000009</v>
      </c>
      <c r="K19" s="28">
        <v>-9.0455833500000082E-2</v>
      </c>
      <c r="L19" s="28">
        <v>-2.4826509336</v>
      </c>
      <c r="M19" s="28">
        <v>-0.47321820019999999</v>
      </c>
      <c r="N19" s="28">
        <v>-2.3499176002666671</v>
      </c>
      <c r="O19" s="28">
        <v>-3.3886676666650128E-4</v>
      </c>
      <c r="P19" s="28">
        <v>1.491998666669492E-4</v>
      </c>
      <c r="Q19" s="28">
        <v>-2.3713662669333329</v>
      </c>
      <c r="R19" s="28">
        <v>4.264998333329828E-4</v>
      </c>
      <c r="S19" s="28">
        <v>-3.7276676666592179E-4</v>
      </c>
      <c r="T19" s="28">
        <v>-2.2807239336</v>
      </c>
      <c r="U19" s="28">
        <v>-2.3001556002666672</v>
      </c>
      <c r="V19" s="28">
        <v>-4.2550016666664797E-4</v>
      </c>
      <c r="W19" s="28">
        <v>-2.099746233566667</v>
      </c>
      <c r="X19" s="28">
        <v>-3.1350016666675812E-4</v>
      </c>
      <c r="Y19" s="28">
        <v>-2.4327072669333329</v>
      </c>
      <c r="Z19" s="28">
        <v>4.511664999999887E-4</v>
      </c>
      <c r="AA19" s="28">
        <v>-2.127941900233334</v>
      </c>
      <c r="AB19" s="28">
        <v>-4.0683350000003671E-4</v>
      </c>
      <c r="AC19" s="28">
        <v>-2.0777632669333328</v>
      </c>
      <c r="AD19" s="28">
        <v>-5.5466799999903671E-5</v>
      </c>
      <c r="AE19" s="28">
        <v>-1.0024068335</v>
      </c>
      <c r="AF19" s="28">
        <v>-2.446942600266667</v>
      </c>
      <c r="AG19" s="28">
        <v>-2.3986026002666669</v>
      </c>
      <c r="AH19" s="28">
        <v>-0.56738556690000008</v>
      </c>
      <c r="AI19" s="28">
        <v>3.0089990000009559E-4</v>
      </c>
      <c r="AJ19" s="28">
        <v>-1.7541582002</v>
      </c>
      <c r="AK19" s="28">
        <v>-3.2546680000011818E-4</v>
      </c>
      <c r="AL19" s="28">
        <v>8.3533199999985541E-5</v>
      </c>
      <c r="AM19" s="28">
        <v>3.4246640000001882E-4</v>
      </c>
      <c r="AN19" s="28">
        <v>-2.5093359999983628E-4</v>
      </c>
      <c r="AO19" s="28">
        <v>3.4723323333307737E-4</v>
      </c>
      <c r="AP19" s="28">
        <v>1.5923323333300041E-4</v>
      </c>
      <c r="AQ19" s="28">
        <v>-2.4946509336</v>
      </c>
      <c r="AR19" s="28">
        <v>-1.2159462669333301</v>
      </c>
      <c r="AS19" s="28">
        <v>-2.2948666002666669</v>
      </c>
      <c r="AT19" s="28">
        <v>-1.907983349999998E-2</v>
      </c>
      <c r="AU19" s="28">
        <v>-1.18554426693333</v>
      </c>
      <c r="AV19" s="28">
        <v>-2.4796509335999999</v>
      </c>
      <c r="AW19" s="28">
        <v>-1.088341557455073</v>
      </c>
      <c r="AX19" s="34">
        <v>-50.063711642933328</v>
      </c>
    </row>
    <row r="20" spans="1:50" x14ac:dyDescent="0.25">
      <c r="A20" s="24">
        <v>19</v>
      </c>
      <c r="B20" s="26">
        <v>9</v>
      </c>
      <c r="C20" s="28">
        <v>4.2989100000484498E-4</v>
      </c>
      <c r="D20" s="28">
        <v>-1.768093188666668</v>
      </c>
      <c r="E20" s="28">
        <v>-2.5410646960000012</v>
      </c>
      <c r="F20" s="28">
        <v>-2.5516090293333349</v>
      </c>
      <c r="G20" s="28">
        <v>-1.865790855333334</v>
      </c>
      <c r="H20" s="28">
        <v>-2.455646696000001</v>
      </c>
      <c r="I20" s="28">
        <v>-2.4457570293333348</v>
      </c>
      <c r="J20" s="28">
        <v>-1.275033268333335</v>
      </c>
      <c r="K20" s="28">
        <v>-1.5049879350000011</v>
      </c>
      <c r="L20" s="28">
        <v>-2.5115410293333351</v>
      </c>
      <c r="M20" s="28">
        <v>-1.7968305220000009</v>
      </c>
      <c r="N20" s="28">
        <v>-2.626402029333335</v>
      </c>
      <c r="O20" s="28">
        <v>-2.559610000000268E-4</v>
      </c>
      <c r="P20" s="28">
        <v>1.596519999988999E-4</v>
      </c>
      <c r="Q20" s="28">
        <v>-2.637500362666668</v>
      </c>
      <c r="R20" s="28">
        <v>-1.317909601666668</v>
      </c>
      <c r="S20" s="28">
        <v>2.0223900000004849E-4</v>
      </c>
      <c r="T20" s="28">
        <v>-2.6291293626666681</v>
      </c>
      <c r="U20" s="28">
        <v>-2.479493362666668</v>
      </c>
      <c r="V20" s="28">
        <v>-0.71658093500000108</v>
      </c>
      <c r="W20" s="28">
        <v>-2.243630309000002</v>
      </c>
      <c r="X20" s="28">
        <v>-0.10880216833333491</v>
      </c>
      <c r="Y20" s="28">
        <v>-2.6573540293333351</v>
      </c>
      <c r="Z20" s="28">
        <v>-1.463893500000113E-2</v>
      </c>
      <c r="AA20" s="28">
        <v>-2.3785034423333351</v>
      </c>
      <c r="AB20" s="28">
        <v>-0.80963226833333501</v>
      </c>
      <c r="AC20" s="28">
        <v>-2.5355293626666682</v>
      </c>
      <c r="AD20" s="28">
        <v>3.2778533333607812E-4</v>
      </c>
      <c r="AE20" s="28">
        <v>-1.5712636016666679</v>
      </c>
      <c r="AF20" s="28">
        <v>-2.585967029333335</v>
      </c>
      <c r="AG20" s="28">
        <v>-2.530727896000001</v>
      </c>
      <c r="AH20" s="28">
        <v>-2.0009264423333351</v>
      </c>
      <c r="AI20" s="28">
        <v>2.4390566666998139E-4</v>
      </c>
      <c r="AJ20" s="28">
        <v>-1.9281015220000011</v>
      </c>
      <c r="AK20" s="28">
        <v>-4.74014666664066E-4</v>
      </c>
      <c r="AL20" s="28">
        <v>-2.5014666666933749E-5</v>
      </c>
      <c r="AM20" s="28">
        <v>2.9023733333177759E-4</v>
      </c>
      <c r="AN20" s="28">
        <v>-0.90057536266666793</v>
      </c>
      <c r="AO20" s="28">
        <v>-2.15760999999981E-4</v>
      </c>
      <c r="AP20" s="28">
        <v>-5.0943333299025007E-6</v>
      </c>
      <c r="AQ20" s="28">
        <v>-2.6319513626666682</v>
      </c>
      <c r="AR20" s="28">
        <v>-2.720575362666668</v>
      </c>
      <c r="AS20" s="28">
        <v>-2.5637486960000011</v>
      </c>
      <c r="AT20" s="28">
        <v>-1.486530601666668</v>
      </c>
      <c r="AU20" s="28">
        <v>-2.4357663626666679</v>
      </c>
      <c r="AV20" s="28">
        <v>-2.621529362666668</v>
      </c>
      <c r="AW20" s="28">
        <v>-1.518444481652174</v>
      </c>
      <c r="AX20" s="34">
        <v>-69.848446156000023</v>
      </c>
    </row>
    <row r="21" spans="1:50" x14ac:dyDescent="0.25">
      <c r="A21" s="24">
        <v>20</v>
      </c>
      <c r="B21" s="26">
        <v>9.5</v>
      </c>
      <c r="C21" s="28">
        <v>-0.1122921470333349</v>
      </c>
      <c r="D21" s="28">
        <v>-2.159120554599999</v>
      </c>
      <c r="E21" s="28">
        <v>-2.687987072799999</v>
      </c>
      <c r="F21" s="28">
        <v>-2.908383406133332</v>
      </c>
      <c r="G21" s="28">
        <v>-2.0577842212666662</v>
      </c>
      <c r="H21" s="28">
        <v>-2.6718347394666648</v>
      </c>
      <c r="I21" s="28">
        <v>-2.6527700727999992</v>
      </c>
      <c r="J21" s="28">
        <v>-1.3206969621666651</v>
      </c>
      <c r="K21" s="28">
        <v>-1.798989628833332</v>
      </c>
      <c r="L21" s="28">
        <v>-2.8816744061333321</v>
      </c>
      <c r="M21" s="28">
        <v>-0.77902522126666884</v>
      </c>
      <c r="N21" s="28">
        <v>-2.6832460727999989</v>
      </c>
      <c r="O21" s="28">
        <v>-3.7017729999899718E-4</v>
      </c>
      <c r="P21" s="28">
        <v>-3.0036973333258388E-4</v>
      </c>
      <c r="Q21" s="28">
        <v>-2.8703414061333321</v>
      </c>
      <c r="R21" s="28">
        <v>-1.7783426288333319</v>
      </c>
      <c r="S21" s="28">
        <v>-4.9744396666606683E-4</v>
      </c>
      <c r="T21" s="28">
        <v>-2.8146130727999989</v>
      </c>
      <c r="U21" s="28">
        <v>-1.5766500728000019</v>
      </c>
      <c r="V21" s="28">
        <v>-1.6653889621666651</v>
      </c>
      <c r="W21" s="28">
        <v>-2.5062694803666652</v>
      </c>
      <c r="X21" s="28">
        <v>-1.7130096288333321</v>
      </c>
      <c r="Y21" s="28">
        <v>-2.8114960727999989</v>
      </c>
      <c r="Z21" s="28">
        <v>-1.5555206288333321</v>
      </c>
      <c r="AA21" s="28">
        <v>-2.5515854803666649</v>
      </c>
      <c r="AB21" s="28">
        <v>-1.804989628833332</v>
      </c>
      <c r="AC21" s="28">
        <v>-2.3306927394666652</v>
      </c>
      <c r="AD21" s="28">
        <v>1.202969333341519E-4</v>
      </c>
      <c r="AE21" s="28">
        <v>-1.819690962166665</v>
      </c>
      <c r="AF21" s="28">
        <v>-2.9153834061333321</v>
      </c>
      <c r="AG21" s="28">
        <v>-2.8454957061333319</v>
      </c>
      <c r="AH21" s="28">
        <v>-2.3064214803666649</v>
      </c>
      <c r="AI21" s="28">
        <v>4.025560333340561E-4</v>
      </c>
      <c r="AJ21" s="28">
        <v>-2.075248887933332</v>
      </c>
      <c r="AK21" s="28">
        <v>-4.3170306666595598E-4</v>
      </c>
      <c r="AL21" s="28">
        <v>-0.61111503639999909</v>
      </c>
      <c r="AM21" s="28">
        <v>-2.0399567394666649</v>
      </c>
      <c r="AN21" s="28">
        <v>-2.6911200727999991</v>
      </c>
      <c r="AO21" s="28">
        <v>-1.4344396666599041E-4</v>
      </c>
      <c r="AP21" s="28">
        <v>1.8155603333402939E-4</v>
      </c>
      <c r="AQ21" s="28">
        <v>-2.8888994061333322</v>
      </c>
      <c r="AR21" s="28">
        <v>-2.8953714061333322</v>
      </c>
      <c r="AS21" s="28">
        <v>-2.7664367394666649</v>
      </c>
      <c r="AT21" s="28">
        <v>-1.8199896288333319</v>
      </c>
      <c r="AU21" s="28">
        <v>-2.8254644061333321</v>
      </c>
      <c r="AV21" s="28">
        <v>-2.6688174061333321</v>
      </c>
      <c r="AW21" s="28">
        <v>-1.8231120504521729</v>
      </c>
      <c r="AX21" s="34">
        <v>-83.863154320799964</v>
      </c>
    </row>
    <row r="22" spans="1:50" x14ac:dyDescent="0.25">
      <c r="A22" s="24">
        <v>21</v>
      </c>
      <c r="B22" s="26">
        <v>10</v>
      </c>
      <c r="C22" s="28">
        <v>-1.4138444918500039</v>
      </c>
      <c r="D22" s="28">
        <v>-2.2012333739666681</v>
      </c>
      <c r="E22" s="28">
        <v>-2.9689789430666682</v>
      </c>
      <c r="F22" s="28">
        <v>-2.6945149430666682</v>
      </c>
      <c r="G22" s="28">
        <v>-2.1443660406333338</v>
      </c>
      <c r="H22" s="28">
        <v>-2.9906429430666681</v>
      </c>
      <c r="I22" s="28">
        <v>-2.976648843066668</v>
      </c>
      <c r="J22" s="28">
        <v>-1.65576792275</v>
      </c>
      <c r="K22" s="28">
        <v>-1.860871589416667</v>
      </c>
      <c r="L22" s="28">
        <v>-3.086008943066668</v>
      </c>
      <c r="M22" s="28">
        <v>-2.1428953739666681</v>
      </c>
      <c r="N22" s="28">
        <v>-3.0139029430666682</v>
      </c>
      <c r="O22" s="28">
        <v>-1.068698333295259E-5</v>
      </c>
      <c r="P22" s="28">
        <v>-6.3138200000922851E-5</v>
      </c>
      <c r="Q22" s="28">
        <v>-3.0880089430666682</v>
      </c>
      <c r="R22" s="28">
        <v>-1.7227255894166671</v>
      </c>
      <c r="S22" s="28">
        <v>4.316463500002587E-4</v>
      </c>
      <c r="T22" s="28">
        <v>-2.8482137097333351</v>
      </c>
      <c r="U22" s="28">
        <v>-3.0205076097333352</v>
      </c>
      <c r="V22" s="28">
        <v>-1.81751492275</v>
      </c>
      <c r="W22" s="28">
        <v>-2.5323808918500008</v>
      </c>
      <c r="X22" s="28">
        <v>-1.7283042894166669</v>
      </c>
      <c r="Y22" s="28">
        <v>-3.0870089430666678</v>
      </c>
      <c r="Z22" s="28">
        <v>-1.7391409227500001</v>
      </c>
      <c r="AA22" s="28">
        <v>-2.4021024918500009</v>
      </c>
      <c r="AB22" s="28">
        <v>-1.886229589416667</v>
      </c>
      <c r="AC22" s="28">
        <v>-1.889096943066668</v>
      </c>
      <c r="AD22" s="28">
        <v>-2.8807153333376689E-4</v>
      </c>
      <c r="AE22" s="28">
        <v>-1.897297589416667</v>
      </c>
      <c r="AF22" s="28">
        <v>-2.7263922764000008</v>
      </c>
      <c r="AG22" s="28">
        <v>-2.892672643066668</v>
      </c>
      <c r="AH22" s="28">
        <v>-2.2842708251833339</v>
      </c>
      <c r="AI22" s="28">
        <v>1.6231301666708159E-4</v>
      </c>
      <c r="AJ22" s="28">
        <v>-1.150056707300001</v>
      </c>
      <c r="AK22" s="28">
        <v>2.7152846666611552E-4</v>
      </c>
      <c r="AL22" s="28">
        <v>-1.2971264715333339</v>
      </c>
      <c r="AM22" s="28">
        <v>-3.0700677097333342</v>
      </c>
      <c r="AN22" s="28">
        <v>-3.0167242764000011</v>
      </c>
      <c r="AO22" s="28">
        <v>-0.63416235364999984</v>
      </c>
      <c r="AP22" s="28">
        <v>-1.5368698332979269E-4</v>
      </c>
      <c r="AQ22" s="28">
        <v>-3.098008943066668</v>
      </c>
      <c r="AR22" s="28">
        <v>-2.9462662764000012</v>
      </c>
      <c r="AS22" s="28">
        <v>-2.7144589430666679</v>
      </c>
      <c r="AT22" s="28">
        <v>-1.759039589416667</v>
      </c>
      <c r="AU22" s="28">
        <v>-2.8116786097333351</v>
      </c>
      <c r="AV22" s="28">
        <v>-3.0830089430666678</v>
      </c>
      <c r="AW22" s="28">
        <v>-2.0063433358782619</v>
      </c>
      <c r="AX22" s="34">
        <v>-92.291793450400036</v>
      </c>
    </row>
    <row r="23" spans="1:50" x14ac:dyDescent="0.25">
      <c r="A23" s="24">
        <v>22</v>
      </c>
      <c r="B23" s="26">
        <v>10.5</v>
      </c>
      <c r="C23" s="28">
        <v>-2.6241728477166668</v>
      </c>
      <c r="D23" s="28">
        <v>-2.4009948409000001</v>
      </c>
      <c r="E23" s="28">
        <v>-3.1577754545333332</v>
      </c>
      <c r="F23" s="28">
        <v>-2.8848964545333331</v>
      </c>
      <c r="G23" s="28">
        <v>-2.2737728409</v>
      </c>
      <c r="H23" s="28">
        <v>-3.1201671212000002</v>
      </c>
      <c r="I23" s="28">
        <v>-2.3778397878666668</v>
      </c>
      <c r="J23" s="28">
        <v>-1.6513830340833331</v>
      </c>
      <c r="K23" s="28">
        <v>-1.9348870340833331</v>
      </c>
      <c r="L23" s="28">
        <v>-3.016667787866667</v>
      </c>
      <c r="M23" s="28">
        <v>-1.9768361742333329</v>
      </c>
      <c r="N23" s="28">
        <v>-3.1533364545333331</v>
      </c>
      <c r="O23" s="28">
        <v>-1.6042044999986521E-4</v>
      </c>
      <c r="P23" s="28">
        <v>2.1943939999991E-4</v>
      </c>
      <c r="Q23" s="28">
        <v>-3.2313051212000001</v>
      </c>
      <c r="R23" s="28">
        <v>-1.9816323674166669</v>
      </c>
      <c r="S23" s="28">
        <v>2.202462166701058E-4</v>
      </c>
      <c r="T23" s="28">
        <v>-3.1588967545333331</v>
      </c>
      <c r="U23" s="28">
        <v>-3.117677787866667</v>
      </c>
      <c r="V23" s="28">
        <v>-2.00727770075</v>
      </c>
      <c r="W23" s="28">
        <v>-2.8238919810500001</v>
      </c>
      <c r="X23" s="28">
        <v>-1.78631820075</v>
      </c>
      <c r="Y23" s="28">
        <v>-3.0701964545333329</v>
      </c>
      <c r="Z23" s="28">
        <v>-1.9605920340833329</v>
      </c>
      <c r="AA23" s="28">
        <v>-2.296013314383333</v>
      </c>
      <c r="AB23" s="28">
        <v>-1.9030537007499999</v>
      </c>
      <c r="AC23" s="28">
        <v>-2.403478454533333</v>
      </c>
      <c r="AD23" s="28">
        <v>3.4743939999981599E-4</v>
      </c>
      <c r="AE23" s="28">
        <v>-1.9281777007500001</v>
      </c>
      <c r="AF23" s="28">
        <v>-3.2323051212</v>
      </c>
      <c r="AG23" s="28">
        <v>-3.1594424545333331</v>
      </c>
      <c r="AH23" s="28">
        <v>-2.3922419810500002</v>
      </c>
      <c r="AI23" s="28">
        <v>-2.380871166667298E-4</v>
      </c>
      <c r="AJ23" s="28">
        <v>-2.0850268408999999</v>
      </c>
      <c r="AK23" s="28">
        <v>1.4010606666592371E-4</v>
      </c>
      <c r="AL23" s="28">
        <v>-1.5514130272666671</v>
      </c>
      <c r="AM23" s="28">
        <v>-3.0183094545333331</v>
      </c>
      <c r="AN23" s="28">
        <v>-3.2070817878666671</v>
      </c>
      <c r="AO23" s="28">
        <v>-1.18823942045</v>
      </c>
      <c r="AP23" s="28">
        <v>-2.0608711666980639E-4</v>
      </c>
      <c r="AQ23" s="28">
        <v>-3.2176491212</v>
      </c>
      <c r="AR23" s="28">
        <v>-3.2353051212000001</v>
      </c>
      <c r="AS23" s="28">
        <v>-3.1500911212</v>
      </c>
      <c r="AT23" s="28">
        <v>-1.90837570075</v>
      </c>
      <c r="AU23" s="28">
        <v>-3.0620851212</v>
      </c>
      <c r="AV23" s="28">
        <v>-3.0340131212000001</v>
      </c>
      <c r="AW23" s="28">
        <v>-2.167010829634783</v>
      </c>
      <c r="AX23" s="34">
        <v>-99.682498163200023</v>
      </c>
    </row>
    <row r="24" spans="1:50" x14ac:dyDescent="0.25">
      <c r="A24" s="24">
        <v>23</v>
      </c>
      <c r="B24" s="26">
        <v>11</v>
      </c>
      <c r="C24" s="28">
        <v>-2.7936496840833338</v>
      </c>
      <c r="D24" s="28">
        <v>-2.035105910166668</v>
      </c>
      <c r="E24" s="28">
        <v>-3.322977924666668</v>
      </c>
      <c r="F24" s="28">
        <v>-2.855957258000001</v>
      </c>
      <c r="G24" s="28">
        <v>-2.2095621101666678</v>
      </c>
      <c r="H24" s="28">
        <v>-3.3296445913333339</v>
      </c>
      <c r="I24" s="28">
        <v>-2.7315965913333349</v>
      </c>
      <c r="J24" s="28">
        <v>-1.894739202916667</v>
      </c>
      <c r="K24" s="28">
        <v>-2.0606112029166672</v>
      </c>
      <c r="L24" s="28">
        <v>-3.3098719246666679</v>
      </c>
      <c r="M24" s="28">
        <v>-2.1690804435000008</v>
      </c>
      <c r="N24" s="28">
        <v>-3.089635924666668</v>
      </c>
      <c r="O24" s="28">
        <v>-0.1127140550833331</v>
      </c>
      <c r="P24" s="28">
        <v>-1.205488962333334</v>
      </c>
      <c r="Q24" s="28">
        <v>-3.3329779246666682</v>
      </c>
      <c r="R24" s="28">
        <v>-1.8750012029166669</v>
      </c>
      <c r="S24" s="28">
        <v>4.4127825000001009E-4</v>
      </c>
      <c r="T24" s="28">
        <v>-3.2182512580000009</v>
      </c>
      <c r="U24" s="28">
        <v>-3.2859274246666681</v>
      </c>
      <c r="V24" s="28">
        <v>-2.0435615362499999</v>
      </c>
      <c r="W24" s="28">
        <v>-2.905773350750001</v>
      </c>
      <c r="X24" s="28">
        <v>-1.799291202916667</v>
      </c>
      <c r="Y24" s="28">
        <v>-3.3319779246666679</v>
      </c>
      <c r="Z24" s="28">
        <v>-1.764024869583334</v>
      </c>
      <c r="AA24" s="28">
        <v>-0.35291568408333379</v>
      </c>
      <c r="AB24" s="28">
        <v>-1.876171869583334</v>
      </c>
      <c r="AC24" s="28">
        <v>-1.235024591333338</v>
      </c>
      <c r="AD24" s="28">
        <v>-1.090548962333334</v>
      </c>
      <c r="AE24" s="28">
        <v>-2.0856112029166671</v>
      </c>
      <c r="AF24" s="28">
        <v>-3.1427709246666682</v>
      </c>
      <c r="AG24" s="28">
        <v>-2.3919425580000011</v>
      </c>
      <c r="AH24" s="28">
        <v>-2.6488563507500009</v>
      </c>
      <c r="AI24" s="28">
        <v>-4.2721750000085379E-5</v>
      </c>
      <c r="AJ24" s="28">
        <v>-2.320785443500001</v>
      </c>
      <c r="AK24" s="28">
        <v>2.9470433333322887E-4</v>
      </c>
      <c r="AL24" s="28">
        <v>-1.4871676290000011</v>
      </c>
      <c r="AM24" s="28">
        <v>-3.3171648246666678</v>
      </c>
      <c r="AN24" s="28">
        <v>-3.098948724666668</v>
      </c>
      <c r="AO24" s="28">
        <v>-1.2263667217500001</v>
      </c>
      <c r="AP24" s="28">
        <v>-3.5472174999884309E-4</v>
      </c>
      <c r="AQ24" s="28">
        <v>-3.236525924666668</v>
      </c>
      <c r="AR24" s="28">
        <v>-3.2679419246666681</v>
      </c>
      <c r="AS24" s="28">
        <v>-3.1303529913333352</v>
      </c>
      <c r="AT24" s="28">
        <v>-2.0816112029166671</v>
      </c>
      <c r="AU24" s="28">
        <v>-3.249217591333335</v>
      </c>
      <c r="AV24" s="28">
        <v>-1.642734591333338</v>
      </c>
      <c r="AW24" s="28">
        <v>-2.16434225336232</v>
      </c>
      <c r="AX24" s="34">
        <v>-99.55974365466669</v>
      </c>
    </row>
    <row r="25" spans="1:50" x14ac:dyDescent="0.25">
      <c r="A25" s="24">
        <v>24</v>
      </c>
      <c r="B25" s="26">
        <v>11.5</v>
      </c>
      <c r="C25" s="28">
        <v>-2.8529702035333329</v>
      </c>
      <c r="D25" s="28">
        <v>-2.5181899649333328</v>
      </c>
      <c r="E25" s="28">
        <v>-2.0453000421333298</v>
      </c>
      <c r="F25" s="28">
        <v>-3.158361375466666</v>
      </c>
      <c r="G25" s="28">
        <v>-1.4434676982666701</v>
      </c>
      <c r="H25" s="28">
        <v>-3.231158042133333</v>
      </c>
      <c r="I25" s="28">
        <v>-2.5580653754666671</v>
      </c>
      <c r="J25" s="28">
        <v>-1.647981859666666</v>
      </c>
      <c r="K25" s="28">
        <v>-1.935829859666667</v>
      </c>
      <c r="L25" s="28">
        <v>-3.2665593754666671</v>
      </c>
      <c r="M25" s="28">
        <v>-2.0137136982666668</v>
      </c>
      <c r="N25" s="28">
        <v>-3.358728042133333</v>
      </c>
      <c r="O25" s="28">
        <v>-0.62225384913333304</v>
      </c>
      <c r="P25" s="28">
        <v>-1.550308687733333</v>
      </c>
      <c r="Q25" s="28">
        <v>-3.3655667087999999</v>
      </c>
      <c r="R25" s="28">
        <v>-2.0532338596666668</v>
      </c>
      <c r="S25" s="28">
        <v>4.2048420000007081E-4</v>
      </c>
      <c r="T25" s="28">
        <v>-3.283008042133333</v>
      </c>
      <c r="U25" s="28">
        <v>-3.120783375466667</v>
      </c>
      <c r="V25" s="28">
        <v>-2.000928193</v>
      </c>
      <c r="W25" s="28">
        <v>-2.8031418702000002</v>
      </c>
      <c r="X25" s="28">
        <v>-2.092479193</v>
      </c>
      <c r="Y25" s="28">
        <v>-3.2164580421333331</v>
      </c>
      <c r="Z25" s="28">
        <v>-1.8611061929999999</v>
      </c>
      <c r="AA25" s="28">
        <v>-0.29157753686666998</v>
      </c>
      <c r="AB25" s="28">
        <v>-2.076295193</v>
      </c>
      <c r="AC25" s="28">
        <v>-1.9886920421333301</v>
      </c>
      <c r="AD25" s="28">
        <v>-1.5297873544</v>
      </c>
      <c r="AE25" s="28">
        <v>-2.0841391929999999</v>
      </c>
      <c r="AF25" s="28">
        <v>-3.0593850421333331</v>
      </c>
      <c r="AG25" s="28">
        <v>-2.7261067088000002</v>
      </c>
      <c r="AH25" s="28">
        <v>-2.8838855368666669</v>
      </c>
      <c r="AI25" s="28">
        <v>2.9315086666681372E-4</v>
      </c>
      <c r="AJ25" s="28">
        <v>-2.2731240316000001</v>
      </c>
      <c r="AK25" s="28">
        <v>-0.4450483543999999</v>
      </c>
      <c r="AL25" s="28">
        <v>-1.5012127544</v>
      </c>
      <c r="AM25" s="28">
        <v>-2.3052383754666699</v>
      </c>
      <c r="AN25" s="28">
        <v>-3.2615933754666671</v>
      </c>
      <c r="AO25" s="28">
        <v>-1.2430875158000001</v>
      </c>
      <c r="AP25" s="28">
        <v>8.5817533332921414E-5</v>
      </c>
      <c r="AQ25" s="28">
        <v>-3.3875667088000001</v>
      </c>
      <c r="AR25" s="28">
        <v>-3.2818480421333329</v>
      </c>
      <c r="AS25" s="28">
        <v>-3.2603959088000001</v>
      </c>
      <c r="AT25" s="28">
        <v>-1.8930048596666671</v>
      </c>
      <c r="AU25" s="28">
        <v>-3.2336483754666672</v>
      </c>
      <c r="AV25" s="28">
        <v>-3.1532587088000001</v>
      </c>
      <c r="AW25" s="28">
        <v>-2.2147323851478262</v>
      </c>
      <c r="AX25" s="34">
        <v>-101.87768971680001</v>
      </c>
    </row>
    <row r="26" spans="1:50" x14ac:dyDescent="0.25">
      <c r="A26" s="24">
        <v>25</v>
      </c>
      <c r="B26" s="26">
        <v>12</v>
      </c>
      <c r="C26" s="28">
        <v>-2.6063626962666682</v>
      </c>
      <c r="D26" s="28">
        <v>-2.537860996800001</v>
      </c>
      <c r="E26" s="28">
        <v>-3.2402329957333351</v>
      </c>
      <c r="F26" s="28">
        <v>-3.1583446624000011</v>
      </c>
      <c r="G26" s="28">
        <v>-2.4476609968000012</v>
      </c>
      <c r="H26" s="28">
        <v>-3.4074813290666679</v>
      </c>
      <c r="I26" s="28">
        <v>-2.530355995733335</v>
      </c>
      <c r="J26" s="28">
        <v>-1.664086497333334</v>
      </c>
      <c r="K26" s="28">
        <v>-1.9650408306666669</v>
      </c>
      <c r="L26" s="28">
        <v>-3.2637453290666678</v>
      </c>
      <c r="M26" s="28">
        <v>-2.3309693301333341</v>
      </c>
      <c r="N26" s="28">
        <v>-3.220371995733335</v>
      </c>
      <c r="O26" s="28">
        <v>-1.121589098400001</v>
      </c>
      <c r="P26" s="28">
        <v>-1.5231539978666671</v>
      </c>
      <c r="Q26" s="28">
        <v>-3.3027413290666678</v>
      </c>
      <c r="R26" s="28">
        <v>-2.0425341640000001</v>
      </c>
      <c r="S26" s="28">
        <v>-4.2583173333399232E-4</v>
      </c>
      <c r="T26" s="28">
        <v>-3.2747206624000009</v>
      </c>
      <c r="U26" s="28">
        <v>-3.2691683290666682</v>
      </c>
      <c r="V26" s="28">
        <v>-1.9160548306666669</v>
      </c>
      <c r="W26" s="28">
        <v>-2.9631711629333348</v>
      </c>
      <c r="X26" s="28">
        <v>-1.8712608306666669</v>
      </c>
      <c r="Y26" s="28">
        <v>-3.3894813290666681</v>
      </c>
      <c r="Z26" s="28">
        <v>-1.9863914973333341</v>
      </c>
      <c r="AA26" s="28">
        <v>-2.3487094962666681</v>
      </c>
      <c r="AB26" s="28">
        <v>-1.854945497333333</v>
      </c>
      <c r="AC26" s="28">
        <v>-3.3404713290666681</v>
      </c>
      <c r="AD26" s="28">
        <v>-1.665240664533334</v>
      </c>
      <c r="AE26" s="28">
        <v>-2.0217948306666669</v>
      </c>
      <c r="AF26" s="28">
        <v>-3.3000983957333352</v>
      </c>
      <c r="AG26" s="28">
        <v>-3.170395995733335</v>
      </c>
      <c r="AH26" s="28">
        <v>-2.6844551629333351</v>
      </c>
      <c r="AI26" s="28">
        <v>-1.6883173333404061E-4</v>
      </c>
      <c r="AJ26" s="28">
        <v>-2.3763289968000012</v>
      </c>
      <c r="AK26" s="28">
        <v>-1.2181916645333339</v>
      </c>
      <c r="AL26" s="28">
        <v>-1.4197828312000009</v>
      </c>
      <c r="AM26" s="28">
        <v>-2.2260953290666681</v>
      </c>
      <c r="AN26" s="28">
        <v>-3.2888169957333351</v>
      </c>
      <c r="AO26" s="28">
        <v>-1.247930498400001</v>
      </c>
      <c r="AP26" s="28">
        <v>6.9501599998966768E-5</v>
      </c>
      <c r="AQ26" s="28">
        <v>-3.3058573290666682</v>
      </c>
      <c r="AR26" s="28">
        <v>-3.3868106624000012</v>
      </c>
      <c r="AS26" s="28">
        <v>-2.8074749290666681</v>
      </c>
      <c r="AT26" s="28">
        <v>-2.0548708306666672</v>
      </c>
      <c r="AU26" s="28">
        <v>-3.3721173290666679</v>
      </c>
      <c r="AV26" s="28">
        <v>-3.3107633624000008</v>
      </c>
      <c r="AW26" s="28">
        <v>-2.379009960428986</v>
      </c>
      <c r="AX26" s="34">
        <v>-109.4344581797334</v>
      </c>
    </row>
    <row r="27" spans="1:50" x14ac:dyDescent="0.25">
      <c r="A27" s="24">
        <v>26</v>
      </c>
      <c r="B27" s="26">
        <v>12.5</v>
      </c>
      <c r="C27" s="28">
        <v>-2.9163218629999998</v>
      </c>
      <c r="D27" s="28">
        <v>-2.4099679206666669</v>
      </c>
      <c r="E27" s="28">
        <v>-1.90013700533333</v>
      </c>
      <c r="F27" s="28">
        <v>-2.329200005333329</v>
      </c>
      <c r="G27" s="28">
        <v>-2.433674587333333</v>
      </c>
      <c r="H27" s="28">
        <v>-3.2517836720000002</v>
      </c>
      <c r="I27" s="28">
        <v>-3.2261700053333331</v>
      </c>
      <c r="J27" s="28">
        <v>-1.900416378333333</v>
      </c>
      <c r="K27" s="28">
        <v>-1.939876378333333</v>
      </c>
      <c r="L27" s="28">
        <v>-3.0982068053333331</v>
      </c>
      <c r="M27" s="28">
        <v>-2.2097059206666669</v>
      </c>
      <c r="N27" s="28">
        <v>-3.2151203386666669</v>
      </c>
      <c r="O27" s="28">
        <v>-1.0582854603333329</v>
      </c>
      <c r="P27" s="28">
        <v>-1.5708225026666669</v>
      </c>
      <c r="Q27" s="28">
        <v>-3.2591183386666671</v>
      </c>
      <c r="R27" s="28">
        <v>-1.962782711666667</v>
      </c>
      <c r="S27" s="28">
        <v>3.1637299999998092E-4</v>
      </c>
      <c r="T27" s="28">
        <v>-3.256617672</v>
      </c>
      <c r="U27" s="28">
        <v>-3.0705220053333329</v>
      </c>
      <c r="V27" s="28">
        <v>-2.0608857116666659</v>
      </c>
      <c r="W27" s="28">
        <v>-2.9420314630000002</v>
      </c>
      <c r="X27" s="28">
        <v>-1.584772711666667</v>
      </c>
      <c r="Y27" s="28">
        <v>-3.3653216719999999</v>
      </c>
      <c r="Z27" s="28">
        <v>-1.789294378333333</v>
      </c>
      <c r="AA27" s="28">
        <v>-2.815715796333333</v>
      </c>
      <c r="AB27" s="28">
        <v>-2.0355130450000001</v>
      </c>
      <c r="AC27" s="28">
        <v>-3.360321672</v>
      </c>
      <c r="AD27" s="28">
        <v>-1.6455728359999999</v>
      </c>
      <c r="AE27" s="28">
        <v>-2.106451045</v>
      </c>
      <c r="AF27" s="28">
        <v>-3.1373066719999998</v>
      </c>
      <c r="AG27" s="28">
        <v>-3.104263705333334</v>
      </c>
      <c r="AH27" s="28">
        <v>-2.688380796333333</v>
      </c>
      <c r="AI27" s="28">
        <v>-0.83592696033333302</v>
      </c>
      <c r="AJ27" s="28">
        <v>-2.3217932540000001</v>
      </c>
      <c r="AK27" s="28">
        <v>-5.0362835999999911E-2</v>
      </c>
      <c r="AL27" s="28">
        <v>-1.4356331693333331</v>
      </c>
      <c r="AM27" s="28">
        <v>-3.129581672</v>
      </c>
      <c r="AN27" s="28">
        <v>-2.9818983386666669</v>
      </c>
      <c r="AO27" s="28">
        <v>-1.1112792936666669</v>
      </c>
      <c r="AP27" s="28">
        <v>-0.51550796033333302</v>
      </c>
      <c r="AQ27" s="28">
        <v>-3.3408376720000001</v>
      </c>
      <c r="AR27" s="28">
        <v>-3.209237672</v>
      </c>
      <c r="AS27" s="28">
        <v>-3.0157526720000001</v>
      </c>
      <c r="AT27" s="28">
        <v>-2.102451045</v>
      </c>
      <c r="AU27" s="28">
        <v>-3.157007005333333</v>
      </c>
      <c r="AV27" s="28">
        <v>-3.1996657053333331</v>
      </c>
      <c r="AW27" s="28">
        <v>-2.348938694753623</v>
      </c>
      <c r="AX27" s="34">
        <v>-108.05117995866669</v>
      </c>
    </row>
    <row r="28" spans="1:50" x14ac:dyDescent="0.25">
      <c r="A28" s="24">
        <v>27</v>
      </c>
      <c r="B28" s="26">
        <v>13</v>
      </c>
      <c r="C28" s="28">
        <v>-2.6194463384166671</v>
      </c>
      <c r="D28" s="28">
        <v>-2.1963601948333329</v>
      </c>
      <c r="E28" s="28">
        <v>-2.961631482</v>
      </c>
      <c r="F28" s="28">
        <v>-2.906494448666666</v>
      </c>
      <c r="G28" s="28">
        <v>-2.432382194833334</v>
      </c>
      <c r="H28" s="28">
        <v>-3.2229816819999999</v>
      </c>
      <c r="I28" s="28">
        <v>-3.1119158153333331</v>
      </c>
      <c r="J28" s="28">
        <v>-1.829216717916667</v>
      </c>
      <c r="K28" s="28">
        <v>-0.61738905125000021</v>
      </c>
      <c r="L28" s="28">
        <v>-3.0924561486666668</v>
      </c>
      <c r="M28" s="28">
        <v>-1.512689194833333</v>
      </c>
      <c r="N28" s="28">
        <v>-1.25019514866667</v>
      </c>
      <c r="O28" s="28">
        <v>-1.112443864083333</v>
      </c>
      <c r="P28" s="28">
        <v>-1.4850478743333331</v>
      </c>
      <c r="Q28" s="28">
        <v>-3.2831584820000002</v>
      </c>
      <c r="R28" s="28">
        <v>-1.9825477179166671</v>
      </c>
      <c r="S28" s="28">
        <v>-0.54770109741666706</v>
      </c>
      <c r="T28" s="28">
        <v>-3.2362678153333331</v>
      </c>
      <c r="U28" s="28">
        <v>-3.1561558153333329</v>
      </c>
      <c r="V28" s="28">
        <v>-2.0073760512500001</v>
      </c>
      <c r="W28" s="28">
        <v>-2.7152023384166668</v>
      </c>
      <c r="X28" s="28">
        <v>-2.0088333845833328</v>
      </c>
      <c r="Y28" s="28">
        <v>-3.2623254820000001</v>
      </c>
      <c r="Z28" s="28">
        <v>-0.87900871791667012</v>
      </c>
      <c r="AA28" s="28">
        <v>-2.7733983384166669</v>
      </c>
      <c r="AB28" s="28">
        <v>-1.9058443179166671</v>
      </c>
      <c r="AC28" s="28">
        <v>-3.235148482</v>
      </c>
      <c r="AD28" s="28">
        <v>-1.4532312409999999</v>
      </c>
      <c r="AE28" s="28">
        <v>-1.9970440512500001</v>
      </c>
      <c r="AF28" s="28">
        <v>-1.9150698153333301</v>
      </c>
      <c r="AG28" s="28">
        <v>-2.9125327153333331</v>
      </c>
      <c r="AH28" s="28">
        <v>-2.619746005083333</v>
      </c>
      <c r="AI28" s="28">
        <v>-0.94471009741666712</v>
      </c>
      <c r="AJ28" s="28">
        <v>-2.0658385281666671</v>
      </c>
      <c r="AK28" s="28">
        <v>-1.354079241</v>
      </c>
      <c r="AL28" s="28">
        <v>-1.5502285743333331</v>
      </c>
      <c r="AM28" s="28">
        <v>-3.2046359820000001</v>
      </c>
      <c r="AN28" s="28">
        <v>-2.8367431486666659</v>
      </c>
      <c r="AO28" s="28">
        <v>-1.2084344307499999</v>
      </c>
      <c r="AP28" s="28">
        <v>-1.20143443075</v>
      </c>
      <c r="AQ28" s="28">
        <v>-2.8867301486666661</v>
      </c>
      <c r="AR28" s="28">
        <v>-3.2891584819999999</v>
      </c>
      <c r="AS28" s="28">
        <v>-3.165728482</v>
      </c>
      <c r="AT28" s="28">
        <v>-1.7725727179166659</v>
      </c>
      <c r="AU28" s="28">
        <v>-3.2821584819999998</v>
      </c>
      <c r="AV28" s="28">
        <v>-2.641907482000001</v>
      </c>
      <c r="AW28" s="28">
        <v>-2.2531652663478261</v>
      </c>
      <c r="AX28" s="34">
        <v>-103.645602252</v>
      </c>
    </row>
    <row r="29" spans="1:50" x14ac:dyDescent="0.25">
      <c r="A29" s="24">
        <v>28</v>
      </c>
      <c r="B29" s="26">
        <v>13.5</v>
      </c>
      <c r="C29" s="28">
        <v>-1.557787869866665</v>
      </c>
      <c r="D29" s="28">
        <v>-2.274465745600001</v>
      </c>
      <c r="E29" s="28">
        <v>-2.7532696608000009</v>
      </c>
      <c r="F29" s="28">
        <v>-2.9465053274666682</v>
      </c>
      <c r="G29" s="28">
        <v>-2.339514078933334</v>
      </c>
      <c r="H29" s="28">
        <v>-2.7361100608000011</v>
      </c>
      <c r="I29" s="28">
        <v>-3.1339716608000008</v>
      </c>
      <c r="J29" s="28">
        <v>-1.694277088</v>
      </c>
      <c r="K29" s="28">
        <v>-1.2474674546666671</v>
      </c>
      <c r="L29" s="28">
        <v>-3.1373993274666678</v>
      </c>
      <c r="M29" s="28">
        <v>-1.0645674122666711</v>
      </c>
      <c r="N29" s="28">
        <v>-2.7397039941333352</v>
      </c>
      <c r="O29" s="28">
        <v>-0.98235490613333298</v>
      </c>
      <c r="P29" s="28">
        <v>-1.372083397066667</v>
      </c>
      <c r="Q29" s="28">
        <v>-2.7698143274666678</v>
      </c>
      <c r="R29" s="28">
        <v>-1.883883954666667</v>
      </c>
      <c r="S29" s="28">
        <v>-1.0415443728</v>
      </c>
      <c r="T29" s="28">
        <v>-2.951537660800001</v>
      </c>
      <c r="U29" s="28">
        <v>-3.0484349941333351</v>
      </c>
      <c r="V29" s="28">
        <v>-1.619970954666667</v>
      </c>
      <c r="W29" s="28">
        <v>-2.7345342032000022</v>
      </c>
      <c r="X29" s="28">
        <v>-1.7489206213333339</v>
      </c>
      <c r="Y29" s="28">
        <v>-3.0220586608000009</v>
      </c>
      <c r="Z29" s="28">
        <v>-0.79307295466666705</v>
      </c>
      <c r="AA29" s="28">
        <v>-2.7510008698666679</v>
      </c>
      <c r="AB29" s="28">
        <v>-1.680259954666667</v>
      </c>
      <c r="AC29" s="28">
        <v>-3.120126327466668</v>
      </c>
      <c r="AD29" s="28">
        <v>-1.550667163733334</v>
      </c>
      <c r="AE29" s="28">
        <v>-1.9079179546666669</v>
      </c>
      <c r="AF29" s="28">
        <v>-3.162334327466668</v>
      </c>
      <c r="AG29" s="28">
        <v>-3.1390967274666681</v>
      </c>
      <c r="AH29" s="28">
        <v>-2.6032165365333348</v>
      </c>
      <c r="AI29" s="28">
        <v>-0.67659037280000001</v>
      </c>
      <c r="AJ29" s="28">
        <v>-0.67857707893333097</v>
      </c>
      <c r="AK29" s="28">
        <v>-1.394314497066667</v>
      </c>
      <c r="AL29" s="28">
        <v>-1.397230830400001</v>
      </c>
      <c r="AM29" s="28">
        <v>-1.085718327466668</v>
      </c>
      <c r="AN29" s="28">
        <v>-2.6280876608000008</v>
      </c>
      <c r="AO29" s="28">
        <v>-1.0799773727999999</v>
      </c>
      <c r="AP29" s="28">
        <v>-1.1550003728</v>
      </c>
      <c r="AQ29" s="28">
        <v>-2.527252994133335</v>
      </c>
      <c r="AR29" s="28">
        <v>-2.996579660800001</v>
      </c>
      <c r="AS29" s="28">
        <v>-2.8265483274666678</v>
      </c>
      <c r="AT29" s="28">
        <v>-1.9743339546666669</v>
      </c>
      <c r="AU29" s="28">
        <v>-3.0612629941333349</v>
      </c>
      <c r="AV29" s="28">
        <v>-2.8435383274666681</v>
      </c>
      <c r="AW29" s="28">
        <v>-2.1268018113507261</v>
      </c>
      <c r="AX29" s="34">
        <v>-97.832883322133384</v>
      </c>
    </row>
    <row r="30" spans="1:50" x14ac:dyDescent="0.25">
      <c r="A30" s="24">
        <v>29</v>
      </c>
      <c r="B30" s="26">
        <v>14</v>
      </c>
      <c r="C30" s="28">
        <v>-2.5163978065500001</v>
      </c>
      <c r="D30" s="28">
        <v>-2.230143453233334</v>
      </c>
      <c r="E30" s="28">
        <v>-2.7506316931999999</v>
      </c>
      <c r="F30" s="28">
        <v>-2.6908148931999998</v>
      </c>
      <c r="G30" s="28">
        <v>-2.2441309198999999</v>
      </c>
      <c r="H30" s="28">
        <v>-2.7010292932</v>
      </c>
      <c r="I30" s="28">
        <v>-3.0135078931999999</v>
      </c>
      <c r="J30" s="28">
        <v>-1.8329594332500001</v>
      </c>
      <c r="K30" s="28">
        <v>-1.627580099916667</v>
      </c>
      <c r="L30" s="28">
        <v>-2.9341192265333329</v>
      </c>
      <c r="M30" s="28">
        <v>-0.87588558656667015</v>
      </c>
      <c r="N30" s="28">
        <v>-2.9283672265333331</v>
      </c>
      <c r="O30" s="28">
        <v>-0.97643019328333303</v>
      </c>
      <c r="P30" s="28">
        <v>-1.3672256465999999</v>
      </c>
      <c r="Q30" s="28">
        <v>-3.0108412265333331</v>
      </c>
      <c r="R30" s="28">
        <v>-1.7095310999166671</v>
      </c>
      <c r="S30" s="28">
        <v>-1.0038521266166669</v>
      </c>
      <c r="T30" s="28">
        <v>-2.0107298932000002</v>
      </c>
      <c r="U30" s="28">
        <v>-2.7565342265333328</v>
      </c>
      <c r="V30" s="28">
        <v>-1.727686099916667</v>
      </c>
      <c r="W30" s="28">
        <v>-2.5998573398833331</v>
      </c>
      <c r="X30" s="28">
        <v>-1.7855653332500001</v>
      </c>
      <c r="Y30" s="28">
        <v>-3.0125078932</v>
      </c>
      <c r="Z30" s="28">
        <v>-1.3236700999166671</v>
      </c>
      <c r="AA30" s="28">
        <v>-2.63831940655</v>
      </c>
      <c r="AB30" s="28">
        <v>-1.8622010332500001</v>
      </c>
      <c r="AC30" s="28">
        <v>-2.9147145598666668</v>
      </c>
      <c r="AD30" s="28">
        <v>-1.4767539465999999</v>
      </c>
      <c r="AE30" s="28">
        <v>-1.8859424332500001</v>
      </c>
      <c r="AF30" s="28">
        <v>-3.0145078931999998</v>
      </c>
      <c r="AG30" s="28">
        <v>-2.8452116932</v>
      </c>
      <c r="AH30" s="28">
        <v>-2.3376447398833329</v>
      </c>
      <c r="AI30" s="28">
        <v>-0.918187793283333</v>
      </c>
      <c r="AJ30" s="28">
        <v>-1.6990232532333329</v>
      </c>
      <c r="AK30" s="28">
        <v>-1.4717539466</v>
      </c>
      <c r="AL30" s="28">
        <v>-1.1929282799333329</v>
      </c>
      <c r="AM30" s="28">
        <v>-7.5764559866669856E-2</v>
      </c>
      <c r="AN30" s="28">
        <v>-2.569723559866667</v>
      </c>
      <c r="AO30" s="28">
        <v>-1.0609971266166669</v>
      </c>
      <c r="AP30" s="28">
        <v>-0.89962345995000004</v>
      </c>
      <c r="AQ30" s="28">
        <v>-2.2356472265333331</v>
      </c>
      <c r="AR30" s="28">
        <v>-3.0175078931999999</v>
      </c>
      <c r="AS30" s="28">
        <v>-2.5735492265333328</v>
      </c>
      <c r="AT30" s="28">
        <v>-1.81142743325</v>
      </c>
      <c r="AU30" s="28">
        <v>-2.9550385598666669</v>
      </c>
      <c r="AV30" s="28">
        <v>-2.6170965598666669</v>
      </c>
      <c r="AW30" s="28">
        <v>-2.080512245402899</v>
      </c>
      <c r="AX30" s="34">
        <v>-95.70356328853336</v>
      </c>
    </row>
    <row r="31" spans="1:50" x14ac:dyDescent="0.25">
      <c r="A31" s="24">
        <v>30</v>
      </c>
      <c r="B31" s="26">
        <v>14.5</v>
      </c>
      <c r="C31" s="28">
        <v>-2.3939550014333348</v>
      </c>
      <c r="D31" s="28">
        <v>-1.982871963133334</v>
      </c>
      <c r="E31" s="28">
        <v>-2.7009477730666678</v>
      </c>
      <c r="F31" s="28">
        <v>-2.7380608397333348</v>
      </c>
      <c r="G31" s="28">
        <v>-2.1036426298000008</v>
      </c>
      <c r="H31" s="28">
        <v>-2.7364858397333349</v>
      </c>
      <c r="I31" s="28">
        <v>-2.670254173066668</v>
      </c>
      <c r="J31" s="28">
        <v>-1.5577241248333351</v>
      </c>
      <c r="K31" s="28">
        <v>-1.7050071915000009</v>
      </c>
      <c r="L31" s="28">
        <v>-2.729253506400001</v>
      </c>
      <c r="M31" s="28">
        <v>-2.019462296466668</v>
      </c>
      <c r="N31" s="28">
        <v>-2.6831842064000009</v>
      </c>
      <c r="O31" s="28">
        <v>-1.0081645815666671</v>
      </c>
      <c r="P31" s="28">
        <v>-1.2449224198666671</v>
      </c>
      <c r="Q31" s="28">
        <v>-2.8161901730666679</v>
      </c>
      <c r="R31" s="28">
        <v>-1.7438688581666679</v>
      </c>
      <c r="S31" s="28">
        <v>-1.0223213149000001</v>
      </c>
      <c r="T31" s="28">
        <v>-2.7359085064000008</v>
      </c>
      <c r="U31" s="28">
        <v>-2.342869173066668</v>
      </c>
      <c r="V31" s="28">
        <v>-1.460620524833335</v>
      </c>
      <c r="W31" s="28">
        <v>-2.2820710681000018</v>
      </c>
      <c r="X31" s="28">
        <v>-1.6066030581666679</v>
      </c>
      <c r="Y31" s="28">
        <v>-2.8251901730666682</v>
      </c>
      <c r="Z31" s="28">
        <v>-1.070389858166668</v>
      </c>
      <c r="AA31" s="28">
        <v>-2.4377797347666679</v>
      </c>
      <c r="AB31" s="28">
        <v>-1.2716108581666681</v>
      </c>
      <c r="AC31" s="28">
        <v>-2.4623591730666679</v>
      </c>
      <c r="AD31" s="28">
        <v>-1.216159086533334</v>
      </c>
      <c r="AE31" s="28">
        <v>-1.7688688581666681</v>
      </c>
      <c r="AF31" s="28">
        <v>-2.6568735064000011</v>
      </c>
      <c r="AG31" s="28">
        <v>-2.8241901730666679</v>
      </c>
      <c r="AH31" s="28">
        <v>-2.2311010681000019</v>
      </c>
      <c r="AI31" s="28">
        <v>-4.7444823333009373E-4</v>
      </c>
      <c r="AJ31" s="28">
        <v>-1.830661296466668</v>
      </c>
      <c r="AK31" s="28">
        <v>-1.3780950865333339</v>
      </c>
      <c r="AL31" s="28">
        <v>-1.186688086533334</v>
      </c>
      <c r="AM31" s="28">
        <v>-1.9857418397333351</v>
      </c>
      <c r="AN31" s="28">
        <v>-2.4149325064000009</v>
      </c>
      <c r="AO31" s="28">
        <v>-0.86521131490000003</v>
      </c>
      <c r="AP31" s="28">
        <v>-4.9013149000001199E-3</v>
      </c>
      <c r="AQ31" s="28">
        <v>-1.2164735063999981</v>
      </c>
      <c r="AR31" s="28">
        <v>-2.0980301730666691</v>
      </c>
      <c r="AS31" s="28">
        <v>-2.5340725064000011</v>
      </c>
      <c r="AT31" s="28">
        <v>-1.571633858166668</v>
      </c>
      <c r="AU31" s="28">
        <v>-2.7540521730666678</v>
      </c>
      <c r="AV31" s="28">
        <v>-2.684543839733335</v>
      </c>
      <c r="AW31" s="28">
        <v>-1.947270079646378</v>
      </c>
      <c r="AX31" s="34">
        <v>-89.574423663733398</v>
      </c>
    </row>
    <row r="32" spans="1:50" x14ac:dyDescent="0.25">
      <c r="A32" s="24">
        <v>31</v>
      </c>
      <c r="B32" s="26">
        <v>15</v>
      </c>
      <c r="C32" s="28">
        <v>-2.135968966283333</v>
      </c>
      <c r="D32" s="28">
        <v>3.7496223333027817E-4</v>
      </c>
      <c r="E32" s="28">
        <v>-2.5598190281333331</v>
      </c>
      <c r="F32" s="28">
        <v>-2.2999118281333328</v>
      </c>
      <c r="G32" s="28">
        <v>-1.9543463711</v>
      </c>
      <c r="H32" s="28">
        <v>-1.2535124948</v>
      </c>
      <c r="I32" s="28">
        <v>-2.579243828133333</v>
      </c>
      <c r="J32" s="28">
        <v>-1.600192375916667</v>
      </c>
      <c r="K32" s="28">
        <v>-1.6194553092499999</v>
      </c>
      <c r="L32" s="28">
        <v>-2.555779428133333</v>
      </c>
      <c r="M32" s="28">
        <v>-1.7543257044333329</v>
      </c>
      <c r="N32" s="28">
        <v>-2.5200551614666669</v>
      </c>
      <c r="O32" s="28">
        <v>-0.59110551888333396</v>
      </c>
      <c r="P32" s="28">
        <v>-1.1525409140666669</v>
      </c>
      <c r="Q32" s="28">
        <v>-2.5801108281333329</v>
      </c>
      <c r="R32" s="28">
        <v>-1.5500053092499999</v>
      </c>
      <c r="S32" s="28">
        <v>-0.77911785221666696</v>
      </c>
      <c r="T32" s="28">
        <v>-2.614730928133334</v>
      </c>
      <c r="U32" s="28">
        <v>-2.4283084948</v>
      </c>
      <c r="V32" s="28">
        <v>-1.506646942583334</v>
      </c>
      <c r="W32" s="28">
        <v>-2.0373364329500001</v>
      </c>
      <c r="X32" s="28">
        <v>-1.4075134425833331</v>
      </c>
      <c r="Y32" s="28">
        <v>-2.4805751614666671</v>
      </c>
      <c r="Z32" s="28">
        <v>-0.9914463092500001</v>
      </c>
      <c r="AA32" s="28">
        <v>-2.270928099616667</v>
      </c>
      <c r="AB32" s="28">
        <v>-1.0127306425833329</v>
      </c>
      <c r="AC32" s="28">
        <v>-2.3791584948</v>
      </c>
      <c r="AD32" s="28">
        <v>-1.2835642474</v>
      </c>
      <c r="AE32" s="28">
        <v>-1.51535930925</v>
      </c>
      <c r="AF32" s="28">
        <v>-2.6281284947999999</v>
      </c>
      <c r="AG32" s="28">
        <v>-2.488168828133333</v>
      </c>
      <c r="AH32" s="28">
        <v>-2.2068984329500001</v>
      </c>
      <c r="AI32" s="28">
        <v>-0.340898518883333</v>
      </c>
      <c r="AJ32" s="28">
        <v>-1.1544517044333329</v>
      </c>
      <c r="AK32" s="28">
        <v>-1.1272115807333329</v>
      </c>
      <c r="AL32" s="28">
        <v>-1.0768532474000001</v>
      </c>
      <c r="AM32" s="28">
        <v>-2.2368751614666671</v>
      </c>
      <c r="AN32" s="28">
        <v>-2.2232431614666659</v>
      </c>
      <c r="AO32" s="28">
        <v>-0.71421601888333297</v>
      </c>
      <c r="AP32" s="28">
        <v>-0.57582018555000003</v>
      </c>
      <c r="AQ32" s="28">
        <v>-2.2688704947999998</v>
      </c>
      <c r="AR32" s="28">
        <v>-2.4510376281333328</v>
      </c>
      <c r="AS32" s="28">
        <v>-2.3859038281333329</v>
      </c>
      <c r="AT32" s="28">
        <v>-1.62504930925</v>
      </c>
      <c r="AU32" s="28">
        <v>-2.471587828133333</v>
      </c>
      <c r="AV32" s="28">
        <v>-1.46235316146667</v>
      </c>
      <c r="AW32" s="28">
        <v>-1.7576300444811599</v>
      </c>
      <c r="AX32" s="34">
        <v>-80.850982046133367</v>
      </c>
    </row>
    <row r="33" spans="1:50" x14ac:dyDescent="0.25">
      <c r="A33" s="24">
        <v>32</v>
      </c>
      <c r="B33" s="26">
        <v>15.5</v>
      </c>
      <c r="C33" s="28">
        <v>-1.122469738800004</v>
      </c>
      <c r="D33" s="28">
        <v>-1.159534723733334</v>
      </c>
      <c r="E33" s="28">
        <v>-2.373446520533335</v>
      </c>
      <c r="F33" s="28">
        <v>-2.2032375205333352</v>
      </c>
      <c r="G33" s="28">
        <v>-1.774687890400001</v>
      </c>
      <c r="H33" s="28">
        <v>-1.4084545205333381</v>
      </c>
      <c r="I33" s="28">
        <v>-2.2986551872000009</v>
      </c>
      <c r="J33" s="28">
        <v>-1.298743308666668</v>
      </c>
      <c r="K33" s="28">
        <v>-1.2365509086666679</v>
      </c>
      <c r="L33" s="28">
        <v>-2.2609571872000012</v>
      </c>
      <c r="M33" s="28">
        <v>-1.720799890400001</v>
      </c>
      <c r="N33" s="28">
        <v>-2.0351311872000011</v>
      </c>
      <c r="O33" s="28">
        <v>-0.72300027853333348</v>
      </c>
      <c r="P33" s="28">
        <v>-1.0671785936000009</v>
      </c>
      <c r="Q33" s="28">
        <v>-2.245679853866668</v>
      </c>
      <c r="R33" s="28">
        <v>-1.3183285753333349</v>
      </c>
      <c r="S33" s="28">
        <v>-0.8312299452000006</v>
      </c>
      <c r="T33" s="28">
        <v>-2.1350081205333349</v>
      </c>
      <c r="U33" s="28">
        <v>-2.0221425205333352</v>
      </c>
      <c r="V33" s="28">
        <v>-1.347564842000001</v>
      </c>
      <c r="W33" s="28">
        <v>-1.6988245388000009</v>
      </c>
      <c r="X33" s="28">
        <v>-1.413549675333335</v>
      </c>
      <c r="Y33" s="28">
        <v>-2.372028520533334</v>
      </c>
      <c r="Z33" s="28">
        <v>-1.142608575333335</v>
      </c>
      <c r="AA33" s="28">
        <v>-2.0833085387999999</v>
      </c>
      <c r="AB33" s="28">
        <v>-1.008221242000001</v>
      </c>
      <c r="AC33" s="28">
        <v>-1.8562775205333351</v>
      </c>
      <c r="AD33" s="28">
        <v>-1.1637919269333341</v>
      </c>
      <c r="AE33" s="28">
        <v>-1.4947399086666679</v>
      </c>
      <c r="AF33" s="28">
        <v>-2.2802005205333349</v>
      </c>
      <c r="AG33" s="28">
        <v>-2.2781288538666682</v>
      </c>
      <c r="AH33" s="28">
        <v>-1.848762205466667</v>
      </c>
      <c r="AI33" s="28">
        <v>-0.61823621186666644</v>
      </c>
      <c r="AJ33" s="28">
        <v>-1.3854828904000009</v>
      </c>
      <c r="AK33" s="28">
        <v>-0.9570585936000009</v>
      </c>
      <c r="AL33" s="28">
        <v>-1.151449926933334</v>
      </c>
      <c r="AM33" s="28">
        <v>-1.131074853866668</v>
      </c>
      <c r="AN33" s="28">
        <v>-1.897686187200001</v>
      </c>
      <c r="AO33" s="28">
        <v>-0.61213344520000046</v>
      </c>
      <c r="AP33" s="28">
        <v>-0.33925261186666639</v>
      </c>
      <c r="AQ33" s="28">
        <v>-2.2622138538666681</v>
      </c>
      <c r="AR33" s="28">
        <v>-2.177369953866668</v>
      </c>
      <c r="AS33" s="28">
        <v>-2.3875838538666678</v>
      </c>
      <c r="AT33" s="28">
        <v>-1.4907399086666679</v>
      </c>
      <c r="AU33" s="28">
        <v>-2.3845838538666682</v>
      </c>
      <c r="AV33" s="28">
        <v>-1.160178853866668</v>
      </c>
      <c r="AW33" s="28">
        <v>-1.590832355200001</v>
      </c>
      <c r="AX33" s="34">
        <v>-73.178288339200066</v>
      </c>
    </row>
    <row r="34" spans="1:50" x14ac:dyDescent="0.25">
      <c r="A34" s="24">
        <v>33</v>
      </c>
      <c r="B34" s="26">
        <v>16</v>
      </c>
      <c r="C34" s="28">
        <v>-1.6922037168333319</v>
      </c>
      <c r="D34" s="28">
        <v>-0.217194842999999</v>
      </c>
      <c r="E34" s="28">
        <v>-1.9584267239999991</v>
      </c>
      <c r="F34" s="28">
        <v>-2.111800057333332</v>
      </c>
      <c r="G34" s="28">
        <v>-1.572350042999999</v>
      </c>
      <c r="H34" s="28">
        <v>-1.968046390666665</v>
      </c>
      <c r="I34" s="28">
        <v>-1.9760400573333321</v>
      </c>
      <c r="J34" s="28">
        <v>-0.76652850249999915</v>
      </c>
      <c r="K34" s="28">
        <v>-0.92340903583333211</v>
      </c>
      <c r="L34" s="28">
        <v>-1.9497617239999989</v>
      </c>
      <c r="M34" s="28">
        <v>-1.5274433763333319</v>
      </c>
      <c r="N34" s="28">
        <v>-1.5783487239999989</v>
      </c>
      <c r="O34" s="28">
        <v>-0.4678941881666655</v>
      </c>
      <c r="P34" s="28">
        <v>-0.85540002866666587</v>
      </c>
      <c r="Q34" s="28">
        <v>-1.8995324573333321</v>
      </c>
      <c r="R34" s="28">
        <v>-1.3011250358333319</v>
      </c>
      <c r="S34" s="28">
        <v>-0.75667502149999943</v>
      </c>
      <c r="T34" s="28">
        <v>-2.0536467239999991</v>
      </c>
      <c r="U34" s="28">
        <v>-1.894480057333332</v>
      </c>
      <c r="V34" s="28">
        <v>-1.1970010358333321</v>
      </c>
      <c r="W34" s="28">
        <v>-1.5092817168333319</v>
      </c>
      <c r="X34" s="28">
        <v>-1.2201757024999991</v>
      </c>
      <c r="Y34" s="28">
        <v>-2.084877823999999</v>
      </c>
      <c r="Z34" s="28">
        <v>-1.051750702499999</v>
      </c>
      <c r="AA34" s="28">
        <v>-1.7959563834999981</v>
      </c>
      <c r="AB34" s="28">
        <v>-0.1191343691666622</v>
      </c>
      <c r="AC34" s="28">
        <v>-1.149045057333332</v>
      </c>
      <c r="AD34" s="28">
        <v>-0.82782022866666582</v>
      </c>
      <c r="AE34" s="28">
        <v>-1.3261250358333321</v>
      </c>
      <c r="AF34" s="28">
        <v>-2.0568667239999989</v>
      </c>
      <c r="AG34" s="28">
        <v>-2.028986057333332</v>
      </c>
      <c r="AH34" s="28">
        <v>-1.4050643834999981</v>
      </c>
      <c r="AI34" s="28">
        <v>-4.5502149999948621E-4</v>
      </c>
      <c r="AJ34" s="28">
        <v>-1.4767573763333319</v>
      </c>
      <c r="AK34" s="28">
        <v>-0.70932169533333289</v>
      </c>
      <c r="AL34" s="28">
        <v>-0.70433069533333292</v>
      </c>
      <c r="AM34" s="28">
        <v>-0.43082172400000179</v>
      </c>
      <c r="AN34" s="28">
        <v>-1.8357900573333319</v>
      </c>
      <c r="AO34" s="28">
        <v>-0.73593002149999953</v>
      </c>
      <c r="AP34" s="28">
        <v>-0.43892202149999948</v>
      </c>
      <c r="AQ34" s="28">
        <v>-1.9939000573333321</v>
      </c>
      <c r="AR34" s="28">
        <v>-2.0357411906666649</v>
      </c>
      <c r="AS34" s="28">
        <v>-0.86402005733333187</v>
      </c>
      <c r="AT34" s="28">
        <v>-1.152659035833332</v>
      </c>
      <c r="AU34" s="28">
        <v>-1.983259057333332</v>
      </c>
      <c r="AV34" s="28">
        <v>-1.896950723999999</v>
      </c>
      <c r="AW34" s="28">
        <v>-1.3369837100869559</v>
      </c>
      <c r="AX34" s="34">
        <v>-61.501250663999961</v>
      </c>
    </row>
    <row r="35" spans="1:50" x14ac:dyDescent="0.25">
      <c r="A35" s="24">
        <v>34</v>
      </c>
      <c r="B35" s="26">
        <v>16.5</v>
      </c>
      <c r="C35" s="28">
        <v>-1.077109563816665</v>
      </c>
      <c r="D35" s="28">
        <v>-9.4066721366669048E-2</v>
      </c>
      <c r="E35" s="28">
        <v>-1.7940712729333319</v>
      </c>
      <c r="F35" s="28">
        <v>-1.6518162729333321</v>
      </c>
      <c r="G35" s="28">
        <v>-1.3280534546999989</v>
      </c>
      <c r="H35" s="28">
        <v>-1.7522062729333321</v>
      </c>
      <c r="I35" s="28">
        <v>-1.6410812729333319</v>
      </c>
      <c r="J35" s="28">
        <v>-0.47473267891666687</v>
      </c>
      <c r="K35" s="28">
        <v>-0.76829921224999898</v>
      </c>
      <c r="L35" s="28">
        <v>-1.7285912729333319</v>
      </c>
      <c r="M35" s="28">
        <v>-1.1753707880333319</v>
      </c>
      <c r="N35" s="28">
        <v>-1.6381086062666661</v>
      </c>
      <c r="O35" s="28">
        <v>-0.2187910606833324</v>
      </c>
      <c r="P35" s="28">
        <v>-0.86090963646666596</v>
      </c>
      <c r="Q35" s="28">
        <v>-1.6956732729333319</v>
      </c>
      <c r="R35" s="28">
        <v>-0.945509545583333</v>
      </c>
      <c r="S35" s="28">
        <v>-0.48371406068333239</v>
      </c>
      <c r="T35" s="28">
        <v>-1.6767299395999991</v>
      </c>
      <c r="U35" s="28">
        <v>-1.376719272933332</v>
      </c>
      <c r="V35" s="28">
        <v>-0.163761545583333</v>
      </c>
      <c r="W35" s="28">
        <v>-1.170211697149999</v>
      </c>
      <c r="X35" s="28">
        <v>-0.92916321224999898</v>
      </c>
      <c r="Y35" s="28">
        <v>-1.5253432729333321</v>
      </c>
      <c r="Z35" s="28">
        <v>-0.65134321224999991</v>
      </c>
      <c r="AA35" s="28">
        <v>-1.5695623638166649</v>
      </c>
      <c r="AB35" s="28">
        <v>-0.66317354558333297</v>
      </c>
      <c r="AC35" s="28">
        <v>-1.6458346062666649</v>
      </c>
      <c r="AD35" s="28">
        <v>-0.73026616979999903</v>
      </c>
      <c r="AE35" s="28">
        <v>-0.96814854558333296</v>
      </c>
      <c r="AF35" s="28">
        <v>-1.793071272933332</v>
      </c>
      <c r="AG35" s="28">
        <v>-1.7900712729333319</v>
      </c>
      <c r="AH35" s="28">
        <v>-1.323695697149998</v>
      </c>
      <c r="AI35" s="28">
        <v>-2.2072734999943611E-4</v>
      </c>
      <c r="AJ35" s="28">
        <v>-0.97412678803333208</v>
      </c>
      <c r="AK35" s="28">
        <v>-0.53998563646666597</v>
      </c>
      <c r="AL35" s="28">
        <v>-0.57177963646666596</v>
      </c>
      <c r="AM35" s="28">
        <v>-1.6290479395999991</v>
      </c>
      <c r="AN35" s="28">
        <v>-9.6939600001955117E-5</v>
      </c>
      <c r="AO35" s="28">
        <v>-0.59871539401666607</v>
      </c>
      <c r="AP35" s="28">
        <v>-0.37960306068333238</v>
      </c>
      <c r="AQ35" s="28">
        <v>-1.598059606266665</v>
      </c>
      <c r="AR35" s="28">
        <v>-1.671435672933332</v>
      </c>
      <c r="AS35" s="28">
        <v>-0.79225060626666188</v>
      </c>
      <c r="AT35" s="28">
        <v>-1.0088545455833331</v>
      </c>
      <c r="AU35" s="28">
        <v>-1.6989336062666649</v>
      </c>
      <c r="AV35" s="28">
        <v>-1.515351272933332</v>
      </c>
      <c r="AW35" s="28">
        <v>-1.093123087513042</v>
      </c>
      <c r="AX35" s="34">
        <v>-50.283662025599952</v>
      </c>
    </row>
    <row r="36" spans="1:50" x14ac:dyDescent="0.25">
      <c r="A36" s="24">
        <v>35</v>
      </c>
      <c r="B36" s="26">
        <v>17</v>
      </c>
      <c r="C36" s="28">
        <v>-0.100416394749995</v>
      </c>
      <c r="D36" s="28">
        <v>-1.0692922621666661</v>
      </c>
      <c r="E36" s="28">
        <v>-1.1030010606666649</v>
      </c>
      <c r="F36" s="28">
        <v>-1.339952727333332</v>
      </c>
      <c r="G36" s="28">
        <v>-0.87170606216666613</v>
      </c>
      <c r="H36" s="28">
        <v>-1.3779413939999989</v>
      </c>
      <c r="I36" s="28">
        <v>-1.4872117273333321</v>
      </c>
      <c r="J36" s="28">
        <v>-4.1066291666247418E-4</v>
      </c>
      <c r="K36" s="28">
        <v>-0.55608899624999952</v>
      </c>
      <c r="L36" s="28">
        <v>-1.0497737273333321</v>
      </c>
      <c r="M36" s="28">
        <v>-1.0994087954999989</v>
      </c>
      <c r="N36" s="28">
        <v>-1.073158193999999</v>
      </c>
      <c r="O36" s="28">
        <v>-0.42595673108333237</v>
      </c>
      <c r="P36" s="28">
        <v>-0.41689019699999902</v>
      </c>
      <c r="Q36" s="28">
        <v>-1.447760793999999</v>
      </c>
      <c r="R36" s="28">
        <v>-0.83818399624999951</v>
      </c>
      <c r="S36" s="28">
        <v>-0.35080873108333238</v>
      </c>
      <c r="T36" s="28">
        <v>-1.0637653939999989</v>
      </c>
      <c r="U36" s="28">
        <v>-1.1225603939999991</v>
      </c>
      <c r="V36" s="28">
        <v>-0.32350999624999838</v>
      </c>
      <c r="W36" s="28">
        <v>-1.0034539280833319</v>
      </c>
      <c r="X36" s="28">
        <v>-0.86156526291666546</v>
      </c>
      <c r="Y36" s="28">
        <v>-1.4772117273333321</v>
      </c>
      <c r="Z36" s="28">
        <v>-0.44962559624999843</v>
      </c>
      <c r="AA36" s="28">
        <v>-1.2368642614166649</v>
      </c>
      <c r="AB36" s="28">
        <v>-0.78631332958333244</v>
      </c>
      <c r="AC36" s="28">
        <v>-1.297791527333332</v>
      </c>
      <c r="AD36" s="28">
        <v>-0.58583023033333292</v>
      </c>
      <c r="AE36" s="28">
        <v>-0.59885732958333249</v>
      </c>
      <c r="AF36" s="28">
        <v>-1.237674393999999</v>
      </c>
      <c r="AG36" s="28">
        <v>-1.377756727333332</v>
      </c>
      <c r="AH36" s="28">
        <v>-1.058153594749998</v>
      </c>
      <c r="AI36" s="28">
        <v>2.2293558333355559E-4</v>
      </c>
      <c r="AJ36" s="28">
        <v>-0.64058679549999908</v>
      </c>
      <c r="AK36" s="28">
        <v>-0.5028415303333329</v>
      </c>
      <c r="AL36" s="28">
        <v>-0.19096386366666601</v>
      </c>
      <c r="AM36" s="28">
        <v>-1.2315623939999989</v>
      </c>
      <c r="AN36" s="28">
        <v>-0.63108872733333188</v>
      </c>
      <c r="AO36" s="28">
        <v>-0.43921439774999937</v>
      </c>
      <c r="AP36" s="28">
        <v>-0.28071073108333239</v>
      </c>
      <c r="AQ36" s="28">
        <v>-1.4149997273333319</v>
      </c>
      <c r="AR36" s="28">
        <v>-0.98123539399999893</v>
      </c>
      <c r="AS36" s="28">
        <v>2.239393333381412E-4</v>
      </c>
      <c r="AT36" s="28">
        <v>-0.80475932958333241</v>
      </c>
      <c r="AU36" s="28">
        <v>-1.415073727333332</v>
      </c>
      <c r="AV36" s="28">
        <v>-1.045185727333332</v>
      </c>
      <c r="AW36" s="28">
        <v>-0.84057981776811475</v>
      </c>
      <c r="AX36" s="34">
        <v>-38.666671617333279</v>
      </c>
    </row>
    <row r="37" spans="1:50" x14ac:dyDescent="0.25">
      <c r="A37" s="24">
        <v>36</v>
      </c>
      <c r="B37" s="26">
        <v>17.5</v>
      </c>
      <c r="C37" s="28">
        <v>-1.010401251883333</v>
      </c>
      <c r="D37" s="28">
        <v>-0.48140088256666708</v>
      </c>
      <c r="E37" s="28">
        <v>-1.1441832878666669</v>
      </c>
      <c r="F37" s="28">
        <v>-1.1002376212</v>
      </c>
      <c r="G37" s="28">
        <v>-0.7709080825666671</v>
      </c>
      <c r="H37" s="28">
        <v>-1.150330187866667</v>
      </c>
      <c r="I37" s="28">
        <v>-1.0576582878666669</v>
      </c>
      <c r="J37" s="28">
        <v>-2.2517991666015649E-4</v>
      </c>
      <c r="K37" s="28">
        <v>-0.50681517991666702</v>
      </c>
      <c r="L37" s="28">
        <v>-0.91440262120000004</v>
      </c>
      <c r="M37" s="28">
        <v>-0.53829021590000004</v>
      </c>
      <c r="N37" s="28">
        <v>-1.0344346212</v>
      </c>
      <c r="O37" s="28">
        <v>-0.16375310795000009</v>
      </c>
      <c r="P37" s="28">
        <v>-0.48294147726666697</v>
      </c>
      <c r="Q37" s="28">
        <v>-0.95718962120000006</v>
      </c>
      <c r="R37" s="28">
        <v>-0.71121851324999996</v>
      </c>
      <c r="S37" s="28">
        <v>-0.26550110795000009</v>
      </c>
      <c r="T37" s="28">
        <v>-0.90183628786666703</v>
      </c>
      <c r="U37" s="28">
        <v>-0.73207395453333302</v>
      </c>
      <c r="V37" s="28">
        <v>-0.57116591324999999</v>
      </c>
      <c r="W37" s="28">
        <v>-0.60151891855000006</v>
      </c>
      <c r="X37" s="28">
        <v>-0.55204731325</v>
      </c>
      <c r="Y37" s="28">
        <v>-1.143838954533333</v>
      </c>
      <c r="Z37" s="28">
        <v>-0.58873657991666706</v>
      </c>
      <c r="AA37" s="28">
        <v>-1.02870591855</v>
      </c>
      <c r="AB37" s="28">
        <v>-0.39015517991666698</v>
      </c>
      <c r="AC37" s="28">
        <v>-1.1121979211999999</v>
      </c>
      <c r="AD37" s="28">
        <v>-0.31055747726666699</v>
      </c>
      <c r="AE37" s="28">
        <v>-0.68987484658333331</v>
      </c>
      <c r="AF37" s="28">
        <v>-1.0650796212</v>
      </c>
      <c r="AG37" s="28">
        <v>-1.034989954533333</v>
      </c>
      <c r="AH37" s="28">
        <v>-0.67827625188333307</v>
      </c>
      <c r="AI37" s="28">
        <v>2.2955871666974209E-4</v>
      </c>
      <c r="AJ37" s="28">
        <v>3.2111743332974291E-4</v>
      </c>
      <c r="AK37" s="28">
        <v>-0.35853081060000003</v>
      </c>
      <c r="AL37" s="28">
        <v>-0.19587747726666699</v>
      </c>
      <c r="AM37" s="28">
        <v>-1.0803346212</v>
      </c>
      <c r="AN37" s="28">
        <v>-0.66420662120000007</v>
      </c>
      <c r="AO37" s="28">
        <v>-0.40406577461666682</v>
      </c>
      <c r="AP37" s="28">
        <v>-2.9577461667007482E-4</v>
      </c>
      <c r="AQ37" s="28">
        <v>-1.0297996212</v>
      </c>
      <c r="AR37" s="28">
        <v>9.9378799999841338E-5</v>
      </c>
      <c r="AS37" s="28">
        <v>-0.48352198786666711</v>
      </c>
      <c r="AT37" s="28">
        <v>-0.65466051324999996</v>
      </c>
      <c r="AU37" s="28">
        <v>-1.1709496211999999</v>
      </c>
      <c r="AV37" s="28">
        <v>-0.65044195453333309</v>
      </c>
      <c r="AW37" s="28">
        <v>-0.66049958833043476</v>
      </c>
      <c r="AX37" s="34">
        <v>-30.382981063199999</v>
      </c>
    </row>
    <row r="38" spans="1:50" x14ac:dyDescent="0.25">
      <c r="A38" s="24">
        <v>37</v>
      </c>
      <c r="B38" s="26">
        <v>18</v>
      </c>
      <c r="C38" s="28">
        <v>-0.48483378450000147</v>
      </c>
      <c r="D38" s="28">
        <v>-0.30495903433333399</v>
      </c>
      <c r="E38" s="28">
        <v>-0.36776160133333502</v>
      </c>
      <c r="F38" s="28">
        <v>-0.65711493466666804</v>
      </c>
      <c r="G38" s="28">
        <v>-0.6166836676666676</v>
      </c>
      <c r="H38" s="28">
        <v>-0.42048270133333498</v>
      </c>
      <c r="I38" s="28">
        <v>-0.85039493466666805</v>
      </c>
      <c r="J38" s="28">
        <v>-4.577508333376556E-4</v>
      </c>
      <c r="K38" s="28">
        <v>-3.4266417500000479E-2</v>
      </c>
      <c r="L38" s="28">
        <v>-0.83732693466666808</v>
      </c>
      <c r="M38" s="28">
        <v>-3.7803433333116748E-4</v>
      </c>
      <c r="N38" s="28">
        <v>-0.74900960133333505</v>
      </c>
      <c r="O38" s="28">
        <v>-0.1231978505000005</v>
      </c>
      <c r="P38" s="28">
        <v>-0.31603180066666697</v>
      </c>
      <c r="Q38" s="28">
        <v>-0.79991693466666802</v>
      </c>
      <c r="R38" s="28">
        <v>-0.51796475083333415</v>
      </c>
      <c r="S38" s="28">
        <v>2.041494999994869E-4</v>
      </c>
      <c r="T38" s="28">
        <v>-0.62075880133333494</v>
      </c>
      <c r="U38" s="28">
        <v>-0.62459693466666799</v>
      </c>
      <c r="V38" s="28">
        <v>-0.3967496841666675</v>
      </c>
      <c r="W38" s="28">
        <v>-0.46782065116666849</v>
      </c>
      <c r="X38" s="28">
        <v>-0.39071648416666749</v>
      </c>
      <c r="Y38" s="28">
        <v>-0.71355860133333504</v>
      </c>
      <c r="Z38" s="28">
        <v>-9.1953084166667476E-2</v>
      </c>
      <c r="AA38" s="28">
        <v>-0.71958831783333443</v>
      </c>
      <c r="AB38" s="28">
        <v>-0.35033508416666748</v>
      </c>
      <c r="AC38" s="28">
        <v>-0.56115480133333495</v>
      </c>
      <c r="AD38" s="28">
        <v>-0.25618946733333398</v>
      </c>
      <c r="AE38" s="28">
        <v>-0.42965708416666748</v>
      </c>
      <c r="AF38" s="28">
        <v>-0.65863026800000102</v>
      </c>
      <c r="AG38" s="28">
        <v>-0.86891693466666797</v>
      </c>
      <c r="AH38" s="28">
        <v>-0.58491898450000146</v>
      </c>
      <c r="AI38" s="28">
        <v>-1.9418383333352771E-4</v>
      </c>
      <c r="AJ38" s="28">
        <v>3.632333329228743E-6</v>
      </c>
      <c r="AK38" s="28">
        <v>-0.308163467333334</v>
      </c>
      <c r="AL38" s="28">
        <v>-0.101841800666667</v>
      </c>
      <c r="AM38" s="28">
        <v>-0.58585193466666796</v>
      </c>
      <c r="AN38" s="28">
        <v>-0.35303960133333401</v>
      </c>
      <c r="AO38" s="28">
        <v>-0.16589665050000049</v>
      </c>
      <c r="AP38" s="28">
        <v>-2.4517166670623421E-5</v>
      </c>
      <c r="AQ38" s="28">
        <v>-0.74276693466666799</v>
      </c>
      <c r="AR38" s="28">
        <v>-0.56197860133333499</v>
      </c>
      <c r="AS38" s="28">
        <v>-0.53959493466666797</v>
      </c>
      <c r="AT38" s="28">
        <v>-0.40284908416666748</v>
      </c>
      <c r="AU38" s="28">
        <v>-0.80570653466666797</v>
      </c>
      <c r="AV38" s="28">
        <v>-0.75302693466666804</v>
      </c>
      <c r="AW38" s="28">
        <v>-0.4377620285797113</v>
      </c>
      <c r="AX38" s="34">
        <v>-20.137053314666719</v>
      </c>
    </row>
    <row r="39" spans="1:50" x14ac:dyDescent="0.25">
      <c r="A39" s="24">
        <v>38</v>
      </c>
      <c r="B39" s="26">
        <v>18.5</v>
      </c>
      <c r="C39" s="28">
        <v>-0.18938348525000001</v>
      </c>
      <c r="D39" s="28">
        <v>1.1028883333019659E-4</v>
      </c>
      <c r="E39" s="28">
        <v>-0.31151672600000002</v>
      </c>
      <c r="F39" s="28">
        <v>-0.55582272600000004</v>
      </c>
      <c r="G39" s="28">
        <v>-0.30207384450000002</v>
      </c>
      <c r="H39" s="28">
        <v>-0.40380182599999997</v>
      </c>
      <c r="I39" s="28">
        <v>-2.2747260000000051E-3</v>
      </c>
      <c r="J39" s="28">
        <v>-6.5303750000016147E-5</v>
      </c>
      <c r="K39" s="28">
        <v>-0.125333537083333</v>
      </c>
      <c r="L39" s="28">
        <v>-0.44246772600000012</v>
      </c>
      <c r="M39" s="28">
        <v>4.8028883333334221E-4</v>
      </c>
      <c r="N39" s="28">
        <v>-0.39581539266666699</v>
      </c>
      <c r="O39" s="28">
        <v>-6.6661522249999994E-2</v>
      </c>
      <c r="P39" s="28">
        <v>-0.132245363</v>
      </c>
      <c r="Q39" s="28">
        <v>-0.52020472600000001</v>
      </c>
      <c r="R39" s="28">
        <v>-0.218568870416667</v>
      </c>
      <c r="S39" s="28">
        <v>-3.1188916665925159E-5</v>
      </c>
      <c r="T39" s="28">
        <v>-0.123268326</v>
      </c>
      <c r="U39" s="28">
        <v>-0.24477739266666701</v>
      </c>
      <c r="V39" s="28">
        <v>4.0012958333296428E-4</v>
      </c>
      <c r="W39" s="28">
        <v>-0.50290688524999994</v>
      </c>
      <c r="X39" s="28">
        <v>-0.22279987041666699</v>
      </c>
      <c r="Y39" s="28">
        <v>-0.57775072599999999</v>
      </c>
      <c r="Z39" s="28">
        <v>-1.193708333296906E-5</v>
      </c>
      <c r="AA39" s="28">
        <v>-0.48592488524999999</v>
      </c>
      <c r="AB39" s="28">
        <v>-0.20134320375</v>
      </c>
      <c r="AC39" s="28">
        <v>-1.740593333301454E-4</v>
      </c>
      <c r="AD39" s="28">
        <v>1.4063700000000601E-4</v>
      </c>
      <c r="AE39" s="28">
        <v>-0.265126537083333</v>
      </c>
      <c r="AF39" s="28">
        <v>-0.32589905933333302</v>
      </c>
      <c r="AG39" s="28">
        <v>-0.57675072599999999</v>
      </c>
      <c r="AH39" s="28">
        <v>3.9211475000005408E-4</v>
      </c>
      <c r="AI39" s="28">
        <v>-4.3818891666980159E-4</v>
      </c>
      <c r="AJ39" s="28">
        <v>-2.283778333329739E-4</v>
      </c>
      <c r="AK39" s="28">
        <v>1.1763699999978169E-4</v>
      </c>
      <c r="AL39" s="28">
        <v>2.0463699999997981E-4</v>
      </c>
      <c r="AM39" s="28">
        <v>-0.43247605933333311</v>
      </c>
      <c r="AN39" s="28">
        <v>-0.32460572599999998</v>
      </c>
      <c r="AO39" s="28">
        <v>-0.1757910889166667</v>
      </c>
      <c r="AP39" s="28">
        <v>-1.195222500010029E-4</v>
      </c>
      <c r="AQ39" s="28">
        <v>-0.26113872599999999</v>
      </c>
      <c r="AR39" s="28">
        <v>-0.33237939266666711</v>
      </c>
      <c r="AS39" s="28">
        <v>-6.2990392666666062E-2</v>
      </c>
      <c r="AT39" s="28">
        <v>-0.25237720375000011</v>
      </c>
      <c r="AU39" s="28">
        <v>-0.37958039266666699</v>
      </c>
      <c r="AV39" s="28">
        <v>-0.57375072599999999</v>
      </c>
      <c r="AW39" s="28">
        <v>-0.21710936165217401</v>
      </c>
      <c r="AX39" s="34">
        <v>-9.9870306360000036</v>
      </c>
    </row>
    <row r="40" spans="1:50" x14ac:dyDescent="0.25">
      <c r="A40" s="24">
        <v>39</v>
      </c>
      <c r="B40" s="26">
        <v>19</v>
      </c>
      <c r="C40" s="28">
        <v>-0.2237851875999998</v>
      </c>
      <c r="D40" s="28">
        <v>-4.3069413333290951E-4</v>
      </c>
      <c r="E40" s="28">
        <v>-0.24832074773333321</v>
      </c>
      <c r="F40" s="28">
        <v>-7.3915747733333204E-2</v>
      </c>
      <c r="G40" s="28">
        <v>-0.14464516079999989</v>
      </c>
      <c r="H40" s="28">
        <v>-0.1484083477333332</v>
      </c>
      <c r="I40" s="28">
        <v>-4.8208106666325362E-4</v>
      </c>
      <c r="J40" s="28">
        <v>4.7953266666680983E-4</v>
      </c>
      <c r="K40" s="28">
        <v>-1.6111467333333181E-2</v>
      </c>
      <c r="L40" s="28">
        <v>-0.17241774773333321</v>
      </c>
      <c r="M40" s="28">
        <v>-7.1316560799999928E-2</v>
      </c>
      <c r="N40" s="28">
        <v>-0.24221474773333321</v>
      </c>
      <c r="O40" s="28">
        <v>-3.3961373333285533E-4</v>
      </c>
      <c r="P40" s="28">
        <v>-7.0610405333335902E-3</v>
      </c>
      <c r="Q40" s="28">
        <v>-0.14892408106666619</v>
      </c>
      <c r="R40" s="28">
        <v>-5.180066666626848E-5</v>
      </c>
      <c r="S40" s="28">
        <v>2.1338626666708721E-4</v>
      </c>
      <c r="T40" s="28">
        <v>2.4678559999979921E-4</v>
      </c>
      <c r="U40" s="28">
        <v>-6.8858414399999179E-2</v>
      </c>
      <c r="V40" s="28">
        <v>-5.3200467333333168E-2</v>
      </c>
      <c r="W40" s="28">
        <v>-8.6135654266666528E-2</v>
      </c>
      <c r="X40" s="28">
        <v>4.9953266666678819E-4</v>
      </c>
      <c r="Y40" s="28">
        <v>-0.19447941440000019</v>
      </c>
      <c r="Z40" s="28">
        <v>4.4903266666680009E-4</v>
      </c>
      <c r="AA40" s="28">
        <v>-0.27828065426666648</v>
      </c>
      <c r="AB40" s="28">
        <v>-1.031380066666618E-2</v>
      </c>
      <c r="AC40" s="28">
        <v>-2.5674773333320128E-4</v>
      </c>
      <c r="AD40" s="28">
        <v>4.0435946666641381E-4</v>
      </c>
      <c r="AE40" s="28">
        <v>-0.13386713399999989</v>
      </c>
      <c r="AF40" s="28">
        <v>3.1258559999886032E-4</v>
      </c>
      <c r="AG40" s="28">
        <v>-0.29020574773333319</v>
      </c>
      <c r="AH40" s="28">
        <v>-7.7823187599999538E-2</v>
      </c>
      <c r="AI40" s="28">
        <v>-5.0613733332871558E-5</v>
      </c>
      <c r="AJ40" s="28">
        <v>3.6277253333308329E-4</v>
      </c>
      <c r="AK40" s="28">
        <v>3.3495946666350918E-4</v>
      </c>
      <c r="AL40" s="28">
        <v>-2.8037386666657921E-4</v>
      </c>
      <c r="AM40" s="28">
        <v>2.5725226666684092E-4</v>
      </c>
      <c r="AN40" s="28">
        <v>-0.17748208106666619</v>
      </c>
      <c r="AO40" s="28">
        <v>-1.743094706666691E-2</v>
      </c>
      <c r="AP40" s="28">
        <v>-4.1361373333290152E-4</v>
      </c>
      <c r="AQ40" s="28">
        <v>-4.3987414400000202E-2</v>
      </c>
      <c r="AR40" s="28">
        <v>-1.4491747733333169E-2</v>
      </c>
      <c r="AS40" s="28">
        <v>4.4425226666680579E-4</v>
      </c>
      <c r="AT40" s="28">
        <v>-8.6510467333333174E-2</v>
      </c>
      <c r="AU40" s="28">
        <v>-4.6558414400000192E-2</v>
      </c>
      <c r="AV40" s="28">
        <v>2.9125226666683671E-4</v>
      </c>
      <c r="AW40" s="28">
        <v>-6.6842526486956405E-2</v>
      </c>
      <c r="AX40" s="34">
        <v>-3.0747562183999939</v>
      </c>
    </row>
    <row r="41" spans="1:50" x14ac:dyDescent="0.25">
      <c r="A41" s="24">
        <v>40</v>
      </c>
      <c r="B41" s="26">
        <v>19.5</v>
      </c>
      <c r="C41" s="28">
        <v>3.5378483333042832E-5</v>
      </c>
      <c r="D41" s="28">
        <v>-3.842946333330044E-4</v>
      </c>
      <c r="E41" s="28">
        <v>4.8138493333299559E-4</v>
      </c>
      <c r="F41" s="28">
        <v>-2.6978948399999991E-2</v>
      </c>
      <c r="G41" s="28">
        <v>-1.613613000000097E-4</v>
      </c>
      <c r="H41" s="28">
        <v>-3.2817333329715481E-6</v>
      </c>
      <c r="I41" s="28">
        <v>3.9771826666701321E-4</v>
      </c>
      <c r="J41" s="28">
        <v>3.930322500000083E-4</v>
      </c>
      <c r="K41" s="28">
        <v>-2.4663441666600278E-4</v>
      </c>
      <c r="L41" s="28">
        <v>-2.5018615066666691E-2</v>
      </c>
      <c r="M41" s="28">
        <v>-9.9294633333024684E-5</v>
      </c>
      <c r="N41" s="28">
        <v>-2.8794840000000849E-4</v>
      </c>
      <c r="O41" s="28">
        <v>-9.3313983332954376E-5</v>
      </c>
      <c r="P41" s="28">
        <v>1.026924666669982E-4</v>
      </c>
      <c r="Q41" s="28">
        <v>1.0938493333301209E-4</v>
      </c>
      <c r="R41" s="28">
        <v>-6.6967749999979898E-5</v>
      </c>
      <c r="S41" s="28">
        <v>3.9686016667039858E-5</v>
      </c>
      <c r="T41" s="28">
        <v>2.9718266667033699E-5</v>
      </c>
      <c r="U41" s="28">
        <v>3.1105160000002852E-4</v>
      </c>
      <c r="V41" s="28">
        <v>1.140322500000068E-4</v>
      </c>
      <c r="W41" s="28">
        <v>4.5304514999999768E-4</v>
      </c>
      <c r="X41" s="28">
        <v>-3.7634416666987303E-5</v>
      </c>
      <c r="Y41" s="28">
        <v>1.207182666669304E-4</v>
      </c>
      <c r="Z41" s="28">
        <v>1.240989166669815E-4</v>
      </c>
      <c r="AA41" s="28">
        <v>-4.24376215166666E-2</v>
      </c>
      <c r="AB41" s="28">
        <v>-4.2663441666990209E-4</v>
      </c>
      <c r="AC41" s="28">
        <v>2.410516000000418E-4</v>
      </c>
      <c r="AD41" s="28">
        <v>-1.075742000000712E-4</v>
      </c>
      <c r="AE41" s="28">
        <v>4.9369891666695143E-4</v>
      </c>
      <c r="AF41" s="28">
        <v>-4.5161506666990808E-4</v>
      </c>
      <c r="AG41" s="28">
        <v>-4.6094839999999941E-4</v>
      </c>
      <c r="AH41" s="28">
        <v>4.7304514999996222E-4</v>
      </c>
      <c r="AI41" s="28">
        <v>-1.2331398333298441E-4</v>
      </c>
      <c r="AJ41" s="28">
        <v>-3.7696130000003381E-4</v>
      </c>
      <c r="AK41" s="28">
        <v>4.2769246667040411E-4</v>
      </c>
      <c r="AL41" s="28">
        <v>2.6602580000001369E-4</v>
      </c>
      <c r="AM41" s="28">
        <v>-2.216150666659589E-4</v>
      </c>
      <c r="AN41" s="28">
        <v>1.623849333330096E-4</v>
      </c>
      <c r="AO41" s="28">
        <v>-3.893139833330006E-4</v>
      </c>
      <c r="AP41" s="28">
        <v>1.700193500000502E-4</v>
      </c>
      <c r="AQ41" s="28">
        <v>2.433849333330074E-4</v>
      </c>
      <c r="AR41" s="28">
        <v>-3.1794839999998992E-4</v>
      </c>
      <c r="AS41" s="28">
        <v>-1.98281733333E-4</v>
      </c>
      <c r="AT41" s="28">
        <v>-1.6344166670623219E-6</v>
      </c>
      <c r="AU41" s="28">
        <v>-1.116150666669868E-4</v>
      </c>
      <c r="AV41" s="28">
        <v>-2.91599484E-2</v>
      </c>
      <c r="AW41" s="28">
        <v>-2.6733494724637519E-3</v>
      </c>
      <c r="AX41" s="34">
        <v>-0.12297407573333261</v>
      </c>
    </row>
    <row r="42" spans="1:50" x14ac:dyDescent="0.25">
      <c r="A42" s="24">
        <v>41</v>
      </c>
      <c r="B42" s="26">
        <v>20</v>
      </c>
      <c r="C42" s="28">
        <v>4.4722909999966859E-4</v>
      </c>
      <c r="D42" s="28">
        <v>-4.549886666704861E-5</v>
      </c>
      <c r="E42" s="28">
        <v>-3.8044293333372448E-4</v>
      </c>
      <c r="F42" s="28">
        <v>-3.6057626666669012E-4</v>
      </c>
      <c r="G42" s="28">
        <v>2.3383446666697119E-4</v>
      </c>
      <c r="H42" s="28">
        <v>1.205570666663047E-4</v>
      </c>
      <c r="I42" s="28">
        <v>3.2390400000331658E-5</v>
      </c>
      <c r="J42" s="28">
        <v>3.4030650000327339E-4</v>
      </c>
      <c r="K42" s="28">
        <v>-4.0693499999577831E-5</v>
      </c>
      <c r="L42" s="28">
        <v>2.6322373333331761E-4</v>
      </c>
      <c r="M42" s="28">
        <v>-4.3549886666693899E-4</v>
      </c>
      <c r="N42" s="28">
        <v>2.5489040000031832E-4</v>
      </c>
      <c r="O42" s="28">
        <v>3.5858389999998691E-4</v>
      </c>
      <c r="P42" s="28">
        <v>-2.6322146666632462E-4</v>
      </c>
      <c r="Q42" s="28">
        <v>2.245570666673524E-4</v>
      </c>
      <c r="R42" s="28">
        <v>-3.3269349999964781E-4</v>
      </c>
      <c r="S42" s="28">
        <v>3.1325056666697831E-4</v>
      </c>
      <c r="T42" s="28">
        <v>2.9422373333332091E-4</v>
      </c>
      <c r="U42" s="28">
        <v>-4.9710960000082238E-4</v>
      </c>
      <c r="V42" s="28">
        <v>-3.5569349999964311E-4</v>
      </c>
      <c r="W42" s="28">
        <v>3.2469576666671612E-4</v>
      </c>
      <c r="X42" s="28">
        <v>-3.0902683333366992E-4</v>
      </c>
      <c r="Y42" s="28">
        <v>3.7322373333326109E-4</v>
      </c>
      <c r="Z42" s="28">
        <v>-2.8269349999970878E-4</v>
      </c>
      <c r="AA42" s="28">
        <v>3.2536243333365628E-4</v>
      </c>
      <c r="AB42" s="28">
        <v>2.4497316666727281E-4</v>
      </c>
      <c r="AC42" s="28">
        <v>4.8822373333323732E-4</v>
      </c>
      <c r="AD42" s="28">
        <v>3.8445200000736257E-5</v>
      </c>
      <c r="AE42" s="28">
        <v>-1.5236016666669849E-4</v>
      </c>
      <c r="AF42" s="28">
        <v>6.8904000002367738E-6</v>
      </c>
      <c r="AG42" s="28">
        <v>-2.727762666666772E-4</v>
      </c>
      <c r="AH42" s="28">
        <v>-3.5230423333332261E-4</v>
      </c>
      <c r="AI42" s="28">
        <v>-3.1416099999903579E-5</v>
      </c>
      <c r="AJ42" s="28">
        <v>4.3050113333298329E-4</v>
      </c>
      <c r="AK42" s="28">
        <v>4.2744519999970981E-4</v>
      </c>
      <c r="AL42" s="28">
        <v>-1.3022146666673279E-4</v>
      </c>
      <c r="AM42" s="28">
        <v>4.7089040000025673E-4</v>
      </c>
      <c r="AN42" s="28">
        <v>3.3189040000025649E-4</v>
      </c>
      <c r="AO42" s="28">
        <v>-4.11416100000013E-4</v>
      </c>
      <c r="AP42" s="28">
        <v>3.795838999999801E-4</v>
      </c>
      <c r="AQ42" s="28">
        <v>-5.3776266666680228E-5</v>
      </c>
      <c r="AR42" s="28">
        <v>1.898904000003365E-4</v>
      </c>
      <c r="AS42" s="28">
        <v>4.5089040000034769E-4</v>
      </c>
      <c r="AT42" s="28">
        <v>4.746398333333457E-4</v>
      </c>
      <c r="AU42" s="28">
        <v>-6.7109599996673097E-5</v>
      </c>
      <c r="AV42" s="28">
        <v>2.362237333333253E-4</v>
      </c>
      <c r="AW42" s="28">
        <v>7.1788863768325757E-5</v>
      </c>
      <c r="AX42" s="34">
        <v>3.302287733342985E-3</v>
      </c>
    </row>
    <row r="43" spans="1:50" x14ac:dyDescent="0.25">
      <c r="A43" s="24">
        <v>42</v>
      </c>
      <c r="B43" s="26">
        <v>20.5</v>
      </c>
      <c r="C43" s="28">
        <v>-3.3366666666700961E-4</v>
      </c>
      <c r="D43" s="28">
        <v>-9.6666666666966883E-5</v>
      </c>
      <c r="E43" s="28">
        <v>-4.3333333330508586E-6</v>
      </c>
      <c r="F43" s="28">
        <v>1.869999999999927E-4</v>
      </c>
      <c r="G43" s="28">
        <v>0</v>
      </c>
      <c r="H43" s="28">
        <v>-2.1333333333040109E-5</v>
      </c>
      <c r="I43" s="28">
        <v>5.6000000000028249E-5</v>
      </c>
      <c r="J43" s="28">
        <v>2.4736833333333301</v>
      </c>
      <c r="K43" s="28">
        <v>-6.6666666670434083E-6</v>
      </c>
      <c r="L43" s="28">
        <v>9.2666666667018394E-5</v>
      </c>
      <c r="M43" s="28">
        <v>4.176666666669826E-4</v>
      </c>
      <c r="N43" s="28">
        <v>4.200000000000037E-4</v>
      </c>
      <c r="O43" s="28">
        <v>1.3399999999996751E-4</v>
      </c>
      <c r="P43" s="28">
        <v>-1.03999999999993E-4</v>
      </c>
      <c r="Q43" s="28">
        <v>6.6666666667047902E-5</v>
      </c>
      <c r="R43" s="28">
        <v>1.749999999999807E-4</v>
      </c>
      <c r="S43" s="28">
        <v>-2.549999999998942E-4</v>
      </c>
      <c r="T43" s="28">
        <v>-4.7999999999992493E-5</v>
      </c>
      <c r="U43" s="28">
        <v>-1.6500000000008169E-4</v>
      </c>
      <c r="V43" s="28">
        <v>4.1433333333407152E-4</v>
      </c>
      <c r="W43" s="28">
        <v>-2.5366666666704058E-4</v>
      </c>
      <c r="X43" s="28">
        <v>-2.233333333329923E-4</v>
      </c>
      <c r="Y43" s="28">
        <v>-2.8866666666704788E-4</v>
      </c>
      <c r="Z43" s="28">
        <v>-1.7500000000003621E-4</v>
      </c>
      <c r="AA43" s="28">
        <v>3.2733333333340159E-4</v>
      </c>
      <c r="AB43" s="28">
        <v>-2.7966666666701112E-4</v>
      </c>
      <c r="AC43" s="28">
        <v>3.763333333329788E-4</v>
      </c>
      <c r="AD43" s="28">
        <v>2.7833333333293631E-4</v>
      </c>
      <c r="AE43" s="28">
        <v>4.4933333333296849E-4</v>
      </c>
      <c r="AF43" s="28">
        <v>2.6666666669838972E-6</v>
      </c>
      <c r="AG43" s="28">
        <v>-7.6333333333011844E-5</v>
      </c>
      <c r="AH43" s="28">
        <v>0</v>
      </c>
      <c r="AI43" s="28">
        <v>1.7799999999978941E-4</v>
      </c>
      <c r="AJ43" s="28">
        <v>5.8000000000002487E-5</v>
      </c>
      <c r="AK43" s="28">
        <v>2.700199999999997E-2</v>
      </c>
      <c r="AL43" s="28">
        <v>1.1699999999997821E-4</v>
      </c>
      <c r="AM43" s="28">
        <v>-4.9933333333296304E-4</v>
      </c>
      <c r="AN43" s="28">
        <v>-3.7533333333306112E-4</v>
      </c>
      <c r="AO43" s="28">
        <v>-6.9388939039072284E-18</v>
      </c>
      <c r="AP43" s="28">
        <v>5.8000000000113523E-5</v>
      </c>
      <c r="AQ43" s="28">
        <v>3.9799999999989838E-4</v>
      </c>
      <c r="AR43" s="28">
        <v>-7.3333333333036599E-5</v>
      </c>
      <c r="AS43" s="28">
        <v>3.2200000000004453E-4</v>
      </c>
      <c r="AT43" s="28">
        <v>4.8833333333297979E-4</v>
      </c>
      <c r="AU43" s="28">
        <v>-1.9999999999964491E-5</v>
      </c>
      <c r="AV43" s="28">
        <v>-3.8199999999999351E-4</v>
      </c>
      <c r="AW43" s="28">
        <v>5.4391753623188349E-2</v>
      </c>
      <c r="AX43" s="34">
        <v>2.502020666666664</v>
      </c>
    </row>
    <row r="44" spans="1:50" x14ac:dyDescent="0.25">
      <c r="A44" s="24">
        <v>43</v>
      </c>
      <c r="B44" s="26">
        <v>21</v>
      </c>
      <c r="C44" s="28">
        <v>-3.5733333333301531E-4</v>
      </c>
      <c r="D44" s="28">
        <v>5.6999999999973738E-5</v>
      </c>
      <c r="E44" s="28">
        <v>2.9966666666603192E-4</v>
      </c>
      <c r="F44" s="28">
        <v>4.4333333332979841E-5</v>
      </c>
      <c r="G44" s="28">
        <v>0</v>
      </c>
      <c r="H44" s="28">
        <v>6.9388939039072284E-18</v>
      </c>
      <c r="I44" s="28">
        <v>-4.3400000000000377E-4</v>
      </c>
      <c r="J44" s="28">
        <v>2.4752606666666699</v>
      </c>
      <c r="K44" s="28">
        <v>2.7566666666600792E-4</v>
      </c>
      <c r="L44" s="28">
        <v>2.1333333332998469E-5</v>
      </c>
      <c r="M44" s="28">
        <v>4.359999999999919E-4</v>
      </c>
      <c r="N44" s="28">
        <v>-1.6200000000002321E-4</v>
      </c>
      <c r="O44" s="28">
        <v>1.253333333329221E-4</v>
      </c>
      <c r="P44" s="28">
        <v>-1.046666666670026E-4</v>
      </c>
      <c r="Q44" s="28">
        <v>-2.8999999999890219E-4</v>
      </c>
      <c r="R44" s="28">
        <v>5.1000000000023249E-5</v>
      </c>
      <c r="S44" s="28">
        <v>3.8566666666700611E-4</v>
      </c>
      <c r="T44" s="28">
        <v>2.9066666666699442E-4</v>
      </c>
      <c r="U44" s="28">
        <v>-1.993333333329961E-4</v>
      </c>
      <c r="V44" s="28">
        <v>3.2000000000009798E-4</v>
      </c>
      <c r="W44" s="28">
        <v>-4.8499999999995769E-4</v>
      </c>
      <c r="X44" s="28">
        <v>-2.8333333332963839E-5</v>
      </c>
      <c r="Y44" s="28">
        <v>-1.019999999999355E-4</v>
      </c>
      <c r="Z44" s="28">
        <v>-5.5333333334073309E-5</v>
      </c>
      <c r="AA44" s="28">
        <v>-3.8133333333299768E-4</v>
      </c>
      <c r="AB44" s="28">
        <v>2.9999999999996701E-4</v>
      </c>
      <c r="AC44" s="28">
        <v>3.8999999999900232E-5</v>
      </c>
      <c r="AD44" s="28">
        <v>2.6999999999988139E-4</v>
      </c>
      <c r="AE44" s="28">
        <v>2.5433333333302333E-4</v>
      </c>
      <c r="AF44" s="28">
        <v>2.5266666666690091E-4</v>
      </c>
      <c r="AG44" s="28">
        <v>0</v>
      </c>
      <c r="AH44" s="28">
        <v>-2.05999999999984E-4</v>
      </c>
      <c r="AI44" s="28">
        <v>0.1943689999999999</v>
      </c>
      <c r="AJ44" s="28">
        <v>0.54755933333333395</v>
      </c>
      <c r="AK44" s="28">
        <v>0.74897066666666701</v>
      </c>
      <c r="AL44" s="28">
        <v>2.8266666666701412E-4</v>
      </c>
      <c r="AM44" s="28">
        <v>-2.15999999999994E-4</v>
      </c>
      <c r="AN44" s="28">
        <v>5.7333333333020597E-5</v>
      </c>
      <c r="AO44" s="28">
        <v>-4.0866666666700141E-4</v>
      </c>
      <c r="AP44" s="28">
        <v>-2.9399999999979443E-4</v>
      </c>
      <c r="AQ44" s="28">
        <v>6.9388939039072284E-18</v>
      </c>
      <c r="AR44" s="28">
        <v>-8.1666666666979637E-5</v>
      </c>
      <c r="AS44" s="28">
        <v>6.0333333332995842E-5</v>
      </c>
      <c r="AT44" s="28">
        <v>3.2700000000000779E-4</v>
      </c>
      <c r="AU44" s="28">
        <v>3.3600000000000302E-4</v>
      </c>
      <c r="AV44" s="28">
        <v>-6.0000000000060014E-6</v>
      </c>
      <c r="AW44" s="28">
        <v>8.623552173913053E-2</v>
      </c>
      <c r="AX44" s="34">
        <v>3.966834000000004</v>
      </c>
    </row>
    <row r="45" spans="1:50" x14ac:dyDescent="0.25">
      <c r="A45" s="24">
        <v>44</v>
      </c>
      <c r="B45" s="26">
        <v>21.5</v>
      </c>
      <c r="C45" s="28">
        <v>2.9400000000012749E-4</v>
      </c>
      <c r="D45" s="28">
        <v>-1.163333333329408E-4</v>
      </c>
      <c r="E45" s="28">
        <v>4.4133333333301611E-4</v>
      </c>
      <c r="F45" s="28">
        <v>3.7999999999999151E-4</v>
      </c>
      <c r="G45" s="28">
        <v>0</v>
      </c>
      <c r="H45" s="28">
        <v>-4.8399999999999832E-4</v>
      </c>
      <c r="I45" s="28">
        <v>2.4733333333298862E-4</v>
      </c>
      <c r="J45" s="28">
        <v>0.41860166666666698</v>
      </c>
      <c r="K45" s="28">
        <v>1.506666666669654E-4</v>
      </c>
      <c r="L45" s="28">
        <v>3.6866666666698911E-4</v>
      </c>
      <c r="M45" s="28">
        <v>-9.2666666665963682E-5</v>
      </c>
      <c r="N45" s="28">
        <v>4.7266666666698209E-4</v>
      </c>
      <c r="O45" s="28">
        <v>1.6633333333399E-4</v>
      </c>
      <c r="P45" s="28">
        <v>2.199999999999425E-5</v>
      </c>
      <c r="Q45" s="28">
        <v>1.8466666666705489E-4</v>
      </c>
      <c r="R45" s="28">
        <v>-2.8933333333303057E-4</v>
      </c>
      <c r="S45" s="28">
        <v>-2.6666666660402072E-6</v>
      </c>
      <c r="T45" s="28">
        <v>-3.4400000000001102E-4</v>
      </c>
      <c r="U45" s="28">
        <v>1.6666666666886879E-5</v>
      </c>
      <c r="V45" s="28">
        <v>4.8866666666702585E-4</v>
      </c>
      <c r="W45" s="28">
        <v>-2.8633333333394351E-4</v>
      </c>
      <c r="X45" s="28">
        <v>2.120000000000177E-4</v>
      </c>
      <c r="Y45" s="28">
        <v>9.6666666667022394E-5</v>
      </c>
      <c r="Z45" s="28">
        <v>-4.6866666666700579E-4</v>
      </c>
      <c r="AA45" s="28">
        <v>2.9266666666699642E-4</v>
      </c>
      <c r="AB45" s="28">
        <v>7.0000000000014495E-5</v>
      </c>
      <c r="AC45" s="28">
        <v>2.1199999999999E-4</v>
      </c>
      <c r="AD45" s="28">
        <v>-4.9633333333298779E-4</v>
      </c>
      <c r="AE45" s="28">
        <v>-3.3333333333401832E-4</v>
      </c>
      <c r="AF45" s="28">
        <v>-3.3333333333296361E-4</v>
      </c>
      <c r="AG45" s="28">
        <v>4.1466666666700741E-4</v>
      </c>
      <c r="AH45" s="28">
        <v>3.8666666666992138E-5</v>
      </c>
      <c r="AI45" s="28">
        <v>0.69443100000000002</v>
      </c>
      <c r="AJ45" s="28">
        <v>0.68441366666666703</v>
      </c>
      <c r="AK45" s="28">
        <v>0.51106733333333298</v>
      </c>
      <c r="AL45" s="28">
        <v>3.8433333333340308E-4</v>
      </c>
      <c r="AM45" s="28">
        <v>-6.3333333332971087E-5</v>
      </c>
      <c r="AN45" s="28">
        <v>4.0400000000007102E-4</v>
      </c>
      <c r="AO45" s="28">
        <v>-6.9388939039072284E-18</v>
      </c>
      <c r="AP45" s="28">
        <v>-1.9333333333038109E-5</v>
      </c>
      <c r="AQ45" s="28">
        <v>1.07999999999997E-4</v>
      </c>
      <c r="AR45" s="28">
        <v>4.1266666666694979E-4</v>
      </c>
      <c r="AS45" s="28">
        <v>-1.586666666670844E-4</v>
      </c>
      <c r="AT45" s="28">
        <v>4.7899999999997939E-4</v>
      </c>
      <c r="AU45" s="28">
        <v>-3.2666666666697491E-4</v>
      </c>
      <c r="AV45" s="28">
        <v>1.6199999999999551E-4</v>
      </c>
      <c r="AW45" s="28">
        <v>5.0243876811594333E-2</v>
      </c>
      <c r="AX45" s="34">
        <v>2.3112183333333389</v>
      </c>
    </row>
    <row r="46" spans="1:50" x14ac:dyDescent="0.25">
      <c r="A46" s="24">
        <v>45</v>
      </c>
      <c r="B46" s="26">
        <v>22</v>
      </c>
      <c r="C46" s="28">
        <v>1.366666666702265E-5</v>
      </c>
      <c r="D46" s="28">
        <v>-3.1333333332994602E-5</v>
      </c>
      <c r="E46" s="28">
        <v>-3.8700000000002621E-4</v>
      </c>
      <c r="F46" s="28">
        <v>6.6666666666992391E-5</v>
      </c>
      <c r="G46" s="28">
        <v>0</v>
      </c>
      <c r="H46" s="28">
        <v>-6.7666666667021147E-5</v>
      </c>
      <c r="I46" s="28">
        <v>-6.3999999999980739E-5</v>
      </c>
      <c r="J46" s="28">
        <v>0.441732666666667</v>
      </c>
      <c r="K46" s="28">
        <v>8.3333333333990289E-5</v>
      </c>
      <c r="L46" s="28">
        <v>-3.9933333333300181E-4</v>
      </c>
      <c r="M46" s="28">
        <v>-3.666666667068164E-6</v>
      </c>
      <c r="N46" s="28">
        <v>1.0100000000000391E-4</v>
      </c>
      <c r="O46" s="28">
        <v>-4.7699999999994969E-4</v>
      </c>
      <c r="P46" s="28">
        <v>2.9666666666700042E-4</v>
      </c>
      <c r="Q46" s="28">
        <v>-1.1633333333305181E-4</v>
      </c>
      <c r="R46" s="28">
        <v>4.6066666666699779E-4</v>
      </c>
      <c r="S46" s="28">
        <v>9.1000000000063253E-5</v>
      </c>
      <c r="T46" s="28">
        <v>4.379999999999939E-4</v>
      </c>
      <c r="U46" s="28">
        <v>-1.0266666666602919E-4</v>
      </c>
      <c r="V46" s="28">
        <v>-3.9633333333011223E-4</v>
      </c>
      <c r="W46" s="28">
        <v>2.07999999999986E-4</v>
      </c>
      <c r="X46" s="28">
        <v>-3.7333333333000602E-5</v>
      </c>
      <c r="Y46" s="28">
        <v>1.186666666669889E-4</v>
      </c>
      <c r="Z46" s="28">
        <v>-3.0499999999999972E-4</v>
      </c>
      <c r="AA46" s="28">
        <v>0</v>
      </c>
      <c r="AB46" s="28">
        <v>-1.376666666669801E-4</v>
      </c>
      <c r="AC46" s="28">
        <v>-3.8366666666711508E-4</v>
      </c>
      <c r="AD46" s="28">
        <v>-3.2999999999999702E-4</v>
      </c>
      <c r="AE46" s="28">
        <v>9.5999999999984986E-5</v>
      </c>
      <c r="AF46" s="28">
        <v>-3.1266666666707188E-4</v>
      </c>
      <c r="AG46" s="28">
        <v>0</v>
      </c>
      <c r="AH46" s="28">
        <v>-1.209999999999961E-4</v>
      </c>
      <c r="AI46" s="28">
        <v>0.94588499999999998</v>
      </c>
      <c r="AJ46" s="28">
        <v>0.57078233333333295</v>
      </c>
      <c r="AK46" s="28">
        <v>0.72182866666666701</v>
      </c>
      <c r="AL46" s="28">
        <v>2.4499999999993971E-4</v>
      </c>
      <c r="AM46" s="28">
        <v>3.56333333333958E-4</v>
      </c>
      <c r="AN46" s="28">
        <v>6.2000000000006494E-5</v>
      </c>
      <c r="AO46" s="28">
        <v>-6.9388939039072284E-18</v>
      </c>
      <c r="AP46" s="28">
        <v>0.25662966666666698</v>
      </c>
      <c r="AQ46" s="28">
        <v>6.9388939039072284E-18</v>
      </c>
      <c r="AR46" s="28">
        <v>3.3666666666698491E-4</v>
      </c>
      <c r="AS46" s="28">
        <v>-4.3866666666603221E-4</v>
      </c>
      <c r="AT46" s="28">
        <v>3.5000000000000309E-4</v>
      </c>
      <c r="AU46" s="28">
        <v>-2.9999999999974492E-5</v>
      </c>
      <c r="AV46" s="28">
        <v>4.5000000000000601E-4</v>
      </c>
      <c r="AW46" s="28">
        <v>6.383675362318858E-2</v>
      </c>
      <c r="AX46" s="34">
        <v>2.9364906666666748</v>
      </c>
    </row>
    <row r="47" spans="1:50" x14ac:dyDescent="0.25">
      <c r="A47" s="24">
        <v>46</v>
      </c>
      <c r="B47" s="26">
        <v>22.5</v>
      </c>
      <c r="C47" s="28">
        <v>-2.1533333333301211E-4</v>
      </c>
      <c r="D47" s="28">
        <v>-3.5299999999999221E-4</v>
      </c>
      <c r="E47" s="28">
        <v>2.6066666666701988E-4</v>
      </c>
      <c r="F47" s="28">
        <v>4.2333333333288698E-4</v>
      </c>
      <c r="G47" s="28">
        <v>0</v>
      </c>
      <c r="H47" s="28">
        <v>2.6666666666699812E-4</v>
      </c>
      <c r="I47" s="28">
        <v>-4.3400000000000377E-4</v>
      </c>
      <c r="J47" s="28">
        <v>0.17060819999999999</v>
      </c>
      <c r="K47" s="28">
        <v>1.076666666669501E-4</v>
      </c>
      <c r="L47" s="28">
        <v>-4.5200000000000801E-4</v>
      </c>
      <c r="M47" s="28">
        <v>-3.0733333333310409E-4</v>
      </c>
      <c r="N47" s="28">
        <v>-1.5700000000001821E-4</v>
      </c>
      <c r="O47" s="28">
        <v>4.3466666666702741E-4</v>
      </c>
      <c r="P47" s="28">
        <v>7.5666666666029947E-5</v>
      </c>
      <c r="Q47" s="28">
        <v>-1.4333333333005349E-5</v>
      </c>
      <c r="R47" s="28">
        <v>-4.8333333329875223E-5</v>
      </c>
      <c r="S47" s="28">
        <v>3.4333333333913529E-5</v>
      </c>
      <c r="T47" s="28">
        <v>2.699999999999925E-5</v>
      </c>
      <c r="U47" s="28">
        <v>-2.423333333330113E-4</v>
      </c>
      <c r="V47" s="28">
        <v>-2.8300000000003322E-4</v>
      </c>
      <c r="W47" s="28">
        <v>4.8266666666996189E-4</v>
      </c>
      <c r="X47" s="28">
        <v>-3.9726666666700661E-4</v>
      </c>
      <c r="Y47" s="28">
        <v>0</v>
      </c>
      <c r="Z47" s="28">
        <v>3.8666666666589689E-5</v>
      </c>
      <c r="AA47" s="28">
        <v>0</v>
      </c>
      <c r="AB47" s="28">
        <v>1.2666666666699691E-4</v>
      </c>
      <c r="AC47" s="28">
        <v>-3.4666666669735953E-5</v>
      </c>
      <c r="AD47" s="28">
        <v>3.5999999999980492E-5</v>
      </c>
      <c r="AE47" s="28">
        <v>-3.4694469519536142E-18</v>
      </c>
      <c r="AF47" s="28">
        <v>-1.6866666666703889E-4</v>
      </c>
      <c r="AG47" s="28">
        <v>1.096666666670076E-4</v>
      </c>
      <c r="AH47" s="28">
        <v>-2.1900000000009409E-4</v>
      </c>
      <c r="AI47" s="28">
        <v>0.58516500000000005</v>
      </c>
      <c r="AJ47" s="28">
        <v>0.56262900000000005</v>
      </c>
      <c r="AK47" s="28">
        <v>0.66106433333333403</v>
      </c>
      <c r="AL47" s="28">
        <v>-1.740000000001185E-4</v>
      </c>
      <c r="AM47" s="28">
        <v>2.0533333333006001E-4</v>
      </c>
      <c r="AN47" s="28">
        <v>2.09999999999988E-4</v>
      </c>
      <c r="AO47" s="28">
        <v>-4.0866666666700141E-4</v>
      </c>
      <c r="AP47" s="28">
        <v>0.33354866666666699</v>
      </c>
      <c r="AQ47" s="28">
        <v>1.3999999999998741E-4</v>
      </c>
      <c r="AR47" s="28">
        <v>-4.256666666669906E-4</v>
      </c>
      <c r="AS47" s="28">
        <v>-1.449999999999507E-4</v>
      </c>
      <c r="AT47" s="28">
        <v>4.0809999999996682E-4</v>
      </c>
      <c r="AU47" s="28">
        <v>-3.8000000000004702E-4</v>
      </c>
      <c r="AV47" s="28">
        <v>-3.2599999999999302E-4</v>
      </c>
      <c r="AW47" s="28">
        <v>5.0243841304347878E-2</v>
      </c>
      <c r="AX47" s="34">
        <v>2.3112167000000019</v>
      </c>
    </row>
    <row r="48" spans="1:50" x14ac:dyDescent="0.25">
      <c r="A48" s="24">
        <v>47</v>
      </c>
      <c r="B48" s="26">
        <v>23</v>
      </c>
      <c r="C48" s="28">
        <v>2.8666666667009899E-5</v>
      </c>
      <c r="D48" s="28">
        <v>1.4186666666698991E-4</v>
      </c>
      <c r="E48" s="28">
        <v>-1.0733333333298729E-4</v>
      </c>
      <c r="F48" s="28">
        <v>-1.6866666666603969E-4</v>
      </c>
      <c r="G48" s="28">
        <v>0</v>
      </c>
      <c r="H48" s="28">
        <v>-1.2666666666993899E-5</v>
      </c>
      <c r="I48" s="28">
        <v>2.4733333333298862E-4</v>
      </c>
      <c r="J48" s="28">
        <v>5.6000000000000001E-2</v>
      </c>
      <c r="K48" s="28">
        <v>-2.2766666666669541E-4</v>
      </c>
      <c r="L48" s="28">
        <v>5.3999999999998487E-5</v>
      </c>
      <c r="M48" s="28">
        <v>1.073333333330151E-4</v>
      </c>
      <c r="N48" s="28">
        <v>-4.4656666666700873E-4</v>
      </c>
      <c r="O48" s="28">
        <v>3.9933333333300181E-4</v>
      </c>
      <c r="P48" s="28">
        <v>4.2533333333320822E-4</v>
      </c>
      <c r="Q48" s="28">
        <v>3.2666666666703042E-4</v>
      </c>
      <c r="R48" s="28">
        <v>-1.836666666669706E-4</v>
      </c>
      <c r="S48" s="28">
        <v>-1.180000000000625E-4</v>
      </c>
      <c r="T48" s="28">
        <v>-3.6700000000000621E-4</v>
      </c>
      <c r="U48" s="28">
        <v>3.036666666669241E-4</v>
      </c>
      <c r="V48" s="28">
        <v>0.2738736666666659</v>
      </c>
      <c r="W48" s="28">
        <v>2.3641126666666699</v>
      </c>
      <c r="X48" s="28">
        <v>-1.2990000000001609E-4</v>
      </c>
      <c r="Y48" s="28">
        <v>1.6499999999999851E-4</v>
      </c>
      <c r="Z48" s="28">
        <v>-2.386666666669979E-4</v>
      </c>
      <c r="AA48" s="28">
        <v>-2.133333333330101E-4</v>
      </c>
      <c r="AB48" s="28">
        <v>-3.9933333333300181E-4</v>
      </c>
      <c r="AC48" s="28">
        <v>2.7533333333296112E-4</v>
      </c>
      <c r="AD48" s="28">
        <v>-4.8333333332983841E-5</v>
      </c>
      <c r="AE48" s="28">
        <v>9.5999999999984986E-5</v>
      </c>
      <c r="AF48" s="28">
        <v>-3.5700000000005172E-4</v>
      </c>
      <c r="AG48" s="28">
        <v>3.0499999999999972E-4</v>
      </c>
      <c r="AH48" s="28">
        <v>1.5266666666699511E-4</v>
      </c>
      <c r="AI48" s="28">
        <v>0.88541433333333297</v>
      </c>
      <c r="AJ48" s="28">
        <v>0.32549333333333302</v>
      </c>
      <c r="AK48" s="28">
        <v>1.4864646666666701</v>
      </c>
      <c r="AL48" s="28">
        <v>4.5566666666696509E-4</v>
      </c>
      <c r="AM48" s="28">
        <v>-7.0000000000014495E-5</v>
      </c>
      <c r="AN48" s="28">
        <v>-4.0466666666705292E-4</v>
      </c>
      <c r="AO48" s="28">
        <v>-6.9388939039072284E-18</v>
      </c>
      <c r="AP48" s="28">
        <v>0.19580766666666699</v>
      </c>
      <c r="AQ48" s="28">
        <v>-3.1999999999990369E-5</v>
      </c>
      <c r="AR48" s="28">
        <v>-2.6933333333301063E-4</v>
      </c>
      <c r="AS48" s="28">
        <v>1.006000000000062E-4</v>
      </c>
      <c r="AT48" s="28">
        <v>3.8949999999998708E-4</v>
      </c>
      <c r="AU48" s="28">
        <v>-5.9333333332967093E-5</v>
      </c>
      <c r="AV48" s="28">
        <v>-6.2000000000006494E-5</v>
      </c>
      <c r="AW48" s="28">
        <v>0.12146140942029</v>
      </c>
      <c r="AX48" s="34">
        <v>5.5872248333333401</v>
      </c>
    </row>
    <row r="49" spans="1:50" x14ac:dyDescent="0.25">
      <c r="A49" s="25">
        <v>48</v>
      </c>
      <c r="B49" s="27">
        <v>23.5</v>
      </c>
      <c r="C49" s="29">
        <v>0</v>
      </c>
      <c r="D49" s="29">
        <v>2.8333333332991591E-5</v>
      </c>
      <c r="E49" s="29">
        <v>-3.8200000000000728E-4</v>
      </c>
      <c r="F49" s="29">
        <v>-1.1166666666706521E-4</v>
      </c>
      <c r="G49" s="29">
        <v>0</v>
      </c>
      <c r="H49" s="29">
        <v>-3.6866666666698911E-4</v>
      </c>
      <c r="I49" s="29">
        <v>1.6499999999999851E-4</v>
      </c>
      <c r="J49" s="29">
        <v>5.6000000000000001E-2</v>
      </c>
      <c r="K49" s="29">
        <v>4.0333333333003603E-5</v>
      </c>
      <c r="L49" s="29">
        <v>1.4133333333329889E-4</v>
      </c>
      <c r="M49" s="29">
        <v>-1.3066666666698701E-4</v>
      </c>
      <c r="N49" s="29">
        <v>1.166666666670146E-4</v>
      </c>
      <c r="O49" s="29">
        <v>1.5999999999999351E-4</v>
      </c>
      <c r="P49" s="29">
        <v>-2.0799999999999991E-4</v>
      </c>
      <c r="Q49" s="29">
        <v>4.170000000000007E-4</v>
      </c>
      <c r="R49" s="29">
        <v>-3.9966666666702011E-4</v>
      </c>
      <c r="S49" s="29">
        <v>-1.7466666666698941E-4</v>
      </c>
      <c r="T49" s="29">
        <v>3.903333333329928E-4</v>
      </c>
      <c r="U49" s="29">
        <v>3.9366666666706962E-4</v>
      </c>
      <c r="V49" s="29">
        <v>0.67526633333333297</v>
      </c>
      <c r="W49" s="29">
        <v>0.489638666666666</v>
      </c>
      <c r="X49" s="29">
        <v>-1.743333333329988E-4</v>
      </c>
      <c r="Y49" s="29">
        <v>-5.6333333332991842E-5</v>
      </c>
      <c r="Z49" s="29">
        <v>2.216666666670086E-4</v>
      </c>
      <c r="AA49" s="29">
        <v>4.8166666666699109E-4</v>
      </c>
      <c r="AB49" s="29">
        <v>-4.0566666666699841E-4</v>
      </c>
      <c r="AC49" s="29">
        <v>0.34007266666666991</v>
      </c>
      <c r="AD49" s="29">
        <v>2.4799999999991501E-4</v>
      </c>
      <c r="AE49" s="29">
        <v>-3.4694469519536142E-18</v>
      </c>
      <c r="AF49" s="29">
        <v>1.4000000000014E-5</v>
      </c>
      <c r="AG49" s="29">
        <v>1.4566666666700201E-4</v>
      </c>
      <c r="AH49" s="29">
        <v>-1.4000000000002899E-4</v>
      </c>
      <c r="AI49" s="29">
        <v>0.55756666666666699</v>
      </c>
      <c r="AJ49" s="29">
        <v>0.66861333333333395</v>
      </c>
      <c r="AK49" s="29">
        <v>0.47833933333333301</v>
      </c>
      <c r="AL49" s="29">
        <v>3.2033333333303382E-4</v>
      </c>
      <c r="AM49" s="29">
        <v>-1.799999999999996E-4</v>
      </c>
      <c r="AN49" s="29">
        <v>-1.6866666666698341E-4</v>
      </c>
      <c r="AO49" s="29">
        <v>-6.9388939039072284E-18</v>
      </c>
      <c r="AP49" s="29">
        <v>0.17055500000000001</v>
      </c>
      <c r="AQ49" s="29">
        <v>6.9388939039072284E-18</v>
      </c>
      <c r="AR49" s="29">
        <v>0</v>
      </c>
      <c r="AS49" s="29">
        <v>4.550000000001081E-4</v>
      </c>
      <c r="AT49" s="29">
        <v>2.8799999999995501E-4</v>
      </c>
      <c r="AU49" s="29">
        <v>3.6400000000000321E-4</v>
      </c>
      <c r="AV49" s="29">
        <v>0</v>
      </c>
      <c r="AW49" s="29">
        <v>7.472918840579712E-2</v>
      </c>
      <c r="AX49" s="35">
        <v>3.4375426666666682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7"/>
  <sheetViews>
    <sheetView showGridLines="0" workbookViewId="0"/>
  </sheetViews>
  <sheetFormatPr defaultRowHeight="15" x14ac:dyDescent="0.25"/>
  <cols>
    <col min="1" max="1" width="26" customWidth="1"/>
    <col min="2" max="2" width="16" customWidth="1"/>
    <col min="3" max="3" width="8" customWidth="1"/>
    <col min="4" max="11" width="13" customWidth="1"/>
  </cols>
  <sheetData>
    <row r="1" spans="1:11" ht="30" customHeight="1" x14ac:dyDescent="0.25">
      <c r="A1" s="8" t="s">
        <v>85</v>
      </c>
      <c r="B1" s="21" t="s">
        <v>86</v>
      </c>
      <c r="C1" s="21" t="s">
        <v>87</v>
      </c>
      <c r="D1" s="21" t="s">
        <v>88</v>
      </c>
      <c r="E1" s="21" t="s">
        <v>89</v>
      </c>
      <c r="F1" s="21" t="s">
        <v>90</v>
      </c>
      <c r="G1" s="21" t="s">
        <v>91</v>
      </c>
      <c r="H1" s="21" t="s">
        <v>92</v>
      </c>
      <c r="I1" s="21" t="s">
        <v>93</v>
      </c>
      <c r="J1" s="21" t="s">
        <v>94</v>
      </c>
      <c r="K1" s="9" t="s">
        <v>95</v>
      </c>
    </row>
    <row r="2" spans="1:11" x14ac:dyDescent="0.25">
      <c r="A2" s="10" t="s">
        <v>37</v>
      </c>
      <c r="B2" s="22" t="s">
        <v>96</v>
      </c>
      <c r="C2" s="36">
        <v>3</v>
      </c>
      <c r="D2" s="28">
        <v>3.6</v>
      </c>
      <c r="E2" s="28">
        <v>4.2</v>
      </c>
      <c r="F2" s="28">
        <v>28.27</v>
      </c>
      <c r="G2" s="28">
        <v>10.9</v>
      </c>
      <c r="H2" s="28">
        <v>16.22</v>
      </c>
      <c r="I2" s="28">
        <v>1E-3</v>
      </c>
      <c r="J2" s="26">
        <v>42.6</v>
      </c>
      <c r="K2" s="17">
        <v>100</v>
      </c>
    </row>
    <row r="3" spans="1:11" x14ac:dyDescent="0.25">
      <c r="A3" s="10" t="s">
        <v>38</v>
      </c>
      <c r="B3" s="22" t="s">
        <v>97</v>
      </c>
      <c r="C3" s="36">
        <v>2</v>
      </c>
      <c r="D3" s="28">
        <v>3.6</v>
      </c>
      <c r="E3" s="28">
        <v>4.2</v>
      </c>
      <c r="F3" s="28">
        <v>24.23</v>
      </c>
      <c r="G3" s="28">
        <v>8.1199999999999992</v>
      </c>
      <c r="H3" s="28">
        <v>15.71</v>
      </c>
      <c r="I3" s="28">
        <v>1E-3</v>
      </c>
      <c r="J3" s="26">
        <v>35.200000000000003</v>
      </c>
      <c r="K3" s="17">
        <v>100</v>
      </c>
    </row>
    <row r="4" spans="1:11" x14ac:dyDescent="0.25">
      <c r="A4" s="10" t="s">
        <v>39</v>
      </c>
      <c r="B4" s="22" t="s">
        <v>98</v>
      </c>
      <c r="C4" s="36">
        <v>1</v>
      </c>
      <c r="D4" s="28">
        <v>3.6</v>
      </c>
      <c r="E4" s="28">
        <v>4.2</v>
      </c>
      <c r="F4" s="28">
        <v>32.31</v>
      </c>
      <c r="G4" s="28">
        <v>6.39</v>
      </c>
      <c r="H4" s="28">
        <v>24.86</v>
      </c>
      <c r="I4" s="28">
        <v>2E-3</v>
      </c>
      <c r="J4" s="26">
        <v>23.1</v>
      </c>
      <c r="K4" s="17">
        <v>100</v>
      </c>
    </row>
    <row r="5" spans="1:11" x14ac:dyDescent="0.25">
      <c r="A5" s="10" t="s">
        <v>40</v>
      </c>
      <c r="B5" s="22" t="s">
        <v>99</v>
      </c>
      <c r="C5" s="36">
        <v>2</v>
      </c>
      <c r="D5" s="28">
        <v>3.6</v>
      </c>
      <c r="E5" s="28">
        <v>4.2</v>
      </c>
      <c r="F5" s="28">
        <v>32.31</v>
      </c>
      <c r="G5" s="28">
        <v>6.57</v>
      </c>
      <c r="H5" s="28">
        <v>24.98</v>
      </c>
      <c r="I5" s="28">
        <v>1E-3</v>
      </c>
      <c r="J5" s="26">
        <v>22.7</v>
      </c>
      <c r="K5" s="17">
        <v>100</v>
      </c>
    </row>
    <row r="6" spans="1:11" x14ac:dyDescent="0.25">
      <c r="A6" s="10" t="s">
        <v>41</v>
      </c>
      <c r="B6" s="22" t="s">
        <v>100</v>
      </c>
      <c r="C6" s="36">
        <v>3</v>
      </c>
      <c r="D6" s="28">
        <v>3.6</v>
      </c>
      <c r="E6" s="28">
        <v>4.2</v>
      </c>
      <c r="F6" s="28">
        <v>24.23</v>
      </c>
      <c r="G6" s="28">
        <v>4.12</v>
      </c>
      <c r="H6" s="28">
        <v>17.690000000000001</v>
      </c>
      <c r="I6" s="28">
        <v>1E-3</v>
      </c>
      <c r="J6" s="26">
        <v>27</v>
      </c>
      <c r="K6" s="17">
        <v>100</v>
      </c>
    </row>
    <row r="7" spans="1:11" x14ac:dyDescent="0.25">
      <c r="A7" s="10" t="s">
        <v>42</v>
      </c>
      <c r="B7" s="22" t="s">
        <v>101</v>
      </c>
      <c r="C7" s="36">
        <v>3</v>
      </c>
      <c r="D7" s="28">
        <v>3.6</v>
      </c>
      <c r="E7" s="28">
        <v>4.2</v>
      </c>
      <c r="F7" s="28">
        <v>32.31</v>
      </c>
      <c r="G7" s="28">
        <v>5.85</v>
      </c>
      <c r="H7" s="28">
        <v>24.8</v>
      </c>
      <c r="I7" s="28">
        <v>1E-3</v>
      </c>
      <c r="J7" s="26">
        <v>23.2</v>
      </c>
      <c r="K7" s="17">
        <v>100</v>
      </c>
    </row>
    <row r="8" spans="1:11" x14ac:dyDescent="0.25">
      <c r="A8" s="10" t="s">
        <v>43</v>
      </c>
      <c r="B8" s="22" t="s">
        <v>102</v>
      </c>
      <c r="C8" s="36">
        <v>2</v>
      </c>
      <c r="D8" s="28">
        <v>3.6</v>
      </c>
      <c r="E8" s="28">
        <v>4.2</v>
      </c>
      <c r="F8" s="28">
        <v>32.31</v>
      </c>
      <c r="G8" s="28">
        <v>6.52</v>
      </c>
      <c r="H8" s="28">
        <v>24.11</v>
      </c>
      <c r="I8" s="28">
        <v>1E-3</v>
      </c>
      <c r="J8" s="26">
        <v>25.4</v>
      </c>
      <c r="K8" s="17">
        <v>100</v>
      </c>
    </row>
    <row r="9" spans="1:11" x14ac:dyDescent="0.25">
      <c r="A9" s="10" t="s">
        <v>44</v>
      </c>
      <c r="B9" s="22" t="s">
        <v>103</v>
      </c>
      <c r="C9" s="36">
        <v>2</v>
      </c>
      <c r="D9" s="28">
        <v>3.6</v>
      </c>
      <c r="E9" s="28">
        <v>4.2</v>
      </c>
      <c r="F9" s="28">
        <v>20.190000000000001</v>
      </c>
      <c r="G9" s="28">
        <v>11.96</v>
      </c>
      <c r="H9" s="28">
        <v>12.14</v>
      </c>
      <c r="I9" s="28">
        <v>3.0470000000000002</v>
      </c>
      <c r="J9" s="26">
        <v>39.9</v>
      </c>
      <c r="K9" s="17">
        <v>74.5</v>
      </c>
    </row>
    <row r="10" spans="1:11" x14ac:dyDescent="0.25">
      <c r="A10" s="10" t="s">
        <v>45</v>
      </c>
      <c r="B10" s="22" t="s">
        <v>104</v>
      </c>
      <c r="C10" s="36">
        <v>3</v>
      </c>
      <c r="D10" s="28">
        <v>3.6</v>
      </c>
      <c r="E10" s="28">
        <v>4.2</v>
      </c>
      <c r="F10" s="28">
        <v>20.190000000000001</v>
      </c>
      <c r="G10" s="28">
        <v>7.23</v>
      </c>
      <c r="H10" s="28">
        <v>13.04</v>
      </c>
      <c r="I10" s="28">
        <v>1E-3</v>
      </c>
      <c r="J10" s="26">
        <v>35.4</v>
      </c>
      <c r="K10" s="17">
        <v>100</v>
      </c>
    </row>
    <row r="11" spans="1:11" x14ac:dyDescent="0.25">
      <c r="A11" s="10" t="s">
        <v>46</v>
      </c>
      <c r="B11" s="22" t="s">
        <v>105</v>
      </c>
      <c r="C11" s="36">
        <v>1</v>
      </c>
      <c r="D11" s="28">
        <v>3.6</v>
      </c>
      <c r="E11" s="28">
        <v>4.2</v>
      </c>
      <c r="F11" s="28">
        <v>32.31</v>
      </c>
      <c r="G11" s="28">
        <v>4.3</v>
      </c>
      <c r="H11" s="28">
        <v>26.02</v>
      </c>
      <c r="I11" s="28">
        <v>1E-3</v>
      </c>
      <c r="J11" s="26">
        <v>19.5</v>
      </c>
      <c r="K11" s="17">
        <v>100</v>
      </c>
    </row>
    <row r="12" spans="1:11" x14ac:dyDescent="0.25">
      <c r="A12" s="10" t="s">
        <v>47</v>
      </c>
      <c r="B12" s="22" t="s">
        <v>106</v>
      </c>
      <c r="C12" s="36">
        <v>1</v>
      </c>
      <c r="D12" s="28">
        <v>3.6</v>
      </c>
      <c r="E12" s="28">
        <v>4.2</v>
      </c>
      <c r="F12" s="28">
        <v>24.23</v>
      </c>
      <c r="G12" s="28">
        <v>9.7200000000000006</v>
      </c>
      <c r="H12" s="28">
        <v>14.63</v>
      </c>
      <c r="I12" s="28">
        <v>1E-3</v>
      </c>
      <c r="J12" s="26">
        <v>39.6</v>
      </c>
      <c r="K12" s="17">
        <v>100</v>
      </c>
    </row>
    <row r="13" spans="1:11" x14ac:dyDescent="0.25">
      <c r="A13" s="10" t="s">
        <v>48</v>
      </c>
      <c r="B13" s="22" t="s">
        <v>107</v>
      </c>
      <c r="C13" s="36">
        <v>2</v>
      </c>
      <c r="D13" s="28">
        <v>3.6</v>
      </c>
      <c r="E13" s="28">
        <v>4.2</v>
      </c>
      <c r="F13" s="28">
        <v>32.31</v>
      </c>
      <c r="G13" s="28">
        <v>5.84</v>
      </c>
      <c r="H13" s="28">
        <v>24.48</v>
      </c>
      <c r="I13" s="28">
        <v>2E-3</v>
      </c>
      <c r="J13" s="26">
        <v>24.2</v>
      </c>
      <c r="K13" s="17">
        <v>100</v>
      </c>
    </row>
    <row r="14" spans="1:11" x14ac:dyDescent="0.25">
      <c r="A14" s="10" t="s">
        <v>49</v>
      </c>
      <c r="B14" s="22" t="s">
        <v>108</v>
      </c>
      <c r="C14" s="36">
        <v>2</v>
      </c>
      <c r="D14" s="28">
        <v>3.6</v>
      </c>
      <c r="E14" s="28">
        <v>4.2</v>
      </c>
      <c r="F14" s="28">
        <v>12.11</v>
      </c>
      <c r="G14" s="28">
        <v>6.5</v>
      </c>
      <c r="H14" s="28">
        <v>4.8899999999999997</v>
      </c>
      <c r="I14" s="28">
        <v>2E-3</v>
      </c>
      <c r="J14" s="26">
        <v>59.6</v>
      </c>
      <c r="K14" s="17">
        <v>100</v>
      </c>
    </row>
    <row r="15" spans="1:11" x14ac:dyDescent="0.25">
      <c r="A15" s="10" t="s">
        <v>50</v>
      </c>
      <c r="B15" s="22" t="s">
        <v>109</v>
      </c>
      <c r="C15" s="36">
        <v>1</v>
      </c>
      <c r="D15" s="28">
        <v>3.6</v>
      </c>
      <c r="E15" s="28">
        <v>4.2</v>
      </c>
      <c r="F15" s="28">
        <v>16.149999999999999</v>
      </c>
      <c r="G15" s="28">
        <v>5.84</v>
      </c>
      <c r="H15" s="28">
        <v>8.31</v>
      </c>
      <c r="I15" s="28">
        <v>2E-3</v>
      </c>
      <c r="J15" s="26">
        <v>48.6</v>
      </c>
      <c r="K15" s="17">
        <v>100</v>
      </c>
    </row>
    <row r="16" spans="1:11" x14ac:dyDescent="0.25">
      <c r="A16" s="10" t="s">
        <v>51</v>
      </c>
      <c r="B16" s="22" t="s">
        <v>110</v>
      </c>
      <c r="C16" s="36">
        <v>3</v>
      </c>
      <c r="D16" s="28">
        <v>3.6</v>
      </c>
      <c r="E16" s="28">
        <v>4.2</v>
      </c>
      <c r="F16" s="28">
        <v>32.31</v>
      </c>
      <c r="G16" s="28">
        <v>4.72</v>
      </c>
      <c r="H16" s="28">
        <v>27.57</v>
      </c>
      <c r="I16" s="28">
        <v>1E-3</v>
      </c>
      <c r="J16" s="26">
        <v>14.7</v>
      </c>
      <c r="K16" s="17">
        <v>100</v>
      </c>
    </row>
    <row r="17" spans="1:11" x14ac:dyDescent="0.25">
      <c r="A17" s="10" t="s">
        <v>52</v>
      </c>
      <c r="B17" s="22" t="s">
        <v>111</v>
      </c>
      <c r="C17" s="36">
        <v>2</v>
      </c>
      <c r="D17" s="28">
        <v>3.6</v>
      </c>
      <c r="E17" s="28">
        <v>4.2</v>
      </c>
      <c r="F17" s="28">
        <v>20.190000000000001</v>
      </c>
      <c r="G17" s="28">
        <v>5.74</v>
      </c>
      <c r="H17" s="28">
        <v>14.73</v>
      </c>
      <c r="I17" s="28">
        <v>2E-3</v>
      </c>
      <c r="J17" s="26">
        <v>27.1</v>
      </c>
      <c r="K17" s="17">
        <v>100</v>
      </c>
    </row>
    <row r="18" spans="1:11" x14ac:dyDescent="0.25">
      <c r="A18" s="10" t="s">
        <v>53</v>
      </c>
      <c r="B18" s="22" t="s">
        <v>112</v>
      </c>
      <c r="C18" s="36">
        <v>2</v>
      </c>
      <c r="D18" s="28">
        <v>3.6</v>
      </c>
      <c r="E18" s="28">
        <v>4.2</v>
      </c>
      <c r="F18" s="28">
        <v>12.11</v>
      </c>
      <c r="G18" s="28">
        <v>8.67</v>
      </c>
      <c r="H18" s="28">
        <v>3.54</v>
      </c>
      <c r="I18" s="28">
        <v>2E-3</v>
      </c>
      <c r="J18" s="26">
        <v>70.8</v>
      </c>
      <c r="K18" s="17">
        <v>100</v>
      </c>
    </row>
    <row r="19" spans="1:11" x14ac:dyDescent="0.25">
      <c r="A19" s="10" t="s">
        <v>54</v>
      </c>
      <c r="B19" s="22" t="s">
        <v>113</v>
      </c>
      <c r="C19" s="36">
        <v>1</v>
      </c>
      <c r="D19" s="28">
        <v>3.6</v>
      </c>
      <c r="E19" s="28">
        <v>4.2</v>
      </c>
      <c r="F19" s="28">
        <v>32.31</v>
      </c>
      <c r="G19" s="28">
        <v>5.6</v>
      </c>
      <c r="H19" s="28">
        <v>25.4</v>
      </c>
      <c r="I19" s="28">
        <v>2E-3</v>
      </c>
      <c r="J19" s="26">
        <v>21.4</v>
      </c>
      <c r="K19" s="17">
        <v>100</v>
      </c>
    </row>
    <row r="20" spans="1:11" x14ac:dyDescent="0.25">
      <c r="A20" s="10" t="s">
        <v>55</v>
      </c>
      <c r="B20" s="22" t="s">
        <v>114</v>
      </c>
      <c r="C20" s="36">
        <v>1</v>
      </c>
      <c r="D20" s="28">
        <v>3.6</v>
      </c>
      <c r="E20" s="28">
        <v>4.2</v>
      </c>
      <c r="F20" s="28">
        <v>32.31</v>
      </c>
      <c r="G20" s="28">
        <v>8.52</v>
      </c>
      <c r="H20" s="28">
        <v>24.38</v>
      </c>
      <c r="I20" s="28">
        <v>1E-3</v>
      </c>
      <c r="J20" s="26">
        <v>24.5</v>
      </c>
      <c r="K20" s="17">
        <v>100</v>
      </c>
    </row>
    <row r="21" spans="1:11" x14ac:dyDescent="0.25">
      <c r="A21" s="10" t="s">
        <v>56</v>
      </c>
      <c r="B21" s="22" t="s">
        <v>115</v>
      </c>
      <c r="C21" s="36">
        <v>1</v>
      </c>
      <c r="D21" s="28">
        <v>3.6</v>
      </c>
      <c r="E21" s="28">
        <v>4.2</v>
      </c>
      <c r="F21" s="28">
        <v>20.190000000000001</v>
      </c>
      <c r="G21" s="28">
        <v>8.18</v>
      </c>
      <c r="H21" s="28">
        <v>13.3</v>
      </c>
      <c r="I21" s="28">
        <v>0.47699999999999998</v>
      </c>
      <c r="J21" s="26">
        <v>34.1</v>
      </c>
      <c r="K21" s="17">
        <v>94.2</v>
      </c>
    </row>
    <row r="22" spans="1:11" x14ac:dyDescent="0.25">
      <c r="A22" s="10" t="s">
        <v>57</v>
      </c>
      <c r="B22" s="22" t="s">
        <v>116</v>
      </c>
      <c r="C22" s="36">
        <v>3</v>
      </c>
      <c r="D22" s="28">
        <v>3.6</v>
      </c>
      <c r="E22" s="28">
        <v>4.2</v>
      </c>
      <c r="F22" s="28">
        <v>28.27</v>
      </c>
      <c r="G22" s="28">
        <v>8.26</v>
      </c>
      <c r="H22" s="28">
        <v>22.31</v>
      </c>
      <c r="I22" s="28">
        <v>1.4279999999999999</v>
      </c>
      <c r="J22" s="26">
        <v>21.1</v>
      </c>
      <c r="K22" s="17">
        <v>82.7</v>
      </c>
    </row>
    <row r="23" spans="1:11" x14ac:dyDescent="0.25">
      <c r="A23" s="10" t="s">
        <v>58</v>
      </c>
      <c r="B23" s="22" t="s">
        <v>117</v>
      </c>
      <c r="C23" s="36">
        <v>2</v>
      </c>
      <c r="D23" s="28">
        <v>3.6</v>
      </c>
      <c r="E23" s="28">
        <v>4.2</v>
      </c>
      <c r="F23" s="28">
        <v>20.190000000000001</v>
      </c>
      <c r="G23" s="28">
        <v>5.45</v>
      </c>
      <c r="H23" s="28">
        <v>13.42</v>
      </c>
      <c r="I23" s="28">
        <v>2E-3</v>
      </c>
      <c r="J23" s="26">
        <v>33.5</v>
      </c>
      <c r="K23" s="17">
        <v>100</v>
      </c>
    </row>
    <row r="24" spans="1:11" x14ac:dyDescent="0.25">
      <c r="A24" s="10" t="s">
        <v>59</v>
      </c>
      <c r="B24" s="22" t="s">
        <v>118</v>
      </c>
      <c r="C24" s="36">
        <v>1</v>
      </c>
      <c r="D24" s="28">
        <v>3.6</v>
      </c>
      <c r="E24" s="28">
        <v>4.2</v>
      </c>
      <c r="F24" s="28">
        <v>32.31</v>
      </c>
      <c r="G24" s="28">
        <v>3.9</v>
      </c>
      <c r="H24" s="28">
        <v>27.32</v>
      </c>
      <c r="I24" s="28">
        <v>2E-3</v>
      </c>
      <c r="J24" s="26">
        <v>15.4</v>
      </c>
      <c r="K24" s="17">
        <v>100</v>
      </c>
    </row>
    <row r="25" spans="1:11" x14ac:dyDescent="0.25">
      <c r="A25" s="10" t="s">
        <v>60</v>
      </c>
      <c r="B25" s="22" t="s">
        <v>119</v>
      </c>
      <c r="C25" s="36">
        <v>1</v>
      </c>
      <c r="D25" s="28">
        <v>3.6</v>
      </c>
      <c r="E25" s="28">
        <v>4.2</v>
      </c>
      <c r="F25" s="28">
        <v>20.190000000000001</v>
      </c>
      <c r="G25" s="28">
        <v>8.57</v>
      </c>
      <c r="H25" s="28">
        <v>10.85</v>
      </c>
      <c r="I25" s="28">
        <v>2E-3</v>
      </c>
      <c r="J25" s="26">
        <v>46.2</v>
      </c>
      <c r="K25" s="17">
        <v>100</v>
      </c>
    </row>
    <row r="26" spans="1:11" x14ac:dyDescent="0.25">
      <c r="A26" s="10" t="s">
        <v>61</v>
      </c>
      <c r="B26" s="22" t="s">
        <v>120</v>
      </c>
      <c r="C26" s="36">
        <v>1</v>
      </c>
      <c r="D26" s="28">
        <v>3.6</v>
      </c>
      <c r="E26" s="28">
        <v>4.2</v>
      </c>
      <c r="F26" s="28">
        <v>28.27</v>
      </c>
      <c r="G26" s="28">
        <v>5.45</v>
      </c>
      <c r="H26" s="28">
        <v>20.52</v>
      </c>
      <c r="I26" s="28">
        <v>2E-3</v>
      </c>
      <c r="J26" s="26">
        <v>27.4</v>
      </c>
      <c r="K26" s="17">
        <v>100</v>
      </c>
    </row>
    <row r="27" spans="1:11" x14ac:dyDescent="0.25">
      <c r="A27" s="10" t="s">
        <v>62</v>
      </c>
      <c r="B27" s="22" t="s">
        <v>121</v>
      </c>
      <c r="C27" s="36">
        <v>1</v>
      </c>
      <c r="D27" s="28">
        <v>3.6</v>
      </c>
      <c r="E27" s="28">
        <v>4.2</v>
      </c>
      <c r="F27" s="28">
        <v>20.190000000000001</v>
      </c>
      <c r="G27" s="28">
        <v>6.91</v>
      </c>
      <c r="H27" s="28">
        <v>12.76</v>
      </c>
      <c r="I27" s="28">
        <v>1E-3</v>
      </c>
      <c r="J27" s="26">
        <v>36.799999999999997</v>
      </c>
      <c r="K27" s="17">
        <v>100</v>
      </c>
    </row>
    <row r="28" spans="1:11" x14ac:dyDescent="0.25">
      <c r="A28" s="10" t="s">
        <v>63</v>
      </c>
      <c r="B28" s="22" t="s">
        <v>122</v>
      </c>
      <c r="C28" s="36">
        <v>1</v>
      </c>
      <c r="D28" s="28">
        <v>3.6</v>
      </c>
      <c r="E28" s="28">
        <v>4.2</v>
      </c>
      <c r="F28" s="28">
        <v>32.31</v>
      </c>
      <c r="G28" s="28">
        <v>10.85</v>
      </c>
      <c r="H28" s="28">
        <v>22.5</v>
      </c>
      <c r="I28" s="28">
        <v>0.17199999999999999</v>
      </c>
      <c r="J28" s="26">
        <v>30.4</v>
      </c>
      <c r="K28" s="17">
        <v>98.4</v>
      </c>
    </row>
    <row r="29" spans="1:11" x14ac:dyDescent="0.25">
      <c r="A29" s="10" t="s">
        <v>64</v>
      </c>
      <c r="B29" s="22" t="s">
        <v>123</v>
      </c>
      <c r="C29" s="36">
        <v>1</v>
      </c>
      <c r="D29" s="28">
        <v>3.6</v>
      </c>
      <c r="E29" s="28">
        <v>4.2</v>
      </c>
      <c r="F29" s="28">
        <v>16.149999999999999</v>
      </c>
      <c r="G29" s="28">
        <v>7.74</v>
      </c>
      <c r="H29" s="28">
        <v>8.39</v>
      </c>
      <c r="I29" s="28">
        <v>2E-3</v>
      </c>
      <c r="J29" s="26">
        <v>48</v>
      </c>
      <c r="K29" s="17">
        <v>100</v>
      </c>
    </row>
    <row r="30" spans="1:11" x14ac:dyDescent="0.25">
      <c r="A30" s="10" t="s">
        <v>65</v>
      </c>
      <c r="B30" s="22" t="s">
        <v>124</v>
      </c>
      <c r="C30" s="36">
        <v>1</v>
      </c>
      <c r="D30" s="28">
        <v>3.6</v>
      </c>
      <c r="E30" s="28">
        <v>4.2</v>
      </c>
      <c r="F30" s="28">
        <v>20.190000000000001</v>
      </c>
      <c r="G30" s="28">
        <v>3.18</v>
      </c>
      <c r="H30" s="28">
        <v>15.75</v>
      </c>
      <c r="I30" s="28">
        <v>1E-3</v>
      </c>
      <c r="J30" s="26">
        <v>22</v>
      </c>
      <c r="K30" s="17">
        <v>100</v>
      </c>
    </row>
    <row r="31" spans="1:11" x14ac:dyDescent="0.25">
      <c r="A31" s="10" t="s">
        <v>66</v>
      </c>
      <c r="B31" s="22" t="s">
        <v>125</v>
      </c>
      <c r="C31" s="36">
        <v>1</v>
      </c>
      <c r="D31" s="28">
        <v>3.6</v>
      </c>
      <c r="E31" s="28">
        <v>4.2</v>
      </c>
      <c r="F31" s="28">
        <v>32.31</v>
      </c>
      <c r="G31" s="28">
        <v>6.95</v>
      </c>
      <c r="H31" s="28">
        <v>25.91</v>
      </c>
      <c r="I31" s="28">
        <v>1E-3</v>
      </c>
      <c r="J31" s="26">
        <v>19.8</v>
      </c>
      <c r="K31" s="17">
        <v>100</v>
      </c>
    </row>
    <row r="32" spans="1:11" x14ac:dyDescent="0.25">
      <c r="A32" s="10" t="s">
        <v>67</v>
      </c>
      <c r="B32" s="22" t="s">
        <v>126</v>
      </c>
      <c r="C32" s="36">
        <v>1</v>
      </c>
      <c r="D32" s="28">
        <v>3.6</v>
      </c>
      <c r="E32" s="28">
        <v>4.2</v>
      </c>
      <c r="F32" s="28">
        <v>32.31</v>
      </c>
      <c r="G32" s="28">
        <v>4.83</v>
      </c>
      <c r="H32" s="28">
        <v>25.35</v>
      </c>
      <c r="I32" s="28">
        <v>2E-3</v>
      </c>
      <c r="J32" s="26">
        <v>21.5</v>
      </c>
      <c r="K32" s="17">
        <v>100</v>
      </c>
    </row>
    <row r="33" spans="1:11" x14ac:dyDescent="0.25">
      <c r="A33" s="10" t="s">
        <v>68</v>
      </c>
      <c r="B33" s="22" t="s">
        <v>127</v>
      </c>
      <c r="C33" s="36">
        <v>3</v>
      </c>
      <c r="D33" s="28">
        <v>3.6</v>
      </c>
      <c r="E33" s="28">
        <v>4.2</v>
      </c>
      <c r="F33" s="28">
        <v>28.27</v>
      </c>
      <c r="G33" s="28">
        <v>6.68</v>
      </c>
      <c r="H33" s="28">
        <v>19.72</v>
      </c>
      <c r="I33" s="28">
        <v>1E-3</v>
      </c>
      <c r="J33" s="26">
        <v>30.2</v>
      </c>
      <c r="K33" s="17">
        <v>100</v>
      </c>
    </row>
    <row r="34" spans="1:11" x14ac:dyDescent="0.25">
      <c r="A34" s="10" t="s">
        <v>69</v>
      </c>
      <c r="B34" s="22" t="s">
        <v>128</v>
      </c>
      <c r="C34" s="36">
        <v>1</v>
      </c>
      <c r="D34" s="28">
        <v>3.6</v>
      </c>
      <c r="E34" s="28">
        <v>4.2</v>
      </c>
      <c r="F34" s="28">
        <v>12.11</v>
      </c>
      <c r="G34" s="28">
        <v>12.66</v>
      </c>
      <c r="H34" s="28">
        <v>2.17</v>
      </c>
      <c r="I34" s="28">
        <v>1.9330000000000001</v>
      </c>
      <c r="J34" s="26">
        <v>82.1</v>
      </c>
      <c r="K34" s="17">
        <v>84.7</v>
      </c>
    </row>
    <row r="35" spans="1:11" x14ac:dyDescent="0.25">
      <c r="A35" s="10" t="s">
        <v>70</v>
      </c>
      <c r="B35" s="22" t="s">
        <v>129</v>
      </c>
      <c r="C35" s="36">
        <v>3</v>
      </c>
      <c r="D35" s="28">
        <v>3.6</v>
      </c>
      <c r="E35" s="28">
        <v>4.2</v>
      </c>
      <c r="F35" s="28">
        <v>24.23</v>
      </c>
      <c r="G35" s="28">
        <v>11.33</v>
      </c>
      <c r="H35" s="28">
        <v>15.48</v>
      </c>
      <c r="I35" s="28">
        <v>1.681</v>
      </c>
      <c r="J35" s="26">
        <v>36.1</v>
      </c>
      <c r="K35" s="17">
        <v>85.2</v>
      </c>
    </row>
    <row r="36" spans="1:11" x14ac:dyDescent="0.25">
      <c r="A36" s="10" t="s">
        <v>71</v>
      </c>
      <c r="B36" s="22" t="s">
        <v>130</v>
      </c>
      <c r="C36" s="36">
        <v>3</v>
      </c>
      <c r="D36" s="28">
        <v>3.6</v>
      </c>
      <c r="E36" s="28">
        <v>4.2</v>
      </c>
      <c r="F36" s="28">
        <v>16.149999999999999</v>
      </c>
      <c r="G36" s="28">
        <v>13.57</v>
      </c>
      <c r="H36" s="28">
        <v>5.91</v>
      </c>
      <c r="I36" s="28">
        <v>2.605</v>
      </c>
      <c r="J36" s="26">
        <v>63.4</v>
      </c>
      <c r="K36" s="17">
        <v>80.8</v>
      </c>
    </row>
    <row r="37" spans="1:11" x14ac:dyDescent="0.25">
      <c r="A37" s="10" t="s">
        <v>72</v>
      </c>
      <c r="B37" s="22" t="s">
        <v>131</v>
      </c>
      <c r="C37" s="36">
        <v>3</v>
      </c>
      <c r="D37" s="28">
        <v>3.6</v>
      </c>
      <c r="E37" s="28">
        <v>4.2</v>
      </c>
      <c r="F37" s="28">
        <v>16.149999999999999</v>
      </c>
      <c r="G37" s="28">
        <v>5.93</v>
      </c>
      <c r="H37" s="28">
        <v>9.31</v>
      </c>
      <c r="I37" s="28">
        <v>2E-3</v>
      </c>
      <c r="J37" s="26">
        <v>42.3</v>
      </c>
      <c r="K37" s="17">
        <v>100</v>
      </c>
    </row>
    <row r="38" spans="1:11" x14ac:dyDescent="0.25">
      <c r="A38" s="10" t="s">
        <v>73</v>
      </c>
      <c r="B38" s="22" t="s">
        <v>132</v>
      </c>
      <c r="C38" s="36">
        <v>1</v>
      </c>
      <c r="D38" s="28">
        <v>3.6</v>
      </c>
      <c r="E38" s="28">
        <v>4.2</v>
      </c>
      <c r="F38" s="28">
        <v>32.31</v>
      </c>
      <c r="G38" s="28">
        <v>15.77</v>
      </c>
      <c r="H38" s="28">
        <v>17.11</v>
      </c>
      <c r="I38" s="28">
        <v>2E-3</v>
      </c>
      <c r="J38" s="26">
        <v>47</v>
      </c>
      <c r="K38" s="17">
        <v>100</v>
      </c>
    </row>
    <row r="39" spans="1:11" x14ac:dyDescent="0.25">
      <c r="A39" s="10" t="s">
        <v>74</v>
      </c>
      <c r="B39" s="22" t="s">
        <v>133</v>
      </c>
      <c r="C39" s="36">
        <v>2</v>
      </c>
      <c r="D39" s="28">
        <v>3.6</v>
      </c>
      <c r="E39" s="28">
        <v>4.2</v>
      </c>
      <c r="F39" s="28">
        <v>32.31</v>
      </c>
      <c r="G39" s="28">
        <v>11.33</v>
      </c>
      <c r="H39" s="28">
        <v>20.5</v>
      </c>
      <c r="I39" s="28">
        <v>1E-3</v>
      </c>
      <c r="J39" s="26">
        <v>36.5</v>
      </c>
      <c r="K39" s="17">
        <v>100</v>
      </c>
    </row>
    <row r="40" spans="1:11" x14ac:dyDescent="0.25">
      <c r="A40" s="10" t="s">
        <v>75</v>
      </c>
      <c r="B40" s="22" t="s">
        <v>134</v>
      </c>
      <c r="C40" s="36">
        <v>1</v>
      </c>
      <c r="D40" s="28">
        <v>3.6</v>
      </c>
      <c r="E40" s="28">
        <v>4.2</v>
      </c>
      <c r="F40" s="28">
        <v>12.11</v>
      </c>
      <c r="G40" s="28">
        <v>2.38</v>
      </c>
      <c r="H40" s="28">
        <v>7.37</v>
      </c>
      <c r="I40" s="28">
        <v>1E-3</v>
      </c>
      <c r="J40" s="26">
        <v>39.200000000000003</v>
      </c>
      <c r="K40" s="17">
        <v>100</v>
      </c>
    </row>
    <row r="41" spans="1:11" x14ac:dyDescent="0.25">
      <c r="A41" s="10" t="s">
        <v>76</v>
      </c>
      <c r="B41" s="22" t="s">
        <v>135</v>
      </c>
      <c r="C41" s="36">
        <v>1</v>
      </c>
      <c r="D41" s="28">
        <v>3.6</v>
      </c>
      <c r="E41" s="28">
        <v>4.2</v>
      </c>
      <c r="F41" s="28">
        <v>12.11</v>
      </c>
      <c r="G41" s="28">
        <v>10.49</v>
      </c>
      <c r="H41" s="28">
        <v>2.9</v>
      </c>
      <c r="I41" s="28">
        <v>0.48</v>
      </c>
      <c r="J41" s="26">
        <v>76.099999999999994</v>
      </c>
      <c r="K41" s="17">
        <v>95.4</v>
      </c>
    </row>
    <row r="42" spans="1:11" x14ac:dyDescent="0.25">
      <c r="A42" s="10" t="s">
        <v>77</v>
      </c>
      <c r="B42" s="22" t="s">
        <v>136</v>
      </c>
      <c r="C42" s="36">
        <v>3</v>
      </c>
      <c r="D42" s="28">
        <v>3.6</v>
      </c>
      <c r="E42" s="28">
        <v>4.2</v>
      </c>
      <c r="F42" s="28">
        <v>32.31</v>
      </c>
      <c r="G42" s="28">
        <v>4.96</v>
      </c>
      <c r="H42" s="28">
        <v>25.07</v>
      </c>
      <c r="I42" s="28">
        <v>2E-3</v>
      </c>
      <c r="J42" s="26">
        <v>22.4</v>
      </c>
      <c r="K42" s="17">
        <v>100</v>
      </c>
    </row>
    <row r="43" spans="1:11" x14ac:dyDescent="0.25">
      <c r="A43" s="10" t="s">
        <v>78</v>
      </c>
      <c r="B43" s="22" t="s">
        <v>137</v>
      </c>
      <c r="C43" s="36">
        <v>1</v>
      </c>
      <c r="D43" s="28">
        <v>3.6</v>
      </c>
      <c r="E43" s="28">
        <v>4.2</v>
      </c>
      <c r="F43" s="28">
        <v>32.31</v>
      </c>
      <c r="G43" s="28">
        <v>7.31</v>
      </c>
      <c r="H43" s="28">
        <v>23.9</v>
      </c>
      <c r="I43" s="28">
        <v>1E-3</v>
      </c>
      <c r="J43" s="26">
        <v>26</v>
      </c>
      <c r="K43" s="17">
        <v>100</v>
      </c>
    </row>
    <row r="44" spans="1:11" x14ac:dyDescent="0.25">
      <c r="A44" s="10" t="s">
        <v>79</v>
      </c>
      <c r="B44" s="22" t="s">
        <v>138</v>
      </c>
      <c r="C44" s="36">
        <v>1</v>
      </c>
      <c r="D44" s="28">
        <v>3.6</v>
      </c>
      <c r="E44" s="28">
        <v>4.2</v>
      </c>
      <c r="F44" s="28">
        <v>32.31</v>
      </c>
      <c r="G44" s="28">
        <v>9.2100000000000009</v>
      </c>
      <c r="H44" s="28">
        <v>23.1</v>
      </c>
      <c r="I44" s="28">
        <v>2E-3</v>
      </c>
      <c r="J44" s="26">
        <v>28.5</v>
      </c>
      <c r="K44" s="17">
        <v>100</v>
      </c>
    </row>
    <row r="45" spans="1:11" x14ac:dyDescent="0.25">
      <c r="A45" s="10" t="s">
        <v>80</v>
      </c>
      <c r="B45" s="22" t="s">
        <v>139</v>
      </c>
      <c r="C45" s="36">
        <v>3</v>
      </c>
      <c r="D45" s="28">
        <v>3.6</v>
      </c>
      <c r="E45" s="28">
        <v>4.2</v>
      </c>
      <c r="F45" s="28">
        <v>20.190000000000001</v>
      </c>
      <c r="G45" s="28">
        <v>3.78</v>
      </c>
      <c r="H45" s="28">
        <v>14.87</v>
      </c>
      <c r="I45" s="28">
        <v>2E-3</v>
      </c>
      <c r="J45" s="26">
        <v>26.4</v>
      </c>
      <c r="K45" s="17">
        <v>99.9</v>
      </c>
    </row>
    <row r="46" spans="1:11" x14ac:dyDescent="0.25">
      <c r="A46" s="10" t="s">
        <v>81</v>
      </c>
      <c r="B46" s="22" t="s">
        <v>140</v>
      </c>
      <c r="C46" s="36">
        <v>2</v>
      </c>
      <c r="D46" s="28">
        <v>3.6</v>
      </c>
      <c r="E46" s="28">
        <v>4.2</v>
      </c>
      <c r="F46" s="28">
        <v>32.31</v>
      </c>
      <c r="G46" s="28">
        <v>6.72</v>
      </c>
      <c r="H46" s="28">
        <v>25.93</v>
      </c>
      <c r="I46" s="28">
        <v>1E-3</v>
      </c>
      <c r="J46" s="26">
        <v>19.7</v>
      </c>
      <c r="K46" s="17">
        <v>100</v>
      </c>
    </row>
    <row r="47" spans="1:11" x14ac:dyDescent="0.25">
      <c r="A47" s="12" t="s">
        <v>82</v>
      </c>
      <c r="B47" s="23" t="s">
        <v>141</v>
      </c>
      <c r="C47" s="37">
        <v>3</v>
      </c>
      <c r="D47" s="29">
        <v>3.6</v>
      </c>
      <c r="E47" s="29">
        <v>4.2</v>
      </c>
      <c r="F47" s="29">
        <v>32.31</v>
      </c>
      <c r="G47" s="29">
        <v>7.93</v>
      </c>
      <c r="H47" s="29">
        <v>22.78</v>
      </c>
      <c r="I47" s="29">
        <v>0.47499999999999998</v>
      </c>
      <c r="J47" s="27">
        <v>29.5</v>
      </c>
      <c r="K47" s="33">
        <v>94</v>
      </c>
    </row>
  </sheetData>
  <conditionalFormatting sqref="J2:K47">
    <cfRule type="colorScale" priority="1">
      <colorScale>
        <cfvo type="min"/>
        <cfvo type="percentile" val="50"/>
        <cfvo type="max"/>
        <color rgb="FFFDECEC"/>
        <color rgb="FFFFF4E0"/>
        <color rgb="FFEAF6EA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9"/>
  <sheetViews>
    <sheetView showGridLines="0" topLeftCell="A52" workbookViewId="0">
      <selection sqref="A1:Q1"/>
    </sheetView>
  </sheetViews>
  <sheetFormatPr defaultRowHeight="15" x14ac:dyDescent="0.25"/>
  <cols>
    <col min="1" max="2" width="13" customWidth="1"/>
    <col min="3" max="3" width="3" customWidth="1"/>
    <col min="4" max="5" width="13" customWidth="1"/>
    <col min="6" max="6" width="3" customWidth="1"/>
    <col min="7" max="8" width="13" customWidth="1"/>
    <col min="9" max="9" width="3" customWidth="1"/>
    <col min="10" max="11" width="13" customWidth="1"/>
    <col min="12" max="12" width="3" customWidth="1"/>
    <col min="13" max="14" width="13" customWidth="1"/>
    <col min="15" max="15" width="3" customWidth="1"/>
    <col min="16" max="17" width="13" customWidth="1"/>
  </cols>
  <sheetData>
    <row r="1" spans="1:17" ht="33.950000000000003" customHeight="1" x14ac:dyDescent="0.25">
      <c r="A1" s="57" t="s">
        <v>142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ht="24" customHeight="1" x14ac:dyDescent="0.25">
      <c r="A2" s="59" t="s">
        <v>143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4" spans="1:17" ht="30" customHeight="1" x14ac:dyDescent="0.25">
      <c r="A4" s="60" t="s">
        <v>144</v>
      </c>
      <c r="B4" s="61" t="s">
        <v>144</v>
      </c>
      <c r="D4" s="64" t="s">
        <v>145</v>
      </c>
      <c r="E4" s="65" t="s">
        <v>145</v>
      </c>
      <c r="G4" s="68" t="s">
        <v>146</v>
      </c>
      <c r="H4" s="69" t="s">
        <v>146</v>
      </c>
      <c r="J4" s="72" t="s">
        <v>147</v>
      </c>
      <c r="K4" s="73" t="s">
        <v>147</v>
      </c>
      <c r="M4" s="76" t="s">
        <v>148</v>
      </c>
      <c r="N4" s="77" t="s">
        <v>148</v>
      </c>
      <c r="P4" s="64" t="s">
        <v>149</v>
      </c>
      <c r="Q4" s="65" t="s">
        <v>149</v>
      </c>
    </row>
    <row r="5" spans="1:17" ht="30" customHeight="1" x14ac:dyDescent="0.25">
      <c r="A5" s="62">
        <f>Summary!B5</f>
        <v>46</v>
      </c>
      <c r="B5" s="63"/>
      <c r="D5" s="66">
        <f>Summary!B6</f>
        <v>1163</v>
      </c>
      <c r="E5" s="67"/>
      <c r="G5" s="70">
        <f>Summary!B7</f>
        <v>343.4</v>
      </c>
      <c r="H5" s="71"/>
      <c r="J5" s="74">
        <f>Summary!B9</f>
        <v>12.4</v>
      </c>
      <c r="K5" s="75"/>
      <c r="M5" s="78">
        <f>Summary!B10</f>
        <v>31</v>
      </c>
      <c r="N5" s="79"/>
      <c r="P5" s="80">
        <f>Summary!B11</f>
        <v>96.4</v>
      </c>
      <c r="Q5" s="67"/>
    </row>
    <row r="43" spans="10:17" x14ac:dyDescent="0.25">
      <c r="J43" s="81" t="s">
        <v>150</v>
      </c>
      <c r="K43" s="82"/>
      <c r="L43" s="82"/>
      <c r="M43" s="82"/>
      <c r="N43" s="82"/>
      <c r="O43" s="82"/>
      <c r="P43" s="82"/>
      <c r="Q43" s="83"/>
    </row>
    <row r="44" spans="10:17" x14ac:dyDescent="0.25">
      <c r="J44" s="84"/>
      <c r="K44" s="85"/>
      <c r="L44" s="85"/>
      <c r="M44" s="85"/>
      <c r="N44" s="85"/>
      <c r="O44" s="85"/>
      <c r="P44" s="85"/>
      <c r="Q44" s="86"/>
    </row>
    <row r="45" spans="10:17" x14ac:dyDescent="0.25">
      <c r="J45" s="84"/>
      <c r="K45" s="85"/>
      <c r="L45" s="85"/>
      <c r="M45" s="85"/>
      <c r="N45" s="85"/>
      <c r="O45" s="85"/>
      <c r="P45" s="85"/>
      <c r="Q45" s="86"/>
    </row>
    <row r="46" spans="10:17" x14ac:dyDescent="0.25">
      <c r="J46" s="84"/>
      <c r="K46" s="85"/>
      <c r="L46" s="85"/>
      <c r="M46" s="85"/>
      <c r="N46" s="85"/>
      <c r="O46" s="85"/>
      <c r="P46" s="85"/>
      <c r="Q46" s="86"/>
    </row>
    <row r="47" spans="10:17" x14ac:dyDescent="0.25">
      <c r="J47" s="84"/>
      <c r="K47" s="85"/>
      <c r="L47" s="85"/>
      <c r="M47" s="85"/>
      <c r="N47" s="85"/>
      <c r="O47" s="85"/>
      <c r="P47" s="85"/>
      <c r="Q47" s="86"/>
    </row>
    <row r="48" spans="10:17" x14ac:dyDescent="0.25">
      <c r="J48" s="84"/>
      <c r="K48" s="85"/>
      <c r="L48" s="85"/>
      <c r="M48" s="85"/>
      <c r="N48" s="85"/>
      <c r="O48" s="85"/>
      <c r="P48" s="85"/>
      <c r="Q48" s="86"/>
    </row>
    <row r="49" spans="10:17" x14ac:dyDescent="0.25">
      <c r="J49" s="84"/>
      <c r="K49" s="85"/>
      <c r="L49" s="85"/>
      <c r="M49" s="85"/>
      <c r="N49" s="85"/>
      <c r="O49" s="85"/>
      <c r="P49" s="85"/>
      <c r="Q49" s="86"/>
    </row>
    <row r="50" spans="10:17" x14ac:dyDescent="0.25">
      <c r="J50" s="84"/>
      <c r="K50" s="85"/>
      <c r="L50" s="85"/>
      <c r="M50" s="85"/>
      <c r="N50" s="85"/>
      <c r="O50" s="85"/>
      <c r="P50" s="85"/>
      <c r="Q50" s="86"/>
    </row>
    <row r="51" spans="10:17" x14ac:dyDescent="0.25">
      <c r="J51" s="84"/>
      <c r="K51" s="85"/>
      <c r="L51" s="85"/>
      <c r="M51" s="85"/>
      <c r="N51" s="85"/>
      <c r="O51" s="85"/>
      <c r="P51" s="85"/>
      <c r="Q51" s="86"/>
    </row>
    <row r="52" spans="10:17" x14ac:dyDescent="0.25">
      <c r="J52" s="84"/>
      <c r="K52" s="85"/>
      <c r="L52" s="85"/>
      <c r="M52" s="85"/>
      <c r="N52" s="85"/>
      <c r="O52" s="85"/>
      <c r="P52" s="85"/>
      <c r="Q52" s="86"/>
    </row>
    <row r="53" spans="10:17" x14ac:dyDescent="0.25">
      <c r="J53" s="84"/>
      <c r="K53" s="85"/>
      <c r="L53" s="85"/>
      <c r="M53" s="85"/>
      <c r="N53" s="85"/>
      <c r="O53" s="85"/>
      <c r="P53" s="85"/>
      <c r="Q53" s="86"/>
    </row>
    <row r="54" spans="10:17" x14ac:dyDescent="0.25">
      <c r="J54" s="84"/>
      <c r="K54" s="85"/>
      <c r="L54" s="85"/>
      <c r="M54" s="85"/>
      <c r="N54" s="85"/>
      <c r="O54" s="85"/>
      <c r="P54" s="85"/>
      <c r="Q54" s="86"/>
    </row>
    <row r="55" spans="10:17" x14ac:dyDescent="0.25">
      <c r="J55" s="84"/>
      <c r="K55" s="85"/>
      <c r="L55" s="85"/>
      <c r="M55" s="85"/>
      <c r="N55" s="85"/>
      <c r="O55" s="85"/>
      <c r="P55" s="85"/>
      <c r="Q55" s="86"/>
    </row>
    <row r="56" spans="10:17" x14ac:dyDescent="0.25">
      <c r="J56" s="84"/>
      <c r="K56" s="85"/>
      <c r="L56" s="85"/>
      <c r="M56" s="85"/>
      <c r="N56" s="85"/>
      <c r="O56" s="85"/>
      <c r="P56" s="85"/>
      <c r="Q56" s="86"/>
    </row>
    <row r="57" spans="10:17" x14ac:dyDescent="0.25">
      <c r="J57" s="84"/>
      <c r="K57" s="85"/>
      <c r="L57" s="85"/>
      <c r="M57" s="85"/>
      <c r="N57" s="85"/>
      <c r="O57" s="85"/>
      <c r="P57" s="85"/>
      <c r="Q57" s="86"/>
    </row>
    <row r="58" spans="10:17" x14ac:dyDescent="0.25">
      <c r="J58" s="84"/>
      <c r="K58" s="85"/>
      <c r="L58" s="85"/>
      <c r="M58" s="85"/>
      <c r="N58" s="85"/>
      <c r="O58" s="85"/>
      <c r="P58" s="85"/>
      <c r="Q58" s="86"/>
    </row>
    <row r="59" spans="10:17" x14ac:dyDescent="0.25">
      <c r="J59" s="87"/>
      <c r="K59" s="88"/>
      <c r="L59" s="88"/>
      <c r="M59" s="88"/>
      <c r="N59" s="88"/>
      <c r="O59" s="88"/>
      <c r="P59" s="88"/>
      <c r="Q59" s="89"/>
    </row>
  </sheetData>
  <mergeCells count="15">
    <mergeCell ref="J43:Q59"/>
    <mergeCell ref="A1:Q1"/>
    <mergeCell ref="A2:Q2"/>
    <mergeCell ref="A4:B4"/>
    <mergeCell ref="A5:B5"/>
    <mergeCell ref="D4:E4"/>
    <mergeCell ref="D5:E5"/>
    <mergeCell ref="G4:H4"/>
    <mergeCell ref="G5:H5"/>
    <mergeCell ref="J4:K4"/>
    <mergeCell ref="J5:K5"/>
    <mergeCell ref="M4:N4"/>
    <mergeCell ref="M5:N5"/>
    <mergeCell ref="P4:Q4"/>
    <mergeCell ref="P5:Q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49"/>
  <sheetViews>
    <sheetView showGridLines="0" workbookViewId="0"/>
  </sheetViews>
  <sheetFormatPr defaultRowHeight="15" x14ac:dyDescent="0.25"/>
  <cols>
    <col min="1" max="1" width="9" customWidth="1"/>
    <col min="2" max="4" width="16" customWidth="1"/>
    <col min="6" max="6" width="9" customWidth="1"/>
    <col min="7" max="9" width="16" customWidth="1"/>
    <col min="11" max="11" width="26" customWidth="1"/>
    <col min="12" max="13" width="12" customWidth="1"/>
    <col min="15" max="15" width="8" customWidth="1"/>
    <col min="16" max="16" width="26" customWidth="1"/>
    <col min="17" max="17" width="15" customWidth="1"/>
    <col min="18" max="18" width="14" customWidth="1"/>
    <col min="20" max="20" width="9" customWidth="1"/>
    <col min="21" max="25" width="15" customWidth="1"/>
    <col min="27" max="33" width="15" customWidth="1"/>
  </cols>
  <sheetData>
    <row r="1" spans="1:33" x14ac:dyDescent="0.25">
      <c r="A1" s="38" t="s">
        <v>151</v>
      </c>
      <c r="B1" s="39" t="s">
        <v>152</v>
      </c>
      <c r="C1" s="39" t="s">
        <v>153</v>
      </c>
      <c r="D1" s="40" t="s">
        <v>154</v>
      </c>
      <c r="F1" s="38" t="s">
        <v>151</v>
      </c>
      <c r="G1" s="39" t="s">
        <v>155</v>
      </c>
      <c r="H1" s="39" t="s">
        <v>156</v>
      </c>
      <c r="I1" s="40" t="s">
        <v>157</v>
      </c>
      <c r="K1" s="38" t="s">
        <v>158</v>
      </c>
      <c r="L1" s="39" t="s">
        <v>159</v>
      </c>
      <c r="M1" s="40" t="s">
        <v>160</v>
      </c>
      <c r="O1" s="38" t="s">
        <v>161</v>
      </c>
      <c r="P1" s="39" t="s">
        <v>158</v>
      </c>
      <c r="Q1" s="39" t="s">
        <v>162</v>
      </c>
      <c r="R1" s="40" t="s">
        <v>163</v>
      </c>
      <c r="T1" s="38" t="s">
        <v>151</v>
      </c>
      <c r="U1" s="39" t="s">
        <v>164</v>
      </c>
      <c r="V1" s="39" t="s">
        <v>165</v>
      </c>
      <c r="W1" s="39" t="s">
        <v>166</v>
      </c>
      <c r="X1" s="39" t="s">
        <v>167</v>
      </c>
      <c r="Y1" s="40" t="s">
        <v>168</v>
      </c>
      <c r="AA1" s="38" t="s">
        <v>151</v>
      </c>
      <c r="AB1" s="39" t="s">
        <v>169</v>
      </c>
      <c r="AC1" s="39" t="s">
        <v>170</v>
      </c>
      <c r="AD1" s="39" t="s">
        <v>171</v>
      </c>
      <c r="AE1" s="39" t="s">
        <v>172</v>
      </c>
      <c r="AF1" s="39" t="s">
        <v>173</v>
      </c>
      <c r="AG1" s="40" t="s">
        <v>174</v>
      </c>
    </row>
    <row r="2" spans="1:33" x14ac:dyDescent="0.25">
      <c r="A2" s="41">
        <f>FleetAverage!B2</f>
        <v>0</v>
      </c>
      <c r="B2" s="43">
        <f>FleetAverage!I2</f>
        <v>9.8664873333333318</v>
      </c>
      <c r="C2" s="43">
        <f>FleetAverage!J2</f>
        <v>0</v>
      </c>
      <c r="D2" s="44">
        <f>FleetAverage!K2</f>
        <v>-1.512666666668494E-3</v>
      </c>
      <c r="F2" s="41">
        <f>FleetAverage!B2</f>
        <v>0</v>
      </c>
      <c r="G2" s="47">
        <f>FleetAverage!E2</f>
        <v>0</v>
      </c>
      <c r="H2" s="47">
        <f>FleetAverage!F2</f>
        <v>0.21452173913043479</v>
      </c>
      <c r="I2" s="49">
        <f>FleetAverage!H2</f>
        <v>40</v>
      </c>
      <c r="K2" s="4" t="str">
        <f>ProsumerMetrics!A2</f>
        <v>BES_TR4_one195_C</v>
      </c>
      <c r="L2" s="51">
        <f>ProsumerMetrics!J2</f>
        <v>42.6</v>
      </c>
      <c r="M2" s="49">
        <f>ProsumerMetrics!K2</f>
        <v>100</v>
      </c>
      <c r="O2" s="53">
        <v>1</v>
      </c>
      <c r="P2" s="19" t="str">
        <f>INDEX(ProsumerMetrics!$A$2:$A$47,MATCH(Q2,ProsumerMetrics!$H$2:$H$47,0))</f>
        <v>BES_TR4_one416_C</v>
      </c>
      <c r="Q2" s="43">
        <f>LARGE(ProsumerMetrics!$H$2:$H$47,O2)</f>
        <v>27.57</v>
      </c>
      <c r="R2" s="5" t="str">
        <f t="shared" ref="R2:R11" si="0">MID(P2,9,99)</f>
        <v>one416_C</v>
      </c>
      <c r="T2" s="41">
        <f>FleetAverage!B2</f>
        <v>0</v>
      </c>
      <c r="U2" s="47">
        <f>FleetAverage!C2</f>
        <v>0.21448885507246374</v>
      </c>
      <c r="V2" s="47">
        <f>FleetAverage!D2</f>
        <v>0</v>
      </c>
      <c r="W2" s="47">
        <f>FleetAverage!E2</f>
        <v>0</v>
      </c>
      <c r="X2" s="47">
        <f>FleetAverage!F2</f>
        <v>0.21452173913043479</v>
      </c>
      <c r="Y2" s="55">
        <f>FleetAverage!G2</f>
        <v>-3.2884057971055425E-5</v>
      </c>
      <c r="AA2" s="41">
        <f>FleetAverage!B2</f>
        <v>0</v>
      </c>
      <c r="AB2" s="47">
        <f>0</f>
        <v>0</v>
      </c>
      <c r="AC2" s="47">
        <f>FleetAverage!G2</f>
        <v>-3.2884057971055425E-5</v>
      </c>
      <c r="AD2" s="47">
        <f t="shared" ref="AD2:AD49" si="1">MAX(AC2,0)</f>
        <v>0</v>
      </c>
      <c r="AE2" s="47">
        <f t="shared" ref="AE2:AE49" si="2">MIN(AC2,0)</f>
        <v>-3.2884057971055425E-5</v>
      </c>
      <c r="AF2" s="51">
        <f>100</f>
        <v>100</v>
      </c>
      <c r="AG2" s="49">
        <f>FleetAverage!H2</f>
        <v>40</v>
      </c>
    </row>
    <row r="3" spans="1:33" x14ac:dyDescent="0.25">
      <c r="A3" s="41">
        <f>FleetAverage!B3</f>
        <v>0.5</v>
      </c>
      <c r="B3" s="43">
        <f>FleetAverage!I3</f>
        <v>8.8744943333333275</v>
      </c>
      <c r="C3" s="43">
        <f>FleetAverage!J3</f>
        <v>0</v>
      </c>
      <c r="D3" s="44">
        <f>FleetAverage!K3</f>
        <v>-1.5056666666719565E-3</v>
      </c>
      <c r="F3" s="41">
        <f>FleetAverage!B3</f>
        <v>0.5</v>
      </c>
      <c r="G3" s="47">
        <f>FleetAverage!E3</f>
        <v>0</v>
      </c>
      <c r="H3" s="47">
        <f>FleetAverage!F3</f>
        <v>0.19295652173913042</v>
      </c>
      <c r="I3" s="49">
        <f>FleetAverage!H3</f>
        <v>37.30848695652174</v>
      </c>
      <c r="K3" s="4" t="str">
        <f>ProsumerMetrics!A3</f>
        <v>BES_TR4_one223_B</v>
      </c>
      <c r="L3" s="51">
        <f>ProsumerMetrics!J3</f>
        <v>35.200000000000003</v>
      </c>
      <c r="M3" s="49">
        <f>ProsumerMetrics!K3</f>
        <v>100</v>
      </c>
      <c r="O3" s="53">
        <v>2</v>
      </c>
      <c r="P3" s="19" t="str">
        <f>INDEX(ProsumerMetrics!$A$2:$A$47,MATCH(Q3,ProsumerMetrics!$H$2:$H$47,0))</f>
        <v>BES_TR4_one585_A</v>
      </c>
      <c r="Q3" s="43">
        <f>LARGE(ProsumerMetrics!$H$2:$H$47,O3)</f>
        <v>27.32</v>
      </c>
      <c r="R3" s="5" t="str">
        <f t="shared" si="0"/>
        <v>one585_A</v>
      </c>
      <c r="T3" s="41">
        <f>FleetAverage!B3</f>
        <v>0.5</v>
      </c>
      <c r="U3" s="47">
        <f>FleetAverage!C3</f>
        <v>0.19292378985507233</v>
      </c>
      <c r="V3" s="47">
        <f>FleetAverage!D3</f>
        <v>0</v>
      </c>
      <c r="W3" s="47">
        <f>FleetAverage!E3</f>
        <v>0</v>
      </c>
      <c r="X3" s="47">
        <f>FleetAverage!F3</f>
        <v>0.19295652173913042</v>
      </c>
      <c r="Y3" s="55">
        <f>FleetAverage!G3</f>
        <v>-3.2731884058084804E-5</v>
      </c>
      <c r="AA3" s="41">
        <f>FleetAverage!B3</f>
        <v>0.5</v>
      </c>
      <c r="AB3" s="47">
        <f>0</f>
        <v>0</v>
      </c>
      <c r="AC3" s="47">
        <f>FleetAverage!G3</f>
        <v>-3.2731884058084804E-5</v>
      </c>
      <c r="AD3" s="47">
        <f t="shared" si="1"/>
        <v>0</v>
      </c>
      <c r="AE3" s="47">
        <f t="shared" si="2"/>
        <v>-3.2731884058084804E-5</v>
      </c>
      <c r="AF3" s="51">
        <f>100</f>
        <v>100</v>
      </c>
      <c r="AG3" s="49">
        <f>FleetAverage!H3</f>
        <v>37.30848695652174</v>
      </c>
    </row>
    <row r="4" spans="1:33" x14ac:dyDescent="0.25">
      <c r="A4" s="41">
        <f>FleetAverage!B4</f>
        <v>1</v>
      </c>
      <c r="B4" s="43">
        <f>FleetAverage!I4</f>
        <v>5.9693856666666658</v>
      </c>
      <c r="C4" s="43">
        <f>FleetAverage!J4</f>
        <v>0</v>
      </c>
      <c r="D4" s="44">
        <f>FleetAverage!K4</f>
        <v>-6.1433333333482665E-4</v>
      </c>
      <c r="F4" s="41">
        <f>FleetAverage!B4</f>
        <v>1</v>
      </c>
      <c r="G4" s="47">
        <f>FleetAverage!E4</f>
        <v>0</v>
      </c>
      <c r="H4" s="47">
        <f>FleetAverage!F4</f>
        <v>0.1297826086956522</v>
      </c>
      <c r="I4" s="49">
        <f>FleetAverage!H4</f>
        <v>34.887580434782613</v>
      </c>
      <c r="K4" s="4" t="str">
        <f>ProsumerMetrics!A4</f>
        <v>BES_TR4_one235_A</v>
      </c>
      <c r="L4" s="51">
        <f>ProsumerMetrics!J4</f>
        <v>23.1</v>
      </c>
      <c r="M4" s="49">
        <f>ProsumerMetrics!K4</f>
        <v>100</v>
      </c>
      <c r="O4" s="53">
        <v>3</v>
      </c>
      <c r="P4" s="19" t="str">
        <f>INDEX(ProsumerMetrics!$A$2:$A$47,MATCH(Q4,ProsumerMetrics!$H$2:$H$47,0))</f>
        <v>BES_TR4_one328_A</v>
      </c>
      <c r="Q4" s="43">
        <f>LARGE(ProsumerMetrics!$H$2:$H$47,O4)</f>
        <v>26.02</v>
      </c>
      <c r="R4" s="5" t="str">
        <f t="shared" si="0"/>
        <v>one328_A</v>
      </c>
      <c r="T4" s="41">
        <f>FleetAverage!B4</f>
        <v>1</v>
      </c>
      <c r="U4" s="47">
        <f>FleetAverage!C4</f>
        <v>0.12976925362318839</v>
      </c>
      <c r="V4" s="47">
        <f>FleetAverage!D4</f>
        <v>0</v>
      </c>
      <c r="W4" s="47">
        <f>FleetAverage!E4</f>
        <v>0</v>
      </c>
      <c r="X4" s="47">
        <f>FleetAverage!F4</f>
        <v>0.1297826086956522</v>
      </c>
      <c r="Y4" s="55">
        <f>FleetAverage!G4</f>
        <v>-1.3355072463805406E-5</v>
      </c>
      <c r="AA4" s="41">
        <f>FleetAverage!B4</f>
        <v>1</v>
      </c>
      <c r="AB4" s="47">
        <f>0</f>
        <v>0</v>
      </c>
      <c r="AC4" s="47">
        <f>FleetAverage!G4</f>
        <v>-1.3355072463805406E-5</v>
      </c>
      <c r="AD4" s="47">
        <f t="shared" si="1"/>
        <v>0</v>
      </c>
      <c r="AE4" s="47">
        <f t="shared" si="2"/>
        <v>-1.3355072463805406E-5</v>
      </c>
      <c r="AF4" s="51">
        <f>100</f>
        <v>100</v>
      </c>
      <c r="AG4" s="49">
        <f>FleetAverage!H4</f>
        <v>34.887580434782613</v>
      </c>
    </row>
    <row r="5" spans="1:33" x14ac:dyDescent="0.25">
      <c r="A5" s="41">
        <f>FleetAverage!B5</f>
        <v>1.5</v>
      </c>
      <c r="B5" s="43">
        <f>FleetAverage!I5</f>
        <v>6.6331046666666671</v>
      </c>
      <c r="C5" s="43">
        <f>FleetAverage!J5</f>
        <v>0</v>
      </c>
      <c r="D5" s="44">
        <f>FleetAverage!K5</f>
        <v>-1.8953333333326938E-3</v>
      </c>
      <c r="F5" s="41">
        <f>FleetAverage!B5</f>
        <v>1.5</v>
      </c>
      <c r="G5" s="47">
        <f>FleetAverage!E5</f>
        <v>0</v>
      </c>
      <c r="H5" s="47">
        <f>FleetAverage!F5</f>
        <v>0.14423913043478259</v>
      </c>
      <c r="I5" s="49">
        <f>FleetAverage!H5</f>
        <v>33.259173913043476</v>
      </c>
      <c r="K5" s="4" t="str">
        <f>ProsumerMetrics!A5</f>
        <v>BES_TR4_one242_B</v>
      </c>
      <c r="L5" s="51">
        <f>ProsumerMetrics!J5</f>
        <v>22.7</v>
      </c>
      <c r="M5" s="49">
        <f>ProsumerMetrics!K5</f>
        <v>100</v>
      </c>
      <c r="O5" s="53">
        <v>4</v>
      </c>
      <c r="P5" s="19" t="str">
        <f>INDEX(ProsumerMetrics!$A$2:$A$47,MATCH(Q5,ProsumerMetrics!$H$2:$H$47,0))</f>
        <v>BES_TR4_three97_B</v>
      </c>
      <c r="Q5" s="43">
        <f>LARGE(ProsumerMetrics!$H$2:$H$47,O5)</f>
        <v>25.93</v>
      </c>
      <c r="R5" s="5" t="str">
        <f t="shared" si="0"/>
        <v>three97_B</v>
      </c>
      <c r="T5" s="41">
        <f>FleetAverage!B5</f>
        <v>1.5</v>
      </c>
      <c r="U5" s="47">
        <f>FleetAverage!C5</f>
        <v>0.1441979275362319</v>
      </c>
      <c r="V5" s="47">
        <f>FleetAverage!D5</f>
        <v>0</v>
      </c>
      <c r="W5" s="47">
        <f>FleetAverage!E5</f>
        <v>0</v>
      </c>
      <c r="X5" s="47">
        <f>FleetAverage!F5</f>
        <v>0.14423913043478259</v>
      </c>
      <c r="Y5" s="55">
        <f>FleetAverage!G5</f>
        <v>-4.1202898550696254E-5</v>
      </c>
      <c r="AA5" s="41">
        <f>FleetAverage!B5</f>
        <v>1.5</v>
      </c>
      <c r="AB5" s="47">
        <f>0</f>
        <v>0</v>
      </c>
      <c r="AC5" s="47">
        <f>FleetAverage!G5</f>
        <v>-4.1202898550696254E-5</v>
      </c>
      <c r="AD5" s="47">
        <f t="shared" si="1"/>
        <v>0</v>
      </c>
      <c r="AE5" s="47">
        <f t="shared" si="2"/>
        <v>-4.1202898550696254E-5</v>
      </c>
      <c r="AF5" s="51">
        <f>100</f>
        <v>100</v>
      </c>
      <c r="AG5" s="49">
        <f>FleetAverage!H5</f>
        <v>33.259173913043476</v>
      </c>
    </row>
    <row r="6" spans="1:33" x14ac:dyDescent="0.25">
      <c r="A6" s="41">
        <f>FleetAverage!B6</f>
        <v>2</v>
      </c>
      <c r="B6" s="43">
        <f>FleetAverage!I6</f>
        <v>5.9838903333333331</v>
      </c>
      <c r="C6" s="43">
        <f>FleetAverage!J6</f>
        <v>0</v>
      </c>
      <c r="D6" s="44">
        <f>FleetAverage!K6</f>
        <v>0.27989033333333335</v>
      </c>
      <c r="F6" s="41">
        <f>FleetAverage!B6</f>
        <v>2</v>
      </c>
      <c r="G6" s="47">
        <f>FleetAverage!E6</f>
        <v>0</v>
      </c>
      <c r="H6" s="47">
        <f>FleetAverage!F6</f>
        <v>0.124</v>
      </c>
      <c r="I6" s="49">
        <f>FleetAverage!H6</f>
        <v>31.44970217391305</v>
      </c>
      <c r="K6" s="4" t="str">
        <f>ProsumerMetrics!A6</f>
        <v>BES_TR4_one252_C</v>
      </c>
      <c r="L6" s="51">
        <f>ProsumerMetrics!J6</f>
        <v>27</v>
      </c>
      <c r="M6" s="49">
        <f>ProsumerMetrics!K6</f>
        <v>100</v>
      </c>
      <c r="O6" s="53">
        <v>5</v>
      </c>
      <c r="P6" s="19" t="str">
        <f>INDEX(ProsumerMetrics!$A$2:$A$47,MATCH(Q6,ProsumerMetrics!$H$2:$H$47,0))</f>
        <v>BES_TR4_three64_A</v>
      </c>
      <c r="Q6" s="43">
        <f>LARGE(ProsumerMetrics!$H$2:$H$47,O6)</f>
        <v>25.91</v>
      </c>
      <c r="R6" s="5" t="str">
        <f t="shared" si="0"/>
        <v>three64_A</v>
      </c>
      <c r="T6" s="41">
        <f>FleetAverage!B6</f>
        <v>2</v>
      </c>
      <c r="U6" s="47">
        <f>FleetAverage!C6</f>
        <v>0.13008457246376812</v>
      </c>
      <c r="V6" s="47">
        <f>FleetAverage!D6</f>
        <v>0</v>
      </c>
      <c r="W6" s="47">
        <f>FleetAverage!E6</f>
        <v>0</v>
      </c>
      <c r="X6" s="47">
        <f>FleetAverage!F6</f>
        <v>0.124</v>
      </c>
      <c r="Y6" s="55">
        <f>FleetAverage!G6</f>
        <v>6.0845724637681176E-3</v>
      </c>
      <c r="AA6" s="41">
        <f>FleetAverage!B6</f>
        <v>2</v>
      </c>
      <c r="AB6" s="47">
        <f>0</f>
        <v>0</v>
      </c>
      <c r="AC6" s="47">
        <f>FleetAverage!G6</f>
        <v>6.0845724637681176E-3</v>
      </c>
      <c r="AD6" s="47">
        <f t="shared" si="1"/>
        <v>6.0845724637681176E-3</v>
      </c>
      <c r="AE6" s="47">
        <f t="shared" si="2"/>
        <v>0</v>
      </c>
      <c r="AF6" s="51">
        <f>100</f>
        <v>100</v>
      </c>
      <c r="AG6" s="49">
        <f>FleetAverage!H6</f>
        <v>31.44970217391305</v>
      </c>
    </row>
    <row r="7" spans="1:33" x14ac:dyDescent="0.25">
      <c r="A7" s="41">
        <f>FleetAverage!B7</f>
        <v>2.5</v>
      </c>
      <c r="B7" s="43">
        <f>FleetAverage!I7</f>
        <v>6.2933250000000012</v>
      </c>
      <c r="C7" s="43">
        <f>FleetAverage!J7</f>
        <v>0</v>
      </c>
      <c r="D7" s="44">
        <f>FleetAverage!K7</f>
        <v>6.3324999999999854E-2</v>
      </c>
      <c r="F7" s="41">
        <f>FleetAverage!B7</f>
        <v>2.5</v>
      </c>
      <c r="G7" s="47">
        <f>FleetAverage!E7</f>
        <v>0</v>
      </c>
      <c r="H7" s="47">
        <f>FleetAverage!F7</f>
        <v>0.13543478260869568</v>
      </c>
      <c r="I7" s="49">
        <f>FleetAverage!H7</f>
        <v>29.893828260869551</v>
      </c>
      <c r="K7" s="4" t="str">
        <f>ProsumerMetrics!A7</f>
        <v>BES_TR4_one260_C</v>
      </c>
      <c r="L7" s="51">
        <f>ProsumerMetrics!J7</f>
        <v>23.2</v>
      </c>
      <c r="M7" s="49">
        <f>ProsumerMetrics!K7</f>
        <v>100</v>
      </c>
      <c r="O7" s="53">
        <v>6</v>
      </c>
      <c r="P7" s="19" t="str">
        <f>INDEX(ProsumerMetrics!$A$2:$A$47,MATCH(Q7,ProsumerMetrics!$H$2:$H$47,0))</f>
        <v>BES_TR4_one480_A</v>
      </c>
      <c r="Q7" s="43">
        <f>LARGE(ProsumerMetrics!$H$2:$H$47,O7)</f>
        <v>25.4</v>
      </c>
      <c r="R7" s="5" t="str">
        <f t="shared" si="0"/>
        <v>one480_A</v>
      </c>
      <c r="T7" s="41">
        <f>FleetAverage!B7</f>
        <v>2.5</v>
      </c>
      <c r="U7" s="47">
        <f>FleetAverage!C7</f>
        <v>0.1368114130434783</v>
      </c>
      <c r="V7" s="47">
        <f>FleetAverage!D7</f>
        <v>0</v>
      </c>
      <c r="W7" s="47">
        <f>FleetAverage!E7</f>
        <v>0</v>
      </c>
      <c r="X7" s="47">
        <f>FleetAverage!F7</f>
        <v>0.13543478260869568</v>
      </c>
      <c r="Y7" s="55">
        <f>FleetAverage!G7</f>
        <v>1.3766304347826164E-3</v>
      </c>
      <c r="AA7" s="41">
        <f>FleetAverage!B7</f>
        <v>2.5</v>
      </c>
      <c r="AB7" s="47">
        <f>0</f>
        <v>0</v>
      </c>
      <c r="AC7" s="47">
        <f>FleetAverage!G7</f>
        <v>1.3766304347826164E-3</v>
      </c>
      <c r="AD7" s="47">
        <f t="shared" si="1"/>
        <v>1.3766304347826164E-3</v>
      </c>
      <c r="AE7" s="47">
        <f t="shared" si="2"/>
        <v>0</v>
      </c>
      <c r="AF7" s="51">
        <f>100</f>
        <v>100</v>
      </c>
      <c r="AG7" s="49">
        <f>FleetAverage!H7</f>
        <v>29.893828260869551</v>
      </c>
    </row>
    <row r="8" spans="1:33" x14ac:dyDescent="0.25">
      <c r="A8" s="41">
        <f>FleetAverage!B8</f>
        <v>3</v>
      </c>
      <c r="B8" s="43">
        <f>FleetAverage!I8</f>
        <v>6.7169163333333319</v>
      </c>
      <c r="C8" s="43">
        <f>FleetAverage!J8</f>
        <v>0</v>
      </c>
      <c r="D8" s="44">
        <f>FleetAverage!K8</f>
        <v>0.22791633333333117</v>
      </c>
      <c r="F8" s="41">
        <f>FleetAverage!B8</f>
        <v>3</v>
      </c>
      <c r="G8" s="47">
        <f>FleetAverage!E8</f>
        <v>0</v>
      </c>
      <c r="H8" s="47">
        <f>FleetAverage!F8</f>
        <v>0.14106521739130437</v>
      </c>
      <c r="I8" s="49">
        <f>FleetAverage!H8</f>
        <v>28.194650000000014</v>
      </c>
      <c r="K8" s="4" t="str">
        <f>ProsumerMetrics!A8</f>
        <v>BES_TR4_one299_B</v>
      </c>
      <c r="L8" s="51">
        <f>ProsumerMetrics!J8</f>
        <v>25.4</v>
      </c>
      <c r="M8" s="49">
        <f>ProsumerMetrics!K8</f>
        <v>100</v>
      </c>
      <c r="O8" s="53">
        <v>7</v>
      </c>
      <c r="P8" s="19" t="str">
        <f>INDEX(ProsumerMetrics!$A$2:$A$47,MATCH(Q8,ProsumerMetrics!$H$2:$H$47,0))</f>
        <v>BES_TR4_three193_A</v>
      </c>
      <c r="Q8" s="43">
        <f>LARGE(ProsumerMetrics!$H$2:$H$47,O8)</f>
        <v>25.35</v>
      </c>
      <c r="R8" s="5" t="str">
        <f t="shared" si="0"/>
        <v>three193_A</v>
      </c>
      <c r="T8" s="41">
        <f>FleetAverage!B8</f>
        <v>3</v>
      </c>
      <c r="U8" s="47">
        <f>FleetAverage!C8</f>
        <v>0.14601992028985505</v>
      </c>
      <c r="V8" s="47">
        <f>FleetAverage!D8</f>
        <v>0</v>
      </c>
      <c r="W8" s="47">
        <f>FleetAverage!E8</f>
        <v>0</v>
      </c>
      <c r="X8" s="47">
        <f>FleetAverage!F8</f>
        <v>0.14106521739130437</v>
      </c>
      <c r="Y8" s="55">
        <f>FleetAverage!G8</f>
        <v>4.9547028985506836E-3</v>
      </c>
      <c r="AA8" s="41">
        <f>FleetAverage!B8</f>
        <v>3</v>
      </c>
      <c r="AB8" s="47">
        <f>0</f>
        <v>0</v>
      </c>
      <c r="AC8" s="47">
        <f>FleetAverage!G8</f>
        <v>4.9547028985506836E-3</v>
      </c>
      <c r="AD8" s="47">
        <f t="shared" si="1"/>
        <v>4.9547028985506836E-3</v>
      </c>
      <c r="AE8" s="47">
        <f t="shared" si="2"/>
        <v>0</v>
      </c>
      <c r="AF8" s="51">
        <f>100</f>
        <v>100</v>
      </c>
      <c r="AG8" s="49">
        <f>FleetAverage!H8</f>
        <v>28.194650000000014</v>
      </c>
    </row>
    <row r="9" spans="1:33" x14ac:dyDescent="0.25">
      <c r="A9" s="41">
        <f>FleetAverage!B9</f>
        <v>3.5</v>
      </c>
      <c r="B9" s="43">
        <f>FleetAverage!I9</f>
        <v>6.8528215333333353</v>
      </c>
      <c r="C9" s="43">
        <f>FleetAverage!J9</f>
        <v>0.12386892480000007</v>
      </c>
      <c r="D9" s="44">
        <f>FleetAverage!K9</f>
        <v>0.68495260853333662</v>
      </c>
      <c r="F9" s="41">
        <f>FleetAverage!B9</f>
        <v>3.5</v>
      </c>
      <c r="G9" s="47">
        <f>FleetAverage!E9</f>
        <v>0</v>
      </c>
      <c r="H9" s="47">
        <f>FleetAverage!F9</f>
        <v>0.13139130434782606</v>
      </c>
      <c r="I9" s="49">
        <f>FleetAverage!H9</f>
        <v>26.423915217391304</v>
      </c>
      <c r="K9" s="4" t="str">
        <f>ProsumerMetrics!A9</f>
        <v>BES_TR4_one320_B</v>
      </c>
      <c r="L9" s="51">
        <f>ProsumerMetrics!J9</f>
        <v>39.9</v>
      </c>
      <c r="M9" s="49">
        <f>ProsumerMetrics!K9</f>
        <v>74.5</v>
      </c>
      <c r="O9" s="53">
        <v>8</v>
      </c>
      <c r="P9" s="19" t="str">
        <f>INDEX(ProsumerMetrics!$A$2:$A$47,MATCH(Q9,ProsumerMetrics!$H$2:$H$47,0))</f>
        <v>BES_TR4_three409_C</v>
      </c>
      <c r="Q9" s="43">
        <f>LARGE(ProsumerMetrics!$H$2:$H$47,O9)</f>
        <v>25.07</v>
      </c>
      <c r="R9" s="5" t="str">
        <f t="shared" si="0"/>
        <v>three409_C</v>
      </c>
      <c r="T9" s="41">
        <f>FleetAverage!B9</f>
        <v>3.5</v>
      </c>
      <c r="U9" s="47">
        <f>FleetAverage!C9</f>
        <v>0.14897438115942033</v>
      </c>
      <c r="V9" s="47">
        <f>FleetAverage!D9</f>
        <v>2.6928027130434799E-3</v>
      </c>
      <c r="W9" s="47">
        <f>FleetAverage!E9</f>
        <v>0</v>
      </c>
      <c r="X9" s="47">
        <f>FleetAverage!F9</f>
        <v>0.13139130434782606</v>
      </c>
      <c r="Y9" s="55">
        <f>FleetAverage!G9</f>
        <v>1.4890274098550788E-2</v>
      </c>
      <c r="AA9" s="41">
        <f>FleetAverage!B9</f>
        <v>3.5</v>
      </c>
      <c r="AB9" s="47">
        <f>0</f>
        <v>0</v>
      </c>
      <c r="AC9" s="47">
        <f>FleetAverage!G9</f>
        <v>1.4890274098550788E-2</v>
      </c>
      <c r="AD9" s="47">
        <f t="shared" si="1"/>
        <v>1.4890274098550788E-2</v>
      </c>
      <c r="AE9" s="47">
        <f t="shared" si="2"/>
        <v>0</v>
      </c>
      <c r="AF9" s="51">
        <f>100</f>
        <v>100</v>
      </c>
      <c r="AG9" s="49">
        <f>FleetAverage!H9</f>
        <v>26.423915217391304</v>
      </c>
    </row>
    <row r="10" spans="1:33" x14ac:dyDescent="0.25">
      <c r="A10" s="41">
        <f>FleetAverage!B10</f>
        <v>4</v>
      </c>
      <c r="B10" s="43">
        <f>FleetAverage!I10</f>
        <v>5.1851059999999984</v>
      </c>
      <c r="C10" s="43">
        <f>FleetAverage!J10</f>
        <v>1.7904417311999952</v>
      </c>
      <c r="D10" s="44">
        <f>FleetAverage!K10</f>
        <v>0.10539875600000359</v>
      </c>
      <c r="F10" s="41">
        <f>FleetAverage!B10</f>
        <v>4</v>
      </c>
      <c r="G10" s="47">
        <f>FleetAverage!E10</f>
        <v>5.6521739130434778E-4</v>
      </c>
      <c r="H10" s="47">
        <f>FleetAverage!F10</f>
        <v>7.2070989408695635E-2</v>
      </c>
      <c r="I10" s="49">
        <f>FleetAverage!H10</f>
        <v>24.776093478260869</v>
      </c>
      <c r="K10" s="4" t="str">
        <f>ProsumerMetrics!A10</f>
        <v>BES_TR4_one321_C</v>
      </c>
      <c r="L10" s="51">
        <f>ProsumerMetrics!J10</f>
        <v>35.4</v>
      </c>
      <c r="M10" s="49">
        <f>ProsumerMetrics!K10</f>
        <v>100</v>
      </c>
      <c r="O10" s="53">
        <v>9</v>
      </c>
      <c r="P10" s="19" t="str">
        <f>INDEX(ProsumerMetrics!$A$2:$A$47,MATCH(Q10,ProsumerMetrics!$H$2:$H$47,0))</f>
        <v>BES_TR4_one242_B</v>
      </c>
      <c r="Q10" s="43">
        <f>LARGE(ProsumerMetrics!$H$2:$H$47,O10)</f>
        <v>24.98</v>
      </c>
      <c r="R10" s="5" t="str">
        <f t="shared" si="0"/>
        <v>one242_B</v>
      </c>
      <c r="T10" s="41">
        <f>FleetAverage!B10</f>
        <v>4</v>
      </c>
      <c r="U10" s="47">
        <f>FleetAverage!C10</f>
        <v>0.11271969565217388</v>
      </c>
      <c r="V10" s="47">
        <f>FleetAverage!D10</f>
        <v>3.8922646330434678E-2</v>
      </c>
      <c r="W10" s="47">
        <f>FleetAverage!E10</f>
        <v>5.6521739130434778E-4</v>
      </c>
      <c r="X10" s="47">
        <f>FleetAverage!F10</f>
        <v>7.2070989408695635E-2</v>
      </c>
      <c r="Y10" s="55">
        <f>FleetAverage!G10</f>
        <v>2.2912773043479023E-3</v>
      </c>
      <c r="AA10" s="41">
        <f>FleetAverage!B10</f>
        <v>4</v>
      </c>
      <c r="AB10" s="47">
        <f>0</f>
        <v>0</v>
      </c>
      <c r="AC10" s="47">
        <f>FleetAverage!G10</f>
        <v>2.2912773043479023E-3</v>
      </c>
      <c r="AD10" s="47">
        <f t="shared" si="1"/>
        <v>2.2912773043479023E-3</v>
      </c>
      <c r="AE10" s="47">
        <f t="shared" si="2"/>
        <v>0</v>
      </c>
      <c r="AF10" s="51">
        <f>100</f>
        <v>100</v>
      </c>
      <c r="AG10" s="49">
        <f>FleetAverage!H10</f>
        <v>24.776093478260869</v>
      </c>
    </row>
    <row r="11" spans="1:33" x14ac:dyDescent="0.25">
      <c r="A11" s="41">
        <f>FleetAverage!B11</f>
        <v>4.5</v>
      </c>
      <c r="B11" s="43">
        <f>FleetAverage!I11</f>
        <v>5.9862453333333319</v>
      </c>
      <c r="C11" s="43">
        <f>FleetAverage!J11</f>
        <v>8.372648059200003</v>
      </c>
      <c r="D11" s="44">
        <f>FleetAverage!K11</f>
        <v>0.1585972741333288</v>
      </c>
      <c r="F11" s="41">
        <f>FleetAverage!B11</f>
        <v>4.5</v>
      </c>
      <c r="G11" s="47">
        <f>FleetAverage!E11</f>
        <v>7.1086956521739131E-2</v>
      </c>
      <c r="H11" s="47">
        <f>FleetAverage!F11</f>
        <v>1.5760869565217394E-2</v>
      </c>
      <c r="I11" s="49">
        <f>FleetAverage!H11</f>
        <v>23.878065217391306</v>
      </c>
      <c r="K11" s="4" t="str">
        <f>ProsumerMetrics!A11</f>
        <v>BES_TR4_one328_A</v>
      </c>
      <c r="L11" s="51">
        <f>ProsumerMetrics!J11</f>
        <v>19.5</v>
      </c>
      <c r="M11" s="49">
        <f>ProsumerMetrics!K11</f>
        <v>100</v>
      </c>
      <c r="O11" s="54">
        <v>10</v>
      </c>
      <c r="P11" s="20" t="str">
        <f>INDEX(ProsumerMetrics!$A$2:$A$47,MATCH(Q11,ProsumerMetrics!$H$2:$H$47,0))</f>
        <v>BES_TR4_one235_A</v>
      </c>
      <c r="Q11" s="45">
        <f>LARGE(ProsumerMetrics!$H$2:$H$47,O11)</f>
        <v>24.86</v>
      </c>
      <c r="R11" s="7" t="str">
        <f t="shared" si="0"/>
        <v>one235_A</v>
      </c>
      <c r="T11" s="41">
        <f>FleetAverage!B11</f>
        <v>4.5</v>
      </c>
      <c r="U11" s="47">
        <f>FleetAverage!C11</f>
        <v>0.13013576811594199</v>
      </c>
      <c r="V11" s="47">
        <f>FleetAverage!D11</f>
        <v>0.18201408824347834</v>
      </c>
      <c r="W11" s="47">
        <f>FleetAverage!E11</f>
        <v>7.1086956521739131E-2</v>
      </c>
      <c r="X11" s="47">
        <f>FleetAverage!F11</f>
        <v>1.5760869565217394E-2</v>
      </c>
      <c r="Y11" s="55">
        <f>FleetAverage!G11</f>
        <v>3.4477668289853887E-3</v>
      </c>
      <c r="AA11" s="41">
        <f>FleetAverage!B11</f>
        <v>4.5</v>
      </c>
      <c r="AB11" s="47">
        <f>0</f>
        <v>0</v>
      </c>
      <c r="AC11" s="47">
        <f>FleetAverage!G11</f>
        <v>3.4477668289853887E-3</v>
      </c>
      <c r="AD11" s="47">
        <f t="shared" si="1"/>
        <v>3.4477668289853887E-3</v>
      </c>
      <c r="AE11" s="47">
        <f t="shared" si="2"/>
        <v>0</v>
      </c>
      <c r="AF11" s="51">
        <f>100</f>
        <v>100</v>
      </c>
      <c r="AG11" s="49">
        <f>FleetAverage!H11</f>
        <v>23.878065217391306</v>
      </c>
    </row>
    <row r="12" spans="1:33" x14ac:dyDescent="0.25">
      <c r="A12" s="41">
        <f>FleetAverage!B12</f>
        <v>5</v>
      </c>
      <c r="B12" s="43">
        <f>FleetAverage!I12</f>
        <v>5.7679117333333316</v>
      </c>
      <c r="C12" s="43">
        <f>FleetAverage!J12</f>
        <v>16.608250377600047</v>
      </c>
      <c r="D12" s="44">
        <f>FleetAverage!K12</f>
        <v>-3.3386442667158178E-3</v>
      </c>
      <c r="F12" s="41">
        <f>FleetAverage!B12</f>
        <v>5</v>
      </c>
      <c r="G12" s="47">
        <f>FleetAverage!E12</f>
        <v>0.23558695652173914</v>
      </c>
      <c r="H12" s="47">
        <f>FleetAverage!F12</f>
        <v>0</v>
      </c>
      <c r="I12" s="49">
        <f>FleetAverage!H12</f>
        <v>24.482263043478266</v>
      </c>
      <c r="K12" s="4" t="str">
        <f>ProsumerMetrics!A12</f>
        <v>BES_TR4_one345_A</v>
      </c>
      <c r="L12" s="51">
        <f>ProsumerMetrics!J12</f>
        <v>39.6</v>
      </c>
      <c r="M12" s="49">
        <f>ProsumerMetrics!K12</f>
        <v>100</v>
      </c>
      <c r="T12" s="41">
        <f>FleetAverage!B12</f>
        <v>5</v>
      </c>
      <c r="U12" s="47">
        <f>FleetAverage!C12</f>
        <v>0.12538938550724635</v>
      </c>
      <c r="V12" s="47">
        <f>FleetAverage!D12</f>
        <v>0.36104892125217491</v>
      </c>
      <c r="W12" s="47">
        <f>FleetAverage!E12</f>
        <v>0.23558695652173914</v>
      </c>
      <c r="X12" s="47">
        <f>FleetAverage!F12</f>
        <v>0</v>
      </c>
      <c r="Y12" s="55">
        <f>FleetAverage!G12</f>
        <v>-7.2579223189428443E-5</v>
      </c>
      <c r="AA12" s="41">
        <f>FleetAverage!B12</f>
        <v>5</v>
      </c>
      <c r="AB12" s="47">
        <f>0</f>
        <v>0</v>
      </c>
      <c r="AC12" s="47">
        <f>FleetAverage!G12</f>
        <v>-7.2579223189428443E-5</v>
      </c>
      <c r="AD12" s="47">
        <f t="shared" si="1"/>
        <v>0</v>
      </c>
      <c r="AE12" s="47">
        <f t="shared" si="2"/>
        <v>-7.2579223189428443E-5</v>
      </c>
      <c r="AF12" s="51">
        <f>100</f>
        <v>100</v>
      </c>
      <c r="AG12" s="49">
        <f>FleetAverage!H12</f>
        <v>24.482263043478266</v>
      </c>
    </row>
    <row r="13" spans="1:33" x14ac:dyDescent="0.25">
      <c r="A13" s="41">
        <f>FleetAverage!B13</f>
        <v>5.5</v>
      </c>
      <c r="B13" s="43">
        <f>FleetAverage!I13</f>
        <v>6.5865561666666652</v>
      </c>
      <c r="C13" s="43">
        <f>FleetAverage!J13</f>
        <v>26.706887155199951</v>
      </c>
      <c r="D13" s="44">
        <f>FleetAverage!K13</f>
        <v>-3.3098853327945266E-4</v>
      </c>
      <c r="F13" s="41">
        <f>FleetAverage!B13</f>
        <v>5.5</v>
      </c>
      <c r="G13" s="47">
        <f>FleetAverage!E13</f>
        <v>0.43876086956521754</v>
      </c>
      <c r="H13" s="47">
        <f>FleetAverage!F13</f>
        <v>1.3695652173913043E-3</v>
      </c>
      <c r="I13" s="49">
        <f>FleetAverage!H13</f>
        <v>27.143804347826091</v>
      </c>
      <c r="K13" s="4" t="str">
        <f>ProsumerMetrics!A13</f>
        <v>BES_TR4_one366_B</v>
      </c>
      <c r="L13" s="51">
        <f>ProsumerMetrics!J13</f>
        <v>24.2</v>
      </c>
      <c r="M13" s="49">
        <f>ProsumerMetrics!K13</f>
        <v>100</v>
      </c>
      <c r="T13" s="41">
        <f>FleetAverage!B13</f>
        <v>5.5</v>
      </c>
      <c r="U13" s="47">
        <f>FleetAverage!C13</f>
        <v>0.14318600362318837</v>
      </c>
      <c r="V13" s="47">
        <f>FleetAverage!D13</f>
        <v>0.58058450337391199</v>
      </c>
      <c r="W13" s="47">
        <f>FleetAverage!E13</f>
        <v>0.43876086956521754</v>
      </c>
      <c r="X13" s="47">
        <f>FleetAverage!F13</f>
        <v>1.3695652173913043E-3</v>
      </c>
      <c r="Y13" s="55">
        <f>FleetAverage!G13</f>
        <v>-7.1954028974131196E-6</v>
      </c>
      <c r="AA13" s="41">
        <f>FleetAverage!B13</f>
        <v>5.5</v>
      </c>
      <c r="AB13" s="47">
        <f>0</f>
        <v>0</v>
      </c>
      <c r="AC13" s="47">
        <f>FleetAverage!G13</f>
        <v>-7.1954028974131196E-6</v>
      </c>
      <c r="AD13" s="47">
        <f t="shared" si="1"/>
        <v>0</v>
      </c>
      <c r="AE13" s="47">
        <f t="shared" si="2"/>
        <v>-7.1954028974131196E-6</v>
      </c>
      <c r="AF13" s="51">
        <f>100</f>
        <v>100</v>
      </c>
      <c r="AG13" s="49">
        <f>FleetAverage!H13</f>
        <v>27.143804347826091</v>
      </c>
    </row>
    <row r="14" spans="1:33" x14ac:dyDescent="0.25">
      <c r="A14" s="41">
        <f>FleetAverage!B14</f>
        <v>6</v>
      </c>
      <c r="B14" s="43">
        <f>FleetAverage!I14</f>
        <v>7.3661782999999987</v>
      </c>
      <c r="C14" s="43">
        <f>FleetAverage!J14</f>
        <v>37.725069336000061</v>
      </c>
      <c r="D14" s="44">
        <f>FleetAverage!K14</f>
        <v>1.1089639999362078E-3</v>
      </c>
      <c r="F14" s="41">
        <f>FleetAverage!B14</f>
        <v>6</v>
      </c>
      <c r="G14" s="47">
        <f>FleetAverage!E14</f>
        <v>0.66</v>
      </c>
      <c r="H14" s="47">
        <f>FleetAverage!F14</f>
        <v>0</v>
      </c>
      <c r="I14" s="49">
        <f>FleetAverage!H14</f>
        <v>32.082078260869565</v>
      </c>
      <c r="K14" s="4" t="str">
        <f>ProsumerMetrics!A14</f>
        <v>BES_TR4_one410_B</v>
      </c>
      <c r="L14" s="51">
        <f>ProsumerMetrics!J14</f>
        <v>59.6</v>
      </c>
      <c r="M14" s="49">
        <f>ProsumerMetrics!K14</f>
        <v>100</v>
      </c>
      <c r="T14" s="41">
        <f>FleetAverage!B14</f>
        <v>6</v>
      </c>
      <c r="U14" s="47">
        <f>FleetAverage!C14</f>
        <v>0.1601343108695652</v>
      </c>
      <c r="V14" s="47">
        <f>FleetAverage!D14</f>
        <v>0.82011020295652304</v>
      </c>
      <c r="W14" s="47">
        <f>FleetAverage!E14</f>
        <v>0.66</v>
      </c>
      <c r="X14" s="47">
        <f>FleetAverage!F14</f>
        <v>0</v>
      </c>
      <c r="Y14" s="55">
        <f>FleetAverage!G14</f>
        <v>2.4107913042192841E-5</v>
      </c>
      <c r="AA14" s="41">
        <f>FleetAverage!B14</f>
        <v>6</v>
      </c>
      <c r="AB14" s="47">
        <f>0</f>
        <v>0</v>
      </c>
      <c r="AC14" s="47">
        <f>FleetAverage!G14</f>
        <v>2.4107913042192841E-5</v>
      </c>
      <c r="AD14" s="47">
        <f t="shared" si="1"/>
        <v>2.4107913042192841E-5</v>
      </c>
      <c r="AE14" s="47">
        <f t="shared" si="2"/>
        <v>0</v>
      </c>
      <c r="AF14" s="51">
        <f>100</f>
        <v>100</v>
      </c>
      <c r="AG14" s="49">
        <f>FleetAverage!H14</f>
        <v>32.082078260869565</v>
      </c>
    </row>
    <row r="15" spans="1:33" x14ac:dyDescent="0.25">
      <c r="A15" s="41">
        <f>FleetAverage!B15</f>
        <v>6.5</v>
      </c>
      <c r="B15" s="43">
        <f>FleetAverage!I15</f>
        <v>10.088580066666673</v>
      </c>
      <c r="C15" s="43">
        <f>FleetAverage!J15</f>
        <v>48.87868203839993</v>
      </c>
      <c r="D15" s="44">
        <f>FleetAverage!K15</f>
        <v>-1.0197173324955067E-4</v>
      </c>
      <c r="F15" s="41">
        <f>FleetAverage!B15</f>
        <v>6.5</v>
      </c>
      <c r="G15" s="47">
        <f>FleetAverage!E15</f>
        <v>0.88632608695652193</v>
      </c>
      <c r="H15" s="47">
        <f>FleetAverage!F15</f>
        <v>4.3065217391304353E-2</v>
      </c>
      <c r="I15" s="49">
        <f>FleetAverage!H15</f>
        <v>39.535886956521743</v>
      </c>
      <c r="K15" s="4" t="str">
        <f>ProsumerMetrics!A15</f>
        <v>BES_TR4_one50_A</v>
      </c>
      <c r="L15" s="51">
        <f>ProsumerMetrics!J15</f>
        <v>48.6</v>
      </c>
      <c r="M15" s="49">
        <f>ProsumerMetrics!K15</f>
        <v>100</v>
      </c>
      <c r="T15" s="41">
        <f>FleetAverage!B15</f>
        <v>6.5</v>
      </c>
      <c r="U15" s="47">
        <f>FleetAverage!C15</f>
        <v>0.21931695797101461</v>
      </c>
      <c r="V15" s="47">
        <f>FleetAverage!D15</f>
        <v>1.062580044313042</v>
      </c>
      <c r="W15" s="47">
        <f>FleetAverage!E15</f>
        <v>0.88632608695652193</v>
      </c>
      <c r="X15" s="47">
        <f>FleetAverage!F15</f>
        <v>4.3065217391304353E-2</v>
      </c>
      <c r="Y15" s="55">
        <f>FleetAverage!G15</f>
        <v>-2.2167768098241281E-6</v>
      </c>
      <c r="AA15" s="41">
        <f>FleetAverage!B15</f>
        <v>6.5</v>
      </c>
      <c r="AB15" s="47">
        <f>0</f>
        <v>0</v>
      </c>
      <c r="AC15" s="47">
        <f>FleetAverage!G15</f>
        <v>-2.2167768098241281E-6</v>
      </c>
      <c r="AD15" s="47">
        <f t="shared" si="1"/>
        <v>0</v>
      </c>
      <c r="AE15" s="47">
        <f t="shared" si="2"/>
        <v>-2.2167768098241281E-6</v>
      </c>
      <c r="AF15" s="51">
        <f>100</f>
        <v>100</v>
      </c>
      <c r="AG15" s="49">
        <f>FleetAverage!H15</f>
        <v>39.535886956521743</v>
      </c>
    </row>
    <row r="16" spans="1:33" x14ac:dyDescent="0.25">
      <c r="A16" s="41">
        <f>FleetAverage!B16</f>
        <v>7</v>
      </c>
      <c r="B16" s="43">
        <f>FleetAverage!I16</f>
        <v>13.141892666666667</v>
      </c>
      <c r="C16" s="43">
        <f>FleetAverage!J16</f>
        <v>59.974540372800021</v>
      </c>
      <c r="D16" s="44">
        <f>FleetAverage!K16</f>
        <v>-2.6477061333554097E-3</v>
      </c>
      <c r="F16" s="41">
        <f>FleetAverage!B16</f>
        <v>7</v>
      </c>
      <c r="G16" s="47">
        <f>FleetAverage!E16</f>
        <v>1.0421304347826088</v>
      </c>
      <c r="H16" s="47">
        <f>FleetAverage!F16</f>
        <v>2.4086956521739134E-2</v>
      </c>
      <c r="I16" s="49">
        <f>FleetAverage!H16</f>
        <v>49.005704347826089</v>
      </c>
      <c r="K16" s="4" t="str">
        <f>ProsumerMetrics!A16</f>
        <v>BES_TR4_one416_C</v>
      </c>
      <c r="L16" s="51">
        <f>ProsumerMetrics!J16</f>
        <v>14.7</v>
      </c>
      <c r="M16" s="49">
        <f>ProsumerMetrics!K16</f>
        <v>100</v>
      </c>
      <c r="T16" s="41">
        <f>FleetAverage!B16</f>
        <v>7</v>
      </c>
      <c r="U16" s="47">
        <f>FleetAverage!C16</f>
        <v>0.28569331884057975</v>
      </c>
      <c r="V16" s="47">
        <f>FleetAverage!D16</f>
        <v>1.3037943559304352</v>
      </c>
      <c r="W16" s="47">
        <f>FleetAverage!E16</f>
        <v>1.0421304347826088</v>
      </c>
      <c r="X16" s="47">
        <f>FleetAverage!F16</f>
        <v>2.4086956521739134E-2</v>
      </c>
      <c r="Y16" s="55">
        <f>FleetAverage!G16</f>
        <v>-5.7558828985882632E-5</v>
      </c>
      <c r="AA16" s="41">
        <f>FleetAverage!B16</f>
        <v>7</v>
      </c>
      <c r="AB16" s="47">
        <f>0</f>
        <v>0</v>
      </c>
      <c r="AC16" s="47">
        <f>FleetAverage!G16</f>
        <v>-5.7558828985882632E-5</v>
      </c>
      <c r="AD16" s="47">
        <f t="shared" si="1"/>
        <v>0</v>
      </c>
      <c r="AE16" s="47">
        <f t="shared" si="2"/>
        <v>-5.7558828985882632E-5</v>
      </c>
      <c r="AF16" s="51">
        <f>100</f>
        <v>100</v>
      </c>
      <c r="AG16" s="49">
        <f>FleetAverage!H16</f>
        <v>49.005704347826089</v>
      </c>
    </row>
    <row r="17" spans="1:33" x14ac:dyDescent="0.25">
      <c r="A17" s="41">
        <f>FleetAverage!B17</f>
        <v>7.5</v>
      </c>
      <c r="B17" s="43">
        <f>FleetAverage!I17</f>
        <v>12.77738029999999</v>
      </c>
      <c r="C17" s="43">
        <f>FleetAverage!J17</f>
        <v>71.086539240000008</v>
      </c>
      <c r="D17" s="44">
        <f>FleetAverage!K17</f>
        <v>-2.7881589400000153</v>
      </c>
      <c r="F17" s="41">
        <f>FleetAverage!B17</f>
        <v>7.5</v>
      </c>
      <c r="G17" s="47">
        <f>FleetAverage!E17</f>
        <v>1.2376521739130435</v>
      </c>
      <c r="H17" s="47">
        <f>FleetAverage!F17</f>
        <v>3.0673913043478263E-2</v>
      </c>
      <c r="I17" s="49">
        <f>FleetAverage!H17</f>
        <v>60.473984782608674</v>
      </c>
      <c r="K17" s="4" t="str">
        <f>ProsumerMetrics!A17</f>
        <v>BES_TR4_one423_B</v>
      </c>
      <c r="L17" s="51">
        <f>ProsumerMetrics!J17</f>
        <v>27.1</v>
      </c>
      <c r="M17" s="49">
        <f>ProsumerMetrics!K17</f>
        <v>100</v>
      </c>
      <c r="T17" s="41">
        <f>FleetAverage!B17</f>
        <v>7.5</v>
      </c>
      <c r="U17" s="47">
        <f>FleetAverage!C17</f>
        <v>0.2777691369565215</v>
      </c>
      <c r="V17" s="47">
        <f>FleetAverage!D17</f>
        <v>1.5453595486956524</v>
      </c>
      <c r="W17" s="47">
        <f>FleetAverage!E17</f>
        <v>1.2376521739130435</v>
      </c>
      <c r="X17" s="47">
        <f>FleetAverage!F17</f>
        <v>3.0673913043478263E-2</v>
      </c>
      <c r="Y17" s="55">
        <f>FleetAverage!G17</f>
        <v>-6.061215086956577E-2</v>
      </c>
      <c r="AA17" s="41">
        <f>FleetAverage!B17</f>
        <v>7.5</v>
      </c>
      <c r="AB17" s="47">
        <f>0</f>
        <v>0</v>
      </c>
      <c r="AC17" s="47">
        <f>FleetAverage!G17</f>
        <v>-6.061215086956577E-2</v>
      </c>
      <c r="AD17" s="47">
        <f t="shared" si="1"/>
        <v>0</v>
      </c>
      <c r="AE17" s="47">
        <f t="shared" si="2"/>
        <v>-6.061215086956577E-2</v>
      </c>
      <c r="AF17" s="51">
        <f>100</f>
        <v>100</v>
      </c>
      <c r="AG17" s="49">
        <f>FleetAverage!H17</f>
        <v>60.473984782608674</v>
      </c>
    </row>
    <row r="18" spans="1:33" x14ac:dyDescent="0.25">
      <c r="A18" s="41">
        <f>FleetAverage!B18</f>
        <v>8</v>
      </c>
      <c r="B18" s="43">
        <f>FleetAverage!I18</f>
        <v>12.408238133333333</v>
      </c>
      <c r="C18" s="43">
        <f>FleetAverage!J18</f>
        <v>81.515858337600065</v>
      </c>
      <c r="D18" s="44">
        <f>FleetAverage!K18</f>
        <v>-31.398620204266738</v>
      </c>
      <c r="F18" s="41">
        <f>FleetAverage!B18</f>
        <v>8</v>
      </c>
      <c r="G18" s="47">
        <f>FleetAverage!E18</f>
        <v>0.82628260869565218</v>
      </c>
      <c r="H18" s="47">
        <f>FleetAverage!F18</f>
        <v>6.5217391304347823E-3</v>
      </c>
      <c r="I18" s="49">
        <f>FleetAverage!H18</f>
        <v>74.067473913043486</v>
      </c>
      <c r="K18" s="4" t="str">
        <f>ProsumerMetrics!A18</f>
        <v>BES_TR4_one446_B</v>
      </c>
      <c r="L18" s="51">
        <f>ProsumerMetrics!J18</f>
        <v>70.8</v>
      </c>
      <c r="M18" s="49">
        <f>ProsumerMetrics!K18</f>
        <v>100</v>
      </c>
      <c r="T18" s="41">
        <f>FleetAverage!B18</f>
        <v>8</v>
      </c>
      <c r="U18" s="47">
        <f>FleetAverage!C18</f>
        <v>0.26974430724637682</v>
      </c>
      <c r="V18" s="47">
        <f>FleetAverage!D18</f>
        <v>1.7720838769043492</v>
      </c>
      <c r="W18" s="47">
        <f>FleetAverage!E18</f>
        <v>0.82628260869565218</v>
      </c>
      <c r="X18" s="47">
        <f>FleetAverage!F18</f>
        <v>6.5217391304347823E-3</v>
      </c>
      <c r="Y18" s="55">
        <f>FleetAverage!G18</f>
        <v>-0.68257870009275501</v>
      </c>
      <c r="AA18" s="41">
        <f>FleetAverage!B18</f>
        <v>8</v>
      </c>
      <c r="AB18" s="47">
        <f>0</f>
        <v>0</v>
      </c>
      <c r="AC18" s="47">
        <f>FleetAverage!G18</f>
        <v>-0.68257870009275501</v>
      </c>
      <c r="AD18" s="47">
        <f t="shared" si="1"/>
        <v>0</v>
      </c>
      <c r="AE18" s="47">
        <f t="shared" si="2"/>
        <v>-0.68257870009275501</v>
      </c>
      <c r="AF18" s="51">
        <f>100</f>
        <v>100</v>
      </c>
      <c r="AG18" s="49">
        <f>FleetAverage!H18</f>
        <v>74.067473913043486</v>
      </c>
    </row>
    <row r="19" spans="1:33" x14ac:dyDescent="0.25">
      <c r="A19" s="41">
        <f>FleetAverage!B19</f>
        <v>8.5</v>
      </c>
      <c r="B19" s="43">
        <f>FleetAverage!I19</f>
        <v>16.09872196666667</v>
      </c>
      <c r="C19" s="43">
        <f>FleetAverage!J19</f>
        <v>91.319433609599997</v>
      </c>
      <c r="D19" s="44">
        <f>FleetAverage!K19</f>
        <v>-50.063711642933328</v>
      </c>
      <c r="F19" s="41">
        <f>FleetAverage!B19</f>
        <v>8.5</v>
      </c>
      <c r="G19" s="47">
        <f>FleetAverage!E19</f>
        <v>0.56358695652173918</v>
      </c>
      <c r="H19" s="47">
        <f>FleetAverage!F19</f>
        <v>1.6695652173913045E-2</v>
      </c>
      <c r="I19" s="49">
        <f>FleetAverage!H19</f>
        <v>83.318123913043479</v>
      </c>
      <c r="K19" s="4" t="str">
        <f>ProsumerMetrics!A19</f>
        <v>BES_TR4_one480_A</v>
      </c>
      <c r="L19" s="51">
        <f>ProsumerMetrics!J19</f>
        <v>21.4</v>
      </c>
      <c r="M19" s="49">
        <f>ProsumerMetrics!K19</f>
        <v>100</v>
      </c>
      <c r="T19" s="41">
        <f>FleetAverage!B19</f>
        <v>8.5</v>
      </c>
      <c r="U19" s="47">
        <f>FleetAverage!C19</f>
        <v>0.34997221666666672</v>
      </c>
      <c r="V19" s="47">
        <f>FleetAverage!D19</f>
        <v>1.9852050784695652</v>
      </c>
      <c r="W19" s="47">
        <f>FleetAverage!E19</f>
        <v>0.56358695652173918</v>
      </c>
      <c r="X19" s="47">
        <f>FleetAverage!F19</f>
        <v>1.6695652173913045E-2</v>
      </c>
      <c r="Y19" s="55">
        <f>FleetAverage!G19</f>
        <v>-1.0883415574550721</v>
      </c>
      <c r="AA19" s="41">
        <f>FleetAverage!B19</f>
        <v>8.5</v>
      </c>
      <c r="AB19" s="47">
        <f>0</f>
        <v>0</v>
      </c>
      <c r="AC19" s="47">
        <f>FleetAverage!G19</f>
        <v>-1.0883415574550721</v>
      </c>
      <c r="AD19" s="47">
        <f t="shared" si="1"/>
        <v>0</v>
      </c>
      <c r="AE19" s="47">
        <f t="shared" si="2"/>
        <v>-1.0883415574550721</v>
      </c>
      <c r="AF19" s="51">
        <f>100</f>
        <v>100</v>
      </c>
      <c r="AG19" s="49">
        <f>FleetAverage!H19</f>
        <v>83.318123913043479</v>
      </c>
    </row>
    <row r="20" spans="1:33" x14ac:dyDescent="0.25">
      <c r="A20" s="41">
        <f>FleetAverage!B20</f>
        <v>9</v>
      </c>
      <c r="B20" s="43">
        <f>FleetAverage!I20</f>
        <v>16.78426690000002</v>
      </c>
      <c r="C20" s="43">
        <f>FleetAverage!J20</f>
        <v>99.668713056000072</v>
      </c>
      <c r="D20" s="44">
        <f>FleetAverage!K20</f>
        <v>-69.848446156000051</v>
      </c>
      <c r="F20" s="41">
        <f>FleetAverage!B20</f>
        <v>9</v>
      </c>
      <c r="G20" s="47">
        <f>FleetAverage!E20</f>
        <v>0.29802173913043473</v>
      </c>
      <c r="H20" s="47">
        <f>FleetAverage!F20</f>
        <v>1.4630434782608696E-2</v>
      </c>
      <c r="I20" s="49">
        <f>FleetAverage!H20</f>
        <v>89.474186956521763</v>
      </c>
      <c r="K20" s="4" t="str">
        <f>ProsumerMetrics!A20</f>
        <v>BES_TR4_one61_A</v>
      </c>
      <c r="L20" s="51">
        <f>ProsumerMetrics!J20</f>
        <v>24.5</v>
      </c>
      <c r="M20" s="49">
        <f>ProsumerMetrics!K20</f>
        <v>100</v>
      </c>
      <c r="T20" s="41">
        <f>FleetAverage!B20</f>
        <v>9</v>
      </c>
      <c r="U20" s="47">
        <f>FleetAverage!C20</f>
        <v>0.36487536739130477</v>
      </c>
      <c r="V20" s="47">
        <f>FleetAverage!D20</f>
        <v>2.1667111533913057</v>
      </c>
      <c r="W20" s="47">
        <f>FleetAverage!E20</f>
        <v>0.29802173913043473</v>
      </c>
      <c r="X20" s="47">
        <f>FleetAverage!F20</f>
        <v>1.4630434782608696E-2</v>
      </c>
      <c r="Y20" s="55">
        <f>FleetAverage!G20</f>
        <v>-1.5184444816521749</v>
      </c>
      <c r="AA20" s="41">
        <f>FleetAverage!B20</f>
        <v>9</v>
      </c>
      <c r="AB20" s="47">
        <f>0</f>
        <v>0</v>
      </c>
      <c r="AC20" s="47">
        <f>FleetAverage!G20</f>
        <v>-1.5184444816521749</v>
      </c>
      <c r="AD20" s="47">
        <f t="shared" si="1"/>
        <v>0</v>
      </c>
      <c r="AE20" s="47">
        <f t="shared" si="2"/>
        <v>-1.5184444816521749</v>
      </c>
      <c r="AF20" s="51">
        <f>100</f>
        <v>100</v>
      </c>
      <c r="AG20" s="49">
        <f>FleetAverage!H20</f>
        <v>89.474186956521763</v>
      </c>
    </row>
    <row r="21" spans="1:33" x14ac:dyDescent="0.25">
      <c r="A21" s="41">
        <f>FleetAverage!B21</f>
        <v>9.5</v>
      </c>
      <c r="B21" s="43">
        <f>FleetAverage!I21</f>
        <v>14.385648299999991</v>
      </c>
      <c r="C21" s="43">
        <f>FleetAverage!J21</f>
        <v>106.78980262079995</v>
      </c>
      <c r="D21" s="44">
        <f>FleetAverage!K21</f>
        <v>-83.863154320799964</v>
      </c>
      <c r="F21" s="41">
        <f>FleetAverage!B21</f>
        <v>9.5</v>
      </c>
      <c r="G21" s="47">
        <f>FleetAverage!E21</f>
        <v>0.19726086956521738</v>
      </c>
      <c r="H21" s="47">
        <f>FleetAverage!F21</f>
        <v>1.1586956521739132E-2</v>
      </c>
      <c r="I21" s="49">
        <f>FleetAverage!H21</f>
        <v>92.656191304347843</v>
      </c>
      <c r="K21" s="4" t="str">
        <f>ProsumerMetrics!A21</f>
        <v>BES_TR4_one544_A</v>
      </c>
      <c r="L21" s="51">
        <f>ProsumerMetrics!J21</f>
        <v>34.1</v>
      </c>
      <c r="M21" s="49">
        <f>ProsumerMetrics!K21</f>
        <v>94.2</v>
      </c>
      <c r="T21" s="41">
        <f>FleetAverage!B21</f>
        <v>9.5</v>
      </c>
      <c r="U21" s="47">
        <f>FleetAverage!C21</f>
        <v>0.31273148478260848</v>
      </c>
      <c r="V21" s="47">
        <f>FleetAverage!D21</f>
        <v>2.3215174482782599</v>
      </c>
      <c r="W21" s="47">
        <f>FleetAverage!E21</f>
        <v>0.19726086956521738</v>
      </c>
      <c r="X21" s="47">
        <f>FleetAverage!F21</f>
        <v>1.1586956521739132E-2</v>
      </c>
      <c r="Y21" s="55">
        <f>FleetAverage!G21</f>
        <v>-1.8231120504521729</v>
      </c>
      <c r="AA21" s="41">
        <f>FleetAverage!B21</f>
        <v>9.5</v>
      </c>
      <c r="AB21" s="47">
        <f>0</f>
        <v>0</v>
      </c>
      <c r="AC21" s="47">
        <f>FleetAverage!G21</f>
        <v>-1.8231120504521729</v>
      </c>
      <c r="AD21" s="47">
        <f t="shared" si="1"/>
        <v>0</v>
      </c>
      <c r="AE21" s="47">
        <f t="shared" si="2"/>
        <v>-1.8231120504521729</v>
      </c>
      <c r="AF21" s="51">
        <f>100</f>
        <v>100</v>
      </c>
      <c r="AG21" s="49">
        <f>FleetAverage!H21</f>
        <v>92.656191304347843</v>
      </c>
    </row>
    <row r="22" spans="1:33" x14ac:dyDescent="0.25">
      <c r="A22" s="41">
        <f>FleetAverage!B22</f>
        <v>10</v>
      </c>
      <c r="B22" s="43">
        <f>FleetAverage!I22</f>
        <v>18.024528499999999</v>
      </c>
      <c r="C22" s="43">
        <f>FleetAverage!J22</f>
        <v>113.04032195039997</v>
      </c>
      <c r="D22" s="44">
        <f>FleetAverage!K22</f>
        <v>-92.291793450399965</v>
      </c>
      <c r="F22" s="41">
        <f>FleetAverage!B22</f>
        <v>10</v>
      </c>
      <c r="G22" s="47">
        <f>FleetAverage!E22</f>
        <v>9.6521739130434797E-2</v>
      </c>
      <c r="H22" s="47">
        <f>FleetAverage!F22</f>
        <v>3.7304347826086957E-2</v>
      </c>
      <c r="I22" s="49">
        <f>FleetAverage!H22</f>
        <v>94.739102173913039</v>
      </c>
      <c r="K22" s="4" t="str">
        <f>ProsumerMetrics!A22</f>
        <v>BES_TR4_one560_C</v>
      </c>
      <c r="L22" s="51">
        <f>ProsumerMetrics!J22</f>
        <v>21.1</v>
      </c>
      <c r="M22" s="49">
        <f>ProsumerMetrics!K22</f>
        <v>82.7</v>
      </c>
      <c r="T22" s="41">
        <f>FleetAverage!B22</f>
        <v>10</v>
      </c>
      <c r="U22" s="47">
        <f>FleetAverage!C22</f>
        <v>0.39183757608695652</v>
      </c>
      <c r="V22" s="47">
        <f>FleetAverage!D22</f>
        <v>2.4573983032695645</v>
      </c>
      <c r="W22" s="47">
        <f>FleetAverage!E22</f>
        <v>9.6521739130434797E-2</v>
      </c>
      <c r="X22" s="47">
        <f>FleetAverage!F22</f>
        <v>3.7304347826086957E-2</v>
      </c>
      <c r="Y22" s="55">
        <f>FleetAverage!G22</f>
        <v>-2.0063433358782601</v>
      </c>
      <c r="AA22" s="41">
        <f>FleetAverage!B22</f>
        <v>10</v>
      </c>
      <c r="AB22" s="47">
        <f>0</f>
        <v>0</v>
      </c>
      <c r="AC22" s="47">
        <f>FleetAverage!G22</f>
        <v>-2.0063433358782601</v>
      </c>
      <c r="AD22" s="47">
        <f t="shared" si="1"/>
        <v>0</v>
      </c>
      <c r="AE22" s="47">
        <f t="shared" si="2"/>
        <v>-2.0063433358782601</v>
      </c>
      <c r="AF22" s="51">
        <f>100</f>
        <v>100</v>
      </c>
      <c r="AG22" s="49">
        <f>FleetAverage!H22</f>
        <v>94.739102173913039</v>
      </c>
    </row>
    <row r="23" spans="1:33" x14ac:dyDescent="0.25">
      <c r="A23" s="41">
        <f>FleetAverage!B23</f>
        <v>10.5</v>
      </c>
      <c r="B23" s="43">
        <f>FleetAverage!I23</f>
        <v>12.410486200000005</v>
      </c>
      <c r="C23" s="43">
        <f>FleetAverage!J23</f>
        <v>118.19898436320003</v>
      </c>
      <c r="D23" s="44">
        <f>FleetAverage!K23</f>
        <v>-99.682498163200023</v>
      </c>
      <c r="F23" s="41">
        <f>FleetAverage!B23</f>
        <v>10.5</v>
      </c>
      <c r="G23" s="47">
        <f>FleetAverage!E23</f>
        <v>0.1406304347826087</v>
      </c>
      <c r="H23" s="47">
        <f>FleetAverage!F23</f>
        <v>7.8913043478260874E-3</v>
      </c>
      <c r="I23" s="49">
        <f>FleetAverage!H23</f>
        <v>95.360908695652185</v>
      </c>
      <c r="K23" s="4" t="str">
        <f>ProsumerMetrics!A23</f>
        <v>BES_TR4_one570_B</v>
      </c>
      <c r="L23" s="51">
        <f>ProsumerMetrics!J23</f>
        <v>33.5</v>
      </c>
      <c r="M23" s="49">
        <f>ProsumerMetrics!K23</f>
        <v>100</v>
      </c>
      <c r="T23" s="41">
        <f>FleetAverage!B23</f>
        <v>10.5</v>
      </c>
      <c r="U23" s="47">
        <f>FleetAverage!C23</f>
        <v>0.26979317826086968</v>
      </c>
      <c r="V23" s="47">
        <f>FleetAverage!D23</f>
        <v>2.5695431383304355</v>
      </c>
      <c r="W23" s="47">
        <f>FleetAverage!E23</f>
        <v>0.1406304347826087</v>
      </c>
      <c r="X23" s="47">
        <f>FleetAverage!F23</f>
        <v>7.8913043478260874E-3</v>
      </c>
      <c r="Y23" s="55">
        <f>FleetAverage!G23</f>
        <v>-2.167010829634783</v>
      </c>
      <c r="AA23" s="41">
        <f>FleetAverage!B23</f>
        <v>10.5</v>
      </c>
      <c r="AB23" s="47">
        <f>0</f>
        <v>0</v>
      </c>
      <c r="AC23" s="47">
        <f>FleetAverage!G23</f>
        <v>-2.167010829634783</v>
      </c>
      <c r="AD23" s="47">
        <f t="shared" si="1"/>
        <v>0</v>
      </c>
      <c r="AE23" s="47">
        <f t="shared" si="2"/>
        <v>-2.167010829634783</v>
      </c>
      <c r="AF23" s="51">
        <f>100</f>
        <v>100</v>
      </c>
      <c r="AG23" s="49">
        <f>FleetAverage!H23</f>
        <v>95.360908695652185</v>
      </c>
    </row>
    <row r="24" spans="1:33" x14ac:dyDescent="0.25">
      <c r="A24" s="41">
        <f>FleetAverage!B24</f>
        <v>11</v>
      </c>
      <c r="B24" s="43">
        <f>FleetAverage!I24</f>
        <v>16.772461633333325</v>
      </c>
      <c r="C24" s="43">
        <f>FleetAverage!J24</f>
        <v>121.85920528800008</v>
      </c>
      <c r="D24" s="44">
        <f>FleetAverage!K24</f>
        <v>-99.559743654666761</v>
      </c>
      <c r="F24" s="41">
        <f>FleetAverage!B24</f>
        <v>11</v>
      </c>
      <c r="G24" s="47">
        <f>FleetAverage!E24</f>
        <v>0.12015217391304346</v>
      </c>
      <c r="H24" s="47">
        <f>FleetAverage!F24</f>
        <v>0</v>
      </c>
      <c r="I24" s="49">
        <f>FleetAverage!H24</f>
        <v>96.85009565217392</v>
      </c>
      <c r="K24" s="4" t="str">
        <f>ProsumerMetrics!A24</f>
        <v>BES_TR4_one585_A</v>
      </c>
      <c r="L24" s="51">
        <f>ProsumerMetrics!J24</f>
        <v>15.4</v>
      </c>
      <c r="M24" s="49">
        <f>ProsumerMetrics!K24</f>
        <v>100</v>
      </c>
      <c r="T24" s="41">
        <f>FleetAverage!B24</f>
        <v>11</v>
      </c>
      <c r="U24" s="47">
        <f>FleetAverage!C24</f>
        <v>0.36461873115942012</v>
      </c>
      <c r="V24" s="47">
        <f>FleetAverage!D24</f>
        <v>2.6491131584347842</v>
      </c>
      <c r="W24" s="47">
        <f>FleetAverage!E24</f>
        <v>0.12015217391304346</v>
      </c>
      <c r="X24" s="47">
        <f>FleetAverage!F24</f>
        <v>0</v>
      </c>
      <c r="Y24" s="55">
        <f>FleetAverage!G24</f>
        <v>-2.1643422533623204</v>
      </c>
      <c r="AA24" s="41">
        <f>FleetAverage!B24</f>
        <v>11</v>
      </c>
      <c r="AB24" s="47">
        <f>0</f>
        <v>0</v>
      </c>
      <c r="AC24" s="47">
        <f>FleetAverage!G24</f>
        <v>-2.1643422533623204</v>
      </c>
      <c r="AD24" s="47">
        <f t="shared" si="1"/>
        <v>0</v>
      </c>
      <c r="AE24" s="47">
        <f t="shared" si="2"/>
        <v>-2.1643422533623204</v>
      </c>
      <c r="AF24" s="51">
        <f>100</f>
        <v>100</v>
      </c>
      <c r="AG24" s="49">
        <f>FleetAverage!H24</f>
        <v>96.85009565217392</v>
      </c>
    </row>
    <row r="25" spans="1:33" x14ac:dyDescent="0.25">
      <c r="A25" s="41">
        <f>FleetAverage!B25</f>
        <v>11.5</v>
      </c>
      <c r="B25" s="43">
        <f>FleetAverage!I25</f>
        <v>19.123711799999999</v>
      </c>
      <c r="C25" s="43">
        <f>FleetAverage!J25</f>
        <v>123.4644015168</v>
      </c>
      <c r="D25" s="44">
        <f>FleetAverage!K25</f>
        <v>-101.87768971679999</v>
      </c>
      <c r="F25" s="41">
        <f>FleetAverage!B25</f>
        <v>11.5</v>
      </c>
      <c r="G25" s="47">
        <f>FleetAverage!E25</f>
        <v>6.7565217391304347E-2</v>
      </c>
      <c r="H25" s="47">
        <f>FleetAverage!F25</f>
        <v>1.4021739130434781E-2</v>
      </c>
      <c r="I25" s="49">
        <f>FleetAverage!H25</f>
        <v>98.206730434782614</v>
      </c>
      <c r="K25" s="4" t="str">
        <f>ProsumerMetrics!A25</f>
        <v>BES_TR4_one590_A</v>
      </c>
      <c r="L25" s="51">
        <f>ProsumerMetrics!J25</f>
        <v>46.2</v>
      </c>
      <c r="M25" s="49">
        <f>ProsumerMetrics!K25</f>
        <v>100</v>
      </c>
      <c r="T25" s="41">
        <f>FleetAverage!B25</f>
        <v>11.5</v>
      </c>
      <c r="U25" s="47">
        <f>FleetAverage!C25</f>
        <v>0.41573286521739128</v>
      </c>
      <c r="V25" s="47">
        <f>FleetAverage!D25</f>
        <v>2.684008728626087</v>
      </c>
      <c r="W25" s="47">
        <f>FleetAverage!E25</f>
        <v>6.7565217391304347E-2</v>
      </c>
      <c r="X25" s="47">
        <f>FleetAverage!F25</f>
        <v>1.4021739130434781E-2</v>
      </c>
      <c r="Y25" s="55">
        <f>FleetAverage!G25</f>
        <v>-2.2147323851478262</v>
      </c>
      <c r="AA25" s="41">
        <f>FleetAverage!B25</f>
        <v>11.5</v>
      </c>
      <c r="AB25" s="47">
        <f>0</f>
        <v>0</v>
      </c>
      <c r="AC25" s="47">
        <f>FleetAverage!G25</f>
        <v>-2.2147323851478262</v>
      </c>
      <c r="AD25" s="47">
        <f t="shared" si="1"/>
        <v>0</v>
      </c>
      <c r="AE25" s="47">
        <f t="shared" si="2"/>
        <v>-2.2147323851478262</v>
      </c>
      <c r="AF25" s="51">
        <f>100</f>
        <v>100</v>
      </c>
      <c r="AG25" s="49">
        <f>FleetAverage!H25</f>
        <v>98.206730434782614</v>
      </c>
    </row>
    <row r="26" spans="1:33" x14ac:dyDescent="0.25">
      <c r="A26" s="41">
        <f>FleetAverage!B26</f>
        <v>12</v>
      </c>
      <c r="B26" s="43">
        <f>FleetAverage!I26</f>
        <v>11.440869666666666</v>
      </c>
      <c r="C26" s="43">
        <f>FleetAverage!J26</f>
        <v>123.92932784640004</v>
      </c>
      <c r="D26" s="44">
        <f>FleetAverage!K26</f>
        <v>-109.43445817973337</v>
      </c>
      <c r="F26" s="41">
        <f>FleetAverage!B26</f>
        <v>12</v>
      </c>
      <c r="G26" s="47">
        <f>FleetAverage!E26</f>
        <v>6.6391304347826099E-2</v>
      </c>
      <c r="H26" s="47">
        <f>FleetAverage!F26</f>
        <v>0</v>
      </c>
      <c r="I26" s="49">
        <f>FleetAverage!H26</f>
        <v>98.793632608695674</v>
      </c>
      <c r="K26" s="4" t="str">
        <f>ProsumerMetrics!A26</f>
        <v>BES_TR4_one617_A</v>
      </c>
      <c r="L26" s="51">
        <f>ProsumerMetrics!J26</f>
        <v>27.4</v>
      </c>
      <c r="M26" s="49">
        <f>ProsumerMetrics!K26</f>
        <v>100</v>
      </c>
      <c r="T26" s="41">
        <f>FleetAverage!B26</f>
        <v>12</v>
      </c>
      <c r="U26" s="47">
        <f>FleetAverage!C26</f>
        <v>0.24871455797101447</v>
      </c>
      <c r="V26" s="47">
        <f>FleetAverage!D26</f>
        <v>2.6941158227478268</v>
      </c>
      <c r="W26" s="47">
        <f>FleetAverage!E26</f>
        <v>6.6391304347826099E-2</v>
      </c>
      <c r="X26" s="47">
        <f>FleetAverage!F26</f>
        <v>0</v>
      </c>
      <c r="Y26" s="55">
        <f>FleetAverage!G26</f>
        <v>-2.3790099604289865</v>
      </c>
      <c r="AA26" s="41">
        <f>FleetAverage!B26</f>
        <v>12</v>
      </c>
      <c r="AB26" s="47">
        <f>0</f>
        <v>0</v>
      </c>
      <c r="AC26" s="47">
        <f>FleetAverage!G26</f>
        <v>-2.3790099604289865</v>
      </c>
      <c r="AD26" s="47">
        <f t="shared" si="1"/>
        <v>0</v>
      </c>
      <c r="AE26" s="47">
        <f t="shared" si="2"/>
        <v>-2.3790099604289865</v>
      </c>
      <c r="AF26" s="51">
        <f>100</f>
        <v>100</v>
      </c>
      <c r="AG26" s="49">
        <f>FleetAverage!H26</f>
        <v>98.793632608695674</v>
      </c>
    </row>
    <row r="27" spans="1:33" x14ac:dyDescent="0.25">
      <c r="A27" s="41">
        <f>FleetAverage!B27</f>
        <v>12.5</v>
      </c>
      <c r="B27" s="43">
        <f>FleetAverage!I27</f>
        <v>13.714400233333345</v>
      </c>
      <c r="C27" s="43">
        <f>FleetAverage!J27</f>
        <v>123.05958019200004</v>
      </c>
      <c r="D27" s="44">
        <f>FleetAverage!K27</f>
        <v>-108.05117995866669</v>
      </c>
      <c r="F27" s="41">
        <f>FleetAverage!B27</f>
        <v>12.5</v>
      </c>
      <c r="G27" s="47">
        <f>FleetAverage!E27</f>
        <v>2.8130434782608696E-2</v>
      </c>
      <c r="H27" s="47">
        <f>FleetAverage!F27</f>
        <v>0</v>
      </c>
      <c r="I27" s="49">
        <f>FleetAverage!H27</f>
        <v>99.543586956521736</v>
      </c>
      <c r="K27" s="4" t="str">
        <f>ProsumerMetrics!A27</f>
        <v>BES_TR4_one76_A</v>
      </c>
      <c r="L27" s="51">
        <f>ProsumerMetrics!J27</f>
        <v>36.799999999999997</v>
      </c>
      <c r="M27" s="49">
        <f>ProsumerMetrics!K27</f>
        <v>100</v>
      </c>
      <c r="T27" s="41">
        <f>FleetAverage!B27</f>
        <v>12.5</v>
      </c>
      <c r="U27" s="47">
        <f>FleetAverage!C27</f>
        <v>0.29813913550724663</v>
      </c>
      <c r="V27" s="47">
        <f>FleetAverage!D27</f>
        <v>2.6752082650434792</v>
      </c>
      <c r="W27" s="47">
        <f>FleetAverage!E27</f>
        <v>2.8130434782608696E-2</v>
      </c>
      <c r="X27" s="47">
        <f>FleetAverage!F27</f>
        <v>0</v>
      </c>
      <c r="Y27" s="55">
        <f>FleetAverage!G27</f>
        <v>-2.3489386947536239</v>
      </c>
      <c r="AA27" s="41">
        <f>FleetAverage!B27</f>
        <v>12.5</v>
      </c>
      <c r="AB27" s="47">
        <f>0</f>
        <v>0</v>
      </c>
      <c r="AC27" s="47">
        <f>FleetAverage!G27</f>
        <v>-2.3489386947536239</v>
      </c>
      <c r="AD27" s="47">
        <f t="shared" si="1"/>
        <v>0</v>
      </c>
      <c r="AE27" s="47">
        <f t="shared" si="2"/>
        <v>-2.3489386947536239</v>
      </c>
      <c r="AF27" s="51">
        <f>100</f>
        <v>100</v>
      </c>
      <c r="AG27" s="49">
        <f>FleetAverage!H27</f>
        <v>99.543586956521736</v>
      </c>
    </row>
    <row r="28" spans="1:33" x14ac:dyDescent="0.25">
      <c r="A28" s="41">
        <f>FleetAverage!B28</f>
        <v>13</v>
      </c>
      <c r="B28" s="43">
        <f>FleetAverage!I28</f>
        <v>15.926103100000002</v>
      </c>
      <c r="C28" s="43">
        <f>FleetAverage!J28</f>
        <v>120.13770535200005</v>
      </c>
      <c r="D28" s="44">
        <f>FleetAverage!K28</f>
        <v>-103.64560225200005</v>
      </c>
      <c r="F28" s="41">
        <f>FleetAverage!B28</f>
        <v>13</v>
      </c>
      <c r="G28" s="47">
        <f>FleetAverage!E28</f>
        <v>1.2304347826086956E-2</v>
      </c>
      <c r="H28" s="47">
        <f>FleetAverage!F28</f>
        <v>0</v>
      </c>
      <c r="I28" s="49">
        <f>FleetAverage!H28</f>
        <v>99.861147826086949</v>
      </c>
      <c r="K28" s="4" t="str">
        <f>ProsumerMetrics!A28</f>
        <v>BES_TR4_one133_A</v>
      </c>
      <c r="L28" s="51">
        <f>ProsumerMetrics!J28</f>
        <v>30.4</v>
      </c>
      <c r="M28" s="49">
        <f>ProsumerMetrics!K28</f>
        <v>98.4</v>
      </c>
      <c r="T28" s="41">
        <f>FleetAverage!B28</f>
        <v>13</v>
      </c>
      <c r="U28" s="47">
        <f>FleetAverage!C28</f>
        <v>0.3462196326086957</v>
      </c>
      <c r="V28" s="47">
        <f>FleetAverage!D28</f>
        <v>2.6116892467826101</v>
      </c>
      <c r="W28" s="47">
        <f>FleetAverage!E28</f>
        <v>1.2304347826086956E-2</v>
      </c>
      <c r="X28" s="47">
        <f>FleetAverage!F28</f>
        <v>0</v>
      </c>
      <c r="Y28" s="55">
        <f>FleetAverage!G28</f>
        <v>-2.2531652663478274</v>
      </c>
      <c r="AA28" s="41">
        <f>FleetAverage!B28</f>
        <v>13</v>
      </c>
      <c r="AB28" s="47">
        <f>0</f>
        <v>0</v>
      </c>
      <c r="AC28" s="47">
        <f>FleetAverage!G28</f>
        <v>-2.2531652663478274</v>
      </c>
      <c r="AD28" s="47">
        <f t="shared" si="1"/>
        <v>0</v>
      </c>
      <c r="AE28" s="47">
        <f t="shared" si="2"/>
        <v>-2.2531652663478274</v>
      </c>
      <c r="AF28" s="51">
        <f>100</f>
        <v>100</v>
      </c>
      <c r="AG28" s="49">
        <f>FleetAverage!H28</f>
        <v>99.861147826086949</v>
      </c>
    </row>
    <row r="29" spans="1:33" x14ac:dyDescent="0.25">
      <c r="A29" s="41">
        <f>FleetAverage!B29</f>
        <v>13.5</v>
      </c>
      <c r="B29" s="43">
        <f>FleetAverage!I29</f>
        <v>17.847152466666675</v>
      </c>
      <c r="C29" s="43">
        <f>FleetAverage!J29</f>
        <v>115.68003578880007</v>
      </c>
      <c r="D29" s="44">
        <f>FleetAverage!K29</f>
        <v>-97.832883322133398</v>
      </c>
      <c r="F29" s="41">
        <f>FleetAverage!B29</f>
        <v>13.5</v>
      </c>
      <c r="G29" s="47">
        <f>FleetAverage!E29</f>
        <v>0</v>
      </c>
      <c r="H29" s="47">
        <f>FleetAverage!F29</f>
        <v>0</v>
      </c>
      <c r="I29" s="49">
        <f>FleetAverage!H29</f>
        <v>100</v>
      </c>
      <c r="K29" s="4" t="str">
        <f>ProsumerMetrics!A29</f>
        <v>BES_TR4_one137_A</v>
      </c>
      <c r="L29" s="51">
        <f>ProsumerMetrics!J29</f>
        <v>48</v>
      </c>
      <c r="M29" s="49">
        <f>ProsumerMetrics!K29</f>
        <v>100</v>
      </c>
      <c r="T29" s="41">
        <f>FleetAverage!B29</f>
        <v>13.5</v>
      </c>
      <c r="U29" s="47">
        <f>FleetAverage!C29</f>
        <v>0.38798157536231903</v>
      </c>
      <c r="V29" s="47">
        <f>FleetAverage!D29</f>
        <v>2.5147833867130451</v>
      </c>
      <c r="W29" s="47">
        <f>FleetAverage!E29</f>
        <v>0</v>
      </c>
      <c r="X29" s="47">
        <f>FleetAverage!F29</f>
        <v>0</v>
      </c>
      <c r="Y29" s="55">
        <f>FleetAverage!G29</f>
        <v>-2.1268018113507261</v>
      </c>
      <c r="AA29" s="41">
        <f>FleetAverage!B29</f>
        <v>13.5</v>
      </c>
      <c r="AB29" s="47">
        <f>0</f>
        <v>0</v>
      </c>
      <c r="AC29" s="47">
        <f>FleetAverage!G29</f>
        <v>-2.1268018113507261</v>
      </c>
      <c r="AD29" s="47">
        <f t="shared" si="1"/>
        <v>0</v>
      </c>
      <c r="AE29" s="47">
        <f t="shared" si="2"/>
        <v>-2.1268018113507261</v>
      </c>
      <c r="AF29" s="51">
        <f>100</f>
        <v>100</v>
      </c>
      <c r="AG29" s="49">
        <f>FleetAverage!H29</f>
        <v>100</v>
      </c>
    </row>
    <row r="30" spans="1:33" x14ac:dyDescent="0.25">
      <c r="A30" s="41">
        <f>FleetAverage!B30</f>
        <v>14</v>
      </c>
      <c r="B30" s="43">
        <f>FleetAverage!I30</f>
        <v>14.654720866666656</v>
      </c>
      <c r="C30" s="43">
        <f>FleetAverage!J30</f>
        <v>110.35828415520002</v>
      </c>
      <c r="D30" s="44">
        <f>FleetAverage!K30</f>
        <v>-95.703563288533374</v>
      </c>
      <c r="F30" s="41">
        <f>FleetAverage!B30</f>
        <v>14</v>
      </c>
      <c r="G30" s="47">
        <f>FleetAverage!E30</f>
        <v>0</v>
      </c>
      <c r="H30" s="47">
        <f>FleetAverage!F30</f>
        <v>0</v>
      </c>
      <c r="I30" s="49">
        <f>FleetAverage!H30</f>
        <v>100</v>
      </c>
      <c r="K30" s="4" t="str">
        <f>ProsumerMetrics!A30</f>
        <v>BES_TR4_one176_A</v>
      </c>
      <c r="L30" s="51">
        <f>ProsumerMetrics!J30</f>
        <v>22</v>
      </c>
      <c r="M30" s="49">
        <f>ProsumerMetrics!K30</f>
        <v>100</v>
      </c>
      <c r="T30" s="41">
        <f>FleetAverage!B30</f>
        <v>14</v>
      </c>
      <c r="U30" s="47">
        <f>FleetAverage!C30</f>
        <v>0.31858088840579685</v>
      </c>
      <c r="V30" s="47">
        <f>FleetAverage!D30</f>
        <v>2.3990931338086963</v>
      </c>
      <c r="W30" s="47">
        <f>FleetAverage!E30</f>
        <v>0</v>
      </c>
      <c r="X30" s="47">
        <f>FleetAverage!F30</f>
        <v>0</v>
      </c>
      <c r="Y30" s="55">
        <f>FleetAverage!G30</f>
        <v>-2.0805122454028995</v>
      </c>
      <c r="AA30" s="41">
        <f>FleetAverage!B30</f>
        <v>14</v>
      </c>
      <c r="AB30" s="47">
        <f>0</f>
        <v>0</v>
      </c>
      <c r="AC30" s="47">
        <f>FleetAverage!G30</f>
        <v>-2.0805122454028995</v>
      </c>
      <c r="AD30" s="47">
        <f t="shared" si="1"/>
        <v>0</v>
      </c>
      <c r="AE30" s="47">
        <f t="shared" si="2"/>
        <v>-2.0805122454028995</v>
      </c>
      <c r="AF30" s="51">
        <f>100</f>
        <v>100</v>
      </c>
      <c r="AG30" s="49">
        <f>FleetAverage!H30</f>
        <v>100</v>
      </c>
    </row>
    <row r="31" spans="1:33" x14ac:dyDescent="0.25">
      <c r="A31" s="41">
        <f>FleetAverage!B31</f>
        <v>14.5</v>
      </c>
      <c r="B31" s="43">
        <f>FleetAverage!I31</f>
        <v>14.302422566666673</v>
      </c>
      <c r="C31" s="43">
        <f>FleetAverage!J31</f>
        <v>103.61484623040008</v>
      </c>
      <c r="D31" s="44">
        <f>FleetAverage!K31</f>
        <v>-89.574423663733398</v>
      </c>
      <c r="F31" s="41">
        <f>FleetAverage!B31</f>
        <v>14.5</v>
      </c>
      <c r="G31" s="47">
        <f>FleetAverage!E31</f>
        <v>0</v>
      </c>
      <c r="H31" s="47">
        <f>FleetAverage!F31</f>
        <v>5.6956521739130435E-3</v>
      </c>
      <c r="I31" s="49">
        <f>FleetAverage!H31</f>
        <v>100</v>
      </c>
      <c r="K31" s="4" t="str">
        <f>ProsumerMetrics!A31</f>
        <v>BES_TR4_three64_A</v>
      </c>
      <c r="L31" s="51">
        <f>ProsumerMetrics!J31</f>
        <v>19.8</v>
      </c>
      <c r="M31" s="49">
        <f>ProsumerMetrics!K31</f>
        <v>100</v>
      </c>
      <c r="T31" s="41">
        <f>FleetAverage!B31</f>
        <v>14.5</v>
      </c>
      <c r="U31" s="47">
        <f>FleetAverage!C31</f>
        <v>0.31092222971014505</v>
      </c>
      <c r="V31" s="47">
        <f>FleetAverage!D31</f>
        <v>2.2524966571826104</v>
      </c>
      <c r="W31" s="47">
        <f>FleetAverage!E31</f>
        <v>0</v>
      </c>
      <c r="X31" s="47">
        <f>FleetAverage!F31</f>
        <v>5.6956521739130435E-3</v>
      </c>
      <c r="Y31" s="55">
        <f>FleetAverage!G31</f>
        <v>-1.9472700796463784</v>
      </c>
      <c r="AA31" s="41">
        <f>FleetAverage!B31</f>
        <v>14.5</v>
      </c>
      <c r="AB31" s="47">
        <f>0</f>
        <v>0</v>
      </c>
      <c r="AC31" s="47">
        <f>FleetAverage!G31</f>
        <v>-1.9472700796463784</v>
      </c>
      <c r="AD31" s="47">
        <f t="shared" si="1"/>
        <v>0</v>
      </c>
      <c r="AE31" s="47">
        <f t="shared" si="2"/>
        <v>-1.9472700796463784</v>
      </c>
      <c r="AF31" s="51">
        <f>100</f>
        <v>100</v>
      </c>
      <c r="AG31" s="49">
        <f>FleetAverage!H31</f>
        <v>100</v>
      </c>
    </row>
    <row r="32" spans="1:33" x14ac:dyDescent="0.25">
      <c r="A32" s="41">
        <f>FleetAverage!B32</f>
        <v>15</v>
      </c>
      <c r="B32" s="43">
        <f>FleetAverage!I32</f>
        <v>15.74564376666666</v>
      </c>
      <c r="C32" s="43">
        <f>FleetAverage!J32</f>
        <v>96.448625812799989</v>
      </c>
      <c r="D32" s="44">
        <f>FleetAverage!K32</f>
        <v>-80.850982046133325</v>
      </c>
      <c r="F32" s="41">
        <f>FleetAverage!B32</f>
        <v>15</v>
      </c>
      <c r="G32" s="47">
        <f>FleetAverage!E32</f>
        <v>6.3260869565217384E-3</v>
      </c>
      <c r="H32" s="47">
        <f>FleetAverage!F32</f>
        <v>9.5434782608695649E-3</v>
      </c>
      <c r="I32" s="49">
        <f>FleetAverage!H32</f>
        <v>99.928656521739114</v>
      </c>
      <c r="K32" s="4" t="str">
        <f>ProsumerMetrics!A32</f>
        <v>BES_TR4_three193_A</v>
      </c>
      <c r="L32" s="51">
        <f>ProsumerMetrics!J32</f>
        <v>21.5</v>
      </c>
      <c r="M32" s="49">
        <f>ProsumerMetrics!K32</f>
        <v>100</v>
      </c>
      <c r="T32" s="41">
        <f>FleetAverage!B32</f>
        <v>15</v>
      </c>
      <c r="U32" s="47">
        <f>FleetAverage!C32</f>
        <v>0.34229660362318826</v>
      </c>
      <c r="V32" s="47">
        <f>FleetAverage!D32</f>
        <v>2.0967092567999996</v>
      </c>
      <c r="W32" s="47">
        <f>FleetAverage!E32</f>
        <v>6.3260869565217384E-3</v>
      </c>
      <c r="X32" s="47">
        <f>FleetAverage!F32</f>
        <v>9.5434782608695649E-3</v>
      </c>
      <c r="Y32" s="55">
        <f>FleetAverage!G32</f>
        <v>-1.7576300444811592</v>
      </c>
      <c r="AA32" s="41">
        <f>FleetAverage!B32</f>
        <v>15</v>
      </c>
      <c r="AB32" s="47">
        <f>0</f>
        <v>0</v>
      </c>
      <c r="AC32" s="47">
        <f>FleetAverage!G32</f>
        <v>-1.7576300444811592</v>
      </c>
      <c r="AD32" s="47">
        <f t="shared" si="1"/>
        <v>0</v>
      </c>
      <c r="AE32" s="47">
        <f t="shared" si="2"/>
        <v>-1.7576300444811592</v>
      </c>
      <c r="AF32" s="51">
        <f>100</f>
        <v>100</v>
      </c>
      <c r="AG32" s="49">
        <f>FleetAverage!H32</f>
        <v>99.928656521739114</v>
      </c>
    </row>
    <row r="33" spans="1:33" x14ac:dyDescent="0.25">
      <c r="A33" s="41">
        <f>FleetAverage!B33</f>
        <v>15.5</v>
      </c>
      <c r="B33" s="43">
        <f>FleetAverage!I33</f>
        <v>14.158730399999991</v>
      </c>
      <c r="C33" s="43">
        <f>FleetAverage!J33</f>
        <v>87.825018739200033</v>
      </c>
      <c r="D33" s="44">
        <f>FleetAverage!K33</f>
        <v>-73.178288339200037</v>
      </c>
      <c r="F33" s="41">
        <f>FleetAverage!B33</f>
        <v>15.5</v>
      </c>
      <c r="G33" s="47">
        <f>FleetAverage!E33</f>
        <v>1.0608695652173913E-2</v>
      </c>
      <c r="H33" s="47">
        <f>FleetAverage!F33</f>
        <v>0</v>
      </c>
      <c r="I33" s="49">
        <f>FleetAverage!H33</f>
        <v>99.880141304347831</v>
      </c>
      <c r="K33" s="4" t="str">
        <f>ProsumerMetrics!A33</f>
        <v>BES_TR4_three232_C</v>
      </c>
      <c r="L33" s="51">
        <f>ProsumerMetrics!J33</f>
        <v>30.2</v>
      </c>
      <c r="M33" s="49">
        <f>ProsumerMetrics!K33</f>
        <v>100</v>
      </c>
      <c r="T33" s="41">
        <f>FleetAverage!B33</f>
        <v>15.5</v>
      </c>
      <c r="U33" s="47">
        <f>FleetAverage!C33</f>
        <v>0.30779848695652151</v>
      </c>
      <c r="V33" s="47">
        <f>FleetAverage!D33</f>
        <v>1.9092395378086964</v>
      </c>
      <c r="W33" s="47">
        <f>FleetAverage!E33</f>
        <v>1.0608695652173913E-2</v>
      </c>
      <c r="X33" s="47">
        <f>FleetAverage!F33</f>
        <v>0</v>
      </c>
      <c r="Y33" s="55">
        <f>FleetAverage!G33</f>
        <v>-1.590832355200001</v>
      </c>
      <c r="AA33" s="41">
        <f>FleetAverage!B33</f>
        <v>15.5</v>
      </c>
      <c r="AB33" s="47">
        <f>0</f>
        <v>0</v>
      </c>
      <c r="AC33" s="47">
        <f>FleetAverage!G33</f>
        <v>-1.590832355200001</v>
      </c>
      <c r="AD33" s="47">
        <f t="shared" si="1"/>
        <v>0</v>
      </c>
      <c r="AE33" s="47">
        <f t="shared" si="2"/>
        <v>-1.590832355200001</v>
      </c>
      <c r="AF33" s="51">
        <f>100</f>
        <v>100</v>
      </c>
      <c r="AG33" s="49">
        <f>FleetAverage!H33</f>
        <v>99.880141304347831</v>
      </c>
    </row>
    <row r="34" spans="1:33" x14ac:dyDescent="0.25">
      <c r="A34" s="41">
        <f>FleetAverage!B34</f>
        <v>16</v>
      </c>
      <c r="B34" s="43">
        <f>FleetAverage!I34</f>
        <v>16.922551399999993</v>
      </c>
      <c r="C34" s="43">
        <f>FleetAverage!J34</f>
        <v>78.112802063999951</v>
      </c>
      <c r="D34" s="44">
        <f>FleetAverage!K34</f>
        <v>-61.501250663999961</v>
      </c>
      <c r="F34" s="41">
        <f>FleetAverage!B34</f>
        <v>16</v>
      </c>
      <c r="G34" s="47">
        <f>FleetAverage!E34</f>
        <v>0</v>
      </c>
      <c r="H34" s="47">
        <f>FleetAverage!F34</f>
        <v>6.7608695652173912E-3</v>
      </c>
      <c r="I34" s="49">
        <f>FleetAverage!H34</f>
        <v>100</v>
      </c>
      <c r="K34" s="4" t="str">
        <f>ProsumerMetrics!A34</f>
        <v>BES_TR4_three233_A</v>
      </c>
      <c r="L34" s="51">
        <f>ProsumerMetrics!J34</f>
        <v>82.1</v>
      </c>
      <c r="M34" s="49">
        <f>ProsumerMetrics!K34</f>
        <v>84.7</v>
      </c>
      <c r="T34" s="41">
        <f>FleetAverage!B34</f>
        <v>16</v>
      </c>
      <c r="U34" s="47">
        <f>FleetAverage!C34</f>
        <v>0.36788155217391288</v>
      </c>
      <c r="V34" s="47">
        <f>FleetAverage!D34</f>
        <v>1.6981043926956512</v>
      </c>
      <c r="W34" s="47">
        <f>FleetAverage!E34</f>
        <v>0</v>
      </c>
      <c r="X34" s="47">
        <f>FleetAverage!F34</f>
        <v>6.7608695652173912E-3</v>
      </c>
      <c r="Y34" s="55">
        <f>FleetAverage!G34</f>
        <v>-1.3369837100869557</v>
      </c>
      <c r="AA34" s="41">
        <f>FleetAverage!B34</f>
        <v>16</v>
      </c>
      <c r="AB34" s="47">
        <f>0</f>
        <v>0</v>
      </c>
      <c r="AC34" s="47">
        <f>FleetAverage!G34</f>
        <v>-1.3369837100869557</v>
      </c>
      <c r="AD34" s="47">
        <f t="shared" si="1"/>
        <v>0</v>
      </c>
      <c r="AE34" s="47">
        <f t="shared" si="2"/>
        <v>-1.3369837100869557</v>
      </c>
      <c r="AF34" s="51">
        <f>100</f>
        <v>100</v>
      </c>
      <c r="AG34" s="49">
        <f>FleetAverage!H34</f>
        <v>100</v>
      </c>
    </row>
    <row r="35" spans="1:33" x14ac:dyDescent="0.25">
      <c r="A35" s="41">
        <f>FleetAverage!B35</f>
        <v>16.5</v>
      </c>
      <c r="B35" s="43">
        <f>FleetAverage!I35</f>
        <v>16.185903799999998</v>
      </c>
      <c r="C35" s="43">
        <f>FleetAverage!J35</f>
        <v>66.386565825599973</v>
      </c>
      <c r="D35" s="44">
        <f>FleetAverage!K35</f>
        <v>-50.28366202559998</v>
      </c>
      <c r="F35" s="41">
        <f>FleetAverage!B35</f>
        <v>16.5</v>
      </c>
      <c r="G35" s="47">
        <f>FleetAverage!E35</f>
        <v>2.4130434782608694E-3</v>
      </c>
      <c r="H35" s="47">
        <f>FleetAverage!F35</f>
        <v>4.2173913043478265E-3</v>
      </c>
      <c r="I35" s="49">
        <f>FleetAverage!H35</f>
        <v>99.915284782608708</v>
      </c>
      <c r="K35" s="4" t="str">
        <f>ProsumerMetrics!A35</f>
        <v>BES_TR4_three248_C</v>
      </c>
      <c r="L35" s="51">
        <f>ProsumerMetrics!J35</f>
        <v>36.1</v>
      </c>
      <c r="M35" s="49">
        <f>ProsumerMetrics!K35</f>
        <v>85.2</v>
      </c>
      <c r="T35" s="41">
        <f>FleetAverage!B35</f>
        <v>16.5</v>
      </c>
      <c r="U35" s="47">
        <f>FleetAverage!C35</f>
        <v>0.35186747391304346</v>
      </c>
      <c r="V35" s="47">
        <f>FleetAverage!D35</f>
        <v>1.4431862135999993</v>
      </c>
      <c r="W35" s="47">
        <f>FleetAverage!E35</f>
        <v>2.4130434782608694E-3</v>
      </c>
      <c r="X35" s="47">
        <f>FleetAverage!F35</f>
        <v>4.2173913043478265E-3</v>
      </c>
      <c r="Y35" s="55">
        <f>FleetAverage!G35</f>
        <v>-1.0931230875130429</v>
      </c>
      <c r="AA35" s="41">
        <f>FleetAverage!B35</f>
        <v>16.5</v>
      </c>
      <c r="AB35" s="47">
        <f>0</f>
        <v>0</v>
      </c>
      <c r="AC35" s="47">
        <f>FleetAverage!G35</f>
        <v>-1.0931230875130429</v>
      </c>
      <c r="AD35" s="47">
        <f t="shared" si="1"/>
        <v>0</v>
      </c>
      <c r="AE35" s="47">
        <f t="shared" si="2"/>
        <v>-1.0931230875130429</v>
      </c>
      <c r="AF35" s="51">
        <f>100</f>
        <v>100</v>
      </c>
      <c r="AG35" s="49">
        <f>FleetAverage!H35</f>
        <v>99.915284782608708</v>
      </c>
    </row>
    <row r="36" spans="1:33" x14ac:dyDescent="0.25">
      <c r="A36" s="41">
        <f>FleetAverage!B36</f>
        <v>17</v>
      </c>
      <c r="B36" s="43">
        <f>FleetAverage!I36</f>
        <v>17.74195056666667</v>
      </c>
      <c r="C36" s="43">
        <f>FleetAverage!J36</f>
        <v>55.411622183999945</v>
      </c>
      <c r="D36" s="44">
        <f>FleetAverage!K36</f>
        <v>-38.666671617333279</v>
      </c>
      <c r="F36" s="41">
        <f>FleetAverage!B36</f>
        <v>17</v>
      </c>
      <c r="G36" s="47">
        <f>FleetAverage!E36</f>
        <v>9.5434782608695649E-3</v>
      </c>
      <c r="H36" s="47">
        <f>FleetAverage!F36</f>
        <v>3.1217391304347825E-2</v>
      </c>
      <c r="I36" s="49">
        <f>FleetAverage!H36</f>
        <v>99.889697826086973</v>
      </c>
      <c r="K36" s="4" t="str">
        <f>ProsumerMetrics!A36</f>
        <v>BES_TR4_three253_C</v>
      </c>
      <c r="L36" s="51">
        <f>ProsumerMetrics!J36</f>
        <v>63.4</v>
      </c>
      <c r="M36" s="49">
        <f>ProsumerMetrics!K36</f>
        <v>80.8</v>
      </c>
      <c r="T36" s="41">
        <f>FleetAverage!B36</f>
        <v>17</v>
      </c>
      <c r="U36" s="47">
        <f>FleetAverage!C36</f>
        <v>0.38569457753623199</v>
      </c>
      <c r="V36" s="47">
        <f>FleetAverage!D36</f>
        <v>1.2046004822608685</v>
      </c>
      <c r="W36" s="47">
        <f>FleetAverage!E36</f>
        <v>9.5434782608695649E-3</v>
      </c>
      <c r="X36" s="47">
        <f>FleetAverage!F36</f>
        <v>3.1217391304347825E-2</v>
      </c>
      <c r="Y36" s="55">
        <f>FleetAverage!G36</f>
        <v>-0.84057981776811486</v>
      </c>
      <c r="AA36" s="41">
        <f>FleetAverage!B36</f>
        <v>17</v>
      </c>
      <c r="AB36" s="47">
        <f>0</f>
        <v>0</v>
      </c>
      <c r="AC36" s="47">
        <f>FleetAverage!G36</f>
        <v>-0.84057981776811486</v>
      </c>
      <c r="AD36" s="47">
        <f t="shared" si="1"/>
        <v>0</v>
      </c>
      <c r="AE36" s="47">
        <f t="shared" si="2"/>
        <v>-0.84057981776811486</v>
      </c>
      <c r="AF36" s="51">
        <f>100</f>
        <v>100</v>
      </c>
      <c r="AG36" s="49">
        <f>FleetAverage!H36</f>
        <v>99.889697826086973</v>
      </c>
    </row>
    <row r="37" spans="1:33" x14ac:dyDescent="0.25">
      <c r="A37" s="41">
        <f>FleetAverage!B37</f>
        <v>17.5</v>
      </c>
      <c r="B37" s="43">
        <f>FleetAverage!I37</f>
        <v>19.917205299999996</v>
      </c>
      <c r="C37" s="43">
        <f>FleetAverage!J37</f>
        <v>44.134186363200016</v>
      </c>
      <c r="D37" s="44">
        <f>FleetAverage!K37</f>
        <v>-30.38298106320002</v>
      </c>
      <c r="F37" s="41">
        <f>FleetAverage!B37</f>
        <v>17.5</v>
      </c>
      <c r="G37" s="47">
        <f>FleetAverage!E37</f>
        <v>7.0652173913043478E-3</v>
      </c>
      <c r="H37" s="47">
        <f>FleetAverage!F37</f>
        <v>0.14110869565217393</v>
      </c>
      <c r="I37" s="49">
        <f>FleetAverage!H37</f>
        <v>99.605854347826067</v>
      </c>
      <c r="K37" s="4" t="str">
        <f>ProsumerMetrics!A37</f>
        <v>BES_TR4_three66_C</v>
      </c>
      <c r="L37" s="51">
        <f>ProsumerMetrics!J37</f>
        <v>42.3</v>
      </c>
      <c r="M37" s="49">
        <f>ProsumerMetrics!K37</f>
        <v>100</v>
      </c>
      <c r="T37" s="41">
        <f>FleetAverage!B37</f>
        <v>17.5</v>
      </c>
      <c r="U37" s="47">
        <f>FleetAverage!C37</f>
        <v>0.43298272391304338</v>
      </c>
      <c r="V37" s="47">
        <f>FleetAverage!D37</f>
        <v>0.95943883398260899</v>
      </c>
      <c r="W37" s="47">
        <f>FleetAverage!E37</f>
        <v>7.0652173913043478E-3</v>
      </c>
      <c r="X37" s="47">
        <f>FleetAverage!F37</f>
        <v>0.14110869565217393</v>
      </c>
      <c r="Y37" s="55">
        <f>FleetAverage!G37</f>
        <v>-0.66049958833043521</v>
      </c>
      <c r="AA37" s="41">
        <f>FleetAverage!B37</f>
        <v>17.5</v>
      </c>
      <c r="AB37" s="47">
        <f>0</f>
        <v>0</v>
      </c>
      <c r="AC37" s="47">
        <f>FleetAverage!G37</f>
        <v>-0.66049958833043521</v>
      </c>
      <c r="AD37" s="47">
        <f t="shared" si="1"/>
        <v>0</v>
      </c>
      <c r="AE37" s="47">
        <f t="shared" si="2"/>
        <v>-0.66049958833043521</v>
      </c>
      <c r="AF37" s="51">
        <f>100</f>
        <v>100</v>
      </c>
      <c r="AG37" s="49">
        <f>FleetAverage!H37</f>
        <v>99.605854347826067</v>
      </c>
    </row>
    <row r="38" spans="1:33" x14ac:dyDescent="0.25">
      <c r="A38" s="41">
        <f>FleetAverage!B38</f>
        <v>18</v>
      </c>
      <c r="B38" s="43">
        <f>FleetAverage!I38</f>
        <v>20.274956333333325</v>
      </c>
      <c r="C38" s="43">
        <f>FleetAverage!J38</f>
        <v>33.225009648000032</v>
      </c>
      <c r="D38" s="44">
        <f>FleetAverage!K38</f>
        <v>-20.137053314666709</v>
      </c>
      <c r="F38" s="41">
        <f>FleetAverage!B38</f>
        <v>18</v>
      </c>
      <c r="G38" s="47">
        <f>FleetAverage!E38</f>
        <v>1.8043478260869566E-3</v>
      </c>
      <c r="H38" s="47">
        <f>FleetAverage!F38</f>
        <v>0.15804347826086956</v>
      </c>
      <c r="I38" s="49">
        <f>FleetAverage!H38</f>
        <v>97.914832608695647</v>
      </c>
      <c r="K38" s="4" t="str">
        <f>ProsumerMetrics!A38</f>
        <v>BES_TR4_three312_A</v>
      </c>
      <c r="L38" s="51">
        <f>ProsumerMetrics!J38</f>
        <v>47</v>
      </c>
      <c r="M38" s="49">
        <f>ProsumerMetrics!K38</f>
        <v>100</v>
      </c>
      <c r="T38" s="41">
        <f>FleetAverage!B38</f>
        <v>18</v>
      </c>
      <c r="U38" s="47">
        <f>FleetAverage!C38</f>
        <v>0.44075992028985489</v>
      </c>
      <c r="V38" s="47">
        <f>FleetAverage!D38</f>
        <v>0.72228281843478326</v>
      </c>
      <c r="W38" s="47">
        <f>FleetAverage!E38</f>
        <v>1.8043478260869566E-3</v>
      </c>
      <c r="X38" s="47">
        <f>FleetAverage!F38</f>
        <v>0.15804347826086956</v>
      </c>
      <c r="Y38" s="55">
        <f>FleetAverage!G38</f>
        <v>-0.43776202857971097</v>
      </c>
      <c r="AA38" s="41">
        <f>FleetAverage!B38</f>
        <v>18</v>
      </c>
      <c r="AB38" s="47">
        <f>0</f>
        <v>0</v>
      </c>
      <c r="AC38" s="47">
        <f>FleetAverage!G38</f>
        <v>-0.43776202857971097</v>
      </c>
      <c r="AD38" s="47">
        <f t="shared" si="1"/>
        <v>0</v>
      </c>
      <c r="AE38" s="47">
        <f t="shared" si="2"/>
        <v>-0.43776202857971097</v>
      </c>
      <c r="AF38" s="51">
        <f>100</f>
        <v>100</v>
      </c>
      <c r="AG38" s="49">
        <f>FleetAverage!H38</f>
        <v>97.914832608695647</v>
      </c>
    </row>
    <row r="39" spans="1:33" x14ac:dyDescent="0.25">
      <c r="A39" s="41">
        <f>FleetAverage!B39</f>
        <v>18.5</v>
      </c>
      <c r="B39" s="43">
        <f>FleetAverage!I39</f>
        <v>20.723995499999997</v>
      </c>
      <c r="C39" s="43">
        <f>FleetAverage!J39</f>
        <v>22.707026136</v>
      </c>
      <c r="D39" s="44">
        <f>FleetAverage!K39</f>
        <v>-9.9870306360000036</v>
      </c>
      <c r="F39" s="41">
        <f>FleetAverage!B39</f>
        <v>18.5</v>
      </c>
      <c r="G39" s="47">
        <f>FleetAverage!E39</f>
        <v>9.717391304347827E-3</v>
      </c>
      <c r="H39" s="47">
        <f>FleetAverage!F39</f>
        <v>0.18371739130434783</v>
      </c>
      <c r="I39" s="49">
        <f>FleetAverage!H39</f>
        <v>95.95233913043478</v>
      </c>
      <c r="K39" s="4" t="str">
        <f>ProsumerMetrics!A39</f>
        <v>BES_TR4_three321_B</v>
      </c>
      <c r="L39" s="51">
        <f>ProsumerMetrics!J39</f>
        <v>36.5</v>
      </c>
      <c r="M39" s="49">
        <f>ProsumerMetrics!K39</f>
        <v>100</v>
      </c>
      <c r="T39" s="41">
        <f>FleetAverage!B39</f>
        <v>18.5</v>
      </c>
      <c r="U39" s="47">
        <f>FleetAverage!C39</f>
        <v>0.45052164130434774</v>
      </c>
      <c r="V39" s="47">
        <f>FleetAverage!D39</f>
        <v>0.49363100295652174</v>
      </c>
      <c r="W39" s="47">
        <f>FleetAverage!E39</f>
        <v>9.717391304347827E-3</v>
      </c>
      <c r="X39" s="47">
        <f>FleetAverage!F39</f>
        <v>0.18371739130434783</v>
      </c>
      <c r="Y39" s="55">
        <f>FleetAverage!G39</f>
        <v>-0.21710936165217398</v>
      </c>
      <c r="AA39" s="41">
        <f>FleetAverage!B39</f>
        <v>18.5</v>
      </c>
      <c r="AB39" s="47">
        <f>0</f>
        <v>0</v>
      </c>
      <c r="AC39" s="47">
        <f>FleetAverage!G39</f>
        <v>-0.21710936165217398</v>
      </c>
      <c r="AD39" s="47">
        <f t="shared" si="1"/>
        <v>0</v>
      </c>
      <c r="AE39" s="47">
        <f t="shared" si="2"/>
        <v>-0.21710936165217398</v>
      </c>
      <c r="AF39" s="51">
        <f>100</f>
        <v>100</v>
      </c>
      <c r="AG39" s="49">
        <f>FleetAverage!H39</f>
        <v>95.95233913043478</v>
      </c>
    </row>
    <row r="40" spans="1:33" x14ac:dyDescent="0.25">
      <c r="A40" s="41">
        <f>FleetAverage!B40</f>
        <v>19</v>
      </c>
      <c r="B40" s="43">
        <f>FleetAverage!I40</f>
        <v>15.335790699999993</v>
      </c>
      <c r="C40" s="43">
        <f>FleetAverage!J40</f>
        <v>13.259546918399993</v>
      </c>
      <c r="D40" s="44">
        <f>FleetAverage!K40</f>
        <v>-3.0747562183999992</v>
      </c>
      <c r="F40" s="41">
        <f>FleetAverage!B40</f>
        <v>19</v>
      </c>
      <c r="G40" s="47">
        <f>FleetAverage!E40</f>
        <v>1.9086956521739133E-2</v>
      </c>
      <c r="H40" s="47">
        <f>FleetAverage!F40</f>
        <v>0.13106521739130433</v>
      </c>
      <c r="I40" s="49">
        <f>FleetAverage!H40</f>
        <v>93.75651304347825</v>
      </c>
      <c r="K40" s="4" t="str">
        <f>ProsumerMetrics!A40</f>
        <v>BES_TR4_three368_A</v>
      </c>
      <c r="L40" s="51">
        <f>ProsumerMetrics!J40</f>
        <v>39.200000000000003</v>
      </c>
      <c r="M40" s="49">
        <f>ProsumerMetrics!K40</f>
        <v>100</v>
      </c>
      <c r="T40" s="41">
        <f>FleetAverage!B40</f>
        <v>19</v>
      </c>
      <c r="U40" s="47">
        <f>FleetAverage!C40</f>
        <v>0.33338675434782594</v>
      </c>
      <c r="V40" s="47">
        <f>FleetAverage!D40</f>
        <v>0.28825101996521724</v>
      </c>
      <c r="W40" s="47">
        <f>FleetAverage!E40</f>
        <v>1.9086956521739133E-2</v>
      </c>
      <c r="X40" s="47">
        <f>FleetAverage!F40</f>
        <v>0.13106521739130433</v>
      </c>
      <c r="Y40" s="55">
        <f>FleetAverage!G40</f>
        <v>-6.6842526486956488E-2</v>
      </c>
      <c r="AA40" s="41">
        <f>FleetAverage!B40</f>
        <v>19</v>
      </c>
      <c r="AB40" s="47">
        <f>0</f>
        <v>0</v>
      </c>
      <c r="AC40" s="47">
        <f>FleetAverage!G40</f>
        <v>-6.6842526486956488E-2</v>
      </c>
      <c r="AD40" s="47">
        <f t="shared" si="1"/>
        <v>0</v>
      </c>
      <c r="AE40" s="47">
        <f t="shared" si="2"/>
        <v>-6.6842526486956488E-2</v>
      </c>
      <c r="AF40" s="51">
        <f>100</f>
        <v>100</v>
      </c>
      <c r="AG40" s="49">
        <f>FleetAverage!H40</f>
        <v>93.75651304347825</v>
      </c>
    </row>
    <row r="41" spans="1:33" x14ac:dyDescent="0.25">
      <c r="A41" s="41">
        <f>FleetAverage!B41</f>
        <v>19.5</v>
      </c>
      <c r="B41" s="43">
        <f>FleetAverage!I41</f>
        <v>19.807784066666663</v>
      </c>
      <c r="C41" s="43">
        <f>FleetAverage!J41</f>
        <v>3.8577581424000007</v>
      </c>
      <c r="D41" s="44">
        <f>FleetAverage!K41</f>
        <v>-0.12297407573333885</v>
      </c>
      <c r="F41" s="41">
        <f>FleetAverage!B41</f>
        <v>19.5</v>
      </c>
      <c r="G41" s="47">
        <f>FleetAverage!E41</f>
        <v>4.565217391304348E-4</v>
      </c>
      <c r="H41" s="47">
        <f>FleetAverage!F41</f>
        <v>0.34986956521739132</v>
      </c>
      <c r="I41" s="49">
        <f>FleetAverage!H41</f>
        <v>92.326976086956506</v>
      </c>
      <c r="K41" s="4" t="str">
        <f>ProsumerMetrics!A41</f>
        <v>BES_TR4_three388_A</v>
      </c>
      <c r="L41" s="51">
        <f>ProsumerMetrics!J41</f>
        <v>76.099999999999994</v>
      </c>
      <c r="M41" s="49">
        <f>ProsumerMetrics!K41</f>
        <v>95.4</v>
      </c>
      <c r="T41" s="41">
        <f>FleetAverage!B41</f>
        <v>19.5</v>
      </c>
      <c r="U41" s="47">
        <f>FleetAverage!C41</f>
        <v>0.4306040014492753</v>
      </c>
      <c r="V41" s="47">
        <f>FleetAverage!D41</f>
        <v>8.3864307443478281E-2</v>
      </c>
      <c r="W41" s="47">
        <f>FleetAverage!E41</f>
        <v>4.565217391304348E-4</v>
      </c>
      <c r="X41" s="47">
        <f>FleetAverage!F41</f>
        <v>0.34986956521739132</v>
      </c>
      <c r="Y41" s="55">
        <f>FleetAverage!G41</f>
        <v>-2.6733494724638929E-3</v>
      </c>
      <c r="AA41" s="41">
        <f>FleetAverage!B41</f>
        <v>19.5</v>
      </c>
      <c r="AB41" s="47">
        <f>0</f>
        <v>0</v>
      </c>
      <c r="AC41" s="47">
        <f>FleetAverage!G41</f>
        <v>-2.6733494724638929E-3</v>
      </c>
      <c r="AD41" s="47">
        <f t="shared" si="1"/>
        <v>0</v>
      </c>
      <c r="AE41" s="47">
        <f t="shared" si="2"/>
        <v>-2.6733494724638929E-3</v>
      </c>
      <c r="AF41" s="51">
        <f>100</f>
        <v>100</v>
      </c>
      <c r="AG41" s="49">
        <f>FleetAverage!H41</f>
        <v>92.326976086956506</v>
      </c>
    </row>
    <row r="42" spans="1:33" x14ac:dyDescent="0.25">
      <c r="A42" s="41">
        <f>FleetAverage!B42</f>
        <v>20</v>
      </c>
      <c r="B42" s="43">
        <f>FleetAverage!I42</f>
        <v>22.717798233333344</v>
      </c>
      <c r="C42" s="43">
        <f>FleetAverage!J42</f>
        <v>0.71149594560000062</v>
      </c>
      <c r="D42" s="44">
        <f>FleetAverage!K42</f>
        <v>3.3022877333408474E-3</v>
      </c>
      <c r="F42" s="41">
        <f>FleetAverage!B42</f>
        <v>20</v>
      </c>
      <c r="G42" s="47">
        <f>FleetAverage!E42</f>
        <v>0</v>
      </c>
      <c r="H42" s="47">
        <f>FleetAverage!F42</f>
        <v>0.47832608695652185</v>
      </c>
      <c r="I42" s="49">
        <f>FleetAverage!H42</f>
        <v>87.941723913043489</v>
      </c>
      <c r="K42" s="4" t="str">
        <f>ProsumerMetrics!A42</f>
        <v>BES_TR4_three409_C</v>
      </c>
      <c r="L42" s="51">
        <f>ProsumerMetrics!J42</f>
        <v>22.4</v>
      </c>
      <c r="M42" s="49">
        <f>ProsumerMetrics!K42</f>
        <v>100</v>
      </c>
      <c r="T42" s="41">
        <f>FleetAverage!B42</f>
        <v>20</v>
      </c>
      <c r="U42" s="47">
        <f>FleetAverage!C42</f>
        <v>0.49386517898550747</v>
      </c>
      <c r="V42" s="47">
        <f>FleetAverage!D42</f>
        <v>1.5467303165217406E-2</v>
      </c>
      <c r="W42" s="47">
        <f>FleetAverage!E42</f>
        <v>0</v>
      </c>
      <c r="X42" s="47">
        <f>FleetAverage!F42</f>
        <v>0.47832608695652185</v>
      </c>
      <c r="Y42" s="55">
        <f>FleetAverage!G42</f>
        <v>7.1788863768240674E-5</v>
      </c>
      <c r="AA42" s="41">
        <f>FleetAverage!B42</f>
        <v>20</v>
      </c>
      <c r="AB42" s="47">
        <f>0</f>
        <v>0</v>
      </c>
      <c r="AC42" s="47">
        <f>FleetAverage!G42</f>
        <v>7.1788863768240674E-5</v>
      </c>
      <c r="AD42" s="47">
        <f t="shared" si="1"/>
        <v>7.1788863768240674E-5</v>
      </c>
      <c r="AE42" s="47">
        <f t="shared" si="2"/>
        <v>0</v>
      </c>
      <c r="AF42" s="51">
        <f>100</f>
        <v>100</v>
      </c>
      <c r="AG42" s="49">
        <f>FleetAverage!H42</f>
        <v>87.941723913043489</v>
      </c>
    </row>
    <row r="43" spans="1:33" x14ac:dyDescent="0.25">
      <c r="A43" s="41">
        <f>FleetAverage!B43</f>
        <v>20.5</v>
      </c>
      <c r="B43" s="43">
        <f>FleetAverage!I43</f>
        <v>23.712020666666664</v>
      </c>
      <c r="C43" s="43">
        <f>FleetAverage!J43</f>
        <v>0</v>
      </c>
      <c r="D43" s="44">
        <f>FleetAverage!K43</f>
        <v>2.5020206666666631</v>
      </c>
      <c r="F43" s="41">
        <f>FleetAverage!B43</f>
        <v>20.5</v>
      </c>
      <c r="G43" s="47">
        <f>FleetAverage!E43</f>
        <v>0</v>
      </c>
      <c r="H43" s="47">
        <f>FleetAverage!F43</f>
        <v>0.46108695652173914</v>
      </c>
      <c r="I43" s="49">
        <f>FleetAverage!H43</f>
        <v>81.93854782608696</v>
      </c>
      <c r="K43" s="4" t="str">
        <f>ProsumerMetrics!A43</f>
        <v>BES_TR4_three76_A</v>
      </c>
      <c r="L43" s="51">
        <f>ProsumerMetrics!J43</f>
        <v>26</v>
      </c>
      <c r="M43" s="49">
        <f>ProsumerMetrics!K43</f>
        <v>100</v>
      </c>
      <c r="T43" s="41">
        <f>FleetAverage!B43</f>
        <v>20.5</v>
      </c>
      <c r="U43" s="47">
        <f>FleetAverage!C43</f>
        <v>0.51547871014492752</v>
      </c>
      <c r="V43" s="47">
        <f>FleetAverage!D43</f>
        <v>0</v>
      </c>
      <c r="W43" s="47">
        <f>FleetAverage!E43</f>
        <v>0</v>
      </c>
      <c r="X43" s="47">
        <f>FleetAverage!F43</f>
        <v>0.46108695652173914</v>
      </c>
      <c r="Y43" s="55">
        <f>FleetAverage!G43</f>
        <v>5.4391753623188377E-2</v>
      </c>
      <c r="AA43" s="41">
        <f>FleetAverage!B43</f>
        <v>20.5</v>
      </c>
      <c r="AB43" s="47">
        <f>0</f>
        <v>0</v>
      </c>
      <c r="AC43" s="47">
        <f>FleetAverage!G43</f>
        <v>5.4391753623188377E-2</v>
      </c>
      <c r="AD43" s="47">
        <f t="shared" si="1"/>
        <v>5.4391753623188377E-2</v>
      </c>
      <c r="AE43" s="47">
        <f t="shared" si="2"/>
        <v>0</v>
      </c>
      <c r="AF43" s="51">
        <f>100</f>
        <v>100</v>
      </c>
      <c r="AG43" s="49">
        <f>FleetAverage!H43</f>
        <v>81.93854782608696</v>
      </c>
    </row>
    <row r="44" spans="1:33" x14ac:dyDescent="0.25">
      <c r="A44" s="41">
        <f>FleetAverage!B44</f>
        <v>21</v>
      </c>
      <c r="B44" s="43">
        <f>FleetAverage!I44</f>
        <v>25.374834000000014</v>
      </c>
      <c r="C44" s="43">
        <f>FleetAverage!J44</f>
        <v>0</v>
      </c>
      <c r="D44" s="44">
        <f>FleetAverage!K44</f>
        <v>3.9668340000000128</v>
      </c>
      <c r="F44" s="41">
        <f>FleetAverage!B44</f>
        <v>21</v>
      </c>
      <c r="G44" s="47">
        <f>FleetAverage!E44</f>
        <v>0</v>
      </c>
      <c r="H44" s="47">
        <f>FleetAverage!F44</f>
        <v>0.46539130434782611</v>
      </c>
      <c r="I44" s="49">
        <f>FleetAverage!H44</f>
        <v>76.152367391304352</v>
      </c>
      <c r="K44" s="4" t="str">
        <f>ProsumerMetrics!A44</f>
        <v>BES_TR4_three81_A</v>
      </c>
      <c r="L44" s="51">
        <f>ProsumerMetrics!J44</f>
        <v>28.5</v>
      </c>
      <c r="M44" s="49">
        <f>ProsumerMetrics!K44</f>
        <v>100</v>
      </c>
      <c r="T44" s="41">
        <f>FleetAverage!B44</f>
        <v>21</v>
      </c>
      <c r="U44" s="47">
        <f>FleetAverage!C44</f>
        <v>0.55162682608695679</v>
      </c>
      <c r="V44" s="47">
        <f>FleetAverage!D44</f>
        <v>0</v>
      </c>
      <c r="W44" s="47">
        <f>FleetAverage!E44</f>
        <v>0</v>
      </c>
      <c r="X44" s="47">
        <f>FleetAverage!F44</f>
        <v>0.46539130434782611</v>
      </c>
      <c r="Y44" s="55">
        <f>FleetAverage!G44</f>
        <v>8.6235521739130683E-2</v>
      </c>
      <c r="AA44" s="41">
        <f>FleetAverage!B44</f>
        <v>21</v>
      </c>
      <c r="AB44" s="47">
        <f>0</f>
        <v>0</v>
      </c>
      <c r="AC44" s="47">
        <f>FleetAverage!G44</f>
        <v>8.6235521739130683E-2</v>
      </c>
      <c r="AD44" s="47">
        <f t="shared" si="1"/>
        <v>8.6235521739130683E-2</v>
      </c>
      <c r="AE44" s="47">
        <f t="shared" si="2"/>
        <v>0</v>
      </c>
      <c r="AF44" s="51">
        <f>100</f>
        <v>100</v>
      </c>
      <c r="AG44" s="49">
        <f>FleetAverage!H44</f>
        <v>76.152367391304352</v>
      </c>
    </row>
    <row r="45" spans="1:33" x14ac:dyDescent="0.25">
      <c r="A45" s="41">
        <f>FleetAverage!B45</f>
        <v>21.5</v>
      </c>
      <c r="B45" s="43">
        <f>FleetAverage!I45</f>
        <v>21.354218333333339</v>
      </c>
      <c r="C45" s="43">
        <f>FleetAverage!J45</f>
        <v>0</v>
      </c>
      <c r="D45" s="44">
        <f>FleetAverage!K45</f>
        <v>2.3112183333333363</v>
      </c>
      <c r="F45" s="41">
        <f>FleetAverage!B45</f>
        <v>21.5</v>
      </c>
      <c r="G45" s="47">
        <f>FleetAverage!E45</f>
        <v>0</v>
      </c>
      <c r="H45" s="47">
        <f>FleetAverage!F45</f>
        <v>0.4139782608695653</v>
      </c>
      <c r="I45" s="49">
        <f>FleetAverage!H45</f>
        <v>70.312463043478274</v>
      </c>
      <c r="K45" s="4" t="str">
        <f>ProsumerMetrics!A45</f>
        <v>BES_TR4_three90_C</v>
      </c>
      <c r="L45" s="51">
        <f>ProsumerMetrics!J45</f>
        <v>26.4</v>
      </c>
      <c r="M45" s="49">
        <f>ProsumerMetrics!K45</f>
        <v>99.9</v>
      </c>
      <c r="T45" s="41">
        <f>FleetAverage!B45</f>
        <v>21.5</v>
      </c>
      <c r="U45" s="47">
        <f>FleetAverage!C45</f>
        <v>0.46422213768115955</v>
      </c>
      <c r="V45" s="47">
        <f>FleetAverage!D45</f>
        <v>0</v>
      </c>
      <c r="W45" s="47">
        <f>FleetAverage!E45</f>
        <v>0</v>
      </c>
      <c r="X45" s="47">
        <f>FleetAverage!F45</f>
        <v>0.4139782608695653</v>
      </c>
      <c r="Y45" s="55">
        <f>FleetAverage!G45</f>
        <v>5.0243876811594257E-2</v>
      </c>
      <c r="AA45" s="41">
        <f>FleetAverage!B45</f>
        <v>21.5</v>
      </c>
      <c r="AB45" s="47">
        <f>0</f>
        <v>0</v>
      </c>
      <c r="AC45" s="47">
        <f>FleetAverage!G45</f>
        <v>5.0243876811594257E-2</v>
      </c>
      <c r="AD45" s="47">
        <f t="shared" si="1"/>
        <v>5.0243876811594257E-2</v>
      </c>
      <c r="AE45" s="47">
        <f t="shared" si="2"/>
        <v>0</v>
      </c>
      <c r="AF45" s="51">
        <f>100</f>
        <v>100</v>
      </c>
      <c r="AG45" s="49">
        <f>FleetAverage!H45</f>
        <v>70.312463043478274</v>
      </c>
    </row>
    <row r="46" spans="1:33" x14ac:dyDescent="0.25">
      <c r="A46" s="41">
        <f>FleetAverage!B46</f>
        <v>22</v>
      </c>
      <c r="B46" s="43">
        <f>FleetAverage!I46</f>
        <v>22.466490666666679</v>
      </c>
      <c r="C46" s="43">
        <f>FleetAverage!J46</f>
        <v>0</v>
      </c>
      <c r="D46" s="44">
        <f>FleetAverage!K46</f>
        <v>2.9364906666666748</v>
      </c>
      <c r="F46" s="41">
        <f>FleetAverage!B46</f>
        <v>22</v>
      </c>
      <c r="G46" s="47">
        <f>FleetAverage!E46</f>
        <v>0</v>
      </c>
      <c r="H46" s="47">
        <f>FleetAverage!F46</f>
        <v>0.42456521739130443</v>
      </c>
      <c r="I46" s="49">
        <f>FleetAverage!H46</f>
        <v>65.116919565217415</v>
      </c>
      <c r="K46" s="4" t="str">
        <f>ProsumerMetrics!A46</f>
        <v>BES_TR4_three97_B</v>
      </c>
      <c r="L46" s="51">
        <f>ProsumerMetrics!J46</f>
        <v>19.7</v>
      </c>
      <c r="M46" s="49">
        <f>ProsumerMetrics!K46</f>
        <v>100</v>
      </c>
      <c r="T46" s="41">
        <f>FleetAverage!B46</f>
        <v>22</v>
      </c>
      <c r="U46" s="47">
        <f>FleetAverage!C46</f>
        <v>0.48840197101449301</v>
      </c>
      <c r="V46" s="47">
        <f>FleetAverage!D46</f>
        <v>0</v>
      </c>
      <c r="W46" s="47">
        <f>FleetAverage!E46</f>
        <v>0</v>
      </c>
      <c r="X46" s="47">
        <f>FleetAverage!F46</f>
        <v>0.42456521739130443</v>
      </c>
      <c r="Y46" s="55">
        <f>FleetAverage!G46</f>
        <v>6.383675362318858E-2</v>
      </c>
      <c r="AA46" s="41">
        <f>FleetAverage!B46</f>
        <v>22</v>
      </c>
      <c r="AB46" s="47">
        <f>0</f>
        <v>0</v>
      </c>
      <c r="AC46" s="47">
        <f>FleetAverage!G46</f>
        <v>6.383675362318858E-2</v>
      </c>
      <c r="AD46" s="47">
        <f t="shared" si="1"/>
        <v>6.383675362318858E-2</v>
      </c>
      <c r="AE46" s="47">
        <f t="shared" si="2"/>
        <v>0</v>
      </c>
      <c r="AF46" s="51">
        <f>100</f>
        <v>100</v>
      </c>
      <c r="AG46" s="49">
        <f>FleetAverage!H46</f>
        <v>65.116919565217415</v>
      </c>
    </row>
    <row r="47" spans="1:33" x14ac:dyDescent="0.25">
      <c r="A47" s="41">
        <f>FleetAverage!B47</f>
        <v>22.5</v>
      </c>
      <c r="B47" s="43">
        <f>FleetAverage!I47</f>
        <v>22.2712167</v>
      </c>
      <c r="C47" s="43">
        <f>FleetAverage!J47</f>
        <v>0</v>
      </c>
      <c r="D47" s="44">
        <f>FleetAverage!K47</f>
        <v>2.3112166999999992</v>
      </c>
      <c r="F47" s="41">
        <f>FleetAverage!B47</f>
        <v>22.5</v>
      </c>
      <c r="G47" s="47">
        <f>FleetAverage!E47</f>
        <v>0</v>
      </c>
      <c r="H47" s="47">
        <f>FleetAverage!F47</f>
        <v>0.43391304347826087</v>
      </c>
      <c r="I47" s="49">
        <f>FleetAverage!H47</f>
        <v>59.789434782608694</v>
      </c>
      <c r="K47" s="6" t="str">
        <f>ProsumerMetrics!A47</f>
        <v>BES_TR4_three160_C</v>
      </c>
      <c r="L47" s="52">
        <f>ProsumerMetrics!J47</f>
        <v>29.5</v>
      </c>
      <c r="M47" s="50">
        <f>ProsumerMetrics!K47</f>
        <v>94</v>
      </c>
      <c r="T47" s="41">
        <f>FleetAverage!B47</f>
        <v>22.5</v>
      </c>
      <c r="U47" s="47">
        <f>FleetAverage!C47</f>
        <v>0.48415688478260871</v>
      </c>
      <c r="V47" s="47">
        <f>FleetAverage!D47</f>
        <v>0</v>
      </c>
      <c r="W47" s="47">
        <f>FleetAverage!E47</f>
        <v>0</v>
      </c>
      <c r="X47" s="47">
        <f>FleetAverage!F47</f>
        <v>0.43391304347826087</v>
      </c>
      <c r="Y47" s="55">
        <f>FleetAverage!G47</f>
        <v>5.0243841304347836E-2</v>
      </c>
      <c r="AA47" s="41">
        <f>FleetAverage!B47</f>
        <v>22.5</v>
      </c>
      <c r="AB47" s="47">
        <f>0</f>
        <v>0</v>
      </c>
      <c r="AC47" s="47">
        <f>FleetAverage!G47</f>
        <v>5.0243841304347836E-2</v>
      </c>
      <c r="AD47" s="47">
        <f t="shared" si="1"/>
        <v>5.0243841304347836E-2</v>
      </c>
      <c r="AE47" s="47">
        <f t="shared" si="2"/>
        <v>0</v>
      </c>
      <c r="AF47" s="51">
        <f>100</f>
        <v>100</v>
      </c>
      <c r="AG47" s="49">
        <f>FleetAverage!H47</f>
        <v>59.789434782608694</v>
      </c>
    </row>
    <row r="48" spans="1:33" x14ac:dyDescent="0.25">
      <c r="A48" s="41">
        <f>FleetAverage!B48</f>
        <v>23</v>
      </c>
      <c r="B48" s="43">
        <f>FleetAverage!I48</f>
        <v>20.369224833333337</v>
      </c>
      <c r="C48" s="43">
        <f>FleetAverage!J48</f>
        <v>0</v>
      </c>
      <c r="D48" s="44">
        <f>FleetAverage!K48</f>
        <v>5.5872248333333392</v>
      </c>
      <c r="F48" s="41">
        <f>FleetAverage!B48</f>
        <v>23</v>
      </c>
      <c r="G48" s="47">
        <f>FleetAverage!E48</f>
        <v>0</v>
      </c>
      <c r="H48" s="47">
        <f>FleetAverage!F48</f>
        <v>0.3213478260869565</v>
      </c>
      <c r="I48" s="49">
        <f>FleetAverage!H48</f>
        <v>54.344967391304358</v>
      </c>
      <c r="T48" s="41">
        <f>FleetAverage!B48</f>
        <v>23</v>
      </c>
      <c r="U48" s="47">
        <f>FleetAverage!C48</f>
        <v>0.44280923550724649</v>
      </c>
      <c r="V48" s="47">
        <f>FleetAverage!D48</f>
        <v>0</v>
      </c>
      <c r="W48" s="47">
        <f>FleetAverage!E48</f>
        <v>0</v>
      </c>
      <c r="X48" s="47">
        <f>FleetAverage!F48</f>
        <v>0.3213478260869565</v>
      </c>
      <c r="Y48" s="55">
        <f>FleetAverage!G48</f>
        <v>0.12146140942028999</v>
      </c>
      <c r="AA48" s="41">
        <f>FleetAverage!B48</f>
        <v>23</v>
      </c>
      <c r="AB48" s="47">
        <f>0</f>
        <v>0</v>
      </c>
      <c r="AC48" s="47">
        <f>FleetAverage!G48</f>
        <v>0.12146140942028999</v>
      </c>
      <c r="AD48" s="47">
        <f t="shared" si="1"/>
        <v>0.12146140942028999</v>
      </c>
      <c r="AE48" s="47">
        <f t="shared" si="2"/>
        <v>0</v>
      </c>
      <c r="AF48" s="51">
        <f>100</f>
        <v>100</v>
      </c>
      <c r="AG48" s="49">
        <f>FleetAverage!H48</f>
        <v>54.344967391304358</v>
      </c>
    </row>
    <row r="49" spans="1:33" x14ac:dyDescent="0.25">
      <c r="A49" s="42">
        <f>FleetAverage!B49</f>
        <v>23.5</v>
      </c>
      <c r="B49" s="45">
        <f>FleetAverage!I49</f>
        <v>13.759542666666666</v>
      </c>
      <c r="C49" s="45">
        <f>FleetAverage!J49</f>
        <v>0</v>
      </c>
      <c r="D49" s="46">
        <f>FleetAverage!K49</f>
        <v>3.4375426666666655</v>
      </c>
      <c r="F49" s="42">
        <f>FleetAverage!B49</f>
        <v>23.5</v>
      </c>
      <c r="G49" s="48">
        <f>FleetAverage!E49</f>
        <v>0</v>
      </c>
      <c r="H49" s="48">
        <f>FleetAverage!F49</f>
        <v>0.22439130434782611</v>
      </c>
      <c r="I49" s="50">
        <f>FleetAverage!H49</f>
        <v>50.312630434782612</v>
      </c>
      <c r="T49" s="42">
        <f>FleetAverage!B49</f>
        <v>23.5</v>
      </c>
      <c r="U49" s="48">
        <f>FleetAverage!C49</f>
        <v>0.29912049275362318</v>
      </c>
      <c r="V49" s="48">
        <f>FleetAverage!D49</f>
        <v>0</v>
      </c>
      <c r="W49" s="48">
        <f>FleetAverage!E49</f>
        <v>0</v>
      </c>
      <c r="X49" s="48">
        <f>FleetAverage!F49</f>
        <v>0.22439130434782611</v>
      </c>
      <c r="Y49" s="56">
        <f>FleetAverage!G49</f>
        <v>7.4729188405797065E-2</v>
      </c>
      <c r="AA49" s="42">
        <f>FleetAverage!B49</f>
        <v>23.5</v>
      </c>
      <c r="AB49" s="48">
        <f>0</f>
        <v>0</v>
      </c>
      <c r="AC49" s="48">
        <f>FleetAverage!G49</f>
        <v>7.4729188405797065E-2</v>
      </c>
      <c r="AD49" s="48">
        <f t="shared" si="1"/>
        <v>7.4729188405797065E-2</v>
      </c>
      <c r="AE49" s="48">
        <f t="shared" si="2"/>
        <v>0</v>
      </c>
      <c r="AF49" s="52">
        <f>100</f>
        <v>100</v>
      </c>
      <c r="AG49" s="50">
        <f>FleetAverage!H49</f>
        <v>50.312630434782612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6:F74"/>
  <sheetViews>
    <sheetView showGridLines="0" topLeftCell="A19" workbookViewId="0"/>
  </sheetViews>
  <sheetFormatPr defaultRowHeight="15" x14ac:dyDescent="0.25"/>
  <cols>
    <col min="1" max="13" width="13" customWidth="1"/>
  </cols>
  <sheetData>
    <row r="26" spans="1:6" x14ac:dyDescent="0.25">
      <c r="A26" s="38" t="s">
        <v>151</v>
      </c>
      <c r="B26" s="39" t="s">
        <v>164</v>
      </c>
      <c r="C26" s="39" t="s">
        <v>165</v>
      </c>
      <c r="D26" s="39" t="s">
        <v>166</v>
      </c>
      <c r="E26" s="39" t="s">
        <v>167</v>
      </c>
      <c r="F26" s="40" t="s">
        <v>168</v>
      </c>
    </row>
    <row r="27" spans="1:6" x14ac:dyDescent="0.25">
      <c r="A27" s="41">
        <f>ChartData!T2</f>
        <v>0</v>
      </c>
      <c r="B27" s="47">
        <f>ChartData!U2</f>
        <v>0.21448885507246374</v>
      </c>
      <c r="C27" s="47">
        <f>ChartData!V2</f>
        <v>0</v>
      </c>
      <c r="D27" s="47">
        <f>ChartData!W2</f>
        <v>0</v>
      </c>
      <c r="E27" s="47">
        <f>ChartData!X2</f>
        <v>0.21452173913043479</v>
      </c>
      <c r="F27" s="55">
        <f>ChartData!Y2</f>
        <v>-3.2884057971055425E-5</v>
      </c>
    </row>
    <row r="28" spans="1:6" x14ac:dyDescent="0.25">
      <c r="A28" s="41">
        <f>ChartData!T3</f>
        <v>0.5</v>
      </c>
      <c r="B28" s="47">
        <f>ChartData!U3</f>
        <v>0.19292378985507233</v>
      </c>
      <c r="C28" s="47">
        <f>ChartData!V3</f>
        <v>0</v>
      </c>
      <c r="D28" s="47">
        <f>ChartData!W3</f>
        <v>0</v>
      </c>
      <c r="E28" s="47">
        <f>ChartData!X3</f>
        <v>0.19295652173913042</v>
      </c>
      <c r="F28" s="55">
        <f>ChartData!Y3</f>
        <v>-3.2731884058084804E-5</v>
      </c>
    </row>
    <row r="29" spans="1:6" x14ac:dyDescent="0.25">
      <c r="A29" s="41">
        <f>ChartData!T4</f>
        <v>1</v>
      </c>
      <c r="B29" s="47">
        <f>ChartData!U4</f>
        <v>0.12976925362318839</v>
      </c>
      <c r="C29" s="47">
        <f>ChartData!V4</f>
        <v>0</v>
      </c>
      <c r="D29" s="47">
        <f>ChartData!W4</f>
        <v>0</v>
      </c>
      <c r="E29" s="47">
        <f>ChartData!X4</f>
        <v>0.1297826086956522</v>
      </c>
      <c r="F29" s="55">
        <f>ChartData!Y4</f>
        <v>-1.3355072463805406E-5</v>
      </c>
    </row>
    <row r="30" spans="1:6" x14ac:dyDescent="0.25">
      <c r="A30" s="41">
        <f>ChartData!T5</f>
        <v>1.5</v>
      </c>
      <c r="B30" s="47">
        <f>ChartData!U5</f>
        <v>0.1441979275362319</v>
      </c>
      <c r="C30" s="47">
        <f>ChartData!V5</f>
        <v>0</v>
      </c>
      <c r="D30" s="47">
        <f>ChartData!W5</f>
        <v>0</v>
      </c>
      <c r="E30" s="47">
        <f>ChartData!X5</f>
        <v>0.14423913043478259</v>
      </c>
      <c r="F30" s="55">
        <f>ChartData!Y5</f>
        <v>-4.1202898550696254E-5</v>
      </c>
    </row>
    <row r="31" spans="1:6" x14ac:dyDescent="0.25">
      <c r="A31" s="41">
        <f>ChartData!T6</f>
        <v>2</v>
      </c>
      <c r="B31" s="47">
        <f>ChartData!U6</f>
        <v>0.13008457246376812</v>
      </c>
      <c r="C31" s="47">
        <f>ChartData!V6</f>
        <v>0</v>
      </c>
      <c r="D31" s="47">
        <f>ChartData!W6</f>
        <v>0</v>
      </c>
      <c r="E31" s="47">
        <f>ChartData!X6</f>
        <v>0.124</v>
      </c>
      <c r="F31" s="55">
        <f>ChartData!Y6</f>
        <v>6.0845724637681176E-3</v>
      </c>
    </row>
    <row r="32" spans="1:6" x14ac:dyDescent="0.25">
      <c r="A32" s="41">
        <f>ChartData!T7</f>
        <v>2.5</v>
      </c>
      <c r="B32" s="47">
        <f>ChartData!U7</f>
        <v>0.1368114130434783</v>
      </c>
      <c r="C32" s="47">
        <f>ChartData!V7</f>
        <v>0</v>
      </c>
      <c r="D32" s="47">
        <f>ChartData!W7</f>
        <v>0</v>
      </c>
      <c r="E32" s="47">
        <f>ChartData!X7</f>
        <v>0.13543478260869568</v>
      </c>
      <c r="F32" s="55">
        <f>ChartData!Y7</f>
        <v>1.3766304347826164E-3</v>
      </c>
    </row>
    <row r="33" spans="1:6" x14ac:dyDescent="0.25">
      <c r="A33" s="41">
        <f>ChartData!T8</f>
        <v>3</v>
      </c>
      <c r="B33" s="47">
        <f>ChartData!U8</f>
        <v>0.14601992028985505</v>
      </c>
      <c r="C33" s="47">
        <f>ChartData!V8</f>
        <v>0</v>
      </c>
      <c r="D33" s="47">
        <f>ChartData!W8</f>
        <v>0</v>
      </c>
      <c r="E33" s="47">
        <f>ChartData!X8</f>
        <v>0.14106521739130437</v>
      </c>
      <c r="F33" s="55">
        <f>ChartData!Y8</f>
        <v>4.9547028985506836E-3</v>
      </c>
    </row>
    <row r="34" spans="1:6" x14ac:dyDescent="0.25">
      <c r="A34" s="41">
        <f>ChartData!T9</f>
        <v>3.5</v>
      </c>
      <c r="B34" s="47">
        <f>ChartData!U9</f>
        <v>0.14897438115942033</v>
      </c>
      <c r="C34" s="47">
        <f>ChartData!V9</f>
        <v>2.6928027130434799E-3</v>
      </c>
      <c r="D34" s="47">
        <f>ChartData!W9</f>
        <v>0</v>
      </c>
      <c r="E34" s="47">
        <f>ChartData!X9</f>
        <v>0.13139130434782606</v>
      </c>
      <c r="F34" s="55">
        <f>ChartData!Y9</f>
        <v>1.4890274098550788E-2</v>
      </c>
    </row>
    <row r="35" spans="1:6" x14ac:dyDescent="0.25">
      <c r="A35" s="41">
        <f>ChartData!T10</f>
        <v>4</v>
      </c>
      <c r="B35" s="47">
        <f>ChartData!U10</f>
        <v>0.11271969565217388</v>
      </c>
      <c r="C35" s="47">
        <f>ChartData!V10</f>
        <v>3.8922646330434678E-2</v>
      </c>
      <c r="D35" s="47">
        <f>ChartData!W10</f>
        <v>5.6521739130434778E-4</v>
      </c>
      <c r="E35" s="47">
        <f>ChartData!X10</f>
        <v>7.2070989408695635E-2</v>
      </c>
      <c r="F35" s="55">
        <f>ChartData!Y10</f>
        <v>2.2912773043479023E-3</v>
      </c>
    </row>
    <row r="36" spans="1:6" x14ac:dyDescent="0.25">
      <c r="A36" s="41">
        <f>ChartData!T11</f>
        <v>4.5</v>
      </c>
      <c r="B36" s="47">
        <f>ChartData!U11</f>
        <v>0.13013576811594199</v>
      </c>
      <c r="C36" s="47">
        <f>ChartData!V11</f>
        <v>0.18201408824347834</v>
      </c>
      <c r="D36" s="47">
        <f>ChartData!W11</f>
        <v>7.1086956521739131E-2</v>
      </c>
      <c r="E36" s="47">
        <f>ChartData!X11</f>
        <v>1.5760869565217394E-2</v>
      </c>
      <c r="F36" s="55">
        <f>ChartData!Y11</f>
        <v>3.4477668289853887E-3</v>
      </c>
    </row>
    <row r="37" spans="1:6" x14ac:dyDescent="0.25">
      <c r="A37" s="41">
        <f>ChartData!T12</f>
        <v>5</v>
      </c>
      <c r="B37" s="47">
        <f>ChartData!U12</f>
        <v>0.12538938550724635</v>
      </c>
      <c r="C37" s="47">
        <f>ChartData!V12</f>
        <v>0.36104892125217491</v>
      </c>
      <c r="D37" s="47">
        <f>ChartData!W12</f>
        <v>0.23558695652173914</v>
      </c>
      <c r="E37" s="47">
        <f>ChartData!X12</f>
        <v>0</v>
      </c>
      <c r="F37" s="55">
        <f>ChartData!Y12</f>
        <v>-7.2579223189428443E-5</v>
      </c>
    </row>
    <row r="38" spans="1:6" x14ac:dyDescent="0.25">
      <c r="A38" s="41">
        <f>ChartData!T13</f>
        <v>5.5</v>
      </c>
      <c r="B38" s="47">
        <f>ChartData!U13</f>
        <v>0.14318600362318837</v>
      </c>
      <c r="C38" s="47">
        <f>ChartData!V13</f>
        <v>0.58058450337391199</v>
      </c>
      <c r="D38" s="47">
        <f>ChartData!W13</f>
        <v>0.43876086956521754</v>
      </c>
      <c r="E38" s="47">
        <f>ChartData!X13</f>
        <v>1.3695652173913043E-3</v>
      </c>
      <c r="F38" s="55">
        <f>ChartData!Y13</f>
        <v>-7.1954028974131196E-6</v>
      </c>
    </row>
    <row r="39" spans="1:6" x14ac:dyDescent="0.25">
      <c r="A39" s="41">
        <f>ChartData!T14</f>
        <v>6</v>
      </c>
      <c r="B39" s="47">
        <f>ChartData!U14</f>
        <v>0.1601343108695652</v>
      </c>
      <c r="C39" s="47">
        <f>ChartData!V14</f>
        <v>0.82011020295652304</v>
      </c>
      <c r="D39" s="47">
        <f>ChartData!W14</f>
        <v>0.66</v>
      </c>
      <c r="E39" s="47">
        <f>ChartData!X14</f>
        <v>0</v>
      </c>
      <c r="F39" s="55">
        <f>ChartData!Y14</f>
        <v>2.4107913042192841E-5</v>
      </c>
    </row>
    <row r="40" spans="1:6" x14ac:dyDescent="0.25">
      <c r="A40" s="41">
        <f>ChartData!T15</f>
        <v>6.5</v>
      </c>
      <c r="B40" s="47">
        <f>ChartData!U15</f>
        <v>0.21931695797101461</v>
      </c>
      <c r="C40" s="47">
        <f>ChartData!V15</f>
        <v>1.062580044313042</v>
      </c>
      <c r="D40" s="47">
        <f>ChartData!W15</f>
        <v>0.88632608695652193</v>
      </c>
      <c r="E40" s="47">
        <f>ChartData!X15</f>
        <v>4.3065217391304353E-2</v>
      </c>
      <c r="F40" s="55">
        <f>ChartData!Y15</f>
        <v>-2.2167768098241281E-6</v>
      </c>
    </row>
    <row r="41" spans="1:6" x14ac:dyDescent="0.25">
      <c r="A41" s="41">
        <f>ChartData!T16</f>
        <v>7</v>
      </c>
      <c r="B41" s="47">
        <f>ChartData!U16</f>
        <v>0.28569331884057975</v>
      </c>
      <c r="C41" s="47">
        <f>ChartData!V16</f>
        <v>1.3037943559304352</v>
      </c>
      <c r="D41" s="47">
        <f>ChartData!W16</f>
        <v>1.0421304347826088</v>
      </c>
      <c r="E41" s="47">
        <f>ChartData!X16</f>
        <v>2.4086956521739134E-2</v>
      </c>
      <c r="F41" s="55">
        <f>ChartData!Y16</f>
        <v>-5.7558828985882632E-5</v>
      </c>
    </row>
    <row r="42" spans="1:6" x14ac:dyDescent="0.25">
      <c r="A42" s="41">
        <f>ChartData!T17</f>
        <v>7.5</v>
      </c>
      <c r="B42" s="47">
        <f>ChartData!U17</f>
        <v>0.2777691369565215</v>
      </c>
      <c r="C42" s="47">
        <f>ChartData!V17</f>
        <v>1.5453595486956524</v>
      </c>
      <c r="D42" s="47">
        <f>ChartData!W17</f>
        <v>1.2376521739130435</v>
      </c>
      <c r="E42" s="47">
        <f>ChartData!X17</f>
        <v>3.0673913043478263E-2</v>
      </c>
      <c r="F42" s="55">
        <f>ChartData!Y17</f>
        <v>-6.061215086956577E-2</v>
      </c>
    </row>
    <row r="43" spans="1:6" x14ac:dyDescent="0.25">
      <c r="A43" s="41">
        <f>ChartData!T18</f>
        <v>8</v>
      </c>
      <c r="B43" s="47">
        <f>ChartData!U18</f>
        <v>0.26974430724637682</v>
      </c>
      <c r="C43" s="47">
        <f>ChartData!V18</f>
        <v>1.7720838769043492</v>
      </c>
      <c r="D43" s="47">
        <f>ChartData!W18</f>
        <v>0.82628260869565218</v>
      </c>
      <c r="E43" s="47">
        <f>ChartData!X18</f>
        <v>6.5217391304347823E-3</v>
      </c>
      <c r="F43" s="55">
        <f>ChartData!Y18</f>
        <v>-0.68257870009275501</v>
      </c>
    </row>
    <row r="44" spans="1:6" x14ac:dyDescent="0.25">
      <c r="A44" s="41">
        <f>ChartData!T19</f>
        <v>8.5</v>
      </c>
      <c r="B44" s="47">
        <f>ChartData!U19</f>
        <v>0.34997221666666672</v>
      </c>
      <c r="C44" s="47">
        <f>ChartData!V19</f>
        <v>1.9852050784695652</v>
      </c>
      <c r="D44" s="47">
        <f>ChartData!W19</f>
        <v>0.56358695652173918</v>
      </c>
      <c r="E44" s="47">
        <f>ChartData!X19</f>
        <v>1.6695652173913045E-2</v>
      </c>
      <c r="F44" s="55">
        <f>ChartData!Y19</f>
        <v>-1.0883415574550721</v>
      </c>
    </row>
    <row r="45" spans="1:6" x14ac:dyDescent="0.25">
      <c r="A45" s="41">
        <f>ChartData!T20</f>
        <v>9</v>
      </c>
      <c r="B45" s="47">
        <f>ChartData!U20</f>
        <v>0.36487536739130477</v>
      </c>
      <c r="C45" s="47">
        <f>ChartData!V20</f>
        <v>2.1667111533913057</v>
      </c>
      <c r="D45" s="47">
        <f>ChartData!W20</f>
        <v>0.29802173913043473</v>
      </c>
      <c r="E45" s="47">
        <f>ChartData!X20</f>
        <v>1.4630434782608696E-2</v>
      </c>
      <c r="F45" s="55">
        <f>ChartData!Y20</f>
        <v>-1.5184444816521749</v>
      </c>
    </row>
    <row r="46" spans="1:6" x14ac:dyDescent="0.25">
      <c r="A46" s="41">
        <f>ChartData!T21</f>
        <v>9.5</v>
      </c>
      <c r="B46" s="47">
        <f>ChartData!U21</f>
        <v>0.31273148478260848</v>
      </c>
      <c r="C46" s="47">
        <f>ChartData!V21</f>
        <v>2.3215174482782599</v>
      </c>
      <c r="D46" s="47">
        <f>ChartData!W21</f>
        <v>0.19726086956521738</v>
      </c>
      <c r="E46" s="47">
        <f>ChartData!X21</f>
        <v>1.1586956521739132E-2</v>
      </c>
      <c r="F46" s="55">
        <f>ChartData!Y21</f>
        <v>-1.8231120504521729</v>
      </c>
    </row>
    <row r="47" spans="1:6" x14ac:dyDescent="0.25">
      <c r="A47" s="41">
        <f>ChartData!T22</f>
        <v>10</v>
      </c>
      <c r="B47" s="47">
        <f>ChartData!U22</f>
        <v>0.39183757608695652</v>
      </c>
      <c r="C47" s="47">
        <f>ChartData!V22</f>
        <v>2.4573983032695645</v>
      </c>
      <c r="D47" s="47">
        <f>ChartData!W22</f>
        <v>9.6521739130434797E-2</v>
      </c>
      <c r="E47" s="47">
        <f>ChartData!X22</f>
        <v>3.7304347826086957E-2</v>
      </c>
      <c r="F47" s="55">
        <f>ChartData!Y22</f>
        <v>-2.0063433358782601</v>
      </c>
    </row>
    <row r="48" spans="1:6" x14ac:dyDescent="0.25">
      <c r="A48" s="41">
        <f>ChartData!T23</f>
        <v>10.5</v>
      </c>
      <c r="B48" s="47">
        <f>ChartData!U23</f>
        <v>0.26979317826086968</v>
      </c>
      <c r="C48" s="47">
        <f>ChartData!V23</f>
        <v>2.5695431383304355</v>
      </c>
      <c r="D48" s="47">
        <f>ChartData!W23</f>
        <v>0.1406304347826087</v>
      </c>
      <c r="E48" s="47">
        <f>ChartData!X23</f>
        <v>7.8913043478260874E-3</v>
      </c>
      <c r="F48" s="55">
        <f>ChartData!Y23</f>
        <v>-2.167010829634783</v>
      </c>
    </row>
    <row r="49" spans="1:6" x14ac:dyDescent="0.25">
      <c r="A49" s="41">
        <f>ChartData!T24</f>
        <v>11</v>
      </c>
      <c r="B49" s="47">
        <f>ChartData!U24</f>
        <v>0.36461873115942012</v>
      </c>
      <c r="C49" s="47">
        <f>ChartData!V24</f>
        <v>2.6491131584347842</v>
      </c>
      <c r="D49" s="47">
        <f>ChartData!W24</f>
        <v>0.12015217391304346</v>
      </c>
      <c r="E49" s="47">
        <f>ChartData!X24</f>
        <v>0</v>
      </c>
      <c r="F49" s="55">
        <f>ChartData!Y24</f>
        <v>-2.1643422533623204</v>
      </c>
    </row>
    <row r="50" spans="1:6" x14ac:dyDescent="0.25">
      <c r="A50" s="41">
        <f>ChartData!T25</f>
        <v>11.5</v>
      </c>
      <c r="B50" s="47">
        <f>ChartData!U25</f>
        <v>0.41573286521739128</v>
      </c>
      <c r="C50" s="47">
        <f>ChartData!V25</f>
        <v>2.684008728626087</v>
      </c>
      <c r="D50" s="47">
        <f>ChartData!W25</f>
        <v>6.7565217391304347E-2</v>
      </c>
      <c r="E50" s="47">
        <f>ChartData!X25</f>
        <v>1.4021739130434781E-2</v>
      </c>
      <c r="F50" s="55">
        <f>ChartData!Y25</f>
        <v>-2.2147323851478262</v>
      </c>
    </row>
    <row r="51" spans="1:6" x14ac:dyDescent="0.25">
      <c r="A51" s="41">
        <f>ChartData!T26</f>
        <v>12</v>
      </c>
      <c r="B51" s="47">
        <f>ChartData!U26</f>
        <v>0.24871455797101447</v>
      </c>
      <c r="C51" s="47">
        <f>ChartData!V26</f>
        <v>2.6941158227478268</v>
      </c>
      <c r="D51" s="47">
        <f>ChartData!W26</f>
        <v>6.6391304347826099E-2</v>
      </c>
      <c r="E51" s="47">
        <f>ChartData!X26</f>
        <v>0</v>
      </c>
      <c r="F51" s="55">
        <f>ChartData!Y26</f>
        <v>-2.3790099604289865</v>
      </c>
    </row>
    <row r="52" spans="1:6" x14ac:dyDescent="0.25">
      <c r="A52" s="41">
        <f>ChartData!T27</f>
        <v>12.5</v>
      </c>
      <c r="B52" s="47">
        <f>ChartData!U27</f>
        <v>0.29813913550724663</v>
      </c>
      <c r="C52" s="47">
        <f>ChartData!V27</f>
        <v>2.6752082650434792</v>
      </c>
      <c r="D52" s="47">
        <f>ChartData!W27</f>
        <v>2.8130434782608696E-2</v>
      </c>
      <c r="E52" s="47">
        <f>ChartData!X27</f>
        <v>0</v>
      </c>
      <c r="F52" s="55">
        <f>ChartData!Y27</f>
        <v>-2.3489386947536239</v>
      </c>
    </row>
    <row r="53" spans="1:6" x14ac:dyDescent="0.25">
      <c r="A53" s="41">
        <f>ChartData!T28</f>
        <v>13</v>
      </c>
      <c r="B53" s="47">
        <f>ChartData!U28</f>
        <v>0.3462196326086957</v>
      </c>
      <c r="C53" s="47">
        <f>ChartData!V28</f>
        <v>2.6116892467826101</v>
      </c>
      <c r="D53" s="47">
        <f>ChartData!W28</f>
        <v>1.2304347826086956E-2</v>
      </c>
      <c r="E53" s="47">
        <f>ChartData!X28</f>
        <v>0</v>
      </c>
      <c r="F53" s="55">
        <f>ChartData!Y28</f>
        <v>-2.2531652663478274</v>
      </c>
    </row>
    <row r="54" spans="1:6" x14ac:dyDescent="0.25">
      <c r="A54" s="41">
        <f>ChartData!T29</f>
        <v>13.5</v>
      </c>
      <c r="B54" s="47">
        <f>ChartData!U29</f>
        <v>0.38798157536231903</v>
      </c>
      <c r="C54" s="47">
        <f>ChartData!V29</f>
        <v>2.5147833867130451</v>
      </c>
      <c r="D54" s="47">
        <f>ChartData!W29</f>
        <v>0</v>
      </c>
      <c r="E54" s="47">
        <f>ChartData!X29</f>
        <v>0</v>
      </c>
      <c r="F54" s="55">
        <f>ChartData!Y29</f>
        <v>-2.1268018113507261</v>
      </c>
    </row>
    <row r="55" spans="1:6" x14ac:dyDescent="0.25">
      <c r="A55" s="41">
        <f>ChartData!T30</f>
        <v>14</v>
      </c>
      <c r="B55" s="47">
        <f>ChartData!U30</f>
        <v>0.31858088840579685</v>
      </c>
      <c r="C55" s="47">
        <f>ChartData!V30</f>
        <v>2.3990931338086963</v>
      </c>
      <c r="D55" s="47">
        <f>ChartData!W30</f>
        <v>0</v>
      </c>
      <c r="E55" s="47">
        <f>ChartData!X30</f>
        <v>0</v>
      </c>
      <c r="F55" s="55">
        <f>ChartData!Y30</f>
        <v>-2.0805122454028995</v>
      </c>
    </row>
    <row r="56" spans="1:6" x14ac:dyDescent="0.25">
      <c r="A56" s="41">
        <f>ChartData!T31</f>
        <v>14.5</v>
      </c>
      <c r="B56" s="47">
        <f>ChartData!U31</f>
        <v>0.31092222971014505</v>
      </c>
      <c r="C56" s="47">
        <f>ChartData!V31</f>
        <v>2.2524966571826104</v>
      </c>
      <c r="D56" s="47">
        <f>ChartData!W31</f>
        <v>0</v>
      </c>
      <c r="E56" s="47">
        <f>ChartData!X31</f>
        <v>5.6956521739130435E-3</v>
      </c>
      <c r="F56" s="55">
        <f>ChartData!Y31</f>
        <v>-1.9472700796463784</v>
      </c>
    </row>
    <row r="57" spans="1:6" x14ac:dyDescent="0.25">
      <c r="A57" s="41">
        <f>ChartData!T32</f>
        <v>15</v>
      </c>
      <c r="B57" s="47">
        <f>ChartData!U32</f>
        <v>0.34229660362318826</v>
      </c>
      <c r="C57" s="47">
        <f>ChartData!V32</f>
        <v>2.0967092567999996</v>
      </c>
      <c r="D57" s="47">
        <f>ChartData!W32</f>
        <v>6.3260869565217384E-3</v>
      </c>
      <c r="E57" s="47">
        <f>ChartData!X32</f>
        <v>9.5434782608695649E-3</v>
      </c>
      <c r="F57" s="55">
        <f>ChartData!Y32</f>
        <v>-1.7576300444811592</v>
      </c>
    </row>
    <row r="58" spans="1:6" x14ac:dyDescent="0.25">
      <c r="A58" s="41">
        <f>ChartData!T33</f>
        <v>15.5</v>
      </c>
      <c r="B58" s="47">
        <f>ChartData!U33</f>
        <v>0.30779848695652151</v>
      </c>
      <c r="C58" s="47">
        <f>ChartData!V33</f>
        <v>1.9092395378086964</v>
      </c>
      <c r="D58" s="47">
        <f>ChartData!W33</f>
        <v>1.0608695652173913E-2</v>
      </c>
      <c r="E58" s="47">
        <f>ChartData!X33</f>
        <v>0</v>
      </c>
      <c r="F58" s="55">
        <f>ChartData!Y33</f>
        <v>-1.590832355200001</v>
      </c>
    </row>
    <row r="59" spans="1:6" x14ac:dyDescent="0.25">
      <c r="A59" s="41">
        <f>ChartData!T34</f>
        <v>16</v>
      </c>
      <c r="B59" s="47">
        <f>ChartData!U34</f>
        <v>0.36788155217391288</v>
      </c>
      <c r="C59" s="47">
        <f>ChartData!V34</f>
        <v>1.6981043926956512</v>
      </c>
      <c r="D59" s="47">
        <f>ChartData!W34</f>
        <v>0</v>
      </c>
      <c r="E59" s="47">
        <f>ChartData!X34</f>
        <v>6.7608695652173912E-3</v>
      </c>
      <c r="F59" s="55">
        <f>ChartData!Y34</f>
        <v>-1.3369837100869557</v>
      </c>
    </row>
    <row r="60" spans="1:6" x14ac:dyDescent="0.25">
      <c r="A60" s="41">
        <f>ChartData!T35</f>
        <v>16.5</v>
      </c>
      <c r="B60" s="47">
        <f>ChartData!U35</f>
        <v>0.35186747391304346</v>
      </c>
      <c r="C60" s="47">
        <f>ChartData!V35</f>
        <v>1.4431862135999993</v>
      </c>
      <c r="D60" s="47">
        <f>ChartData!W35</f>
        <v>2.4130434782608694E-3</v>
      </c>
      <c r="E60" s="47">
        <f>ChartData!X35</f>
        <v>4.2173913043478265E-3</v>
      </c>
      <c r="F60" s="55">
        <f>ChartData!Y35</f>
        <v>-1.0931230875130429</v>
      </c>
    </row>
    <row r="61" spans="1:6" x14ac:dyDescent="0.25">
      <c r="A61" s="41">
        <f>ChartData!T36</f>
        <v>17</v>
      </c>
      <c r="B61" s="47">
        <f>ChartData!U36</f>
        <v>0.38569457753623199</v>
      </c>
      <c r="C61" s="47">
        <f>ChartData!V36</f>
        <v>1.2046004822608685</v>
      </c>
      <c r="D61" s="47">
        <f>ChartData!W36</f>
        <v>9.5434782608695649E-3</v>
      </c>
      <c r="E61" s="47">
        <f>ChartData!X36</f>
        <v>3.1217391304347825E-2</v>
      </c>
      <c r="F61" s="55">
        <f>ChartData!Y36</f>
        <v>-0.84057981776811486</v>
      </c>
    </row>
    <row r="62" spans="1:6" x14ac:dyDescent="0.25">
      <c r="A62" s="41">
        <f>ChartData!T37</f>
        <v>17.5</v>
      </c>
      <c r="B62" s="47">
        <f>ChartData!U37</f>
        <v>0.43298272391304338</v>
      </c>
      <c r="C62" s="47">
        <f>ChartData!V37</f>
        <v>0.95943883398260899</v>
      </c>
      <c r="D62" s="47">
        <f>ChartData!W37</f>
        <v>7.0652173913043478E-3</v>
      </c>
      <c r="E62" s="47">
        <f>ChartData!X37</f>
        <v>0.14110869565217393</v>
      </c>
      <c r="F62" s="55">
        <f>ChartData!Y37</f>
        <v>-0.66049958833043521</v>
      </c>
    </row>
    <row r="63" spans="1:6" x14ac:dyDescent="0.25">
      <c r="A63" s="41">
        <f>ChartData!T38</f>
        <v>18</v>
      </c>
      <c r="B63" s="47">
        <f>ChartData!U38</f>
        <v>0.44075992028985489</v>
      </c>
      <c r="C63" s="47">
        <f>ChartData!V38</f>
        <v>0.72228281843478326</v>
      </c>
      <c r="D63" s="47">
        <f>ChartData!W38</f>
        <v>1.8043478260869566E-3</v>
      </c>
      <c r="E63" s="47">
        <f>ChartData!X38</f>
        <v>0.15804347826086956</v>
      </c>
      <c r="F63" s="55">
        <f>ChartData!Y38</f>
        <v>-0.43776202857971097</v>
      </c>
    </row>
    <row r="64" spans="1:6" x14ac:dyDescent="0.25">
      <c r="A64" s="41">
        <f>ChartData!T39</f>
        <v>18.5</v>
      </c>
      <c r="B64" s="47">
        <f>ChartData!U39</f>
        <v>0.45052164130434774</v>
      </c>
      <c r="C64" s="47">
        <f>ChartData!V39</f>
        <v>0.49363100295652174</v>
      </c>
      <c r="D64" s="47">
        <f>ChartData!W39</f>
        <v>9.717391304347827E-3</v>
      </c>
      <c r="E64" s="47">
        <f>ChartData!X39</f>
        <v>0.18371739130434783</v>
      </c>
      <c r="F64" s="55">
        <f>ChartData!Y39</f>
        <v>-0.21710936165217398</v>
      </c>
    </row>
    <row r="65" spans="1:6" x14ac:dyDescent="0.25">
      <c r="A65" s="41">
        <f>ChartData!T40</f>
        <v>19</v>
      </c>
      <c r="B65" s="47">
        <f>ChartData!U40</f>
        <v>0.33338675434782594</v>
      </c>
      <c r="C65" s="47">
        <f>ChartData!V40</f>
        <v>0.28825101996521724</v>
      </c>
      <c r="D65" s="47">
        <f>ChartData!W40</f>
        <v>1.9086956521739133E-2</v>
      </c>
      <c r="E65" s="47">
        <f>ChartData!X40</f>
        <v>0.13106521739130433</v>
      </c>
      <c r="F65" s="55">
        <f>ChartData!Y40</f>
        <v>-6.6842526486956488E-2</v>
      </c>
    </row>
    <row r="66" spans="1:6" x14ac:dyDescent="0.25">
      <c r="A66" s="41">
        <f>ChartData!T41</f>
        <v>19.5</v>
      </c>
      <c r="B66" s="47">
        <f>ChartData!U41</f>
        <v>0.4306040014492753</v>
      </c>
      <c r="C66" s="47">
        <f>ChartData!V41</f>
        <v>8.3864307443478281E-2</v>
      </c>
      <c r="D66" s="47">
        <f>ChartData!W41</f>
        <v>4.565217391304348E-4</v>
      </c>
      <c r="E66" s="47">
        <f>ChartData!X41</f>
        <v>0.34986956521739132</v>
      </c>
      <c r="F66" s="55">
        <f>ChartData!Y41</f>
        <v>-2.6733494724638929E-3</v>
      </c>
    </row>
    <row r="67" spans="1:6" x14ac:dyDescent="0.25">
      <c r="A67" s="41">
        <f>ChartData!T42</f>
        <v>20</v>
      </c>
      <c r="B67" s="47">
        <f>ChartData!U42</f>
        <v>0.49386517898550747</v>
      </c>
      <c r="C67" s="47">
        <f>ChartData!V42</f>
        <v>1.5467303165217406E-2</v>
      </c>
      <c r="D67" s="47">
        <f>ChartData!W42</f>
        <v>0</v>
      </c>
      <c r="E67" s="47">
        <f>ChartData!X42</f>
        <v>0.47832608695652185</v>
      </c>
      <c r="F67" s="55">
        <f>ChartData!Y42</f>
        <v>7.1788863768240674E-5</v>
      </c>
    </row>
    <row r="68" spans="1:6" x14ac:dyDescent="0.25">
      <c r="A68" s="41">
        <f>ChartData!T43</f>
        <v>20.5</v>
      </c>
      <c r="B68" s="47">
        <f>ChartData!U43</f>
        <v>0.51547871014492752</v>
      </c>
      <c r="C68" s="47">
        <f>ChartData!V43</f>
        <v>0</v>
      </c>
      <c r="D68" s="47">
        <f>ChartData!W43</f>
        <v>0</v>
      </c>
      <c r="E68" s="47">
        <f>ChartData!X43</f>
        <v>0.46108695652173914</v>
      </c>
      <c r="F68" s="55">
        <f>ChartData!Y43</f>
        <v>5.4391753623188377E-2</v>
      </c>
    </row>
    <row r="69" spans="1:6" x14ac:dyDescent="0.25">
      <c r="A69" s="41">
        <f>ChartData!T44</f>
        <v>21</v>
      </c>
      <c r="B69" s="47">
        <f>ChartData!U44</f>
        <v>0.55162682608695679</v>
      </c>
      <c r="C69" s="47">
        <f>ChartData!V44</f>
        <v>0</v>
      </c>
      <c r="D69" s="47">
        <f>ChartData!W44</f>
        <v>0</v>
      </c>
      <c r="E69" s="47">
        <f>ChartData!X44</f>
        <v>0.46539130434782611</v>
      </c>
      <c r="F69" s="55">
        <f>ChartData!Y44</f>
        <v>8.6235521739130683E-2</v>
      </c>
    </row>
    <row r="70" spans="1:6" x14ac:dyDescent="0.25">
      <c r="A70" s="41">
        <f>ChartData!T45</f>
        <v>21.5</v>
      </c>
      <c r="B70" s="47">
        <f>ChartData!U45</f>
        <v>0.46422213768115955</v>
      </c>
      <c r="C70" s="47">
        <f>ChartData!V45</f>
        <v>0</v>
      </c>
      <c r="D70" s="47">
        <f>ChartData!W45</f>
        <v>0</v>
      </c>
      <c r="E70" s="47">
        <f>ChartData!X45</f>
        <v>0.4139782608695653</v>
      </c>
      <c r="F70" s="55">
        <f>ChartData!Y45</f>
        <v>5.0243876811594257E-2</v>
      </c>
    </row>
    <row r="71" spans="1:6" x14ac:dyDescent="0.25">
      <c r="A71" s="41">
        <f>ChartData!T46</f>
        <v>22</v>
      </c>
      <c r="B71" s="47">
        <f>ChartData!U46</f>
        <v>0.48840197101449301</v>
      </c>
      <c r="C71" s="47">
        <f>ChartData!V46</f>
        <v>0</v>
      </c>
      <c r="D71" s="47">
        <f>ChartData!W46</f>
        <v>0</v>
      </c>
      <c r="E71" s="47">
        <f>ChartData!X46</f>
        <v>0.42456521739130443</v>
      </c>
      <c r="F71" s="55">
        <f>ChartData!Y46</f>
        <v>6.383675362318858E-2</v>
      </c>
    </row>
    <row r="72" spans="1:6" x14ac:dyDescent="0.25">
      <c r="A72" s="41">
        <f>ChartData!T47</f>
        <v>22.5</v>
      </c>
      <c r="B72" s="47">
        <f>ChartData!U47</f>
        <v>0.48415688478260871</v>
      </c>
      <c r="C72" s="47">
        <f>ChartData!V47</f>
        <v>0</v>
      </c>
      <c r="D72" s="47">
        <f>ChartData!W47</f>
        <v>0</v>
      </c>
      <c r="E72" s="47">
        <f>ChartData!X47</f>
        <v>0.43391304347826087</v>
      </c>
      <c r="F72" s="55">
        <f>ChartData!Y47</f>
        <v>5.0243841304347836E-2</v>
      </c>
    </row>
    <row r="73" spans="1:6" x14ac:dyDescent="0.25">
      <c r="A73" s="41">
        <f>ChartData!T48</f>
        <v>23</v>
      </c>
      <c r="B73" s="47">
        <f>ChartData!U48</f>
        <v>0.44280923550724649</v>
      </c>
      <c r="C73" s="47">
        <f>ChartData!V48</f>
        <v>0</v>
      </c>
      <c r="D73" s="47">
        <f>ChartData!W48</f>
        <v>0</v>
      </c>
      <c r="E73" s="47">
        <f>ChartData!X48</f>
        <v>0.3213478260869565</v>
      </c>
      <c r="F73" s="55">
        <f>ChartData!Y48</f>
        <v>0.12146140942028999</v>
      </c>
    </row>
    <row r="74" spans="1:6" x14ac:dyDescent="0.25">
      <c r="A74" s="42">
        <f>ChartData!T49</f>
        <v>23.5</v>
      </c>
      <c r="B74" s="48">
        <f>ChartData!U49</f>
        <v>0.29912049275362318</v>
      </c>
      <c r="C74" s="48">
        <f>ChartData!V49</f>
        <v>0</v>
      </c>
      <c r="D74" s="48">
        <f>ChartData!W49</f>
        <v>0</v>
      </c>
      <c r="E74" s="48">
        <f>ChartData!X49</f>
        <v>0.22439130434782611</v>
      </c>
      <c r="F74" s="56">
        <f>ChartData!Y49</f>
        <v>7.4729188405797065E-2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4:M84"/>
  <sheetViews>
    <sheetView showGridLines="0" topLeftCell="A22" workbookViewId="0"/>
  </sheetViews>
  <sheetFormatPr defaultRowHeight="15" x14ac:dyDescent="0.25"/>
  <cols>
    <col min="1" max="13" width="13" customWidth="1"/>
  </cols>
  <sheetData>
    <row r="34" spans="1:13" x14ac:dyDescent="0.25">
      <c r="A34" s="90" t="s">
        <v>175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</row>
    <row r="36" spans="1:13" x14ac:dyDescent="0.25">
      <c r="A36" s="38" t="s">
        <v>151</v>
      </c>
      <c r="B36" s="39" t="s">
        <v>169</v>
      </c>
      <c r="C36" s="39" t="s">
        <v>170</v>
      </c>
      <c r="D36" s="39" t="s">
        <v>171</v>
      </c>
      <c r="E36" s="39" t="s">
        <v>172</v>
      </c>
      <c r="F36" s="39" t="s">
        <v>173</v>
      </c>
      <c r="G36" s="40" t="s">
        <v>174</v>
      </c>
    </row>
    <row r="37" spans="1:13" x14ac:dyDescent="0.25">
      <c r="A37" s="41">
        <f>ChartData!AA2</f>
        <v>0</v>
      </c>
      <c r="B37" s="47">
        <f>ChartData!AB2</f>
        <v>0</v>
      </c>
      <c r="C37" s="47">
        <f>ChartData!AC2</f>
        <v>-3.2884057971055425E-5</v>
      </c>
      <c r="D37" s="47">
        <f>ChartData!AD2</f>
        <v>0</v>
      </c>
      <c r="E37" s="47">
        <f>ChartData!AE2</f>
        <v>-3.2884057971055425E-5</v>
      </c>
      <c r="F37" s="51">
        <f>ChartData!AF2</f>
        <v>100</v>
      </c>
      <c r="G37" s="49">
        <f>ChartData!AG2</f>
        <v>40</v>
      </c>
    </row>
    <row r="38" spans="1:13" x14ac:dyDescent="0.25">
      <c r="A38" s="41">
        <f>ChartData!AA3</f>
        <v>0.5</v>
      </c>
      <c r="B38" s="47">
        <f>ChartData!AB3</f>
        <v>0</v>
      </c>
      <c r="C38" s="47">
        <f>ChartData!AC3</f>
        <v>-3.2731884058084804E-5</v>
      </c>
      <c r="D38" s="47">
        <f>ChartData!AD3</f>
        <v>0</v>
      </c>
      <c r="E38" s="47">
        <f>ChartData!AE3</f>
        <v>-3.2731884058084804E-5</v>
      </c>
      <c r="F38" s="51">
        <f>ChartData!AF3</f>
        <v>100</v>
      </c>
      <c r="G38" s="49">
        <f>ChartData!AG3</f>
        <v>37.30848695652174</v>
      </c>
    </row>
    <row r="39" spans="1:13" x14ac:dyDescent="0.25">
      <c r="A39" s="41">
        <f>ChartData!AA4</f>
        <v>1</v>
      </c>
      <c r="B39" s="47">
        <f>ChartData!AB4</f>
        <v>0</v>
      </c>
      <c r="C39" s="47">
        <f>ChartData!AC4</f>
        <v>-1.3355072463805406E-5</v>
      </c>
      <c r="D39" s="47">
        <f>ChartData!AD4</f>
        <v>0</v>
      </c>
      <c r="E39" s="47">
        <f>ChartData!AE4</f>
        <v>-1.3355072463805406E-5</v>
      </c>
      <c r="F39" s="51">
        <f>ChartData!AF4</f>
        <v>100</v>
      </c>
      <c r="G39" s="49">
        <f>ChartData!AG4</f>
        <v>34.887580434782613</v>
      </c>
    </row>
    <row r="40" spans="1:13" x14ac:dyDescent="0.25">
      <c r="A40" s="41">
        <f>ChartData!AA5</f>
        <v>1.5</v>
      </c>
      <c r="B40" s="47">
        <f>ChartData!AB5</f>
        <v>0</v>
      </c>
      <c r="C40" s="47">
        <f>ChartData!AC5</f>
        <v>-4.1202898550696254E-5</v>
      </c>
      <c r="D40" s="47">
        <f>ChartData!AD5</f>
        <v>0</v>
      </c>
      <c r="E40" s="47">
        <f>ChartData!AE5</f>
        <v>-4.1202898550696254E-5</v>
      </c>
      <c r="F40" s="51">
        <f>ChartData!AF5</f>
        <v>100</v>
      </c>
      <c r="G40" s="49">
        <f>ChartData!AG5</f>
        <v>33.259173913043476</v>
      </c>
    </row>
    <row r="41" spans="1:13" x14ac:dyDescent="0.25">
      <c r="A41" s="41">
        <f>ChartData!AA6</f>
        <v>2</v>
      </c>
      <c r="B41" s="47">
        <f>ChartData!AB6</f>
        <v>0</v>
      </c>
      <c r="C41" s="47">
        <f>ChartData!AC6</f>
        <v>6.0845724637681176E-3</v>
      </c>
      <c r="D41" s="47">
        <f>ChartData!AD6</f>
        <v>6.0845724637681176E-3</v>
      </c>
      <c r="E41" s="47">
        <f>ChartData!AE6</f>
        <v>0</v>
      </c>
      <c r="F41" s="51">
        <f>ChartData!AF6</f>
        <v>100</v>
      </c>
      <c r="G41" s="49">
        <f>ChartData!AG6</f>
        <v>31.44970217391305</v>
      </c>
    </row>
    <row r="42" spans="1:13" x14ac:dyDescent="0.25">
      <c r="A42" s="41">
        <f>ChartData!AA7</f>
        <v>2.5</v>
      </c>
      <c r="B42" s="47">
        <f>ChartData!AB7</f>
        <v>0</v>
      </c>
      <c r="C42" s="47">
        <f>ChartData!AC7</f>
        <v>1.3766304347826164E-3</v>
      </c>
      <c r="D42" s="47">
        <f>ChartData!AD7</f>
        <v>1.3766304347826164E-3</v>
      </c>
      <c r="E42" s="47">
        <f>ChartData!AE7</f>
        <v>0</v>
      </c>
      <c r="F42" s="51">
        <f>ChartData!AF7</f>
        <v>100</v>
      </c>
      <c r="G42" s="49">
        <f>ChartData!AG7</f>
        <v>29.893828260869551</v>
      </c>
    </row>
    <row r="43" spans="1:13" x14ac:dyDescent="0.25">
      <c r="A43" s="41">
        <f>ChartData!AA8</f>
        <v>3</v>
      </c>
      <c r="B43" s="47">
        <f>ChartData!AB8</f>
        <v>0</v>
      </c>
      <c r="C43" s="47">
        <f>ChartData!AC8</f>
        <v>4.9547028985506836E-3</v>
      </c>
      <c r="D43" s="47">
        <f>ChartData!AD8</f>
        <v>4.9547028985506836E-3</v>
      </c>
      <c r="E43" s="47">
        <f>ChartData!AE8</f>
        <v>0</v>
      </c>
      <c r="F43" s="51">
        <f>ChartData!AF8</f>
        <v>100</v>
      </c>
      <c r="G43" s="49">
        <f>ChartData!AG8</f>
        <v>28.194650000000014</v>
      </c>
    </row>
    <row r="44" spans="1:13" x14ac:dyDescent="0.25">
      <c r="A44" s="41">
        <f>ChartData!AA9</f>
        <v>3.5</v>
      </c>
      <c r="B44" s="47">
        <f>ChartData!AB9</f>
        <v>0</v>
      </c>
      <c r="C44" s="47">
        <f>ChartData!AC9</f>
        <v>1.4890274098550788E-2</v>
      </c>
      <c r="D44" s="47">
        <f>ChartData!AD9</f>
        <v>1.4890274098550788E-2</v>
      </c>
      <c r="E44" s="47">
        <f>ChartData!AE9</f>
        <v>0</v>
      </c>
      <c r="F44" s="51">
        <f>ChartData!AF9</f>
        <v>100</v>
      </c>
      <c r="G44" s="49">
        <f>ChartData!AG9</f>
        <v>26.423915217391304</v>
      </c>
    </row>
    <row r="45" spans="1:13" x14ac:dyDescent="0.25">
      <c r="A45" s="41">
        <f>ChartData!AA10</f>
        <v>4</v>
      </c>
      <c r="B45" s="47">
        <f>ChartData!AB10</f>
        <v>0</v>
      </c>
      <c r="C45" s="47">
        <f>ChartData!AC10</f>
        <v>2.2912773043479023E-3</v>
      </c>
      <c r="D45" s="47">
        <f>ChartData!AD10</f>
        <v>2.2912773043479023E-3</v>
      </c>
      <c r="E45" s="47">
        <f>ChartData!AE10</f>
        <v>0</v>
      </c>
      <c r="F45" s="51">
        <f>ChartData!AF10</f>
        <v>100</v>
      </c>
      <c r="G45" s="49">
        <f>ChartData!AG10</f>
        <v>24.776093478260869</v>
      </c>
    </row>
    <row r="46" spans="1:13" x14ac:dyDescent="0.25">
      <c r="A46" s="41">
        <f>ChartData!AA11</f>
        <v>4.5</v>
      </c>
      <c r="B46" s="47">
        <f>ChartData!AB11</f>
        <v>0</v>
      </c>
      <c r="C46" s="47">
        <f>ChartData!AC11</f>
        <v>3.4477668289853887E-3</v>
      </c>
      <c r="D46" s="47">
        <f>ChartData!AD11</f>
        <v>3.4477668289853887E-3</v>
      </c>
      <c r="E46" s="47">
        <f>ChartData!AE11</f>
        <v>0</v>
      </c>
      <c r="F46" s="51">
        <f>ChartData!AF11</f>
        <v>100</v>
      </c>
      <c r="G46" s="49">
        <f>ChartData!AG11</f>
        <v>23.878065217391306</v>
      </c>
    </row>
    <row r="47" spans="1:13" x14ac:dyDescent="0.25">
      <c r="A47" s="41">
        <f>ChartData!AA12</f>
        <v>5</v>
      </c>
      <c r="B47" s="47">
        <f>ChartData!AB12</f>
        <v>0</v>
      </c>
      <c r="C47" s="47">
        <f>ChartData!AC12</f>
        <v>-7.2579223189428443E-5</v>
      </c>
      <c r="D47" s="47">
        <f>ChartData!AD12</f>
        <v>0</v>
      </c>
      <c r="E47" s="47">
        <f>ChartData!AE12</f>
        <v>-7.2579223189428443E-5</v>
      </c>
      <c r="F47" s="51">
        <f>ChartData!AF12</f>
        <v>100</v>
      </c>
      <c r="G47" s="49">
        <f>ChartData!AG12</f>
        <v>24.482263043478266</v>
      </c>
    </row>
    <row r="48" spans="1:13" x14ac:dyDescent="0.25">
      <c r="A48" s="41">
        <f>ChartData!AA13</f>
        <v>5.5</v>
      </c>
      <c r="B48" s="47">
        <f>ChartData!AB13</f>
        <v>0</v>
      </c>
      <c r="C48" s="47">
        <f>ChartData!AC13</f>
        <v>-7.1954028974131196E-6</v>
      </c>
      <c r="D48" s="47">
        <f>ChartData!AD13</f>
        <v>0</v>
      </c>
      <c r="E48" s="47">
        <f>ChartData!AE13</f>
        <v>-7.1954028974131196E-6</v>
      </c>
      <c r="F48" s="51">
        <f>ChartData!AF13</f>
        <v>100</v>
      </c>
      <c r="G48" s="49">
        <f>ChartData!AG13</f>
        <v>27.143804347826091</v>
      </c>
    </row>
    <row r="49" spans="1:7" x14ac:dyDescent="0.25">
      <c r="A49" s="41">
        <f>ChartData!AA14</f>
        <v>6</v>
      </c>
      <c r="B49" s="47">
        <f>ChartData!AB14</f>
        <v>0</v>
      </c>
      <c r="C49" s="47">
        <f>ChartData!AC14</f>
        <v>2.4107913042192841E-5</v>
      </c>
      <c r="D49" s="47">
        <f>ChartData!AD14</f>
        <v>2.4107913042192841E-5</v>
      </c>
      <c r="E49" s="47">
        <f>ChartData!AE14</f>
        <v>0</v>
      </c>
      <c r="F49" s="51">
        <f>ChartData!AF14</f>
        <v>100</v>
      </c>
      <c r="G49" s="49">
        <f>ChartData!AG14</f>
        <v>32.082078260869565</v>
      </c>
    </row>
    <row r="50" spans="1:7" x14ac:dyDescent="0.25">
      <c r="A50" s="41">
        <f>ChartData!AA15</f>
        <v>6.5</v>
      </c>
      <c r="B50" s="47">
        <f>ChartData!AB15</f>
        <v>0</v>
      </c>
      <c r="C50" s="47">
        <f>ChartData!AC15</f>
        <v>-2.2167768098241281E-6</v>
      </c>
      <c r="D50" s="47">
        <f>ChartData!AD15</f>
        <v>0</v>
      </c>
      <c r="E50" s="47">
        <f>ChartData!AE15</f>
        <v>-2.2167768098241281E-6</v>
      </c>
      <c r="F50" s="51">
        <f>ChartData!AF15</f>
        <v>100</v>
      </c>
      <c r="G50" s="49">
        <f>ChartData!AG15</f>
        <v>39.535886956521743</v>
      </c>
    </row>
    <row r="51" spans="1:7" x14ac:dyDescent="0.25">
      <c r="A51" s="41">
        <f>ChartData!AA16</f>
        <v>7</v>
      </c>
      <c r="B51" s="47">
        <f>ChartData!AB16</f>
        <v>0</v>
      </c>
      <c r="C51" s="47">
        <f>ChartData!AC16</f>
        <v>-5.7558828985882632E-5</v>
      </c>
      <c r="D51" s="47">
        <f>ChartData!AD16</f>
        <v>0</v>
      </c>
      <c r="E51" s="47">
        <f>ChartData!AE16</f>
        <v>-5.7558828985882632E-5</v>
      </c>
      <c r="F51" s="51">
        <f>ChartData!AF16</f>
        <v>100</v>
      </c>
      <c r="G51" s="49">
        <f>ChartData!AG16</f>
        <v>49.005704347826089</v>
      </c>
    </row>
    <row r="52" spans="1:7" x14ac:dyDescent="0.25">
      <c r="A52" s="41">
        <f>ChartData!AA17</f>
        <v>7.5</v>
      </c>
      <c r="B52" s="47">
        <f>ChartData!AB17</f>
        <v>0</v>
      </c>
      <c r="C52" s="47">
        <f>ChartData!AC17</f>
        <v>-6.061215086956577E-2</v>
      </c>
      <c r="D52" s="47">
        <f>ChartData!AD17</f>
        <v>0</v>
      </c>
      <c r="E52" s="47">
        <f>ChartData!AE17</f>
        <v>-6.061215086956577E-2</v>
      </c>
      <c r="F52" s="51">
        <f>ChartData!AF17</f>
        <v>100</v>
      </c>
      <c r="G52" s="49">
        <f>ChartData!AG17</f>
        <v>60.473984782608674</v>
      </c>
    </row>
    <row r="53" spans="1:7" x14ac:dyDescent="0.25">
      <c r="A53" s="41">
        <f>ChartData!AA18</f>
        <v>8</v>
      </c>
      <c r="B53" s="47">
        <f>ChartData!AB18</f>
        <v>0</v>
      </c>
      <c r="C53" s="47">
        <f>ChartData!AC18</f>
        <v>-0.68257870009275501</v>
      </c>
      <c r="D53" s="47">
        <f>ChartData!AD18</f>
        <v>0</v>
      </c>
      <c r="E53" s="47">
        <f>ChartData!AE18</f>
        <v>-0.68257870009275501</v>
      </c>
      <c r="F53" s="51">
        <f>ChartData!AF18</f>
        <v>100</v>
      </c>
      <c r="G53" s="49">
        <f>ChartData!AG18</f>
        <v>74.067473913043486</v>
      </c>
    </row>
    <row r="54" spans="1:7" x14ac:dyDescent="0.25">
      <c r="A54" s="41">
        <f>ChartData!AA19</f>
        <v>8.5</v>
      </c>
      <c r="B54" s="47">
        <f>ChartData!AB19</f>
        <v>0</v>
      </c>
      <c r="C54" s="47">
        <f>ChartData!AC19</f>
        <v>-1.0883415574550721</v>
      </c>
      <c r="D54" s="47">
        <f>ChartData!AD19</f>
        <v>0</v>
      </c>
      <c r="E54" s="47">
        <f>ChartData!AE19</f>
        <v>-1.0883415574550721</v>
      </c>
      <c r="F54" s="51">
        <f>ChartData!AF19</f>
        <v>100</v>
      </c>
      <c r="G54" s="49">
        <f>ChartData!AG19</f>
        <v>83.318123913043479</v>
      </c>
    </row>
    <row r="55" spans="1:7" x14ac:dyDescent="0.25">
      <c r="A55" s="41">
        <f>ChartData!AA20</f>
        <v>9</v>
      </c>
      <c r="B55" s="47">
        <f>ChartData!AB20</f>
        <v>0</v>
      </c>
      <c r="C55" s="47">
        <f>ChartData!AC20</f>
        <v>-1.5184444816521749</v>
      </c>
      <c r="D55" s="47">
        <f>ChartData!AD20</f>
        <v>0</v>
      </c>
      <c r="E55" s="47">
        <f>ChartData!AE20</f>
        <v>-1.5184444816521749</v>
      </c>
      <c r="F55" s="51">
        <f>ChartData!AF20</f>
        <v>100</v>
      </c>
      <c r="G55" s="49">
        <f>ChartData!AG20</f>
        <v>89.474186956521763</v>
      </c>
    </row>
    <row r="56" spans="1:7" x14ac:dyDescent="0.25">
      <c r="A56" s="41">
        <f>ChartData!AA21</f>
        <v>9.5</v>
      </c>
      <c r="B56" s="47">
        <f>ChartData!AB21</f>
        <v>0</v>
      </c>
      <c r="C56" s="47">
        <f>ChartData!AC21</f>
        <v>-1.8231120504521729</v>
      </c>
      <c r="D56" s="47">
        <f>ChartData!AD21</f>
        <v>0</v>
      </c>
      <c r="E56" s="47">
        <f>ChartData!AE21</f>
        <v>-1.8231120504521729</v>
      </c>
      <c r="F56" s="51">
        <f>ChartData!AF21</f>
        <v>100</v>
      </c>
      <c r="G56" s="49">
        <f>ChartData!AG21</f>
        <v>92.656191304347843</v>
      </c>
    </row>
    <row r="57" spans="1:7" x14ac:dyDescent="0.25">
      <c r="A57" s="41">
        <f>ChartData!AA22</f>
        <v>10</v>
      </c>
      <c r="B57" s="47">
        <f>ChartData!AB22</f>
        <v>0</v>
      </c>
      <c r="C57" s="47">
        <f>ChartData!AC22</f>
        <v>-2.0063433358782601</v>
      </c>
      <c r="D57" s="47">
        <f>ChartData!AD22</f>
        <v>0</v>
      </c>
      <c r="E57" s="47">
        <f>ChartData!AE22</f>
        <v>-2.0063433358782601</v>
      </c>
      <c r="F57" s="51">
        <f>ChartData!AF22</f>
        <v>100</v>
      </c>
      <c r="G57" s="49">
        <f>ChartData!AG22</f>
        <v>94.739102173913039</v>
      </c>
    </row>
    <row r="58" spans="1:7" x14ac:dyDescent="0.25">
      <c r="A58" s="41">
        <f>ChartData!AA23</f>
        <v>10.5</v>
      </c>
      <c r="B58" s="47">
        <f>ChartData!AB23</f>
        <v>0</v>
      </c>
      <c r="C58" s="47">
        <f>ChartData!AC23</f>
        <v>-2.167010829634783</v>
      </c>
      <c r="D58" s="47">
        <f>ChartData!AD23</f>
        <v>0</v>
      </c>
      <c r="E58" s="47">
        <f>ChartData!AE23</f>
        <v>-2.167010829634783</v>
      </c>
      <c r="F58" s="51">
        <f>ChartData!AF23</f>
        <v>100</v>
      </c>
      <c r="G58" s="49">
        <f>ChartData!AG23</f>
        <v>95.360908695652185</v>
      </c>
    </row>
    <row r="59" spans="1:7" x14ac:dyDescent="0.25">
      <c r="A59" s="41">
        <f>ChartData!AA24</f>
        <v>11</v>
      </c>
      <c r="B59" s="47">
        <f>ChartData!AB24</f>
        <v>0</v>
      </c>
      <c r="C59" s="47">
        <f>ChartData!AC24</f>
        <v>-2.1643422533623204</v>
      </c>
      <c r="D59" s="47">
        <f>ChartData!AD24</f>
        <v>0</v>
      </c>
      <c r="E59" s="47">
        <f>ChartData!AE24</f>
        <v>-2.1643422533623204</v>
      </c>
      <c r="F59" s="51">
        <f>ChartData!AF24</f>
        <v>100</v>
      </c>
      <c r="G59" s="49">
        <f>ChartData!AG24</f>
        <v>96.85009565217392</v>
      </c>
    </row>
    <row r="60" spans="1:7" x14ac:dyDescent="0.25">
      <c r="A60" s="41">
        <f>ChartData!AA25</f>
        <v>11.5</v>
      </c>
      <c r="B60" s="47">
        <f>ChartData!AB25</f>
        <v>0</v>
      </c>
      <c r="C60" s="47">
        <f>ChartData!AC25</f>
        <v>-2.2147323851478262</v>
      </c>
      <c r="D60" s="47">
        <f>ChartData!AD25</f>
        <v>0</v>
      </c>
      <c r="E60" s="47">
        <f>ChartData!AE25</f>
        <v>-2.2147323851478262</v>
      </c>
      <c r="F60" s="51">
        <f>ChartData!AF25</f>
        <v>100</v>
      </c>
      <c r="G60" s="49">
        <f>ChartData!AG25</f>
        <v>98.206730434782614</v>
      </c>
    </row>
    <row r="61" spans="1:7" x14ac:dyDescent="0.25">
      <c r="A61" s="41">
        <f>ChartData!AA26</f>
        <v>12</v>
      </c>
      <c r="B61" s="47">
        <f>ChartData!AB26</f>
        <v>0</v>
      </c>
      <c r="C61" s="47">
        <f>ChartData!AC26</f>
        <v>-2.3790099604289865</v>
      </c>
      <c r="D61" s="47">
        <f>ChartData!AD26</f>
        <v>0</v>
      </c>
      <c r="E61" s="47">
        <f>ChartData!AE26</f>
        <v>-2.3790099604289865</v>
      </c>
      <c r="F61" s="51">
        <f>ChartData!AF26</f>
        <v>100</v>
      </c>
      <c r="G61" s="49">
        <f>ChartData!AG26</f>
        <v>98.793632608695674</v>
      </c>
    </row>
    <row r="62" spans="1:7" x14ac:dyDescent="0.25">
      <c r="A62" s="41">
        <f>ChartData!AA27</f>
        <v>12.5</v>
      </c>
      <c r="B62" s="47">
        <f>ChartData!AB27</f>
        <v>0</v>
      </c>
      <c r="C62" s="47">
        <f>ChartData!AC27</f>
        <v>-2.3489386947536239</v>
      </c>
      <c r="D62" s="47">
        <f>ChartData!AD27</f>
        <v>0</v>
      </c>
      <c r="E62" s="47">
        <f>ChartData!AE27</f>
        <v>-2.3489386947536239</v>
      </c>
      <c r="F62" s="51">
        <f>ChartData!AF27</f>
        <v>100</v>
      </c>
      <c r="G62" s="49">
        <f>ChartData!AG27</f>
        <v>99.543586956521736</v>
      </c>
    </row>
    <row r="63" spans="1:7" x14ac:dyDescent="0.25">
      <c r="A63" s="41">
        <f>ChartData!AA28</f>
        <v>13</v>
      </c>
      <c r="B63" s="47">
        <f>ChartData!AB28</f>
        <v>0</v>
      </c>
      <c r="C63" s="47">
        <f>ChartData!AC28</f>
        <v>-2.2531652663478274</v>
      </c>
      <c r="D63" s="47">
        <f>ChartData!AD28</f>
        <v>0</v>
      </c>
      <c r="E63" s="47">
        <f>ChartData!AE28</f>
        <v>-2.2531652663478274</v>
      </c>
      <c r="F63" s="51">
        <f>ChartData!AF28</f>
        <v>100</v>
      </c>
      <c r="G63" s="49">
        <f>ChartData!AG28</f>
        <v>99.861147826086949</v>
      </c>
    </row>
    <row r="64" spans="1:7" x14ac:dyDescent="0.25">
      <c r="A64" s="41">
        <f>ChartData!AA29</f>
        <v>13.5</v>
      </c>
      <c r="B64" s="47">
        <f>ChartData!AB29</f>
        <v>0</v>
      </c>
      <c r="C64" s="47">
        <f>ChartData!AC29</f>
        <v>-2.1268018113507261</v>
      </c>
      <c r="D64" s="47">
        <f>ChartData!AD29</f>
        <v>0</v>
      </c>
      <c r="E64" s="47">
        <f>ChartData!AE29</f>
        <v>-2.1268018113507261</v>
      </c>
      <c r="F64" s="51">
        <f>ChartData!AF29</f>
        <v>100</v>
      </c>
      <c r="G64" s="49">
        <f>ChartData!AG29</f>
        <v>100</v>
      </c>
    </row>
    <row r="65" spans="1:7" x14ac:dyDescent="0.25">
      <c r="A65" s="41">
        <f>ChartData!AA30</f>
        <v>14</v>
      </c>
      <c r="B65" s="47">
        <f>ChartData!AB30</f>
        <v>0</v>
      </c>
      <c r="C65" s="47">
        <f>ChartData!AC30</f>
        <v>-2.0805122454028995</v>
      </c>
      <c r="D65" s="47">
        <f>ChartData!AD30</f>
        <v>0</v>
      </c>
      <c r="E65" s="47">
        <f>ChartData!AE30</f>
        <v>-2.0805122454028995</v>
      </c>
      <c r="F65" s="51">
        <f>ChartData!AF30</f>
        <v>100</v>
      </c>
      <c r="G65" s="49">
        <f>ChartData!AG30</f>
        <v>100</v>
      </c>
    </row>
    <row r="66" spans="1:7" x14ac:dyDescent="0.25">
      <c r="A66" s="41">
        <f>ChartData!AA31</f>
        <v>14.5</v>
      </c>
      <c r="B66" s="47">
        <f>ChartData!AB31</f>
        <v>0</v>
      </c>
      <c r="C66" s="47">
        <f>ChartData!AC31</f>
        <v>-1.9472700796463784</v>
      </c>
      <c r="D66" s="47">
        <f>ChartData!AD31</f>
        <v>0</v>
      </c>
      <c r="E66" s="47">
        <f>ChartData!AE31</f>
        <v>-1.9472700796463784</v>
      </c>
      <c r="F66" s="51">
        <f>ChartData!AF31</f>
        <v>100</v>
      </c>
      <c r="G66" s="49">
        <f>ChartData!AG31</f>
        <v>100</v>
      </c>
    </row>
    <row r="67" spans="1:7" x14ac:dyDescent="0.25">
      <c r="A67" s="41">
        <f>ChartData!AA32</f>
        <v>15</v>
      </c>
      <c r="B67" s="47">
        <f>ChartData!AB32</f>
        <v>0</v>
      </c>
      <c r="C67" s="47">
        <f>ChartData!AC32</f>
        <v>-1.7576300444811592</v>
      </c>
      <c r="D67" s="47">
        <f>ChartData!AD32</f>
        <v>0</v>
      </c>
      <c r="E67" s="47">
        <f>ChartData!AE32</f>
        <v>-1.7576300444811592</v>
      </c>
      <c r="F67" s="51">
        <f>ChartData!AF32</f>
        <v>100</v>
      </c>
      <c r="G67" s="49">
        <f>ChartData!AG32</f>
        <v>99.928656521739114</v>
      </c>
    </row>
    <row r="68" spans="1:7" x14ac:dyDescent="0.25">
      <c r="A68" s="41">
        <f>ChartData!AA33</f>
        <v>15.5</v>
      </c>
      <c r="B68" s="47">
        <f>ChartData!AB33</f>
        <v>0</v>
      </c>
      <c r="C68" s="47">
        <f>ChartData!AC33</f>
        <v>-1.590832355200001</v>
      </c>
      <c r="D68" s="47">
        <f>ChartData!AD33</f>
        <v>0</v>
      </c>
      <c r="E68" s="47">
        <f>ChartData!AE33</f>
        <v>-1.590832355200001</v>
      </c>
      <c r="F68" s="51">
        <f>ChartData!AF33</f>
        <v>100</v>
      </c>
      <c r="G68" s="49">
        <f>ChartData!AG33</f>
        <v>99.880141304347831</v>
      </c>
    </row>
    <row r="69" spans="1:7" x14ac:dyDescent="0.25">
      <c r="A69" s="41">
        <f>ChartData!AA34</f>
        <v>16</v>
      </c>
      <c r="B69" s="47">
        <f>ChartData!AB34</f>
        <v>0</v>
      </c>
      <c r="C69" s="47">
        <f>ChartData!AC34</f>
        <v>-1.3369837100869557</v>
      </c>
      <c r="D69" s="47">
        <f>ChartData!AD34</f>
        <v>0</v>
      </c>
      <c r="E69" s="47">
        <f>ChartData!AE34</f>
        <v>-1.3369837100869557</v>
      </c>
      <c r="F69" s="51">
        <f>ChartData!AF34</f>
        <v>100</v>
      </c>
      <c r="G69" s="49">
        <f>ChartData!AG34</f>
        <v>100</v>
      </c>
    </row>
    <row r="70" spans="1:7" x14ac:dyDescent="0.25">
      <c r="A70" s="41">
        <f>ChartData!AA35</f>
        <v>16.5</v>
      </c>
      <c r="B70" s="47">
        <f>ChartData!AB35</f>
        <v>0</v>
      </c>
      <c r="C70" s="47">
        <f>ChartData!AC35</f>
        <v>-1.0931230875130429</v>
      </c>
      <c r="D70" s="47">
        <f>ChartData!AD35</f>
        <v>0</v>
      </c>
      <c r="E70" s="47">
        <f>ChartData!AE35</f>
        <v>-1.0931230875130429</v>
      </c>
      <c r="F70" s="51">
        <f>ChartData!AF35</f>
        <v>100</v>
      </c>
      <c r="G70" s="49">
        <f>ChartData!AG35</f>
        <v>99.915284782608708</v>
      </c>
    </row>
    <row r="71" spans="1:7" x14ac:dyDescent="0.25">
      <c r="A71" s="41">
        <f>ChartData!AA36</f>
        <v>17</v>
      </c>
      <c r="B71" s="47">
        <f>ChartData!AB36</f>
        <v>0</v>
      </c>
      <c r="C71" s="47">
        <f>ChartData!AC36</f>
        <v>-0.84057981776811486</v>
      </c>
      <c r="D71" s="47">
        <f>ChartData!AD36</f>
        <v>0</v>
      </c>
      <c r="E71" s="47">
        <f>ChartData!AE36</f>
        <v>-0.84057981776811486</v>
      </c>
      <c r="F71" s="51">
        <f>ChartData!AF36</f>
        <v>100</v>
      </c>
      <c r="G71" s="49">
        <f>ChartData!AG36</f>
        <v>99.889697826086973</v>
      </c>
    </row>
    <row r="72" spans="1:7" x14ac:dyDescent="0.25">
      <c r="A72" s="41">
        <f>ChartData!AA37</f>
        <v>17.5</v>
      </c>
      <c r="B72" s="47">
        <f>ChartData!AB37</f>
        <v>0</v>
      </c>
      <c r="C72" s="47">
        <f>ChartData!AC37</f>
        <v>-0.66049958833043521</v>
      </c>
      <c r="D72" s="47">
        <f>ChartData!AD37</f>
        <v>0</v>
      </c>
      <c r="E72" s="47">
        <f>ChartData!AE37</f>
        <v>-0.66049958833043521</v>
      </c>
      <c r="F72" s="51">
        <f>ChartData!AF37</f>
        <v>100</v>
      </c>
      <c r="G72" s="49">
        <f>ChartData!AG37</f>
        <v>99.605854347826067</v>
      </c>
    </row>
    <row r="73" spans="1:7" x14ac:dyDescent="0.25">
      <c r="A73" s="41">
        <f>ChartData!AA38</f>
        <v>18</v>
      </c>
      <c r="B73" s="47">
        <f>ChartData!AB38</f>
        <v>0</v>
      </c>
      <c r="C73" s="47">
        <f>ChartData!AC38</f>
        <v>-0.43776202857971097</v>
      </c>
      <c r="D73" s="47">
        <f>ChartData!AD38</f>
        <v>0</v>
      </c>
      <c r="E73" s="47">
        <f>ChartData!AE38</f>
        <v>-0.43776202857971097</v>
      </c>
      <c r="F73" s="51">
        <f>ChartData!AF38</f>
        <v>100</v>
      </c>
      <c r="G73" s="49">
        <f>ChartData!AG38</f>
        <v>97.914832608695647</v>
      </c>
    </row>
    <row r="74" spans="1:7" x14ac:dyDescent="0.25">
      <c r="A74" s="41">
        <f>ChartData!AA39</f>
        <v>18.5</v>
      </c>
      <c r="B74" s="47">
        <f>ChartData!AB39</f>
        <v>0</v>
      </c>
      <c r="C74" s="47">
        <f>ChartData!AC39</f>
        <v>-0.21710936165217398</v>
      </c>
      <c r="D74" s="47">
        <f>ChartData!AD39</f>
        <v>0</v>
      </c>
      <c r="E74" s="47">
        <f>ChartData!AE39</f>
        <v>-0.21710936165217398</v>
      </c>
      <c r="F74" s="51">
        <f>ChartData!AF39</f>
        <v>100</v>
      </c>
      <c r="G74" s="49">
        <f>ChartData!AG39</f>
        <v>95.95233913043478</v>
      </c>
    </row>
    <row r="75" spans="1:7" x14ac:dyDescent="0.25">
      <c r="A75" s="41">
        <f>ChartData!AA40</f>
        <v>19</v>
      </c>
      <c r="B75" s="47">
        <f>ChartData!AB40</f>
        <v>0</v>
      </c>
      <c r="C75" s="47">
        <f>ChartData!AC40</f>
        <v>-6.6842526486956488E-2</v>
      </c>
      <c r="D75" s="47">
        <f>ChartData!AD40</f>
        <v>0</v>
      </c>
      <c r="E75" s="47">
        <f>ChartData!AE40</f>
        <v>-6.6842526486956488E-2</v>
      </c>
      <c r="F75" s="51">
        <f>ChartData!AF40</f>
        <v>100</v>
      </c>
      <c r="G75" s="49">
        <f>ChartData!AG40</f>
        <v>93.75651304347825</v>
      </c>
    </row>
    <row r="76" spans="1:7" x14ac:dyDescent="0.25">
      <c r="A76" s="41">
        <f>ChartData!AA41</f>
        <v>19.5</v>
      </c>
      <c r="B76" s="47">
        <f>ChartData!AB41</f>
        <v>0</v>
      </c>
      <c r="C76" s="47">
        <f>ChartData!AC41</f>
        <v>-2.6733494724638929E-3</v>
      </c>
      <c r="D76" s="47">
        <f>ChartData!AD41</f>
        <v>0</v>
      </c>
      <c r="E76" s="47">
        <f>ChartData!AE41</f>
        <v>-2.6733494724638929E-3</v>
      </c>
      <c r="F76" s="51">
        <f>ChartData!AF41</f>
        <v>100</v>
      </c>
      <c r="G76" s="49">
        <f>ChartData!AG41</f>
        <v>92.326976086956506</v>
      </c>
    </row>
    <row r="77" spans="1:7" x14ac:dyDescent="0.25">
      <c r="A77" s="41">
        <f>ChartData!AA42</f>
        <v>20</v>
      </c>
      <c r="B77" s="47">
        <f>ChartData!AB42</f>
        <v>0</v>
      </c>
      <c r="C77" s="47">
        <f>ChartData!AC42</f>
        <v>7.1788863768240674E-5</v>
      </c>
      <c r="D77" s="47">
        <f>ChartData!AD42</f>
        <v>7.1788863768240674E-5</v>
      </c>
      <c r="E77" s="47">
        <f>ChartData!AE42</f>
        <v>0</v>
      </c>
      <c r="F77" s="51">
        <f>ChartData!AF42</f>
        <v>100</v>
      </c>
      <c r="G77" s="49">
        <f>ChartData!AG42</f>
        <v>87.941723913043489</v>
      </c>
    </row>
    <row r="78" spans="1:7" x14ac:dyDescent="0.25">
      <c r="A78" s="41">
        <f>ChartData!AA43</f>
        <v>20.5</v>
      </c>
      <c r="B78" s="47">
        <f>ChartData!AB43</f>
        <v>0</v>
      </c>
      <c r="C78" s="47">
        <f>ChartData!AC43</f>
        <v>5.4391753623188377E-2</v>
      </c>
      <c r="D78" s="47">
        <f>ChartData!AD43</f>
        <v>5.4391753623188377E-2</v>
      </c>
      <c r="E78" s="47">
        <f>ChartData!AE43</f>
        <v>0</v>
      </c>
      <c r="F78" s="51">
        <f>ChartData!AF43</f>
        <v>100</v>
      </c>
      <c r="G78" s="49">
        <f>ChartData!AG43</f>
        <v>81.93854782608696</v>
      </c>
    </row>
    <row r="79" spans="1:7" x14ac:dyDescent="0.25">
      <c r="A79" s="41">
        <f>ChartData!AA44</f>
        <v>21</v>
      </c>
      <c r="B79" s="47">
        <f>ChartData!AB44</f>
        <v>0</v>
      </c>
      <c r="C79" s="47">
        <f>ChartData!AC44</f>
        <v>8.6235521739130683E-2</v>
      </c>
      <c r="D79" s="47">
        <f>ChartData!AD44</f>
        <v>8.6235521739130683E-2</v>
      </c>
      <c r="E79" s="47">
        <f>ChartData!AE44</f>
        <v>0</v>
      </c>
      <c r="F79" s="51">
        <f>ChartData!AF44</f>
        <v>100</v>
      </c>
      <c r="G79" s="49">
        <f>ChartData!AG44</f>
        <v>76.152367391304352</v>
      </c>
    </row>
    <row r="80" spans="1:7" x14ac:dyDescent="0.25">
      <c r="A80" s="41">
        <f>ChartData!AA45</f>
        <v>21.5</v>
      </c>
      <c r="B80" s="47">
        <f>ChartData!AB45</f>
        <v>0</v>
      </c>
      <c r="C80" s="47">
        <f>ChartData!AC45</f>
        <v>5.0243876811594257E-2</v>
      </c>
      <c r="D80" s="47">
        <f>ChartData!AD45</f>
        <v>5.0243876811594257E-2</v>
      </c>
      <c r="E80" s="47">
        <f>ChartData!AE45</f>
        <v>0</v>
      </c>
      <c r="F80" s="51">
        <f>ChartData!AF45</f>
        <v>100</v>
      </c>
      <c r="G80" s="49">
        <f>ChartData!AG45</f>
        <v>70.312463043478274</v>
      </c>
    </row>
    <row r="81" spans="1:7" x14ac:dyDescent="0.25">
      <c r="A81" s="41">
        <f>ChartData!AA46</f>
        <v>22</v>
      </c>
      <c r="B81" s="47">
        <f>ChartData!AB46</f>
        <v>0</v>
      </c>
      <c r="C81" s="47">
        <f>ChartData!AC46</f>
        <v>6.383675362318858E-2</v>
      </c>
      <c r="D81" s="47">
        <f>ChartData!AD46</f>
        <v>6.383675362318858E-2</v>
      </c>
      <c r="E81" s="47">
        <f>ChartData!AE46</f>
        <v>0</v>
      </c>
      <c r="F81" s="51">
        <f>ChartData!AF46</f>
        <v>100</v>
      </c>
      <c r="G81" s="49">
        <f>ChartData!AG46</f>
        <v>65.116919565217415</v>
      </c>
    </row>
    <row r="82" spans="1:7" x14ac:dyDescent="0.25">
      <c r="A82" s="41">
        <f>ChartData!AA47</f>
        <v>22.5</v>
      </c>
      <c r="B82" s="47">
        <f>ChartData!AB47</f>
        <v>0</v>
      </c>
      <c r="C82" s="47">
        <f>ChartData!AC47</f>
        <v>5.0243841304347836E-2</v>
      </c>
      <c r="D82" s="47">
        <f>ChartData!AD47</f>
        <v>5.0243841304347836E-2</v>
      </c>
      <c r="E82" s="47">
        <f>ChartData!AE47</f>
        <v>0</v>
      </c>
      <c r="F82" s="51">
        <f>ChartData!AF47</f>
        <v>100</v>
      </c>
      <c r="G82" s="49">
        <f>ChartData!AG47</f>
        <v>59.789434782608694</v>
      </c>
    </row>
    <row r="83" spans="1:7" x14ac:dyDescent="0.25">
      <c r="A83" s="41">
        <f>ChartData!AA48</f>
        <v>23</v>
      </c>
      <c r="B83" s="47">
        <f>ChartData!AB48</f>
        <v>0</v>
      </c>
      <c r="C83" s="47">
        <f>ChartData!AC48</f>
        <v>0.12146140942028999</v>
      </c>
      <c r="D83" s="47">
        <f>ChartData!AD48</f>
        <v>0.12146140942028999</v>
      </c>
      <c r="E83" s="47">
        <f>ChartData!AE48</f>
        <v>0</v>
      </c>
      <c r="F83" s="51">
        <f>ChartData!AF48</f>
        <v>100</v>
      </c>
      <c r="G83" s="49">
        <f>ChartData!AG48</f>
        <v>54.344967391304358</v>
      </c>
    </row>
    <row r="84" spans="1:7" x14ac:dyDescent="0.25">
      <c r="A84" s="42">
        <f>ChartData!AA49</f>
        <v>23.5</v>
      </c>
      <c r="B84" s="48">
        <f>ChartData!AB49</f>
        <v>0</v>
      </c>
      <c r="C84" s="48">
        <f>ChartData!AC49</f>
        <v>7.4729188405797065E-2</v>
      </c>
      <c r="D84" s="48">
        <f>ChartData!AD49</f>
        <v>7.4729188405797065E-2</v>
      </c>
      <c r="E84" s="48">
        <f>ChartData!AE49</f>
        <v>0</v>
      </c>
      <c r="F84" s="52">
        <f>ChartData!AF49</f>
        <v>100</v>
      </c>
      <c r="G84" s="50">
        <f>ChartData!AG49</f>
        <v>50.312630434782612</v>
      </c>
    </row>
  </sheetData>
  <mergeCells count="1">
    <mergeCell ref="A34:M3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6:C74"/>
  <sheetViews>
    <sheetView showGridLines="0" workbookViewId="0"/>
  </sheetViews>
  <sheetFormatPr defaultRowHeight="15" x14ac:dyDescent="0.25"/>
  <cols>
    <col min="1" max="13" width="13" customWidth="1"/>
  </cols>
  <sheetData>
    <row r="26" spans="1:3" x14ac:dyDescent="0.25">
      <c r="A26" s="38" t="s">
        <v>151</v>
      </c>
      <c r="B26" s="39" t="s">
        <v>176</v>
      </c>
      <c r="C26" s="40" t="s">
        <v>177</v>
      </c>
    </row>
    <row r="27" spans="1:3" x14ac:dyDescent="0.25">
      <c r="A27" s="41">
        <f>ChartData!AA2</f>
        <v>0</v>
      </c>
      <c r="B27" s="47">
        <f>ChartData!AB2</f>
        <v>0</v>
      </c>
      <c r="C27" s="55">
        <f>ChartData!AC2</f>
        <v>-3.2884057971055425E-5</v>
      </c>
    </row>
    <row r="28" spans="1:3" x14ac:dyDescent="0.25">
      <c r="A28" s="41">
        <f>ChartData!AA3</f>
        <v>0.5</v>
      </c>
      <c r="B28" s="47">
        <f>ChartData!AB3</f>
        <v>0</v>
      </c>
      <c r="C28" s="55">
        <f>ChartData!AC3</f>
        <v>-3.2731884058084804E-5</v>
      </c>
    </row>
    <row r="29" spans="1:3" x14ac:dyDescent="0.25">
      <c r="A29" s="41">
        <f>ChartData!AA4</f>
        <v>1</v>
      </c>
      <c r="B29" s="47">
        <f>ChartData!AB4</f>
        <v>0</v>
      </c>
      <c r="C29" s="55">
        <f>ChartData!AC4</f>
        <v>-1.3355072463805406E-5</v>
      </c>
    </row>
    <row r="30" spans="1:3" x14ac:dyDescent="0.25">
      <c r="A30" s="41">
        <f>ChartData!AA5</f>
        <v>1.5</v>
      </c>
      <c r="B30" s="47">
        <f>ChartData!AB5</f>
        <v>0</v>
      </c>
      <c r="C30" s="55">
        <f>ChartData!AC5</f>
        <v>-4.1202898550696254E-5</v>
      </c>
    </row>
    <row r="31" spans="1:3" x14ac:dyDescent="0.25">
      <c r="A31" s="41">
        <f>ChartData!AA6</f>
        <v>2</v>
      </c>
      <c r="B31" s="47">
        <f>ChartData!AB6</f>
        <v>0</v>
      </c>
      <c r="C31" s="55">
        <f>ChartData!AC6</f>
        <v>6.0845724637681176E-3</v>
      </c>
    </row>
    <row r="32" spans="1:3" x14ac:dyDescent="0.25">
      <c r="A32" s="41">
        <f>ChartData!AA7</f>
        <v>2.5</v>
      </c>
      <c r="B32" s="47">
        <f>ChartData!AB7</f>
        <v>0</v>
      </c>
      <c r="C32" s="55">
        <f>ChartData!AC7</f>
        <v>1.3766304347826164E-3</v>
      </c>
    </row>
    <row r="33" spans="1:3" x14ac:dyDescent="0.25">
      <c r="A33" s="41">
        <f>ChartData!AA8</f>
        <v>3</v>
      </c>
      <c r="B33" s="47">
        <f>ChartData!AB8</f>
        <v>0</v>
      </c>
      <c r="C33" s="55">
        <f>ChartData!AC8</f>
        <v>4.9547028985506836E-3</v>
      </c>
    </row>
    <row r="34" spans="1:3" x14ac:dyDescent="0.25">
      <c r="A34" s="41">
        <f>ChartData!AA9</f>
        <v>3.5</v>
      </c>
      <c r="B34" s="47">
        <f>ChartData!AB9</f>
        <v>0</v>
      </c>
      <c r="C34" s="55">
        <f>ChartData!AC9</f>
        <v>1.4890274098550788E-2</v>
      </c>
    </row>
    <row r="35" spans="1:3" x14ac:dyDescent="0.25">
      <c r="A35" s="41">
        <f>ChartData!AA10</f>
        <v>4</v>
      </c>
      <c r="B35" s="47">
        <f>ChartData!AB10</f>
        <v>0</v>
      </c>
      <c r="C35" s="55">
        <f>ChartData!AC10</f>
        <v>2.2912773043479023E-3</v>
      </c>
    </row>
    <row r="36" spans="1:3" x14ac:dyDescent="0.25">
      <c r="A36" s="41">
        <f>ChartData!AA11</f>
        <v>4.5</v>
      </c>
      <c r="B36" s="47">
        <f>ChartData!AB11</f>
        <v>0</v>
      </c>
      <c r="C36" s="55">
        <f>ChartData!AC11</f>
        <v>3.4477668289853887E-3</v>
      </c>
    </row>
    <row r="37" spans="1:3" x14ac:dyDescent="0.25">
      <c r="A37" s="41">
        <f>ChartData!AA12</f>
        <v>5</v>
      </c>
      <c r="B37" s="47">
        <f>ChartData!AB12</f>
        <v>0</v>
      </c>
      <c r="C37" s="55">
        <f>ChartData!AC12</f>
        <v>-7.2579223189428443E-5</v>
      </c>
    </row>
    <row r="38" spans="1:3" x14ac:dyDescent="0.25">
      <c r="A38" s="41">
        <f>ChartData!AA13</f>
        <v>5.5</v>
      </c>
      <c r="B38" s="47">
        <f>ChartData!AB13</f>
        <v>0</v>
      </c>
      <c r="C38" s="55">
        <f>ChartData!AC13</f>
        <v>-7.1954028974131196E-6</v>
      </c>
    </row>
    <row r="39" spans="1:3" x14ac:dyDescent="0.25">
      <c r="A39" s="41">
        <f>ChartData!AA14</f>
        <v>6</v>
      </c>
      <c r="B39" s="47">
        <f>ChartData!AB14</f>
        <v>0</v>
      </c>
      <c r="C39" s="55">
        <f>ChartData!AC14</f>
        <v>2.4107913042192841E-5</v>
      </c>
    </row>
    <row r="40" spans="1:3" x14ac:dyDescent="0.25">
      <c r="A40" s="41">
        <f>ChartData!AA15</f>
        <v>6.5</v>
      </c>
      <c r="B40" s="47">
        <f>ChartData!AB15</f>
        <v>0</v>
      </c>
      <c r="C40" s="55">
        <f>ChartData!AC15</f>
        <v>-2.2167768098241281E-6</v>
      </c>
    </row>
    <row r="41" spans="1:3" x14ac:dyDescent="0.25">
      <c r="A41" s="41">
        <f>ChartData!AA16</f>
        <v>7</v>
      </c>
      <c r="B41" s="47">
        <f>ChartData!AB16</f>
        <v>0</v>
      </c>
      <c r="C41" s="55">
        <f>ChartData!AC16</f>
        <v>-5.7558828985882632E-5</v>
      </c>
    </row>
    <row r="42" spans="1:3" x14ac:dyDescent="0.25">
      <c r="A42" s="41">
        <f>ChartData!AA17</f>
        <v>7.5</v>
      </c>
      <c r="B42" s="47">
        <f>ChartData!AB17</f>
        <v>0</v>
      </c>
      <c r="C42" s="55">
        <f>ChartData!AC17</f>
        <v>-6.061215086956577E-2</v>
      </c>
    </row>
    <row r="43" spans="1:3" x14ac:dyDescent="0.25">
      <c r="A43" s="41">
        <f>ChartData!AA18</f>
        <v>8</v>
      </c>
      <c r="B43" s="47">
        <f>ChartData!AB18</f>
        <v>0</v>
      </c>
      <c r="C43" s="55">
        <f>ChartData!AC18</f>
        <v>-0.68257870009275501</v>
      </c>
    </row>
    <row r="44" spans="1:3" x14ac:dyDescent="0.25">
      <c r="A44" s="41">
        <f>ChartData!AA19</f>
        <v>8.5</v>
      </c>
      <c r="B44" s="47">
        <f>ChartData!AB19</f>
        <v>0</v>
      </c>
      <c r="C44" s="55">
        <f>ChartData!AC19</f>
        <v>-1.0883415574550721</v>
      </c>
    </row>
    <row r="45" spans="1:3" x14ac:dyDescent="0.25">
      <c r="A45" s="41">
        <f>ChartData!AA20</f>
        <v>9</v>
      </c>
      <c r="B45" s="47">
        <f>ChartData!AB20</f>
        <v>0</v>
      </c>
      <c r="C45" s="55">
        <f>ChartData!AC20</f>
        <v>-1.5184444816521749</v>
      </c>
    </row>
    <row r="46" spans="1:3" x14ac:dyDescent="0.25">
      <c r="A46" s="41">
        <f>ChartData!AA21</f>
        <v>9.5</v>
      </c>
      <c r="B46" s="47">
        <f>ChartData!AB21</f>
        <v>0</v>
      </c>
      <c r="C46" s="55">
        <f>ChartData!AC21</f>
        <v>-1.8231120504521729</v>
      </c>
    </row>
    <row r="47" spans="1:3" x14ac:dyDescent="0.25">
      <c r="A47" s="41">
        <f>ChartData!AA22</f>
        <v>10</v>
      </c>
      <c r="B47" s="47">
        <f>ChartData!AB22</f>
        <v>0</v>
      </c>
      <c r="C47" s="55">
        <f>ChartData!AC22</f>
        <v>-2.0063433358782601</v>
      </c>
    </row>
    <row r="48" spans="1:3" x14ac:dyDescent="0.25">
      <c r="A48" s="41">
        <f>ChartData!AA23</f>
        <v>10.5</v>
      </c>
      <c r="B48" s="47">
        <f>ChartData!AB23</f>
        <v>0</v>
      </c>
      <c r="C48" s="55">
        <f>ChartData!AC23</f>
        <v>-2.167010829634783</v>
      </c>
    </row>
    <row r="49" spans="1:3" x14ac:dyDescent="0.25">
      <c r="A49" s="41">
        <f>ChartData!AA24</f>
        <v>11</v>
      </c>
      <c r="B49" s="47">
        <f>ChartData!AB24</f>
        <v>0</v>
      </c>
      <c r="C49" s="55">
        <f>ChartData!AC24</f>
        <v>-2.1643422533623204</v>
      </c>
    </row>
    <row r="50" spans="1:3" x14ac:dyDescent="0.25">
      <c r="A50" s="41">
        <f>ChartData!AA25</f>
        <v>11.5</v>
      </c>
      <c r="B50" s="47">
        <f>ChartData!AB25</f>
        <v>0</v>
      </c>
      <c r="C50" s="55">
        <f>ChartData!AC25</f>
        <v>-2.2147323851478262</v>
      </c>
    </row>
    <row r="51" spans="1:3" x14ac:dyDescent="0.25">
      <c r="A51" s="41">
        <f>ChartData!AA26</f>
        <v>12</v>
      </c>
      <c r="B51" s="47">
        <f>ChartData!AB26</f>
        <v>0</v>
      </c>
      <c r="C51" s="55">
        <f>ChartData!AC26</f>
        <v>-2.3790099604289865</v>
      </c>
    </row>
    <row r="52" spans="1:3" x14ac:dyDescent="0.25">
      <c r="A52" s="41">
        <f>ChartData!AA27</f>
        <v>12.5</v>
      </c>
      <c r="B52" s="47">
        <f>ChartData!AB27</f>
        <v>0</v>
      </c>
      <c r="C52" s="55">
        <f>ChartData!AC27</f>
        <v>-2.3489386947536239</v>
      </c>
    </row>
    <row r="53" spans="1:3" x14ac:dyDescent="0.25">
      <c r="A53" s="41">
        <f>ChartData!AA28</f>
        <v>13</v>
      </c>
      <c r="B53" s="47">
        <f>ChartData!AB28</f>
        <v>0</v>
      </c>
      <c r="C53" s="55">
        <f>ChartData!AC28</f>
        <v>-2.2531652663478274</v>
      </c>
    </row>
    <row r="54" spans="1:3" x14ac:dyDescent="0.25">
      <c r="A54" s="41">
        <f>ChartData!AA29</f>
        <v>13.5</v>
      </c>
      <c r="B54" s="47">
        <f>ChartData!AB29</f>
        <v>0</v>
      </c>
      <c r="C54" s="55">
        <f>ChartData!AC29</f>
        <v>-2.1268018113507261</v>
      </c>
    </row>
    <row r="55" spans="1:3" x14ac:dyDescent="0.25">
      <c r="A55" s="41">
        <f>ChartData!AA30</f>
        <v>14</v>
      </c>
      <c r="B55" s="47">
        <f>ChartData!AB30</f>
        <v>0</v>
      </c>
      <c r="C55" s="55">
        <f>ChartData!AC30</f>
        <v>-2.0805122454028995</v>
      </c>
    </row>
    <row r="56" spans="1:3" x14ac:dyDescent="0.25">
      <c r="A56" s="41">
        <f>ChartData!AA31</f>
        <v>14.5</v>
      </c>
      <c r="B56" s="47">
        <f>ChartData!AB31</f>
        <v>0</v>
      </c>
      <c r="C56" s="55">
        <f>ChartData!AC31</f>
        <v>-1.9472700796463784</v>
      </c>
    </row>
    <row r="57" spans="1:3" x14ac:dyDescent="0.25">
      <c r="A57" s="41">
        <f>ChartData!AA32</f>
        <v>15</v>
      </c>
      <c r="B57" s="47">
        <f>ChartData!AB32</f>
        <v>0</v>
      </c>
      <c r="C57" s="55">
        <f>ChartData!AC32</f>
        <v>-1.7576300444811592</v>
      </c>
    </row>
    <row r="58" spans="1:3" x14ac:dyDescent="0.25">
      <c r="A58" s="41">
        <f>ChartData!AA33</f>
        <v>15.5</v>
      </c>
      <c r="B58" s="47">
        <f>ChartData!AB33</f>
        <v>0</v>
      </c>
      <c r="C58" s="55">
        <f>ChartData!AC33</f>
        <v>-1.590832355200001</v>
      </c>
    </row>
    <row r="59" spans="1:3" x14ac:dyDescent="0.25">
      <c r="A59" s="41">
        <f>ChartData!AA34</f>
        <v>16</v>
      </c>
      <c r="B59" s="47">
        <f>ChartData!AB34</f>
        <v>0</v>
      </c>
      <c r="C59" s="55">
        <f>ChartData!AC34</f>
        <v>-1.3369837100869557</v>
      </c>
    </row>
    <row r="60" spans="1:3" x14ac:dyDescent="0.25">
      <c r="A60" s="41">
        <f>ChartData!AA35</f>
        <v>16.5</v>
      </c>
      <c r="B60" s="47">
        <f>ChartData!AB35</f>
        <v>0</v>
      </c>
      <c r="C60" s="55">
        <f>ChartData!AC35</f>
        <v>-1.0931230875130429</v>
      </c>
    </row>
    <row r="61" spans="1:3" x14ac:dyDescent="0.25">
      <c r="A61" s="41">
        <f>ChartData!AA36</f>
        <v>17</v>
      </c>
      <c r="B61" s="47">
        <f>ChartData!AB36</f>
        <v>0</v>
      </c>
      <c r="C61" s="55">
        <f>ChartData!AC36</f>
        <v>-0.84057981776811486</v>
      </c>
    </row>
    <row r="62" spans="1:3" x14ac:dyDescent="0.25">
      <c r="A62" s="41">
        <f>ChartData!AA37</f>
        <v>17.5</v>
      </c>
      <c r="B62" s="47">
        <f>ChartData!AB37</f>
        <v>0</v>
      </c>
      <c r="C62" s="55">
        <f>ChartData!AC37</f>
        <v>-0.66049958833043521</v>
      </c>
    </row>
    <row r="63" spans="1:3" x14ac:dyDescent="0.25">
      <c r="A63" s="41">
        <f>ChartData!AA38</f>
        <v>18</v>
      </c>
      <c r="B63" s="47">
        <f>ChartData!AB38</f>
        <v>0</v>
      </c>
      <c r="C63" s="55">
        <f>ChartData!AC38</f>
        <v>-0.43776202857971097</v>
      </c>
    </row>
    <row r="64" spans="1:3" x14ac:dyDescent="0.25">
      <c r="A64" s="41">
        <f>ChartData!AA39</f>
        <v>18.5</v>
      </c>
      <c r="B64" s="47">
        <f>ChartData!AB39</f>
        <v>0</v>
      </c>
      <c r="C64" s="55">
        <f>ChartData!AC39</f>
        <v>-0.21710936165217398</v>
      </c>
    </row>
    <row r="65" spans="1:3" x14ac:dyDescent="0.25">
      <c r="A65" s="41">
        <f>ChartData!AA40</f>
        <v>19</v>
      </c>
      <c r="B65" s="47">
        <f>ChartData!AB40</f>
        <v>0</v>
      </c>
      <c r="C65" s="55">
        <f>ChartData!AC40</f>
        <v>-6.6842526486956488E-2</v>
      </c>
    </row>
    <row r="66" spans="1:3" x14ac:dyDescent="0.25">
      <c r="A66" s="41">
        <f>ChartData!AA41</f>
        <v>19.5</v>
      </c>
      <c r="B66" s="47">
        <f>ChartData!AB41</f>
        <v>0</v>
      </c>
      <c r="C66" s="55">
        <f>ChartData!AC41</f>
        <v>-2.6733494724638929E-3</v>
      </c>
    </row>
    <row r="67" spans="1:3" x14ac:dyDescent="0.25">
      <c r="A67" s="41">
        <f>ChartData!AA42</f>
        <v>20</v>
      </c>
      <c r="B67" s="47">
        <f>ChartData!AB42</f>
        <v>0</v>
      </c>
      <c r="C67" s="55">
        <f>ChartData!AC42</f>
        <v>7.1788863768240674E-5</v>
      </c>
    </row>
    <row r="68" spans="1:3" x14ac:dyDescent="0.25">
      <c r="A68" s="41">
        <f>ChartData!AA43</f>
        <v>20.5</v>
      </c>
      <c r="B68" s="47">
        <f>ChartData!AB43</f>
        <v>0</v>
      </c>
      <c r="C68" s="55">
        <f>ChartData!AC43</f>
        <v>5.4391753623188377E-2</v>
      </c>
    </row>
    <row r="69" spans="1:3" x14ac:dyDescent="0.25">
      <c r="A69" s="41">
        <f>ChartData!AA44</f>
        <v>21</v>
      </c>
      <c r="B69" s="47">
        <f>ChartData!AB44</f>
        <v>0</v>
      </c>
      <c r="C69" s="55">
        <f>ChartData!AC44</f>
        <v>8.6235521739130683E-2</v>
      </c>
    </row>
    <row r="70" spans="1:3" x14ac:dyDescent="0.25">
      <c r="A70" s="41">
        <f>ChartData!AA45</f>
        <v>21.5</v>
      </c>
      <c r="B70" s="47">
        <f>ChartData!AB45</f>
        <v>0</v>
      </c>
      <c r="C70" s="55">
        <f>ChartData!AC45</f>
        <v>5.0243876811594257E-2</v>
      </c>
    </row>
    <row r="71" spans="1:3" x14ac:dyDescent="0.25">
      <c r="A71" s="41">
        <f>ChartData!AA46</f>
        <v>22</v>
      </c>
      <c r="B71" s="47">
        <f>ChartData!AB46</f>
        <v>0</v>
      </c>
      <c r="C71" s="55">
        <f>ChartData!AC46</f>
        <v>6.383675362318858E-2</v>
      </c>
    </row>
    <row r="72" spans="1:3" x14ac:dyDescent="0.25">
      <c r="A72" s="41">
        <f>ChartData!AA47</f>
        <v>22.5</v>
      </c>
      <c r="B72" s="47">
        <f>ChartData!AB47</f>
        <v>0</v>
      </c>
      <c r="C72" s="55">
        <f>ChartData!AC47</f>
        <v>5.0243841304347836E-2</v>
      </c>
    </row>
    <row r="73" spans="1:3" x14ac:dyDescent="0.25">
      <c r="A73" s="41">
        <f>ChartData!AA48</f>
        <v>23</v>
      </c>
      <c r="B73" s="47">
        <f>ChartData!AB48</f>
        <v>0</v>
      </c>
      <c r="C73" s="55">
        <f>ChartData!AC48</f>
        <v>0.12146140942028999</v>
      </c>
    </row>
    <row r="74" spans="1:3" x14ac:dyDescent="0.25">
      <c r="A74" s="42">
        <f>ChartData!AA49</f>
        <v>23.5</v>
      </c>
      <c r="B74" s="48">
        <f>ChartData!AB49</f>
        <v>0</v>
      </c>
      <c r="C74" s="56">
        <f>ChartData!AC49</f>
        <v>7.4729188405797065E-2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5"/>
  <sheetViews>
    <sheetView showGridLines="0" tabSelected="1" workbookViewId="0">
      <selection sqref="A1:M1"/>
    </sheetView>
  </sheetViews>
  <sheetFormatPr defaultRowHeight="15" x14ac:dyDescent="0.25"/>
  <cols>
    <col min="1" max="13" width="13" customWidth="1"/>
  </cols>
  <sheetData>
    <row r="1" spans="1:13" ht="27.95" customHeight="1" x14ac:dyDescent="0.25">
      <c r="A1" s="93" t="s">
        <v>178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37" spans="1:5" x14ac:dyDescent="0.25">
      <c r="A37" s="38" t="s">
        <v>151</v>
      </c>
      <c r="B37" s="39" t="s">
        <v>179</v>
      </c>
      <c r="C37" s="39" t="s">
        <v>180</v>
      </c>
      <c r="D37" s="39" t="s">
        <v>155</v>
      </c>
      <c r="E37" s="40" t="s">
        <v>181</v>
      </c>
    </row>
    <row r="38" spans="1:5" x14ac:dyDescent="0.25">
      <c r="A38" s="41">
        <f>ChartData!T2</f>
        <v>0</v>
      </c>
      <c r="B38" s="47">
        <f>ChartData!U2</f>
        <v>0.21448885507246374</v>
      </c>
      <c r="C38" s="47">
        <f>ChartData!V2</f>
        <v>0</v>
      </c>
      <c r="D38" s="47">
        <f>ChartData!W2</f>
        <v>0</v>
      </c>
      <c r="E38" s="55">
        <f>ChartData!X2</f>
        <v>0.21452173913043479</v>
      </c>
    </row>
    <row r="39" spans="1:5" x14ac:dyDescent="0.25">
      <c r="A39" s="41">
        <f>ChartData!T3</f>
        <v>0.5</v>
      </c>
      <c r="B39" s="47">
        <f>ChartData!U3</f>
        <v>0.19292378985507233</v>
      </c>
      <c r="C39" s="47">
        <f>ChartData!V3</f>
        <v>0</v>
      </c>
      <c r="D39" s="47">
        <f>ChartData!W3</f>
        <v>0</v>
      </c>
      <c r="E39" s="55">
        <f>ChartData!X3</f>
        <v>0.19295652173913042</v>
      </c>
    </row>
    <row r="40" spans="1:5" x14ac:dyDescent="0.25">
      <c r="A40" s="41">
        <f>ChartData!T4</f>
        <v>1</v>
      </c>
      <c r="B40" s="47">
        <f>ChartData!U4</f>
        <v>0.12976925362318839</v>
      </c>
      <c r="C40" s="47">
        <f>ChartData!V4</f>
        <v>0</v>
      </c>
      <c r="D40" s="47">
        <f>ChartData!W4</f>
        <v>0</v>
      </c>
      <c r="E40" s="55">
        <f>ChartData!X4</f>
        <v>0.1297826086956522</v>
      </c>
    </row>
    <row r="41" spans="1:5" x14ac:dyDescent="0.25">
      <c r="A41" s="41">
        <f>ChartData!T5</f>
        <v>1.5</v>
      </c>
      <c r="B41" s="47">
        <f>ChartData!U5</f>
        <v>0.1441979275362319</v>
      </c>
      <c r="C41" s="47">
        <f>ChartData!V5</f>
        <v>0</v>
      </c>
      <c r="D41" s="47">
        <f>ChartData!W5</f>
        <v>0</v>
      </c>
      <c r="E41" s="55">
        <f>ChartData!X5</f>
        <v>0.14423913043478259</v>
      </c>
    </row>
    <row r="42" spans="1:5" x14ac:dyDescent="0.25">
      <c r="A42" s="41">
        <f>ChartData!T6</f>
        <v>2</v>
      </c>
      <c r="B42" s="47">
        <f>ChartData!U6</f>
        <v>0.13008457246376812</v>
      </c>
      <c r="C42" s="47">
        <f>ChartData!V6</f>
        <v>0</v>
      </c>
      <c r="D42" s="47">
        <f>ChartData!W6</f>
        <v>0</v>
      </c>
      <c r="E42" s="55">
        <f>ChartData!X6</f>
        <v>0.124</v>
      </c>
    </row>
    <row r="43" spans="1:5" x14ac:dyDescent="0.25">
      <c r="A43" s="41">
        <f>ChartData!T7</f>
        <v>2.5</v>
      </c>
      <c r="B43" s="47">
        <f>ChartData!U7</f>
        <v>0.1368114130434783</v>
      </c>
      <c r="C43" s="47">
        <f>ChartData!V7</f>
        <v>0</v>
      </c>
      <c r="D43" s="47">
        <f>ChartData!W7</f>
        <v>0</v>
      </c>
      <c r="E43" s="55">
        <f>ChartData!X7</f>
        <v>0.13543478260869568</v>
      </c>
    </row>
    <row r="44" spans="1:5" x14ac:dyDescent="0.25">
      <c r="A44" s="41">
        <f>ChartData!T8</f>
        <v>3</v>
      </c>
      <c r="B44" s="47">
        <f>ChartData!U8</f>
        <v>0.14601992028985505</v>
      </c>
      <c r="C44" s="47">
        <f>ChartData!V8</f>
        <v>0</v>
      </c>
      <c r="D44" s="47">
        <f>ChartData!W8</f>
        <v>0</v>
      </c>
      <c r="E44" s="55">
        <f>ChartData!X8</f>
        <v>0.14106521739130437</v>
      </c>
    </row>
    <row r="45" spans="1:5" x14ac:dyDescent="0.25">
      <c r="A45" s="41">
        <f>ChartData!T9</f>
        <v>3.5</v>
      </c>
      <c r="B45" s="47">
        <f>ChartData!U9</f>
        <v>0.14897438115942033</v>
      </c>
      <c r="C45" s="47">
        <f>ChartData!V9</f>
        <v>2.6928027130434799E-3</v>
      </c>
      <c r="D45" s="47">
        <f>ChartData!W9</f>
        <v>0</v>
      </c>
      <c r="E45" s="55">
        <f>ChartData!X9</f>
        <v>0.13139130434782606</v>
      </c>
    </row>
    <row r="46" spans="1:5" x14ac:dyDescent="0.25">
      <c r="A46" s="41">
        <f>ChartData!T10</f>
        <v>4</v>
      </c>
      <c r="B46" s="47">
        <f>ChartData!U10</f>
        <v>0.11271969565217388</v>
      </c>
      <c r="C46" s="47">
        <f>ChartData!V10</f>
        <v>3.8922646330434678E-2</v>
      </c>
      <c r="D46" s="47">
        <f>ChartData!W10</f>
        <v>5.6521739130434778E-4</v>
      </c>
      <c r="E46" s="55">
        <f>ChartData!X10</f>
        <v>7.2070989408695635E-2</v>
      </c>
    </row>
    <row r="47" spans="1:5" x14ac:dyDescent="0.25">
      <c r="A47" s="41">
        <f>ChartData!T11</f>
        <v>4.5</v>
      </c>
      <c r="B47" s="47">
        <f>ChartData!U11</f>
        <v>0.13013576811594199</v>
      </c>
      <c r="C47" s="47">
        <f>ChartData!V11</f>
        <v>0.18201408824347834</v>
      </c>
      <c r="D47" s="47">
        <f>ChartData!W11</f>
        <v>7.1086956521739131E-2</v>
      </c>
      <c r="E47" s="55">
        <f>ChartData!X11</f>
        <v>1.5760869565217394E-2</v>
      </c>
    </row>
    <row r="48" spans="1:5" x14ac:dyDescent="0.25">
      <c r="A48" s="41">
        <f>ChartData!T12</f>
        <v>5</v>
      </c>
      <c r="B48" s="47">
        <f>ChartData!U12</f>
        <v>0.12538938550724635</v>
      </c>
      <c r="C48" s="47">
        <f>ChartData!V12</f>
        <v>0.36104892125217491</v>
      </c>
      <c r="D48" s="47">
        <f>ChartData!W12</f>
        <v>0.23558695652173914</v>
      </c>
      <c r="E48" s="55">
        <f>ChartData!X12</f>
        <v>0</v>
      </c>
    </row>
    <row r="49" spans="1:5" x14ac:dyDescent="0.25">
      <c r="A49" s="41">
        <f>ChartData!T13</f>
        <v>5.5</v>
      </c>
      <c r="B49" s="47">
        <f>ChartData!U13</f>
        <v>0.14318600362318837</v>
      </c>
      <c r="C49" s="47">
        <f>ChartData!V13</f>
        <v>0.58058450337391199</v>
      </c>
      <c r="D49" s="47">
        <f>ChartData!W13</f>
        <v>0.43876086956521754</v>
      </c>
      <c r="E49" s="55">
        <f>ChartData!X13</f>
        <v>1.3695652173913043E-3</v>
      </c>
    </row>
    <row r="50" spans="1:5" x14ac:dyDescent="0.25">
      <c r="A50" s="41">
        <f>ChartData!T14</f>
        <v>6</v>
      </c>
      <c r="B50" s="47">
        <f>ChartData!U14</f>
        <v>0.1601343108695652</v>
      </c>
      <c r="C50" s="47">
        <f>ChartData!V14</f>
        <v>0.82011020295652304</v>
      </c>
      <c r="D50" s="47">
        <f>ChartData!W14</f>
        <v>0.66</v>
      </c>
      <c r="E50" s="55">
        <f>ChartData!X14</f>
        <v>0</v>
      </c>
    </row>
    <row r="51" spans="1:5" x14ac:dyDescent="0.25">
      <c r="A51" s="41">
        <f>ChartData!T15</f>
        <v>6.5</v>
      </c>
      <c r="B51" s="47">
        <f>ChartData!U15</f>
        <v>0.21931695797101461</v>
      </c>
      <c r="C51" s="47">
        <f>ChartData!V15</f>
        <v>1.062580044313042</v>
      </c>
      <c r="D51" s="47">
        <f>ChartData!W15</f>
        <v>0.88632608695652193</v>
      </c>
      <c r="E51" s="55">
        <f>ChartData!X15</f>
        <v>4.3065217391304353E-2</v>
      </c>
    </row>
    <row r="52" spans="1:5" x14ac:dyDescent="0.25">
      <c r="A52" s="41">
        <f>ChartData!T16</f>
        <v>7</v>
      </c>
      <c r="B52" s="47">
        <f>ChartData!U16</f>
        <v>0.28569331884057975</v>
      </c>
      <c r="C52" s="47">
        <f>ChartData!V16</f>
        <v>1.3037943559304352</v>
      </c>
      <c r="D52" s="47">
        <f>ChartData!W16</f>
        <v>1.0421304347826088</v>
      </c>
      <c r="E52" s="55">
        <f>ChartData!X16</f>
        <v>2.4086956521739134E-2</v>
      </c>
    </row>
    <row r="53" spans="1:5" x14ac:dyDescent="0.25">
      <c r="A53" s="41">
        <f>ChartData!T17</f>
        <v>7.5</v>
      </c>
      <c r="B53" s="47">
        <f>ChartData!U17</f>
        <v>0.2777691369565215</v>
      </c>
      <c r="C53" s="47">
        <f>ChartData!V17</f>
        <v>1.5453595486956524</v>
      </c>
      <c r="D53" s="47">
        <f>ChartData!W17</f>
        <v>1.2376521739130435</v>
      </c>
      <c r="E53" s="55">
        <f>ChartData!X17</f>
        <v>3.0673913043478263E-2</v>
      </c>
    </row>
    <row r="54" spans="1:5" x14ac:dyDescent="0.25">
      <c r="A54" s="41">
        <f>ChartData!T18</f>
        <v>8</v>
      </c>
      <c r="B54" s="47">
        <f>ChartData!U18</f>
        <v>0.26974430724637682</v>
      </c>
      <c r="C54" s="47">
        <f>ChartData!V18</f>
        <v>1.7720838769043492</v>
      </c>
      <c r="D54" s="47">
        <f>ChartData!W18</f>
        <v>0.82628260869565218</v>
      </c>
      <c r="E54" s="55">
        <f>ChartData!X18</f>
        <v>6.5217391304347823E-3</v>
      </c>
    </row>
    <row r="55" spans="1:5" x14ac:dyDescent="0.25">
      <c r="A55" s="41">
        <f>ChartData!T19</f>
        <v>8.5</v>
      </c>
      <c r="B55" s="47">
        <f>ChartData!U19</f>
        <v>0.34997221666666672</v>
      </c>
      <c r="C55" s="47">
        <f>ChartData!V19</f>
        <v>1.9852050784695652</v>
      </c>
      <c r="D55" s="47">
        <f>ChartData!W19</f>
        <v>0.56358695652173918</v>
      </c>
      <c r="E55" s="55">
        <f>ChartData!X19</f>
        <v>1.6695652173913045E-2</v>
      </c>
    </row>
    <row r="56" spans="1:5" x14ac:dyDescent="0.25">
      <c r="A56" s="41">
        <f>ChartData!T20</f>
        <v>9</v>
      </c>
      <c r="B56" s="47">
        <f>ChartData!U20</f>
        <v>0.36487536739130477</v>
      </c>
      <c r="C56" s="47">
        <f>ChartData!V20</f>
        <v>2.1667111533913057</v>
      </c>
      <c r="D56" s="47">
        <f>ChartData!W20</f>
        <v>0.29802173913043473</v>
      </c>
      <c r="E56" s="55">
        <f>ChartData!X20</f>
        <v>1.4630434782608696E-2</v>
      </c>
    </row>
    <row r="57" spans="1:5" x14ac:dyDescent="0.25">
      <c r="A57" s="41">
        <f>ChartData!T21</f>
        <v>9.5</v>
      </c>
      <c r="B57" s="47">
        <f>ChartData!U21</f>
        <v>0.31273148478260848</v>
      </c>
      <c r="C57" s="47">
        <f>ChartData!V21</f>
        <v>2.3215174482782599</v>
      </c>
      <c r="D57" s="47">
        <f>ChartData!W21</f>
        <v>0.19726086956521738</v>
      </c>
      <c r="E57" s="55">
        <f>ChartData!X21</f>
        <v>1.1586956521739132E-2</v>
      </c>
    </row>
    <row r="58" spans="1:5" x14ac:dyDescent="0.25">
      <c r="A58" s="41">
        <f>ChartData!T22</f>
        <v>10</v>
      </c>
      <c r="B58" s="47">
        <f>ChartData!U22</f>
        <v>0.39183757608695652</v>
      </c>
      <c r="C58" s="47">
        <f>ChartData!V22</f>
        <v>2.4573983032695645</v>
      </c>
      <c r="D58" s="47">
        <f>ChartData!W22</f>
        <v>9.6521739130434797E-2</v>
      </c>
      <c r="E58" s="55">
        <f>ChartData!X22</f>
        <v>3.7304347826086957E-2</v>
      </c>
    </row>
    <row r="59" spans="1:5" x14ac:dyDescent="0.25">
      <c r="A59" s="41">
        <f>ChartData!T23</f>
        <v>10.5</v>
      </c>
      <c r="B59" s="47">
        <f>ChartData!U23</f>
        <v>0.26979317826086968</v>
      </c>
      <c r="C59" s="47">
        <f>ChartData!V23</f>
        <v>2.5695431383304355</v>
      </c>
      <c r="D59" s="47">
        <f>ChartData!W23</f>
        <v>0.1406304347826087</v>
      </c>
      <c r="E59" s="55">
        <f>ChartData!X23</f>
        <v>7.8913043478260874E-3</v>
      </c>
    </row>
    <row r="60" spans="1:5" x14ac:dyDescent="0.25">
      <c r="A60" s="41">
        <f>ChartData!T24</f>
        <v>11</v>
      </c>
      <c r="B60" s="47">
        <f>ChartData!U24</f>
        <v>0.36461873115942012</v>
      </c>
      <c r="C60" s="47">
        <f>ChartData!V24</f>
        <v>2.6491131584347842</v>
      </c>
      <c r="D60" s="47">
        <f>ChartData!W24</f>
        <v>0.12015217391304346</v>
      </c>
      <c r="E60" s="55">
        <f>ChartData!X24</f>
        <v>0</v>
      </c>
    </row>
    <row r="61" spans="1:5" x14ac:dyDescent="0.25">
      <c r="A61" s="41">
        <f>ChartData!T25</f>
        <v>11.5</v>
      </c>
      <c r="B61" s="47">
        <f>ChartData!U25</f>
        <v>0.41573286521739128</v>
      </c>
      <c r="C61" s="47">
        <f>ChartData!V25</f>
        <v>2.684008728626087</v>
      </c>
      <c r="D61" s="47">
        <f>ChartData!W25</f>
        <v>6.7565217391304347E-2</v>
      </c>
      <c r="E61" s="55">
        <f>ChartData!X25</f>
        <v>1.4021739130434781E-2</v>
      </c>
    </row>
    <row r="62" spans="1:5" x14ac:dyDescent="0.25">
      <c r="A62" s="41">
        <f>ChartData!T26</f>
        <v>12</v>
      </c>
      <c r="B62" s="47">
        <f>ChartData!U26</f>
        <v>0.24871455797101447</v>
      </c>
      <c r="C62" s="47">
        <f>ChartData!V26</f>
        <v>2.6941158227478268</v>
      </c>
      <c r="D62" s="47">
        <f>ChartData!W26</f>
        <v>6.6391304347826099E-2</v>
      </c>
      <c r="E62" s="55">
        <f>ChartData!X26</f>
        <v>0</v>
      </c>
    </row>
    <row r="63" spans="1:5" x14ac:dyDescent="0.25">
      <c r="A63" s="41">
        <f>ChartData!T27</f>
        <v>12.5</v>
      </c>
      <c r="B63" s="47">
        <f>ChartData!U27</f>
        <v>0.29813913550724663</v>
      </c>
      <c r="C63" s="47">
        <f>ChartData!V27</f>
        <v>2.6752082650434792</v>
      </c>
      <c r="D63" s="47">
        <f>ChartData!W27</f>
        <v>2.8130434782608696E-2</v>
      </c>
      <c r="E63" s="55">
        <f>ChartData!X27</f>
        <v>0</v>
      </c>
    </row>
    <row r="64" spans="1:5" x14ac:dyDescent="0.25">
      <c r="A64" s="41">
        <f>ChartData!T28</f>
        <v>13</v>
      </c>
      <c r="B64" s="47">
        <f>ChartData!U28</f>
        <v>0.3462196326086957</v>
      </c>
      <c r="C64" s="47">
        <f>ChartData!V28</f>
        <v>2.6116892467826101</v>
      </c>
      <c r="D64" s="47">
        <f>ChartData!W28</f>
        <v>1.2304347826086956E-2</v>
      </c>
      <c r="E64" s="55">
        <f>ChartData!X28</f>
        <v>0</v>
      </c>
    </row>
    <row r="65" spans="1:5" x14ac:dyDescent="0.25">
      <c r="A65" s="41">
        <f>ChartData!T29</f>
        <v>13.5</v>
      </c>
      <c r="B65" s="47">
        <f>ChartData!U29</f>
        <v>0.38798157536231903</v>
      </c>
      <c r="C65" s="47">
        <f>ChartData!V29</f>
        <v>2.5147833867130451</v>
      </c>
      <c r="D65" s="47">
        <f>ChartData!W29</f>
        <v>0</v>
      </c>
      <c r="E65" s="55">
        <f>ChartData!X29</f>
        <v>0</v>
      </c>
    </row>
    <row r="66" spans="1:5" x14ac:dyDescent="0.25">
      <c r="A66" s="41">
        <f>ChartData!T30</f>
        <v>14</v>
      </c>
      <c r="B66" s="47">
        <f>ChartData!U30</f>
        <v>0.31858088840579685</v>
      </c>
      <c r="C66" s="47">
        <f>ChartData!V30</f>
        <v>2.3990931338086963</v>
      </c>
      <c r="D66" s="47">
        <f>ChartData!W30</f>
        <v>0</v>
      </c>
      <c r="E66" s="55">
        <f>ChartData!X30</f>
        <v>0</v>
      </c>
    </row>
    <row r="67" spans="1:5" x14ac:dyDescent="0.25">
      <c r="A67" s="41">
        <f>ChartData!T31</f>
        <v>14.5</v>
      </c>
      <c r="B67" s="47">
        <f>ChartData!U31</f>
        <v>0.31092222971014505</v>
      </c>
      <c r="C67" s="47">
        <f>ChartData!V31</f>
        <v>2.2524966571826104</v>
      </c>
      <c r="D67" s="47">
        <f>ChartData!W31</f>
        <v>0</v>
      </c>
      <c r="E67" s="55">
        <f>ChartData!X31</f>
        <v>5.6956521739130435E-3</v>
      </c>
    </row>
    <row r="68" spans="1:5" x14ac:dyDescent="0.25">
      <c r="A68" s="41">
        <f>ChartData!T32</f>
        <v>15</v>
      </c>
      <c r="B68" s="47">
        <f>ChartData!U32</f>
        <v>0.34229660362318826</v>
      </c>
      <c r="C68" s="47">
        <f>ChartData!V32</f>
        <v>2.0967092567999996</v>
      </c>
      <c r="D68" s="47">
        <f>ChartData!W32</f>
        <v>6.3260869565217384E-3</v>
      </c>
      <c r="E68" s="55">
        <f>ChartData!X32</f>
        <v>9.5434782608695649E-3</v>
      </c>
    </row>
    <row r="69" spans="1:5" x14ac:dyDescent="0.25">
      <c r="A69" s="41">
        <f>ChartData!T33</f>
        <v>15.5</v>
      </c>
      <c r="B69" s="47">
        <f>ChartData!U33</f>
        <v>0.30779848695652151</v>
      </c>
      <c r="C69" s="47">
        <f>ChartData!V33</f>
        <v>1.9092395378086964</v>
      </c>
      <c r="D69" s="47">
        <f>ChartData!W33</f>
        <v>1.0608695652173913E-2</v>
      </c>
      <c r="E69" s="55">
        <f>ChartData!X33</f>
        <v>0</v>
      </c>
    </row>
    <row r="70" spans="1:5" x14ac:dyDescent="0.25">
      <c r="A70" s="41">
        <f>ChartData!T34</f>
        <v>16</v>
      </c>
      <c r="B70" s="47">
        <f>ChartData!U34</f>
        <v>0.36788155217391288</v>
      </c>
      <c r="C70" s="47">
        <f>ChartData!V34</f>
        <v>1.6981043926956512</v>
      </c>
      <c r="D70" s="47">
        <f>ChartData!W34</f>
        <v>0</v>
      </c>
      <c r="E70" s="55">
        <f>ChartData!X34</f>
        <v>6.7608695652173912E-3</v>
      </c>
    </row>
    <row r="71" spans="1:5" x14ac:dyDescent="0.25">
      <c r="A71" s="41">
        <f>ChartData!T35</f>
        <v>16.5</v>
      </c>
      <c r="B71" s="47">
        <f>ChartData!U35</f>
        <v>0.35186747391304346</v>
      </c>
      <c r="C71" s="47">
        <f>ChartData!V35</f>
        <v>1.4431862135999993</v>
      </c>
      <c r="D71" s="47">
        <f>ChartData!W35</f>
        <v>2.4130434782608694E-3</v>
      </c>
      <c r="E71" s="55">
        <f>ChartData!X35</f>
        <v>4.2173913043478265E-3</v>
      </c>
    </row>
    <row r="72" spans="1:5" x14ac:dyDescent="0.25">
      <c r="A72" s="41">
        <f>ChartData!T36</f>
        <v>17</v>
      </c>
      <c r="B72" s="47">
        <f>ChartData!U36</f>
        <v>0.38569457753623199</v>
      </c>
      <c r="C72" s="47">
        <f>ChartData!V36</f>
        <v>1.2046004822608685</v>
      </c>
      <c r="D72" s="47">
        <f>ChartData!W36</f>
        <v>9.5434782608695649E-3</v>
      </c>
      <c r="E72" s="55">
        <f>ChartData!X36</f>
        <v>3.1217391304347825E-2</v>
      </c>
    </row>
    <row r="73" spans="1:5" x14ac:dyDescent="0.25">
      <c r="A73" s="41">
        <f>ChartData!T37</f>
        <v>17.5</v>
      </c>
      <c r="B73" s="47">
        <f>ChartData!U37</f>
        <v>0.43298272391304338</v>
      </c>
      <c r="C73" s="47">
        <f>ChartData!V37</f>
        <v>0.95943883398260899</v>
      </c>
      <c r="D73" s="47">
        <f>ChartData!W37</f>
        <v>7.0652173913043478E-3</v>
      </c>
      <c r="E73" s="55">
        <f>ChartData!X37</f>
        <v>0.14110869565217393</v>
      </c>
    </row>
    <row r="74" spans="1:5" x14ac:dyDescent="0.25">
      <c r="A74" s="41">
        <f>ChartData!T38</f>
        <v>18</v>
      </c>
      <c r="B74" s="47">
        <f>ChartData!U38</f>
        <v>0.44075992028985489</v>
      </c>
      <c r="C74" s="47">
        <f>ChartData!V38</f>
        <v>0.72228281843478326</v>
      </c>
      <c r="D74" s="47">
        <f>ChartData!W38</f>
        <v>1.8043478260869566E-3</v>
      </c>
      <c r="E74" s="55">
        <f>ChartData!X38</f>
        <v>0.15804347826086956</v>
      </c>
    </row>
    <row r="75" spans="1:5" x14ac:dyDescent="0.25">
      <c r="A75" s="41">
        <f>ChartData!T39</f>
        <v>18.5</v>
      </c>
      <c r="B75" s="47">
        <f>ChartData!U39</f>
        <v>0.45052164130434774</v>
      </c>
      <c r="C75" s="47">
        <f>ChartData!V39</f>
        <v>0.49363100295652174</v>
      </c>
      <c r="D75" s="47">
        <f>ChartData!W39</f>
        <v>9.717391304347827E-3</v>
      </c>
      <c r="E75" s="55">
        <f>ChartData!X39</f>
        <v>0.18371739130434783</v>
      </c>
    </row>
    <row r="76" spans="1:5" x14ac:dyDescent="0.25">
      <c r="A76" s="41">
        <f>ChartData!T40</f>
        <v>19</v>
      </c>
      <c r="B76" s="47">
        <f>ChartData!U40</f>
        <v>0.33338675434782594</v>
      </c>
      <c r="C76" s="47">
        <f>ChartData!V40</f>
        <v>0.28825101996521724</v>
      </c>
      <c r="D76" s="47">
        <f>ChartData!W40</f>
        <v>1.9086956521739133E-2</v>
      </c>
      <c r="E76" s="55">
        <f>ChartData!X40</f>
        <v>0.13106521739130433</v>
      </c>
    </row>
    <row r="77" spans="1:5" x14ac:dyDescent="0.25">
      <c r="A77" s="41">
        <f>ChartData!T41</f>
        <v>19.5</v>
      </c>
      <c r="B77" s="47">
        <f>ChartData!U41</f>
        <v>0.4306040014492753</v>
      </c>
      <c r="C77" s="47">
        <f>ChartData!V41</f>
        <v>8.3864307443478281E-2</v>
      </c>
      <c r="D77" s="47">
        <f>ChartData!W41</f>
        <v>4.565217391304348E-4</v>
      </c>
      <c r="E77" s="55">
        <f>ChartData!X41</f>
        <v>0.34986956521739132</v>
      </c>
    </row>
    <row r="78" spans="1:5" x14ac:dyDescent="0.25">
      <c r="A78" s="41">
        <f>ChartData!T42</f>
        <v>20</v>
      </c>
      <c r="B78" s="47">
        <f>ChartData!U42</f>
        <v>0.49386517898550747</v>
      </c>
      <c r="C78" s="47">
        <f>ChartData!V42</f>
        <v>1.5467303165217406E-2</v>
      </c>
      <c r="D78" s="47">
        <f>ChartData!W42</f>
        <v>0</v>
      </c>
      <c r="E78" s="55">
        <f>ChartData!X42</f>
        <v>0.47832608695652185</v>
      </c>
    </row>
    <row r="79" spans="1:5" x14ac:dyDescent="0.25">
      <c r="A79" s="41">
        <f>ChartData!T43</f>
        <v>20.5</v>
      </c>
      <c r="B79" s="47">
        <f>ChartData!U43</f>
        <v>0.51547871014492752</v>
      </c>
      <c r="C79" s="47">
        <f>ChartData!V43</f>
        <v>0</v>
      </c>
      <c r="D79" s="47">
        <f>ChartData!W43</f>
        <v>0</v>
      </c>
      <c r="E79" s="55">
        <f>ChartData!X43</f>
        <v>0.46108695652173914</v>
      </c>
    </row>
    <row r="80" spans="1:5" x14ac:dyDescent="0.25">
      <c r="A80" s="41">
        <f>ChartData!T44</f>
        <v>21</v>
      </c>
      <c r="B80" s="47">
        <f>ChartData!U44</f>
        <v>0.55162682608695679</v>
      </c>
      <c r="C80" s="47">
        <f>ChartData!V44</f>
        <v>0</v>
      </c>
      <c r="D80" s="47">
        <f>ChartData!W44</f>
        <v>0</v>
      </c>
      <c r="E80" s="55">
        <f>ChartData!X44</f>
        <v>0.46539130434782611</v>
      </c>
    </row>
    <row r="81" spans="1:5" x14ac:dyDescent="0.25">
      <c r="A81" s="41">
        <f>ChartData!T45</f>
        <v>21.5</v>
      </c>
      <c r="B81" s="47">
        <f>ChartData!U45</f>
        <v>0.46422213768115955</v>
      </c>
      <c r="C81" s="47">
        <f>ChartData!V45</f>
        <v>0</v>
      </c>
      <c r="D81" s="47">
        <f>ChartData!W45</f>
        <v>0</v>
      </c>
      <c r="E81" s="55">
        <f>ChartData!X45</f>
        <v>0.4139782608695653</v>
      </c>
    </row>
    <row r="82" spans="1:5" x14ac:dyDescent="0.25">
      <c r="A82" s="41">
        <f>ChartData!T46</f>
        <v>22</v>
      </c>
      <c r="B82" s="47">
        <f>ChartData!U46</f>
        <v>0.48840197101449301</v>
      </c>
      <c r="C82" s="47">
        <f>ChartData!V46</f>
        <v>0</v>
      </c>
      <c r="D82" s="47">
        <f>ChartData!W46</f>
        <v>0</v>
      </c>
      <c r="E82" s="55">
        <f>ChartData!X46</f>
        <v>0.42456521739130443</v>
      </c>
    </row>
    <row r="83" spans="1:5" x14ac:dyDescent="0.25">
      <c r="A83" s="41">
        <f>ChartData!T47</f>
        <v>22.5</v>
      </c>
      <c r="B83" s="47">
        <f>ChartData!U47</f>
        <v>0.48415688478260871</v>
      </c>
      <c r="C83" s="47">
        <f>ChartData!V47</f>
        <v>0</v>
      </c>
      <c r="D83" s="47">
        <f>ChartData!W47</f>
        <v>0</v>
      </c>
      <c r="E83" s="55">
        <f>ChartData!X47</f>
        <v>0.43391304347826087</v>
      </c>
    </row>
    <row r="84" spans="1:5" x14ac:dyDescent="0.25">
      <c r="A84" s="41">
        <f>ChartData!T48</f>
        <v>23</v>
      </c>
      <c r="B84" s="47">
        <f>ChartData!U48</f>
        <v>0.44280923550724649</v>
      </c>
      <c r="C84" s="47">
        <f>ChartData!V48</f>
        <v>0</v>
      </c>
      <c r="D84" s="47">
        <f>ChartData!W48</f>
        <v>0</v>
      </c>
      <c r="E84" s="55">
        <f>ChartData!X48</f>
        <v>0.3213478260869565</v>
      </c>
    </row>
    <row r="85" spans="1:5" x14ac:dyDescent="0.25">
      <c r="A85" s="42">
        <f>ChartData!T49</f>
        <v>23.5</v>
      </c>
      <c r="B85" s="48">
        <f>ChartData!U49</f>
        <v>0.29912049275362318</v>
      </c>
      <c r="C85" s="48">
        <f>ChartData!V49</f>
        <v>0</v>
      </c>
      <c r="D85" s="48">
        <f>ChartData!W49</f>
        <v>0</v>
      </c>
      <c r="E85" s="56">
        <f>ChartData!X49</f>
        <v>0.22439130434782611</v>
      </c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Summary</vt:lpstr>
      <vt:lpstr>FleetAverage</vt:lpstr>
      <vt:lpstr>SOC_pct</vt:lpstr>
      <vt:lpstr>Demand_kW</vt:lpstr>
      <vt:lpstr>PV_kW</vt:lpstr>
      <vt:lpstr>Charge_kW</vt:lpstr>
      <vt:lpstr>Discharge_kW</vt:lpstr>
      <vt:lpstr>Net_kW</vt:lpstr>
      <vt:lpstr>ProsumerMetrics</vt:lpstr>
      <vt:lpstr>Dashboard</vt:lpstr>
      <vt:lpstr>ChartData</vt:lpstr>
      <vt:lpstr>Fleet Avg Figure</vt:lpstr>
      <vt:lpstr>Self Consumption Figure</vt:lpstr>
      <vt:lpstr>Net Per Prosumer Figure</vt:lpstr>
      <vt:lpstr>Demand PV Dispatch 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Tulio Coelho Coura</dc:creator>
  <cp:lastModifiedBy>Tulio</cp:lastModifiedBy>
  <dcterms:created xsi:type="dcterms:W3CDTF">2026-07-10T18:34:12Z</dcterms:created>
  <dcterms:modified xsi:type="dcterms:W3CDTF">2026-07-10T18:34:12Z</dcterms:modified>
</cp:coreProperties>
</file>