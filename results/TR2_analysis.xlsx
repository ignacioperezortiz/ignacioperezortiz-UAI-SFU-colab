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projects\UAI-SFU-colab\results\TR2_analysis\"/>
    </mc:Choice>
  </mc:AlternateContent>
  <xr:revisionPtr revIDLastSave="0" documentId="8_{C0401B45-4758-47E8-894F-DC9C3BD91FBF}" xr6:coauthVersionLast="47" xr6:coauthVersionMax="47" xr10:uidLastSave="{00000000-0000-0000-0000-000000000000}"/>
  <bookViews>
    <workbookView xWindow="-120" yWindow="-120" windowWidth="38640" windowHeight="21120" firstSheet="13" activeTab="15" xr2:uid="{00000000-000D-0000-FFFF-FFFF00000000}"/>
  </bookViews>
  <sheets>
    <sheet name="ReadMe" sheetId="1" r:id="rId1"/>
    <sheet name="Summary" sheetId="2" r:id="rId2"/>
    <sheet name="FleetAverage" sheetId="3" r:id="rId3"/>
    <sheet name="SOC_pct" sheetId="4" r:id="rId4"/>
    <sheet name="Demand_kW" sheetId="5" r:id="rId5"/>
    <sheet name="PV_kW" sheetId="6" r:id="rId6"/>
    <sheet name="Charge_kW" sheetId="7" r:id="rId7"/>
    <sheet name="Discharge_kW" sheetId="8" r:id="rId8"/>
    <sheet name="Net_kW" sheetId="9" r:id="rId9"/>
    <sheet name="ProsumerMetrics" sheetId="10" r:id="rId10"/>
    <sheet name="Dashboard" sheetId="11" r:id="rId11"/>
    <sheet name="ChartData" sheetId="12" r:id="rId12"/>
    <sheet name="Fleet Avg Figure" sheetId="13" r:id="rId13"/>
    <sheet name="Self Consumption Figure" sheetId="14" r:id="rId14"/>
    <sheet name="Net Per Prosumer Figure" sheetId="15" r:id="rId15"/>
    <sheet name="Demand PV Dispatch Figur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1" i="16" l="1"/>
  <c r="E80" i="16"/>
  <c r="D79" i="16"/>
  <c r="D76" i="16"/>
  <c r="C74" i="16"/>
  <c r="E71" i="16"/>
  <c r="D71" i="16"/>
  <c r="C71" i="16"/>
  <c r="D68" i="16"/>
  <c r="D67" i="16"/>
  <c r="B67" i="16"/>
  <c r="E66" i="16"/>
  <c r="D62" i="16"/>
  <c r="E61" i="16"/>
  <c r="E58" i="16"/>
  <c r="E57" i="16"/>
  <c r="D57" i="16"/>
  <c r="C57" i="16"/>
  <c r="E56" i="16"/>
  <c r="A56" i="16"/>
  <c r="C54" i="16"/>
  <c r="B54" i="16"/>
  <c r="B52" i="16"/>
  <c r="D51" i="16"/>
  <c r="C50" i="16"/>
  <c r="E49" i="16"/>
  <c r="C48" i="16"/>
  <c r="B48" i="16"/>
  <c r="A48" i="16"/>
  <c r="B46" i="16"/>
  <c r="B43" i="16"/>
  <c r="D42" i="16"/>
  <c r="C42" i="16"/>
  <c r="B42" i="16"/>
  <c r="C41" i="16"/>
  <c r="B41" i="16"/>
  <c r="E39" i="16"/>
  <c r="C39" i="16"/>
  <c r="B74" i="15"/>
  <c r="B72" i="15"/>
  <c r="B71" i="15"/>
  <c r="B70" i="15"/>
  <c r="B68" i="15"/>
  <c r="B67" i="15"/>
  <c r="B66" i="15"/>
  <c r="B62" i="15"/>
  <c r="B60" i="15"/>
  <c r="A60" i="15"/>
  <c r="B59" i="15"/>
  <c r="B56" i="15"/>
  <c r="B54" i="15"/>
  <c r="B52" i="15"/>
  <c r="B51" i="15"/>
  <c r="B50" i="15"/>
  <c r="B48" i="15"/>
  <c r="B44" i="15"/>
  <c r="B43" i="15"/>
  <c r="B42" i="15"/>
  <c r="B41" i="15"/>
  <c r="B40" i="15"/>
  <c r="B39" i="15"/>
  <c r="B38" i="15"/>
  <c r="B36" i="15"/>
  <c r="B35" i="15"/>
  <c r="B34" i="15"/>
  <c r="B29" i="15"/>
  <c r="B28" i="15"/>
  <c r="A28" i="15"/>
  <c r="B27" i="15"/>
  <c r="A27" i="15"/>
  <c r="B82" i="14"/>
  <c r="F81" i="14"/>
  <c r="B81" i="14"/>
  <c r="G80" i="14"/>
  <c r="F80" i="14"/>
  <c r="A79" i="14"/>
  <c r="G77" i="14"/>
  <c r="B77" i="14"/>
  <c r="B76" i="14"/>
  <c r="A76" i="14"/>
  <c r="B74" i="14"/>
  <c r="F73" i="14"/>
  <c r="B72" i="14"/>
  <c r="B70" i="14"/>
  <c r="B69" i="14"/>
  <c r="F68" i="14"/>
  <c r="B68" i="14"/>
  <c r="F67" i="14"/>
  <c r="G66" i="14"/>
  <c r="F66" i="14"/>
  <c r="B66" i="14"/>
  <c r="A65" i="14"/>
  <c r="F64" i="14"/>
  <c r="B64" i="14"/>
  <c r="B62" i="14"/>
  <c r="B61" i="14"/>
  <c r="G60" i="14"/>
  <c r="F60" i="14"/>
  <c r="B60" i="14"/>
  <c r="A60" i="14"/>
  <c r="F59" i="14"/>
  <c r="F58" i="14"/>
  <c r="B58" i="14"/>
  <c r="A58" i="14"/>
  <c r="G57" i="14"/>
  <c r="B56" i="14"/>
  <c r="F55" i="14"/>
  <c r="B54" i="14"/>
  <c r="B53" i="14"/>
  <c r="A52" i="14"/>
  <c r="F51" i="14"/>
  <c r="C51" i="14"/>
  <c r="B51" i="14"/>
  <c r="B50" i="14"/>
  <c r="B49" i="14"/>
  <c r="A47" i="14"/>
  <c r="F46" i="14"/>
  <c r="B45" i="14"/>
  <c r="F44" i="14"/>
  <c r="B42" i="14"/>
  <c r="F41" i="14"/>
  <c r="B40" i="14"/>
  <c r="F38" i="14"/>
  <c r="B38" i="14"/>
  <c r="A38" i="14"/>
  <c r="G37" i="14"/>
  <c r="F37" i="14"/>
  <c r="B37" i="14"/>
  <c r="A74" i="13"/>
  <c r="D73" i="13"/>
  <c r="C73" i="13"/>
  <c r="B71" i="13"/>
  <c r="E70" i="13"/>
  <c r="F69" i="13"/>
  <c r="D69" i="13"/>
  <c r="C69" i="13"/>
  <c r="D65" i="13"/>
  <c r="C65" i="13"/>
  <c r="D64" i="13"/>
  <c r="C63" i="13"/>
  <c r="A62" i="13"/>
  <c r="E58" i="13"/>
  <c r="C58" i="13"/>
  <c r="B58" i="13"/>
  <c r="D57" i="13"/>
  <c r="E55" i="13"/>
  <c r="B55" i="13"/>
  <c r="A55" i="13"/>
  <c r="E54" i="13"/>
  <c r="C54" i="13"/>
  <c r="D51" i="13"/>
  <c r="E48" i="13"/>
  <c r="D48" i="13"/>
  <c r="E47" i="13"/>
  <c r="D47" i="13"/>
  <c r="E45" i="13"/>
  <c r="C44" i="13"/>
  <c r="C43" i="13"/>
  <c r="B43" i="13"/>
  <c r="E42" i="13"/>
  <c r="A42" i="13"/>
  <c r="D41" i="13"/>
  <c r="C41" i="13"/>
  <c r="B41" i="13"/>
  <c r="E40" i="13"/>
  <c r="B38" i="13"/>
  <c r="C37" i="13"/>
  <c r="A37" i="13"/>
  <c r="C36" i="13"/>
  <c r="A36" i="13"/>
  <c r="F35" i="13"/>
  <c r="C34" i="13"/>
  <c r="D33" i="13"/>
  <c r="C31" i="13"/>
  <c r="B31" i="13"/>
  <c r="D30" i="13"/>
  <c r="A29" i="13"/>
  <c r="D28" i="13"/>
  <c r="C28" i="13"/>
  <c r="M96" i="12"/>
  <c r="L96" i="12"/>
  <c r="K96" i="12"/>
  <c r="M95" i="12"/>
  <c r="L95" i="12"/>
  <c r="K95" i="12"/>
  <c r="M94" i="12"/>
  <c r="L94" i="12"/>
  <c r="K94" i="12"/>
  <c r="M93" i="12"/>
  <c r="L93" i="12"/>
  <c r="K93" i="12"/>
  <c r="M92" i="12"/>
  <c r="L92" i="12"/>
  <c r="K92" i="12"/>
  <c r="M91" i="12"/>
  <c r="L91" i="12"/>
  <c r="K91" i="12"/>
  <c r="M90" i="12"/>
  <c r="L90" i="12"/>
  <c r="K90" i="12"/>
  <c r="M89" i="12"/>
  <c r="L89" i="12"/>
  <c r="K89" i="12"/>
  <c r="M88" i="12"/>
  <c r="L88" i="12"/>
  <c r="K88" i="12"/>
  <c r="M87" i="12"/>
  <c r="L87" i="12"/>
  <c r="K87" i="12"/>
  <c r="M86" i="12"/>
  <c r="L86" i="12"/>
  <c r="K86" i="12"/>
  <c r="M85" i="12"/>
  <c r="L85" i="12"/>
  <c r="K85" i="12"/>
  <c r="M84" i="12"/>
  <c r="L84" i="12"/>
  <c r="K84" i="12"/>
  <c r="M83" i="12"/>
  <c r="L83" i="12"/>
  <c r="K83" i="12"/>
  <c r="M82" i="12"/>
  <c r="L82" i="12"/>
  <c r="K82" i="12"/>
  <c r="M81" i="12"/>
  <c r="L81" i="12"/>
  <c r="K81" i="12"/>
  <c r="M80" i="12"/>
  <c r="L80" i="12"/>
  <c r="K80" i="12"/>
  <c r="M79" i="12"/>
  <c r="L79" i="12"/>
  <c r="K79" i="12"/>
  <c r="M78" i="12"/>
  <c r="L78" i="12"/>
  <c r="K78" i="12"/>
  <c r="M77" i="12"/>
  <c r="L77" i="12"/>
  <c r="K77" i="12"/>
  <c r="M76" i="12"/>
  <c r="L76" i="12"/>
  <c r="K76" i="12"/>
  <c r="M75" i="12"/>
  <c r="L75" i="12"/>
  <c r="K75" i="12"/>
  <c r="M74" i="12"/>
  <c r="L74" i="12"/>
  <c r="K74" i="12"/>
  <c r="M73" i="12"/>
  <c r="L73" i="12"/>
  <c r="K73" i="12"/>
  <c r="M72" i="12"/>
  <c r="L72" i="12"/>
  <c r="K72" i="12"/>
  <c r="M71" i="12"/>
  <c r="L71" i="12"/>
  <c r="K71" i="12"/>
  <c r="M70" i="12"/>
  <c r="L70" i="12"/>
  <c r="K70" i="12"/>
  <c r="M69" i="12"/>
  <c r="L69" i="12"/>
  <c r="K69" i="12"/>
  <c r="M68" i="12"/>
  <c r="L68" i="12"/>
  <c r="K68" i="12"/>
  <c r="M67" i="12"/>
  <c r="L67" i="12"/>
  <c r="K67" i="12"/>
  <c r="M66" i="12"/>
  <c r="L66" i="12"/>
  <c r="K66" i="12"/>
  <c r="M65" i="12"/>
  <c r="L65" i="12"/>
  <c r="K65" i="12"/>
  <c r="M64" i="12"/>
  <c r="L64" i="12"/>
  <c r="K64" i="12"/>
  <c r="M63" i="12"/>
  <c r="L63" i="12"/>
  <c r="K63" i="12"/>
  <c r="M62" i="12"/>
  <c r="L62" i="12"/>
  <c r="K62" i="12"/>
  <c r="M61" i="12"/>
  <c r="L61" i="12"/>
  <c r="K61" i="12"/>
  <c r="M60" i="12"/>
  <c r="L60" i="12"/>
  <c r="K60" i="12"/>
  <c r="M59" i="12"/>
  <c r="L59" i="12"/>
  <c r="K59" i="12"/>
  <c r="M58" i="12"/>
  <c r="L58" i="12"/>
  <c r="K58" i="12"/>
  <c r="M57" i="12"/>
  <c r="L57" i="12"/>
  <c r="K57" i="12"/>
  <c r="M56" i="12"/>
  <c r="L56" i="12"/>
  <c r="K56" i="12"/>
  <c r="M55" i="12"/>
  <c r="L55" i="12"/>
  <c r="K55" i="12"/>
  <c r="M54" i="12"/>
  <c r="L54" i="12"/>
  <c r="K54" i="12"/>
  <c r="M53" i="12"/>
  <c r="L53" i="12"/>
  <c r="K53" i="12"/>
  <c r="M52" i="12"/>
  <c r="L52" i="12"/>
  <c r="K52" i="12"/>
  <c r="M51" i="12"/>
  <c r="L51" i="12"/>
  <c r="K51" i="12"/>
  <c r="M50" i="12"/>
  <c r="L50" i="12"/>
  <c r="K50" i="12"/>
  <c r="AG49" i="12"/>
  <c r="G84" i="14" s="1"/>
  <c r="AF49" i="12"/>
  <c r="F84" i="14" s="1"/>
  <c r="AB49" i="12"/>
  <c r="B84" i="14" s="1"/>
  <c r="AA49" i="12"/>
  <c r="T49" i="12"/>
  <c r="A85" i="16" s="1"/>
  <c r="M49" i="12"/>
  <c r="L49" i="12"/>
  <c r="K49" i="12"/>
  <c r="I49" i="12"/>
  <c r="F49" i="12"/>
  <c r="A49" i="12"/>
  <c r="AG48" i="12"/>
  <c r="G83" i="14" s="1"/>
  <c r="AF48" i="12"/>
  <c r="F83" i="14" s="1"/>
  <c r="AB48" i="12"/>
  <c r="B83" i="14" s="1"/>
  <c r="W48" i="12"/>
  <c r="D84" i="16" s="1"/>
  <c r="M48" i="12"/>
  <c r="L48" i="12"/>
  <c r="K48" i="12"/>
  <c r="H48" i="12"/>
  <c r="G48" i="12"/>
  <c r="B48" i="12"/>
  <c r="A48" i="12"/>
  <c r="AG47" i="12"/>
  <c r="G82" i="14" s="1"/>
  <c r="AF47" i="12"/>
  <c r="F82" i="14" s="1"/>
  <c r="AB47" i="12"/>
  <c r="AA47" i="12"/>
  <c r="T47" i="12"/>
  <c r="A72" i="13" s="1"/>
  <c r="M47" i="12"/>
  <c r="L47" i="12"/>
  <c r="K47" i="12"/>
  <c r="H47" i="12"/>
  <c r="AF46" i="12"/>
  <c r="AB46" i="12"/>
  <c r="X46" i="12"/>
  <c r="E82" i="16" s="1"/>
  <c r="W46" i="12"/>
  <c r="U46" i="12"/>
  <c r="B82" i="16" s="1"/>
  <c r="M46" i="12"/>
  <c r="L46" i="12"/>
  <c r="K46" i="12"/>
  <c r="I46" i="12"/>
  <c r="F46" i="12"/>
  <c r="D46" i="12"/>
  <c r="C46" i="12"/>
  <c r="B46" i="12"/>
  <c r="AG45" i="12"/>
  <c r="AF45" i="12"/>
  <c r="AB45" i="12"/>
  <c r="B80" i="14" s="1"/>
  <c r="W45" i="12"/>
  <c r="V45" i="12"/>
  <c r="U45" i="12"/>
  <c r="B70" i="13" s="1"/>
  <c r="T45" i="12"/>
  <c r="A81" i="16" s="1"/>
  <c r="M45" i="12"/>
  <c r="L45" i="12"/>
  <c r="K45" i="12"/>
  <c r="H45" i="12"/>
  <c r="B45" i="12"/>
  <c r="AF44" i="12"/>
  <c r="F79" i="14" s="1"/>
  <c r="AB44" i="12"/>
  <c r="AA44" i="12"/>
  <c r="A69" i="15" s="1"/>
  <c r="X44" i="12"/>
  <c r="E69" i="13" s="1"/>
  <c r="W44" i="12"/>
  <c r="D80" i="16" s="1"/>
  <c r="V44" i="12"/>
  <c r="C80" i="16" s="1"/>
  <c r="M44" i="12"/>
  <c r="L44" i="12"/>
  <c r="K44" i="12"/>
  <c r="F44" i="12"/>
  <c r="B44" i="12"/>
  <c r="A44" i="12"/>
  <c r="AG43" i="12"/>
  <c r="G78" i="14" s="1"/>
  <c r="AF43" i="12"/>
  <c r="F78" i="14" s="1"/>
  <c r="AB43" i="12"/>
  <c r="B78" i="14" s="1"/>
  <c r="V43" i="12"/>
  <c r="C79" i="16" s="1"/>
  <c r="T43" i="12"/>
  <c r="M43" i="12"/>
  <c r="L43" i="12"/>
  <c r="K43" i="12"/>
  <c r="I43" i="12"/>
  <c r="H43" i="12"/>
  <c r="B43" i="12"/>
  <c r="AF42" i="12"/>
  <c r="F77" i="14" s="1"/>
  <c r="AB42" i="12"/>
  <c r="W42" i="12"/>
  <c r="D78" i="16" s="1"/>
  <c r="M42" i="12"/>
  <c r="L42" i="12"/>
  <c r="K42" i="12"/>
  <c r="I42" i="12"/>
  <c r="H42" i="12"/>
  <c r="C42" i="12"/>
  <c r="AF41" i="12"/>
  <c r="F76" i="14" s="1"/>
  <c r="AB41" i="12"/>
  <c r="AA41" i="12"/>
  <c r="A66" i="15" s="1"/>
  <c r="V41" i="12"/>
  <c r="U41" i="12"/>
  <c r="T41" i="12"/>
  <c r="A66" i="13" s="1"/>
  <c r="M41" i="12"/>
  <c r="L41" i="12"/>
  <c r="K41" i="12"/>
  <c r="I41" i="12"/>
  <c r="H41" i="12"/>
  <c r="F41" i="12"/>
  <c r="A41" i="12"/>
  <c r="AF40" i="12"/>
  <c r="F75" i="14" s="1"/>
  <c r="AB40" i="12"/>
  <c r="W40" i="12"/>
  <c r="M40" i="12"/>
  <c r="L40" i="12"/>
  <c r="K40" i="12"/>
  <c r="G40" i="12"/>
  <c r="F40" i="12"/>
  <c r="D40" i="12"/>
  <c r="AG39" i="12"/>
  <c r="G74" i="14" s="1"/>
  <c r="AF39" i="12"/>
  <c r="F74" i="14" s="1"/>
  <c r="AB39" i="12"/>
  <c r="B64" i="15" s="1"/>
  <c r="Y39" i="12"/>
  <c r="F64" i="13" s="1"/>
  <c r="X39" i="12"/>
  <c r="W39" i="12"/>
  <c r="D75" i="16" s="1"/>
  <c r="M39" i="12"/>
  <c r="L39" i="12"/>
  <c r="K39" i="12"/>
  <c r="I39" i="12"/>
  <c r="H39" i="12"/>
  <c r="G39" i="12"/>
  <c r="B39" i="12"/>
  <c r="AF38" i="12"/>
  <c r="AB38" i="12"/>
  <c r="B63" i="15" s="1"/>
  <c r="X38" i="12"/>
  <c r="E74" i="16" s="1"/>
  <c r="W38" i="12"/>
  <c r="D74" i="16" s="1"/>
  <c r="V38" i="12"/>
  <c r="U38" i="12"/>
  <c r="M38" i="12"/>
  <c r="L38" i="12"/>
  <c r="K38" i="12"/>
  <c r="G38" i="12"/>
  <c r="C38" i="12"/>
  <c r="AF37" i="12"/>
  <c r="F72" i="14" s="1"/>
  <c r="AB37" i="12"/>
  <c r="AA37" i="12"/>
  <c r="A62" i="15" s="1"/>
  <c r="T37" i="12"/>
  <c r="A73" i="16" s="1"/>
  <c r="M37" i="12"/>
  <c r="L37" i="12"/>
  <c r="K37" i="12"/>
  <c r="H37" i="12"/>
  <c r="B37" i="12"/>
  <c r="AG36" i="12"/>
  <c r="G71" i="14" s="1"/>
  <c r="AF36" i="12"/>
  <c r="F71" i="14" s="1"/>
  <c r="AB36" i="12"/>
  <c r="AA36" i="12"/>
  <c r="X36" i="12"/>
  <c r="E72" i="16" s="1"/>
  <c r="W36" i="12"/>
  <c r="V36" i="12"/>
  <c r="M36" i="12"/>
  <c r="L36" i="12"/>
  <c r="K36" i="12"/>
  <c r="H36" i="12"/>
  <c r="G36" i="12"/>
  <c r="D36" i="12"/>
  <c r="B36" i="12"/>
  <c r="AF35" i="12"/>
  <c r="F70" i="14" s="1"/>
  <c r="AB35" i="12"/>
  <c r="AA35" i="12"/>
  <c r="A70" i="14" s="1"/>
  <c r="X35" i="12"/>
  <c r="E60" i="13" s="1"/>
  <c r="W35" i="12"/>
  <c r="D60" i="13" s="1"/>
  <c r="V35" i="12"/>
  <c r="C60" i="13" s="1"/>
  <c r="T35" i="12"/>
  <c r="A71" i="16" s="1"/>
  <c r="M35" i="12"/>
  <c r="L35" i="12"/>
  <c r="K35" i="12"/>
  <c r="H35" i="12"/>
  <c r="G35" i="12"/>
  <c r="AF34" i="12"/>
  <c r="F69" i="14" s="1"/>
  <c r="AB34" i="12"/>
  <c r="AA34" i="12"/>
  <c r="A69" i="14" s="1"/>
  <c r="T34" i="12"/>
  <c r="M34" i="12"/>
  <c r="L34" i="12"/>
  <c r="K34" i="12"/>
  <c r="I34" i="12"/>
  <c r="H34" i="12"/>
  <c r="G34" i="12"/>
  <c r="F34" i="12"/>
  <c r="A34" i="12"/>
  <c r="AG33" i="12"/>
  <c r="G68" i="14" s="1"/>
  <c r="AF33" i="12"/>
  <c r="AB33" i="12"/>
  <c r="B58" i="15" s="1"/>
  <c r="V33" i="12"/>
  <c r="C69" i="16" s="1"/>
  <c r="U33" i="12"/>
  <c r="B69" i="16" s="1"/>
  <c r="M33" i="12"/>
  <c r="L33" i="12"/>
  <c r="K33" i="12"/>
  <c r="I33" i="12"/>
  <c r="H33" i="12"/>
  <c r="F33" i="12"/>
  <c r="B33" i="12"/>
  <c r="AF32" i="12"/>
  <c r="AB32" i="12"/>
  <c r="AA32" i="12"/>
  <c r="A57" i="15" s="1"/>
  <c r="X32" i="12"/>
  <c r="W32" i="12"/>
  <c r="M32" i="12"/>
  <c r="L32" i="12"/>
  <c r="K32" i="12"/>
  <c r="H32" i="12"/>
  <c r="G32" i="12"/>
  <c r="F32" i="12"/>
  <c r="D32" i="12"/>
  <c r="B32" i="12"/>
  <c r="A32" i="12"/>
  <c r="AG31" i="12"/>
  <c r="AF31" i="12"/>
  <c r="AB31" i="12"/>
  <c r="W31" i="12"/>
  <c r="D56" i="13" s="1"/>
  <c r="U31" i="12"/>
  <c r="B56" i="13" s="1"/>
  <c r="M31" i="12"/>
  <c r="L31" i="12"/>
  <c r="K31" i="12"/>
  <c r="I31" i="12"/>
  <c r="H31" i="12"/>
  <c r="G31" i="12"/>
  <c r="B31" i="12"/>
  <c r="AF30" i="12"/>
  <c r="F65" i="14" s="1"/>
  <c r="AB30" i="12"/>
  <c r="B55" i="15" s="1"/>
  <c r="X30" i="12"/>
  <c r="W30" i="12"/>
  <c r="U30" i="12"/>
  <c r="B66" i="16" s="1"/>
  <c r="T30" i="12"/>
  <c r="A66" i="16" s="1"/>
  <c r="M30" i="12"/>
  <c r="L30" i="12"/>
  <c r="K30" i="12"/>
  <c r="I30" i="12"/>
  <c r="H30" i="12"/>
  <c r="G30" i="12"/>
  <c r="B30" i="12"/>
  <c r="A30" i="12"/>
  <c r="AG29" i="12"/>
  <c r="G64" i="14" s="1"/>
  <c r="AF29" i="12"/>
  <c r="AB29" i="12"/>
  <c r="V29" i="12"/>
  <c r="C65" i="16" s="1"/>
  <c r="U29" i="12"/>
  <c r="M29" i="12"/>
  <c r="L29" i="12"/>
  <c r="K29" i="12"/>
  <c r="I29" i="12"/>
  <c r="H29" i="12"/>
  <c r="AG28" i="12"/>
  <c r="G63" i="14" s="1"/>
  <c r="AF28" i="12"/>
  <c r="F63" i="14" s="1"/>
  <c r="AB28" i="12"/>
  <c r="B53" i="15" s="1"/>
  <c r="AA28" i="12"/>
  <c r="X28" i="12"/>
  <c r="V28" i="12"/>
  <c r="C64" i="16" s="1"/>
  <c r="M28" i="12"/>
  <c r="L28" i="12"/>
  <c r="K28" i="12"/>
  <c r="H28" i="12"/>
  <c r="B28" i="12"/>
  <c r="A28" i="12"/>
  <c r="AG27" i="12"/>
  <c r="G62" i="14" s="1"/>
  <c r="AF27" i="12"/>
  <c r="F62" i="14" s="1"/>
  <c r="AC27" i="12"/>
  <c r="AB27" i="12"/>
  <c r="AA27" i="12"/>
  <c r="A62" i="14" s="1"/>
  <c r="M27" i="12"/>
  <c r="L27" i="12"/>
  <c r="K27" i="12"/>
  <c r="I27" i="12"/>
  <c r="H27" i="12"/>
  <c r="G27" i="12"/>
  <c r="B27" i="12"/>
  <c r="AF26" i="12"/>
  <c r="F61" i="14" s="1"/>
  <c r="AB26" i="12"/>
  <c r="X26" i="12"/>
  <c r="E62" i="16" s="1"/>
  <c r="W26" i="12"/>
  <c r="M26" i="12"/>
  <c r="L26" i="12"/>
  <c r="K26" i="12"/>
  <c r="I26" i="12"/>
  <c r="H26" i="12"/>
  <c r="G26" i="12"/>
  <c r="F26" i="12"/>
  <c r="D26" i="12"/>
  <c r="B26" i="12"/>
  <c r="AF25" i="12"/>
  <c r="AB25" i="12"/>
  <c r="AA25" i="12"/>
  <c r="A50" i="15" s="1"/>
  <c r="W25" i="12"/>
  <c r="D50" i="13" s="1"/>
  <c r="T25" i="12"/>
  <c r="A50" i="13" s="1"/>
  <c r="M25" i="12"/>
  <c r="L25" i="12"/>
  <c r="K25" i="12"/>
  <c r="I25" i="12"/>
  <c r="F25" i="12"/>
  <c r="B25" i="12"/>
  <c r="A25" i="12"/>
  <c r="AG24" i="12"/>
  <c r="G59" i="14" s="1"/>
  <c r="AF24" i="12"/>
  <c r="AB24" i="12"/>
  <c r="AA24" i="12"/>
  <c r="A59" i="14" s="1"/>
  <c r="X24" i="12"/>
  <c r="E60" i="16" s="1"/>
  <c r="W24" i="12"/>
  <c r="D49" i="13" s="1"/>
  <c r="V24" i="12"/>
  <c r="C49" i="13" s="1"/>
  <c r="M24" i="12"/>
  <c r="L24" i="12"/>
  <c r="K24" i="12"/>
  <c r="B24" i="12"/>
  <c r="A24" i="12"/>
  <c r="AG23" i="12"/>
  <c r="G58" i="14" s="1"/>
  <c r="AF23" i="12"/>
  <c r="AB23" i="12"/>
  <c r="AA23" i="12"/>
  <c r="A48" i="15" s="1"/>
  <c r="X23" i="12"/>
  <c r="E59" i="16" s="1"/>
  <c r="W23" i="12"/>
  <c r="D59" i="16" s="1"/>
  <c r="V23" i="12"/>
  <c r="U23" i="12"/>
  <c r="B59" i="16" s="1"/>
  <c r="T23" i="12"/>
  <c r="A59" i="16" s="1"/>
  <c r="M23" i="12"/>
  <c r="L23" i="12"/>
  <c r="K23" i="12"/>
  <c r="I23" i="12"/>
  <c r="H23" i="12"/>
  <c r="G23" i="12"/>
  <c r="B23" i="12"/>
  <c r="AF22" i="12"/>
  <c r="F57" i="14" s="1"/>
  <c r="AB22" i="12"/>
  <c r="B47" i="15" s="1"/>
  <c r="X22" i="12"/>
  <c r="U22" i="12"/>
  <c r="B58" i="16" s="1"/>
  <c r="M22" i="12"/>
  <c r="L22" i="12"/>
  <c r="K22" i="12"/>
  <c r="H22" i="12"/>
  <c r="G22" i="12"/>
  <c r="B22" i="12"/>
  <c r="AG21" i="12"/>
  <c r="G56" i="14" s="1"/>
  <c r="AF21" i="12"/>
  <c r="F56" i="14" s="1"/>
  <c r="AB21" i="12"/>
  <c r="B46" i="15" s="1"/>
  <c r="W21" i="12"/>
  <c r="D46" i="13" s="1"/>
  <c r="V21" i="12"/>
  <c r="C46" i="13" s="1"/>
  <c r="U21" i="12"/>
  <c r="T21" i="12"/>
  <c r="M21" i="12"/>
  <c r="L21" i="12"/>
  <c r="K21" i="12"/>
  <c r="I21" i="12"/>
  <c r="H21" i="12"/>
  <c r="AF20" i="12"/>
  <c r="AB20" i="12"/>
  <c r="X20" i="12"/>
  <c r="W20" i="12"/>
  <c r="M20" i="12"/>
  <c r="L20" i="12"/>
  <c r="K20" i="12"/>
  <c r="H20" i="12"/>
  <c r="G20" i="12"/>
  <c r="F20" i="12"/>
  <c r="D20" i="12"/>
  <c r="C20" i="12"/>
  <c r="B20" i="12"/>
  <c r="A20" i="12"/>
  <c r="AG19" i="12"/>
  <c r="G54" i="14" s="1"/>
  <c r="AF19" i="12"/>
  <c r="F54" i="14" s="1"/>
  <c r="AB19" i="12"/>
  <c r="V19" i="12"/>
  <c r="C55" i="16" s="1"/>
  <c r="M19" i="12"/>
  <c r="L19" i="12"/>
  <c r="K19" i="12"/>
  <c r="I19" i="12"/>
  <c r="H19" i="12"/>
  <c r="AF18" i="12"/>
  <c r="F53" i="14" s="1"/>
  <c r="AE18" i="12"/>
  <c r="E53" i="14" s="1"/>
  <c r="AD18" i="12"/>
  <c r="D53" i="14" s="1"/>
  <c r="AB18" i="12"/>
  <c r="AA18" i="12"/>
  <c r="A43" i="15" s="1"/>
  <c r="X18" i="12"/>
  <c r="W18" i="12"/>
  <c r="U18" i="12"/>
  <c r="M18" i="12"/>
  <c r="L18" i="12"/>
  <c r="K18" i="12"/>
  <c r="I18" i="12"/>
  <c r="H18" i="12"/>
  <c r="G18" i="12"/>
  <c r="F18" i="12"/>
  <c r="C18" i="12"/>
  <c r="AG17" i="12"/>
  <c r="G52" i="14" s="1"/>
  <c r="AF17" i="12"/>
  <c r="F52" i="14" s="1"/>
  <c r="AB17" i="12"/>
  <c r="B52" i="14" s="1"/>
  <c r="AA17" i="12"/>
  <c r="A42" i="15" s="1"/>
  <c r="V17" i="12"/>
  <c r="U17" i="12"/>
  <c r="T17" i="12"/>
  <c r="A53" i="16" s="1"/>
  <c r="M17" i="12"/>
  <c r="L17" i="12"/>
  <c r="K17" i="12"/>
  <c r="I17" i="12"/>
  <c r="H17" i="12"/>
  <c r="F17" i="12"/>
  <c r="A17" i="12"/>
  <c r="AG16" i="12"/>
  <c r="G51" i="14" s="1"/>
  <c r="AF16" i="12"/>
  <c r="AB16" i="12"/>
  <c r="X16" i="12"/>
  <c r="W16" i="12"/>
  <c r="D52" i="16" s="1"/>
  <c r="V16" i="12"/>
  <c r="C52" i="16" s="1"/>
  <c r="M16" i="12"/>
  <c r="L16" i="12"/>
  <c r="K16" i="12"/>
  <c r="G16" i="12"/>
  <c r="AF15" i="12"/>
  <c r="F50" i="14" s="1"/>
  <c r="AB15" i="12"/>
  <c r="AA15" i="12"/>
  <c r="Y15" i="12"/>
  <c r="F40" i="13" s="1"/>
  <c r="X15" i="12"/>
  <c r="E51" i="16" s="1"/>
  <c r="W15" i="12"/>
  <c r="D40" i="13" s="1"/>
  <c r="V15" i="12"/>
  <c r="C40" i="13" s="1"/>
  <c r="U15" i="12"/>
  <c r="T15" i="12"/>
  <c r="M15" i="12"/>
  <c r="L15" i="12"/>
  <c r="K15" i="12"/>
  <c r="H15" i="12"/>
  <c r="G15" i="12"/>
  <c r="AF14" i="12"/>
  <c r="F49" i="14" s="1"/>
  <c r="AB14" i="12"/>
  <c r="U14" i="12"/>
  <c r="B50" i="16" s="1"/>
  <c r="M14" i="12"/>
  <c r="L14" i="12"/>
  <c r="K14" i="12"/>
  <c r="I14" i="12"/>
  <c r="F14" i="12"/>
  <c r="D14" i="12"/>
  <c r="C14" i="12"/>
  <c r="B14" i="12"/>
  <c r="AF13" i="12"/>
  <c r="F48" i="14" s="1"/>
  <c r="AB13" i="12"/>
  <c r="B48" i="14" s="1"/>
  <c r="M13" i="12"/>
  <c r="L13" i="12"/>
  <c r="K13" i="12"/>
  <c r="I13" i="12"/>
  <c r="H13" i="12"/>
  <c r="B13" i="12"/>
  <c r="AF12" i="12"/>
  <c r="F47" i="14" s="1"/>
  <c r="AB12" i="12"/>
  <c r="AA12" i="12"/>
  <c r="A37" i="15" s="1"/>
  <c r="X12" i="12"/>
  <c r="E37" i="13" s="1"/>
  <c r="W12" i="12"/>
  <c r="V12" i="12"/>
  <c r="M12" i="12"/>
  <c r="L12" i="12"/>
  <c r="K12" i="12"/>
  <c r="H12" i="12"/>
  <c r="G12" i="12"/>
  <c r="F12" i="12"/>
  <c r="A12" i="12"/>
  <c r="AF11" i="12"/>
  <c r="AB11" i="12"/>
  <c r="B46" i="14" s="1"/>
  <c r="AA11" i="12"/>
  <c r="V11" i="12"/>
  <c r="C47" i="16" s="1"/>
  <c r="Q11" i="12"/>
  <c r="P11" i="12"/>
  <c r="R11" i="12" s="1"/>
  <c r="M11" i="12"/>
  <c r="L11" i="12"/>
  <c r="K11" i="12"/>
  <c r="F11" i="12"/>
  <c r="B11" i="12"/>
  <c r="A11" i="12"/>
  <c r="AG10" i="12"/>
  <c r="G45" i="14" s="1"/>
  <c r="AF10" i="12"/>
  <c r="F45" i="14" s="1"/>
  <c r="AB10" i="12"/>
  <c r="X10" i="12"/>
  <c r="W10" i="12"/>
  <c r="U10" i="12"/>
  <c r="B35" i="13" s="1"/>
  <c r="Q10" i="12"/>
  <c r="P10" i="12"/>
  <c r="R10" i="12" s="1"/>
  <c r="M10" i="12"/>
  <c r="L10" i="12"/>
  <c r="K10" i="12"/>
  <c r="I10" i="12"/>
  <c r="H10" i="12"/>
  <c r="G10" i="12"/>
  <c r="AF9" i="12"/>
  <c r="AB9" i="12"/>
  <c r="B44" i="14" s="1"/>
  <c r="AA9" i="12"/>
  <c r="A34" i="15" s="1"/>
  <c r="X9" i="12"/>
  <c r="E34" i="13" s="1"/>
  <c r="W9" i="12"/>
  <c r="V9" i="12"/>
  <c r="C45" i="16" s="1"/>
  <c r="U9" i="12"/>
  <c r="B34" i="13" s="1"/>
  <c r="Q9" i="12"/>
  <c r="P9" i="12" s="1"/>
  <c r="R9" i="12" s="1"/>
  <c r="M9" i="12"/>
  <c r="L9" i="12"/>
  <c r="K9" i="12"/>
  <c r="H9" i="12"/>
  <c r="G9" i="12"/>
  <c r="F9" i="12"/>
  <c r="A9" i="12"/>
  <c r="AF8" i="12"/>
  <c r="F43" i="14" s="1"/>
  <c r="AB8" i="12"/>
  <c r="X8" i="12"/>
  <c r="E44" i="16" s="1"/>
  <c r="W8" i="12"/>
  <c r="D44" i="16" s="1"/>
  <c r="Q8" i="12"/>
  <c r="P8" i="12" s="1"/>
  <c r="R8" i="12" s="1"/>
  <c r="M8" i="12"/>
  <c r="L8" i="12"/>
  <c r="K8" i="12"/>
  <c r="G8" i="12"/>
  <c r="D8" i="12"/>
  <c r="C8" i="12"/>
  <c r="AG7" i="12"/>
  <c r="G42" i="14" s="1"/>
  <c r="AF7" i="12"/>
  <c r="F42" i="14" s="1"/>
  <c r="AB7" i="12"/>
  <c r="B32" i="15" s="1"/>
  <c r="AA7" i="12"/>
  <c r="V7" i="12"/>
  <c r="R7" i="12"/>
  <c r="Q7" i="12"/>
  <c r="P7" i="12" s="1"/>
  <c r="M7" i="12"/>
  <c r="L7" i="12"/>
  <c r="K7" i="12"/>
  <c r="I7" i="12"/>
  <c r="H7" i="12"/>
  <c r="G7" i="12"/>
  <c r="C7" i="12"/>
  <c r="A7" i="12"/>
  <c r="AF6" i="12"/>
  <c r="AB6" i="12"/>
  <c r="AA6" i="12"/>
  <c r="X6" i="12"/>
  <c r="W6" i="12"/>
  <c r="D31" i="13" s="1"/>
  <c r="V6" i="12"/>
  <c r="U6" i="12"/>
  <c r="Q6" i="12"/>
  <c r="P6" i="12"/>
  <c r="R6" i="12" s="1"/>
  <c r="M6" i="12"/>
  <c r="L6" i="12"/>
  <c r="K6" i="12"/>
  <c r="H6" i="12"/>
  <c r="G6" i="12"/>
  <c r="A6" i="12"/>
  <c r="AF5" i="12"/>
  <c r="F40" i="14" s="1"/>
  <c r="AB5" i="12"/>
  <c r="B30" i="15" s="1"/>
  <c r="X5" i="12"/>
  <c r="W5" i="12"/>
  <c r="D41" i="16" s="1"/>
  <c r="Q5" i="12"/>
  <c r="P5" i="12"/>
  <c r="R5" i="12" s="1"/>
  <c r="M5" i="12"/>
  <c r="L5" i="12"/>
  <c r="K5" i="12"/>
  <c r="H5" i="12"/>
  <c r="C5" i="12"/>
  <c r="B5" i="12"/>
  <c r="AF4" i="12"/>
  <c r="F39" i="14" s="1"/>
  <c r="AC4" i="12"/>
  <c r="AB4" i="12"/>
  <c r="B39" i="14" s="1"/>
  <c r="AA4" i="12"/>
  <c r="Y4" i="12"/>
  <c r="F29" i="13" s="1"/>
  <c r="Q4" i="12"/>
  <c r="P4" i="12"/>
  <c r="R4" i="12" s="1"/>
  <c r="M4" i="12"/>
  <c r="L4" i="12"/>
  <c r="K4" i="12"/>
  <c r="I4" i="12"/>
  <c r="B4" i="12"/>
  <c r="AF3" i="12"/>
  <c r="AB3" i="12"/>
  <c r="AA3" i="12"/>
  <c r="X3" i="12"/>
  <c r="E28" i="13" s="1"/>
  <c r="W3" i="12"/>
  <c r="D39" i="16" s="1"/>
  <c r="U3" i="12"/>
  <c r="T3" i="12"/>
  <c r="Q3" i="12"/>
  <c r="P3" i="12" s="1"/>
  <c r="R3" i="12" s="1"/>
  <c r="M3" i="12"/>
  <c r="L3" i="12"/>
  <c r="K3" i="12"/>
  <c r="H3" i="12"/>
  <c r="G3" i="12"/>
  <c r="F3" i="12"/>
  <c r="A3" i="12"/>
  <c r="AF2" i="12"/>
  <c r="AB2" i="12"/>
  <c r="AA2" i="12"/>
  <c r="A37" i="14" s="1"/>
  <c r="T2" i="12"/>
  <c r="Q2" i="12"/>
  <c r="P2" i="12" s="1"/>
  <c r="R2" i="12" s="1"/>
  <c r="M2" i="12"/>
  <c r="L2" i="12"/>
  <c r="K2" i="12"/>
  <c r="I2" i="12"/>
  <c r="G2" i="12"/>
  <c r="F2" i="12"/>
  <c r="D2" i="12"/>
  <c r="C2" i="12"/>
  <c r="A2" i="12"/>
  <c r="P5" i="11"/>
  <c r="M5" i="11"/>
  <c r="J5" i="11"/>
  <c r="G5" i="11"/>
  <c r="D5" i="11"/>
  <c r="A5" i="11"/>
  <c r="J49" i="3"/>
  <c r="C49" i="12" s="1"/>
  <c r="I49" i="3"/>
  <c r="K49" i="3" s="1"/>
  <c r="D49" i="12" s="1"/>
  <c r="H49" i="3"/>
  <c r="F49" i="3"/>
  <c r="E49" i="3"/>
  <c r="G49" i="12" s="1"/>
  <c r="D49" i="3"/>
  <c r="V49" i="12" s="1"/>
  <c r="C49" i="3"/>
  <c r="B49" i="3"/>
  <c r="A49" i="3"/>
  <c r="J48" i="3"/>
  <c r="C48" i="12" s="1"/>
  <c r="I48" i="3"/>
  <c r="H48" i="3"/>
  <c r="I48" i="12" s="1"/>
  <c r="F48" i="3"/>
  <c r="X48" i="12" s="1"/>
  <c r="E48" i="3"/>
  <c r="D48" i="3"/>
  <c r="V48" i="12" s="1"/>
  <c r="C84" i="16" s="1"/>
  <c r="C48" i="3"/>
  <c r="B48" i="3"/>
  <c r="A48" i="3"/>
  <c r="J47" i="3"/>
  <c r="C47" i="12" s="1"/>
  <c r="I47" i="3"/>
  <c r="H47" i="3"/>
  <c r="I47" i="12" s="1"/>
  <c r="F47" i="3"/>
  <c r="X47" i="12" s="1"/>
  <c r="E47" i="3"/>
  <c r="W47" i="12" s="1"/>
  <c r="D47" i="3"/>
  <c r="V47" i="12" s="1"/>
  <c r="C83" i="16" s="1"/>
  <c r="C47" i="3"/>
  <c r="B47" i="3"/>
  <c r="F47" i="12" s="1"/>
  <c r="A47" i="3"/>
  <c r="J46" i="3"/>
  <c r="K46" i="3" s="1"/>
  <c r="I46" i="3"/>
  <c r="H46" i="3"/>
  <c r="AG46" i="12" s="1"/>
  <c r="G81" i="14" s="1"/>
  <c r="F46" i="3"/>
  <c r="H46" i="12" s="1"/>
  <c r="E46" i="3"/>
  <c r="G46" i="12" s="1"/>
  <c r="D46" i="3"/>
  <c r="V46" i="12" s="1"/>
  <c r="C46" i="3"/>
  <c r="B46" i="3"/>
  <c r="A46" i="3"/>
  <c r="J45" i="3"/>
  <c r="C45" i="12" s="1"/>
  <c r="I45" i="3"/>
  <c r="H45" i="3"/>
  <c r="I45" i="12" s="1"/>
  <c r="F45" i="3"/>
  <c r="X45" i="12" s="1"/>
  <c r="E45" i="3"/>
  <c r="G45" i="12" s="1"/>
  <c r="D45" i="3"/>
  <c r="C45" i="3"/>
  <c r="G45" i="3" s="1"/>
  <c r="B45" i="3"/>
  <c r="F45" i="12" s="1"/>
  <c r="A45" i="3"/>
  <c r="J44" i="3"/>
  <c r="C44" i="12" s="1"/>
  <c r="I44" i="3"/>
  <c r="H44" i="3"/>
  <c r="I44" i="12" s="1"/>
  <c r="F44" i="3"/>
  <c r="H44" i="12" s="1"/>
  <c r="E44" i="3"/>
  <c r="G44" i="12" s="1"/>
  <c r="D44" i="3"/>
  <c r="G44" i="3" s="1"/>
  <c r="Y44" i="12" s="1"/>
  <c r="C44" i="3"/>
  <c r="U44" i="12" s="1"/>
  <c r="B44" i="3"/>
  <c r="T44" i="12" s="1"/>
  <c r="A69" i="13" s="1"/>
  <c r="A44" i="3"/>
  <c r="K43" i="3"/>
  <c r="D43" i="12" s="1"/>
  <c r="J43" i="3"/>
  <c r="C43" i="12" s="1"/>
  <c r="I43" i="3"/>
  <c r="H43" i="3"/>
  <c r="F43" i="3"/>
  <c r="X43" i="12" s="1"/>
  <c r="E68" i="13" s="1"/>
  <c r="E43" i="3"/>
  <c r="W43" i="12" s="1"/>
  <c r="D68" i="13" s="1"/>
  <c r="D43" i="3"/>
  <c r="C43" i="3"/>
  <c r="U43" i="12" s="1"/>
  <c r="B43" i="3"/>
  <c r="A43" i="3"/>
  <c r="J42" i="3"/>
  <c r="I42" i="3"/>
  <c r="K42" i="3" s="1"/>
  <c r="D42" i="12" s="1"/>
  <c r="H42" i="3"/>
  <c r="AG42" i="12" s="1"/>
  <c r="F42" i="3"/>
  <c r="X42" i="12" s="1"/>
  <c r="E42" i="3"/>
  <c r="G42" i="12" s="1"/>
  <c r="D42" i="3"/>
  <c r="V42" i="12" s="1"/>
  <c r="C78" i="16" s="1"/>
  <c r="C42" i="3"/>
  <c r="B42" i="3"/>
  <c r="A42" i="3"/>
  <c r="J41" i="3"/>
  <c r="C41" i="12" s="1"/>
  <c r="I41" i="3"/>
  <c r="H41" i="3"/>
  <c r="AG41" i="12" s="1"/>
  <c r="G76" i="14" s="1"/>
  <c r="F41" i="3"/>
  <c r="X41" i="12" s="1"/>
  <c r="E66" i="13" s="1"/>
  <c r="E41" i="3"/>
  <c r="D41" i="3"/>
  <c r="C41" i="3"/>
  <c r="B41" i="3"/>
  <c r="A41" i="3"/>
  <c r="J40" i="3"/>
  <c r="C40" i="12" s="1"/>
  <c r="I40" i="3"/>
  <c r="K40" i="3" s="1"/>
  <c r="H40" i="3"/>
  <c r="I40" i="12" s="1"/>
  <c r="G40" i="3"/>
  <c r="Y40" i="12" s="1"/>
  <c r="F65" i="13" s="1"/>
  <c r="F40" i="3"/>
  <c r="E40" i="3"/>
  <c r="D40" i="3"/>
  <c r="V40" i="12" s="1"/>
  <c r="C76" i="16" s="1"/>
  <c r="C40" i="3"/>
  <c r="U40" i="12" s="1"/>
  <c r="B40" i="3"/>
  <c r="A40" i="3"/>
  <c r="J39" i="3"/>
  <c r="C39" i="12" s="1"/>
  <c r="I39" i="3"/>
  <c r="K39" i="3" s="1"/>
  <c r="D39" i="12" s="1"/>
  <c r="H39" i="3"/>
  <c r="F39" i="3"/>
  <c r="E39" i="3"/>
  <c r="D39" i="3"/>
  <c r="V39" i="12" s="1"/>
  <c r="C64" i="13" s="1"/>
  <c r="C39" i="3"/>
  <c r="G39" i="3" s="1"/>
  <c r="AC39" i="12" s="1"/>
  <c r="B39" i="3"/>
  <c r="A39" i="3"/>
  <c r="J38" i="3"/>
  <c r="I38" i="3"/>
  <c r="K38" i="3" s="1"/>
  <c r="D38" i="12" s="1"/>
  <c r="H38" i="3"/>
  <c r="AG38" i="12" s="1"/>
  <c r="G73" i="14" s="1"/>
  <c r="G38" i="3"/>
  <c r="F38" i="3"/>
  <c r="H38" i="12" s="1"/>
  <c r="E38" i="3"/>
  <c r="D38" i="3"/>
  <c r="C38" i="3"/>
  <c r="B38" i="3"/>
  <c r="A38" i="3"/>
  <c r="J37" i="3"/>
  <c r="C37" i="12" s="1"/>
  <c r="I37" i="3"/>
  <c r="H37" i="3"/>
  <c r="I37" i="12" s="1"/>
  <c r="F37" i="3"/>
  <c r="X37" i="12" s="1"/>
  <c r="E73" i="16" s="1"/>
  <c r="E37" i="3"/>
  <c r="G37" i="12" s="1"/>
  <c r="D37" i="3"/>
  <c r="V37" i="12" s="1"/>
  <c r="C37" i="3"/>
  <c r="G37" i="3" s="1"/>
  <c r="B37" i="3"/>
  <c r="A37" i="3"/>
  <c r="K36" i="3"/>
  <c r="J36" i="3"/>
  <c r="C36" i="12" s="1"/>
  <c r="I36" i="3"/>
  <c r="H36" i="3"/>
  <c r="I36" i="12" s="1"/>
  <c r="F36" i="3"/>
  <c r="E36" i="3"/>
  <c r="D36" i="3"/>
  <c r="C36" i="3"/>
  <c r="U36" i="12" s="1"/>
  <c r="B36" i="3"/>
  <c r="A36" i="3"/>
  <c r="J35" i="3"/>
  <c r="C35" i="12" s="1"/>
  <c r="I35" i="3"/>
  <c r="K35" i="3" s="1"/>
  <c r="D35" i="12" s="1"/>
  <c r="H35" i="3"/>
  <c r="I35" i="12" s="1"/>
  <c r="G35" i="3"/>
  <c r="Y35" i="12" s="1"/>
  <c r="F60" i="13" s="1"/>
  <c r="F35" i="3"/>
  <c r="E35" i="3"/>
  <c r="D35" i="3"/>
  <c r="C35" i="3"/>
  <c r="U35" i="12" s="1"/>
  <c r="B60" i="13" s="1"/>
  <c r="B35" i="3"/>
  <c r="F35" i="12" s="1"/>
  <c r="A35" i="3"/>
  <c r="J34" i="3"/>
  <c r="C34" i="12" s="1"/>
  <c r="I34" i="3"/>
  <c r="B34" i="12" s="1"/>
  <c r="H34" i="3"/>
  <c r="AG34" i="12" s="1"/>
  <c r="G69" i="14" s="1"/>
  <c r="F34" i="3"/>
  <c r="X34" i="12" s="1"/>
  <c r="E34" i="3"/>
  <c r="W34" i="12" s="1"/>
  <c r="D70" i="16" s="1"/>
  <c r="D34" i="3"/>
  <c r="V34" i="12" s="1"/>
  <c r="C70" i="16" s="1"/>
  <c r="C34" i="3"/>
  <c r="B34" i="3"/>
  <c r="A34" i="3"/>
  <c r="K33" i="3"/>
  <c r="D33" i="12" s="1"/>
  <c r="J33" i="3"/>
  <c r="C33" i="12" s="1"/>
  <c r="I33" i="3"/>
  <c r="H33" i="3"/>
  <c r="F33" i="3"/>
  <c r="X33" i="12" s="1"/>
  <c r="E69" i="16" s="1"/>
  <c r="E33" i="3"/>
  <c r="G33" i="12" s="1"/>
  <c r="D33" i="3"/>
  <c r="C33" i="3"/>
  <c r="G33" i="3" s="1"/>
  <c r="B33" i="3"/>
  <c r="A33" i="12" s="1"/>
  <c r="A33" i="3"/>
  <c r="J32" i="3"/>
  <c r="C32" i="12" s="1"/>
  <c r="I32" i="3"/>
  <c r="K32" i="3" s="1"/>
  <c r="H32" i="3"/>
  <c r="F32" i="3"/>
  <c r="E32" i="3"/>
  <c r="D32" i="3"/>
  <c r="V32" i="12" s="1"/>
  <c r="C68" i="16" s="1"/>
  <c r="C32" i="3"/>
  <c r="U32" i="12" s="1"/>
  <c r="B68" i="16" s="1"/>
  <c r="B32" i="3"/>
  <c r="T32" i="12" s="1"/>
  <c r="A32" i="3"/>
  <c r="K31" i="3"/>
  <c r="D31" i="12" s="1"/>
  <c r="J31" i="3"/>
  <c r="C31" i="12" s="1"/>
  <c r="I31" i="3"/>
  <c r="H31" i="3"/>
  <c r="F31" i="3"/>
  <c r="X31" i="12" s="1"/>
  <c r="E31" i="3"/>
  <c r="D31" i="3"/>
  <c r="G31" i="3" s="1"/>
  <c r="Y31" i="12" s="1"/>
  <c r="F56" i="13" s="1"/>
  <c r="C31" i="3"/>
  <c r="B31" i="3"/>
  <c r="A31" i="3"/>
  <c r="J30" i="3"/>
  <c r="C30" i="12" s="1"/>
  <c r="I30" i="3"/>
  <c r="H30" i="3"/>
  <c r="AG30" i="12" s="1"/>
  <c r="G65" i="14" s="1"/>
  <c r="F30" i="3"/>
  <c r="E30" i="3"/>
  <c r="D30" i="3"/>
  <c r="V30" i="12" s="1"/>
  <c r="C30" i="3"/>
  <c r="G30" i="3" s="1"/>
  <c r="B30" i="3"/>
  <c r="AA30" i="12" s="1"/>
  <c r="A55" i="15" s="1"/>
  <c r="A30" i="3"/>
  <c r="J29" i="3"/>
  <c r="C29" i="12" s="1"/>
  <c r="I29" i="3"/>
  <c r="B29" i="12" s="1"/>
  <c r="H29" i="3"/>
  <c r="F29" i="3"/>
  <c r="X29" i="12" s="1"/>
  <c r="E65" i="16" s="1"/>
  <c r="E29" i="3"/>
  <c r="G29" i="12" s="1"/>
  <c r="D29" i="3"/>
  <c r="C29" i="3"/>
  <c r="B29" i="3"/>
  <c r="T29" i="12" s="1"/>
  <c r="A29" i="3"/>
  <c r="K28" i="3"/>
  <c r="D28" i="12" s="1"/>
  <c r="J28" i="3"/>
  <c r="C28" i="12" s="1"/>
  <c r="I28" i="3"/>
  <c r="H28" i="3"/>
  <c r="I28" i="12" s="1"/>
  <c r="F28" i="3"/>
  <c r="E28" i="3"/>
  <c r="D28" i="3"/>
  <c r="C28" i="3"/>
  <c r="B28" i="3"/>
  <c r="A28" i="3"/>
  <c r="J27" i="3"/>
  <c r="C27" i="12" s="1"/>
  <c r="I27" i="3"/>
  <c r="H27" i="3"/>
  <c r="F27" i="3"/>
  <c r="X27" i="12" s="1"/>
  <c r="E27" i="3"/>
  <c r="W27" i="12" s="1"/>
  <c r="D63" i="16" s="1"/>
  <c r="D27" i="3"/>
  <c r="V27" i="12" s="1"/>
  <c r="C63" i="16" s="1"/>
  <c r="C27" i="3"/>
  <c r="G27" i="3" s="1"/>
  <c r="Y27" i="12" s="1"/>
  <c r="F52" i="13" s="1"/>
  <c r="B27" i="3"/>
  <c r="T27" i="12" s="1"/>
  <c r="A27" i="3"/>
  <c r="K26" i="3"/>
  <c r="J26" i="3"/>
  <c r="C26" i="12" s="1"/>
  <c r="I26" i="3"/>
  <c r="H26" i="3"/>
  <c r="AG26" i="12" s="1"/>
  <c r="G61" i="14" s="1"/>
  <c r="F26" i="3"/>
  <c r="E26" i="3"/>
  <c r="D26" i="3"/>
  <c r="V26" i="12" s="1"/>
  <c r="C62" i="16" s="1"/>
  <c r="C26" i="3"/>
  <c r="U26" i="12" s="1"/>
  <c r="B26" i="3"/>
  <c r="A26" i="3"/>
  <c r="K25" i="3"/>
  <c r="D25" i="12" s="1"/>
  <c r="J25" i="3"/>
  <c r="C25" i="12" s="1"/>
  <c r="I25" i="3"/>
  <c r="H25" i="3"/>
  <c r="AG25" i="12" s="1"/>
  <c r="F25" i="3"/>
  <c r="X25" i="12" s="1"/>
  <c r="E50" i="13" s="1"/>
  <c r="E25" i="3"/>
  <c r="G25" i="12" s="1"/>
  <c r="D25" i="3"/>
  <c r="V25" i="12" s="1"/>
  <c r="C25" i="3"/>
  <c r="B25" i="3"/>
  <c r="A25" i="3"/>
  <c r="J24" i="3"/>
  <c r="C24" i="12" s="1"/>
  <c r="I24" i="3"/>
  <c r="H24" i="3"/>
  <c r="I24" i="12" s="1"/>
  <c r="F24" i="3"/>
  <c r="H24" i="12" s="1"/>
  <c r="E24" i="3"/>
  <c r="G24" i="12" s="1"/>
  <c r="D24" i="3"/>
  <c r="C24" i="3"/>
  <c r="U24" i="12" s="1"/>
  <c r="B24" i="3"/>
  <c r="T24" i="12" s="1"/>
  <c r="A60" i="16" s="1"/>
  <c r="A24" i="3"/>
  <c r="K23" i="3"/>
  <c r="D23" i="12" s="1"/>
  <c r="J23" i="3"/>
  <c r="C23" i="12" s="1"/>
  <c r="I23" i="3"/>
  <c r="H23" i="3"/>
  <c r="F23" i="3"/>
  <c r="E23" i="3"/>
  <c r="D23" i="3"/>
  <c r="C23" i="3"/>
  <c r="G23" i="3" s="1"/>
  <c r="B23" i="3"/>
  <c r="A23" i="3"/>
  <c r="J22" i="3"/>
  <c r="C22" i="12" s="1"/>
  <c r="I22" i="3"/>
  <c r="H22" i="3"/>
  <c r="AG22" i="12" s="1"/>
  <c r="F22" i="3"/>
  <c r="E22" i="3"/>
  <c r="W22" i="12" s="1"/>
  <c r="D58" i="16" s="1"/>
  <c r="D22" i="3"/>
  <c r="C22" i="3"/>
  <c r="B22" i="3"/>
  <c r="A22" i="3"/>
  <c r="K21" i="3"/>
  <c r="D21" i="12" s="1"/>
  <c r="J21" i="3"/>
  <c r="C21" i="12" s="1"/>
  <c r="I21" i="3"/>
  <c r="B21" i="12" s="1"/>
  <c r="H21" i="3"/>
  <c r="F21" i="3"/>
  <c r="X21" i="12" s="1"/>
  <c r="E46" i="13" s="1"/>
  <c r="E21" i="3"/>
  <c r="G21" i="12" s="1"/>
  <c r="D21" i="3"/>
  <c r="C21" i="3"/>
  <c r="G21" i="3" s="1"/>
  <c r="B21" i="3"/>
  <c r="F21" i="12" s="1"/>
  <c r="A21" i="3"/>
  <c r="J20" i="3"/>
  <c r="I20" i="3"/>
  <c r="K20" i="3" s="1"/>
  <c r="H20" i="3"/>
  <c r="F20" i="3"/>
  <c r="E20" i="3"/>
  <c r="D20" i="3"/>
  <c r="V20" i="12" s="1"/>
  <c r="C20" i="3"/>
  <c r="B20" i="3"/>
  <c r="T20" i="12" s="1"/>
  <c r="A45" i="13" s="1"/>
  <c r="A20" i="3"/>
  <c r="J19" i="3"/>
  <c r="C19" i="12" s="1"/>
  <c r="I19" i="3"/>
  <c r="B19" i="12" s="1"/>
  <c r="H19" i="3"/>
  <c r="F19" i="3"/>
  <c r="X19" i="12" s="1"/>
  <c r="E19" i="3"/>
  <c r="W19" i="12" s="1"/>
  <c r="D19" i="3"/>
  <c r="C19" i="3"/>
  <c r="B19" i="3"/>
  <c r="AA19" i="12" s="1"/>
  <c r="A19" i="3"/>
  <c r="J18" i="3"/>
  <c r="I18" i="3"/>
  <c r="B18" i="12" s="1"/>
  <c r="H18" i="3"/>
  <c r="AG18" i="12" s="1"/>
  <c r="G53" i="14" s="1"/>
  <c r="F18" i="3"/>
  <c r="E18" i="3"/>
  <c r="D18" i="3"/>
  <c r="V18" i="12" s="1"/>
  <c r="C18" i="3"/>
  <c r="G18" i="3" s="1"/>
  <c r="AC18" i="12" s="1"/>
  <c r="C53" i="14" s="1"/>
  <c r="B18" i="3"/>
  <c r="A18" i="12" s="1"/>
  <c r="A18" i="3"/>
  <c r="J17" i="3"/>
  <c r="C17" i="12" s="1"/>
  <c r="I17" i="3"/>
  <c r="K17" i="3" s="1"/>
  <c r="D17" i="12" s="1"/>
  <c r="H17" i="3"/>
  <c r="F17" i="3"/>
  <c r="X17" i="12" s="1"/>
  <c r="E53" i="16" s="1"/>
  <c r="E17" i="3"/>
  <c r="D17" i="3"/>
  <c r="C17" i="3"/>
  <c r="B17" i="3"/>
  <c r="A17" i="3"/>
  <c r="J16" i="3"/>
  <c r="C16" i="12" s="1"/>
  <c r="I16" i="3"/>
  <c r="H16" i="3"/>
  <c r="I16" i="12" s="1"/>
  <c r="G16" i="3"/>
  <c r="AC16" i="12" s="1"/>
  <c r="F16" i="3"/>
  <c r="H16" i="12" s="1"/>
  <c r="E16" i="3"/>
  <c r="D16" i="3"/>
  <c r="C16" i="3"/>
  <c r="U16" i="12" s="1"/>
  <c r="B16" i="3"/>
  <c r="AA16" i="12" s="1"/>
  <c r="A16" i="3"/>
  <c r="K15" i="3"/>
  <c r="D15" i="12" s="1"/>
  <c r="J15" i="3"/>
  <c r="C15" i="12" s="1"/>
  <c r="I15" i="3"/>
  <c r="B15" i="12" s="1"/>
  <c r="H15" i="3"/>
  <c r="I15" i="12" s="1"/>
  <c r="G15" i="3"/>
  <c r="AC15" i="12" s="1"/>
  <c r="F15" i="3"/>
  <c r="E15" i="3"/>
  <c r="D15" i="3"/>
  <c r="C15" i="3"/>
  <c r="B15" i="3"/>
  <c r="F15" i="12" s="1"/>
  <c r="A15" i="3"/>
  <c r="J14" i="3"/>
  <c r="I14" i="3"/>
  <c r="K14" i="3" s="1"/>
  <c r="H14" i="3"/>
  <c r="AG14" i="12" s="1"/>
  <c r="G49" i="14" s="1"/>
  <c r="F14" i="3"/>
  <c r="X14" i="12" s="1"/>
  <c r="E14" i="3"/>
  <c r="D14" i="3"/>
  <c r="V14" i="12" s="1"/>
  <c r="C39" i="13" s="1"/>
  <c r="C14" i="3"/>
  <c r="B14" i="3"/>
  <c r="A14" i="3"/>
  <c r="J13" i="3"/>
  <c r="I13" i="3"/>
  <c r="H13" i="3"/>
  <c r="AG13" i="12" s="1"/>
  <c r="G48" i="14" s="1"/>
  <c r="G13" i="3"/>
  <c r="F13" i="3"/>
  <c r="X13" i="12" s="1"/>
  <c r="E38" i="13" s="1"/>
  <c r="E13" i="3"/>
  <c r="G13" i="12" s="1"/>
  <c r="D13" i="3"/>
  <c r="V13" i="12" s="1"/>
  <c r="C13" i="3"/>
  <c r="U13" i="12" s="1"/>
  <c r="B49" i="16" s="1"/>
  <c r="B13" i="3"/>
  <c r="T13" i="12" s="1"/>
  <c r="A13" i="3"/>
  <c r="J12" i="3"/>
  <c r="C12" i="12" s="1"/>
  <c r="I12" i="3"/>
  <c r="B12" i="12" s="1"/>
  <c r="H12" i="3"/>
  <c r="G12" i="3"/>
  <c r="F12" i="3"/>
  <c r="E12" i="3"/>
  <c r="D12" i="3"/>
  <c r="C12" i="3"/>
  <c r="U12" i="12" s="1"/>
  <c r="B37" i="13" s="1"/>
  <c r="B12" i="3"/>
  <c r="T12" i="12" s="1"/>
  <c r="A12" i="3"/>
  <c r="K11" i="3"/>
  <c r="D11" i="12" s="1"/>
  <c r="J11" i="3"/>
  <c r="C11" i="12" s="1"/>
  <c r="I11" i="3"/>
  <c r="H11" i="3"/>
  <c r="F11" i="3"/>
  <c r="H11" i="12" s="1"/>
  <c r="E11" i="3"/>
  <c r="G11" i="12" s="1"/>
  <c r="D11" i="3"/>
  <c r="C11" i="3"/>
  <c r="B11" i="3"/>
  <c r="T11" i="12" s="1"/>
  <c r="A47" i="16" s="1"/>
  <c r="A11" i="3"/>
  <c r="J10" i="3"/>
  <c r="C10" i="12" s="1"/>
  <c r="I10" i="3"/>
  <c r="B10" i="12" s="1"/>
  <c r="H10" i="3"/>
  <c r="F10" i="3"/>
  <c r="E10" i="3"/>
  <c r="D10" i="3"/>
  <c r="V10" i="12" s="1"/>
  <c r="C46" i="16" s="1"/>
  <c r="C10" i="3"/>
  <c r="G10" i="3" s="1"/>
  <c r="Y10" i="12" s="1"/>
  <c r="B10" i="3"/>
  <c r="A10" i="3"/>
  <c r="J9" i="3"/>
  <c r="C9" i="12" s="1"/>
  <c r="I9" i="3"/>
  <c r="B9" i="12" s="1"/>
  <c r="H9" i="3"/>
  <c r="G9" i="3"/>
  <c r="F9" i="3"/>
  <c r="E9" i="3"/>
  <c r="D9" i="3"/>
  <c r="C9" i="3"/>
  <c r="B9" i="3"/>
  <c r="T9" i="12" s="1"/>
  <c r="A34" i="13" s="1"/>
  <c r="A9" i="3"/>
  <c r="J8" i="3"/>
  <c r="I8" i="3"/>
  <c r="K8" i="3" s="1"/>
  <c r="H8" i="3"/>
  <c r="F8" i="3"/>
  <c r="H8" i="12" s="1"/>
  <c r="E8" i="3"/>
  <c r="D8" i="3"/>
  <c r="V8" i="12" s="1"/>
  <c r="C8" i="3"/>
  <c r="U8" i="12" s="1"/>
  <c r="B8" i="3"/>
  <c r="A8" i="3"/>
  <c r="J7" i="3"/>
  <c r="I7" i="3"/>
  <c r="H7" i="3"/>
  <c r="F7" i="3"/>
  <c r="X7" i="12" s="1"/>
  <c r="E7" i="3"/>
  <c r="W7" i="12" s="1"/>
  <c r="D43" i="16" s="1"/>
  <c r="D7" i="3"/>
  <c r="C7" i="3"/>
  <c r="U7" i="12" s="1"/>
  <c r="B32" i="13" s="1"/>
  <c r="B7" i="3"/>
  <c r="A7" i="3"/>
  <c r="J6" i="3"/>
  <c r="C6" i="12" s="1"/>
  <c r="I6" i="3"/>
  <c r="B6" i="12" s="1"/>
  <c r="H6" i="3"/>
  <c r="AG6" i="12" s="1"/>
  <c r="G41" i="14" s="1"/>
  <c r="F6" i="3"/>
  <c r="G6" i="3" s="1"/>
  <c r="E6" i="3"/>
  <c r="D6" i="3"/>
  <c r="C6" i="3"/>
  <c r="B6" i="3"/>
  <c r="A6" i="3"/>
  <c r="J5" i="3"/>
  <c r="I5" i="3"/>
  <c r="K5" i="3" s="1"/>
  <c r="D5" i="12" s="1"/>
  <c r="H5" i="3"/>
  <c r="F5" i="3"/>
  <c r="E5" i="3"/>
  <c r="G5" i="12" s="1"/>
  <c r="D5" i="3"/>
  <c r="V5" i="12" s="1"/>
  <c r="C30" i="13" s="1"/>
  <c r="C5" i="3"/>
  <c r="U5" i="12" s="1"/>
  <c r="B30" i="13" s="1"/>
  <c r="B5" i="3"/>
  <c r="A5" i="3"/>
  <c r="J4" i="3"/>
  <c r="C4" i="12" s="1"/>
  <c r="I4" i="3"/>
  <c r="H4" i="3"/>
  <c r="AG4" i="12" s="1"/>
  <c r="G39" i="14" s="1"/>
  <c r="G4" i="3"/>
  <c r="F4" i="3"/>
  <c r="E4" i="3"/>
  <c r="G4" i="12" s="1"/>
  <c r="D4" i="3"/>
  <c r="V4" i="12" s="1"/>
  <c r="C4" i="3"/>
  <c r="U4" i="12" s="1"/>
  <c r="B4" i="3"/>
  <c r="T4" i="12" s="1"/>
  <c r="A40" i="16" s="1"/>
  <c r="A4" i="3"/>
  <c r="J3" i="3"/>
  <c r="C3" i="12" s="1"/>
  <c r="I3" i="3"/>
  <c r="K3" i="3" s="1"/>
  <c r="D3" i="12" s="1"/>
  <c r="H3" i="3"/>
  <c r="AG3" i="12" s="1"/>
  <c r="G38" i="14" s="1"/>
  <c r="G3" i="3"/>
  <c r="AC3" i="12" s="1"/>
  <c r="C38" i="14" s="1"/>
  <c r="F3" i="3"/>
  <c r="E3" i="3"/>
  <c r="D3" i="3"/>
  <c r="V3" i="12" s="1"/>
  <c r="C3" i="3"/>
  <c r="B3" i="3"/>
  <c r="A3" i="3"/>
  <c r="J2" i="3"/>
  <c r="I2" i="3"/>
  <c r="K2" i="3" s="1"/>
  <c r="H2" i="3"/>
  <c r="AG2" i="12" s="1"/>
  <c r="F2" i="3"/>
  <c r="E2" i="3"/>
  <c r="W2" i="12" s="1"/>
  <c r="D2" i="3"/>
  <c r="V2" i="12" s="1"/>
  <c r="C27" i="13" s="1"/>
  <c r="C2" i="3"/>
  <c r="B2" i="3"/>
  <c r="A2" i="3"/>
  <c r="E56" i="13" l="1"/>
  <c r="E67" i="16"/>
  <c r="C44" i="16"/>
  <c r="C33" i="13"/>
  <c r="C61" i="16"/>
  <c r="C50" i="13"/>
  <c r="B33" i="13"/>
  <c r="B44" i="16"/>
  <c r="C85" i="16"/>
  <c r="C74" i="13"/>
  <c r="A54" i="13"/>
  <c r="A65" i="16"/>
  <c r="A54" i="14"/>
  <c r="A44" i="15"/>
  <c r="A49" i="16"/>
  <c r="A38" i="13"/>
  <c r="Y23" i="12"/>
  <c r="F48" i="13" s="1"/>
  <c r="AC23" i="12"/>
  <c r="A41" i="15"/>
  <c r="A51" i="14"/>
  <c r="Y6" i="12"/>
  <c r="F31" i="13" s="1"/>
  <c r="AC6" i="12"/>
  <c r="C45" i="13"/>
  <c r="C56" i="16"/>
  <c r="C73" i="16"/>
  <c r="C62" i="13"/>
  <c r="W14" i="12"/>
  <c r="G14" i="12"/>
  <c r="AC40" i="12"/>
  <c r="G14" i="3"/>
  <c r="E63" i="16"/>
  <c r="E52" i="13"/>
  <c r="E83" i="16"/>
  <c r="E72" i="13"/>
  <c r="AE27" i="12"/>
  <c r="E62" i="14" s="1"/>
  <c r="C52" i="15"/>
  <c r="C62" i="14"/>
  <c r="I11" i="12"/>
  <c r="AG11" i="12"/>
  <c r="G46" i="14" s="1"/>
  <c r="AC21" i="12"/>
  <c r="Y21" i="12"/>
  <c r="F46" i="13" s="1"/>
  <c r="AD27" i="12"/>
  <c r="D62" i="14" s="1"/>
  <c r="A52" i="15"/>
  <c r="G8" i="3"/>
  <c r="B47" i="12"/>
  <c r="K47" i="3"/>
  <c r="D47" i="12" s="1"/>
  <c r="A70" i="13"/>
  <c r="I8" i="12"/>
  <c r="AG8" i="12"/>
  <c r="G43" i="14" s="1"/>
  <c r="F31" i="12"/>
  <c r="A31" i="12"/>
  <c r="AA31" i="12"/>
  <c r="T31" i="12"/>
  <c r="C59" i="16"/>
  <c r="C48" i="13"/>
  <c r="A79" i="16"/>
  <c r="A68" i="13"/>
  <c r="K27" i="3"/>
  <c r="D27" i="12" s="1"/>
  <c r="E59" i="13"/>
  <c r="E70" i="16"/>
  <c r="C61" i="13"/>
  <c r="C72" i="16"/>
  <c r="A72" i="14"/>
  <c r="C28" i="15"/>
  <c r="K24" i="3"/>
  <c r="D24" i="12" s="1"/>
  <c r="T28" i="12"/>
  <c r="F28" i="12"/>
  <c r="AA38" i="12"/>
  <c r="T38" i="12"/>
  <c r="F38" i="12"/>
  <c r="A38" i="12"/>
  <c r="G41" i="12"/>
  <c r="W41" i="12"/>
  <c r="G41" i="3"/>
  <c r="K44" i="3"/>
  <c r="D44" i="12" s="1"/>
  <c r="U48" i="12"/>
  <c r="G48" i="3"/>
  <c r="D46" i="16"/>
  <c r="D35" i="13"/>
  <c r="D37" i="13"/>
  <c r="D48" i="16"/>
  <c r="B57" i="13"/>
  <c r="C72" i="13"/>
  <c r="A59" i="15"/>
  <c r="F5" i="12"/>
  <c r="T5" i="12"/>
  <c r="D83" i="16"/>
  <c r="D72" i="13"/>
  <c r="I6" i="12"/>
  <c r="B74" i="16"/>
  <c r="B63" i="13"/>
  <c r="G2" i="3"/>
  <c r="U2" i="12"/>
  <c r="G34" i="3"/>
  <c r="U34" i="12"/>
  <c r="B69" i="13"/>
  <c r="B80" i="16"/>
  <c r="B17" i="12"/>
  <c r="C81" i="16"/>
  <c r="C70" i="13"/>
  <c r="D70" i="13"/>
  <c r="D81" i="16"/>
  <c r="D27" i="13"/>
  <c r="D38" i="16"/>
  <c r="G5" i="3"/>
  <c r="A57" i="16"/>
  <c r="A46" i="13"/>
  <c r="AA45" i="12"/>
  <c r="X2" i="12"/>
  <c r="H2" i="12"/>
  <c r="B57" i="16"/>
  <c r="B46" i="13"/>
  <c r="T48" i="12"/>
  <c r="AA48" i="12"/>
  <c r="F48" i="12"/>
  <c r="E71" i="13"/>
  <c r="U28" i="12"/>
  <c r="G28" i="3"/>
  <c r="A39" i="14"/>
  <c r="A29" i="15"/>
  <c r="E46" i="16"/>
  <c r="E35" i="13"/>
  <c r="A70" i="16"/>
  <c r="A59" i="13"/>
  <c r="A71" i="14"/>
  <c r="A61" i="15"/>
  <c r="C57" i="13"/>
  <c r="E57" i="13"/>
  <c r="E68" i="16"/>
  <c r="B71" i="14"/>
  <c r="B61" i="15"/>
  <c r="E50" i="16"/>
  <c r="E39" i="13"/>
  <c r="D52" i="13"/>
  <c r="U25" i="12"/>
  <c r="G25" i="3"/>
  <c r="W28" i="12"/>
  <c r="G28" i="12"/>
  <c r="K41" i="3"/>
  <c r="D41" i="12" s="1"/>
  <c r="B41" i="12"/>
  <c r="E84" i="16"/>
  <c r="E73" i="13"/>
  <c r="AE4" i="12"/>
  <c r="E39" i="14" s="1"/>
  <c r="AD4" i="12"/>
  <c r="D39" i="14" s="1"/>
  <c r="C29" i="15"/>
  <c r="E31" i="13"/>
  <c r="E42" i="16"/>
  <c r="B37" i="15"/>
  <c r="B47" i="14"/>
  <c r="B53" i="16"/>
  <c r="B42" i="13"/>
  <c r="AE15" i="12"/>
  <c r="E50" i="14" s="1"/>
  <c r="C50" i="14"/>
  <c r="C40" i="15"/>
  <c r="AD15" i="12"/>
  <c r="D50" i="14" s="1"/>
  <c r="AA22" i="12"/>
  <c r="T22" i="12"/>
  <c r="A22" i="12"/>
  <c r="AC45" i="12"/>
  <c r="Y45" i="12"/>
  <c r="F70" i="13" s="1"/>
  <c r="B43" i="14"/>
  <c r="B33" i="15"/>
  <c r="A40" i="13"/>
  <c r="A51" i="16"/>
  <c r="C53" i="16"/>
  <c r="C42" i="13"/>
  <c r="B66" i="13"/>
  <c r="B77" i="16"/>
  <c r="AC12" i="12"/>
  <c r="Y12" i="12"/>
  <c r="F37" i="13" s="1"/>
  <c r="K18" i="3"/>
  <c r="D18" i="12" s="1"/>
  <c r="AC38" i="12"/>
  <c r="Y38" i="12"/>
  <c r="F63" i="13" s="1"/>
  <c r="A5" i="12"/>
  <c r="B40" i="13"/>
  <c r="B51" i="16"/>
  <c r="E53" i="13"/>
  <c r="E64" i="16"/>
  <c r="B57" i="15"/>
  <c r="B67" i="14"/>
  <c r="C77" i="16"/>
  <c r="C66" i="13"/>
  <c r="B71" i="16"/>
  <c r="Y9" i="12"/>
  <c r="F34" i="13" s="1"/>
  <c r="AC9" i="12"/>
  <c r="I12" i="12"/>
  <c r="AG12" i="12"/>
  <c r="G47" i="14" s="1"/>
  <c r="V22" i="12"/>
  <c r="G22" i="3"/>
  <c r="F42" i="12"/>
  <c r="A42" i="12"/>
  <c r="AA42" i="12"/>
  <c r="F13" i="12"/>
  <c r="B35" i="12"/>
  <c r="C59" i="13"/>
  <c r="AG9" i="12"/>
  <c r="G44" i="14" s="1"/>
  <c r="I9" i="12"/>
  <c r="F19" i="12"/>
  <c r="A19" i="12"/>
  <c r="T19" i="12"/>
  <c r="A57" i="13"/>
  <c r="A68" i="16"/>
  <c r="G42" i="3"/>
  <c r="U42" i="12"/>
  <c r="B3" i="12"/>
  <c r="F22" i="12"/>
  <c r="A53" i="15"/>
  <c r="A63" i="14"/>
  <c r="D59" i="13"/>
  <c r="C74" i="14"/>
  <c r="AE39" i="12"/>
  <c r="E74" i="14" s="1"/>
  <c r="C64" i="15"/>
  <c r="I3" i="12"/>
  <c r="AD39" i="12"/>
  <c r="D74" i="14" s="1"/>
  <c r="A10" i="12"/>
  <c r="AA10" i="12"/>
  <c r="T10" i="12"/>
  <c r="A26" i="12"/>
  <c r="T26" i="12"/>
  <c r="I32" i="12"/>
  <c r="AG32" i="12"/>
  <c r="G67" i="14" s="1"/>
  <c r="AA46" i="12"/>
  <c r="T46" i="12"/>
  <c r="A46" i="12"/>
  <c r="X49" i="12"/>
  <c r="H49" i="12"/>
  <c r="U37" i="12"/>
  <c r="E62" i="13"/>
  <c r="C75" i="16"/>
  <c r="C38" i="13"/>
  <c r="C49" i="16"/>
  <c r="F23" i="12"/>
  <c r="A23" i="12"/>
  <c r="B62" i="16"/>
  <c r="B51" i="13"/>
  <c r="T36" i="12"/>
  <c r="F36" i="12"/>
  <c r="AG15" i="12"/>
  <c r="G50" i="14" s="1"/>
  <c r="AA26" i="12"/>
  <c r="A13" i="12"/>
  <c r="AA13" i="12"/>
  <c r="C29" i="13"/>
  <c r="C40" i="16"/>
  <c r="AC13" i="12"/>
  <c r="Y13" i="12"/>
  <c r="F38" i="13" s="1"/>
  <c r="B79" i="16"/>
  <c r="B68" i="13"/>
  <c r="A39" i="16"/>
  <c r="A28" i="13"/>
  <c r="X11" i="12"/>
  <c r="V31" i="12"/>
  <c r="T42" i="12"/>
  <c r="W49" i="12"/>
  <c r="A77" i="16"/>
  <c r="E44" i="13"/>
  <c r="E55" i="16"/>
  <c r="X4" i="12"/>
  <c r="H4" i="12"/>
  <c r="G7" i="3"/>
  <c r="K29" i="3"/>
  <c r="D29" i="12" s="1"/>
  <c r="C32" i="13"/>
  <c r="C43" i="16"/>
  <c r="A36" i="15"/>
  <c r="A46" i="14"/>
  <c r="T33" i="12"/>
  <c r="AC35" i="12"/>
  <c r="B38" i="12"/>
  <c r="AG44" i="12"/>
  <c r="G79" i="14" s="1"/>
  <c r="E49" i="13"/>
  <c r="B73" i="15"/>
  <c r="E79" i="16"/>
  <c r="AA5" i="12"/>
  <c r="K10" i="3"/>
  <c r="D10" i="12" s="1"/>
  <c r="B65" i="13"/>
  <c r="B76" i="16"/>
  <c r="G43" i="3"/>
  <c r="Y3" i="12"/>
  <c r="F28" i="13" s="1"/>
  <c r="E52" i="16"/>
  <c r="E41" i="13"/>
  <c r="E54" i="16"/>
  <c r="E43" i="13"/>
  <c r="AC31" i="12"/>
  <c r="C60" i="16"/>
  <c r="AC37" i="12"/>
  <c r="Y37" i="12"/>
  <c r="F62" i="13" s="1"/>
  <c r="C52" i="13"/>
  <c r="AE3" i="12"/>
  <c r="E38" i="14" s="1"/>
  <c r="AD3" i="12"/>
  <c r="D38" i="14" s="1"/>
  <c r="F29" i="12"/>
  <c r="A29" i="12"/>
  <c r="AA29" i="12"/>
  <c r="F39" i="12"/>
  <c r="A39" i="12"/>
  <c r="AA39" i="12"/>
  <c r="T39" i="12"/>
  <c r="A40" i="15"/>
  <c r="A50" i="14"/>
  <c r="D71" i="13"/>
  <c r="D82" i="16"/>
  <c r="K6" i="3"/>
  <c r="D6" i="12" s="1"/>
  <c r="C71" i="13"/>
  <c r="C82" i="16"/>
  <c r="C39" i="14"/>
  <c r="W11" i="12"/>
  <c r="B49" i="15"/>
  <c r="B59" i="14"/>
  <c r="AC44" i="12"/>
  <c r="B48" i="13"/>
  <c r="D34" i="13"/>
  <c r="D45" i="16"/>
  <c r="A74" i="15"/>
  <c r="A84" i="14"/>
  <c r="A67" i="14"/>
  <c r="C43" i="15"/>
  <c r="T40" i="12"/>
  <c r="A40" i="12"/>
  <c r="A45" i="12"/>
  <c r="A80" i="16"/>
  <c r="AA14" i="12"/>
  <c r="T14" i="12"/>
  <c r="A14" i="12"/>
  <c r="G17" i="3"/>
  <c r="AC30" i="12"/>
  <c r="Y30" i="12"/>
  <c r="F55" i="13" s="1"/>
  <c r="Y16" i="12"/>
  <c r="F41" i="13" s="1"/>
  <c r="Y18" i="12"/>
  <c r="F43" i="13" s="1"/>
  <c r="B55" i="14"/>
  <c r="B45" i="15"/>
  <c r="W29" i="12"/>
  <c r="AA33" i="12"/>
  <c r="AG35" i="12"/>
  <c r="G70" i="14" s="1"/>
  <c r="C38" i="16"/>
  <c r="D60" i="16"/>
  <c r="I20" i="12"/>
  <c r="AG20" i="12"/>
  <c r="G55" i="14" s="1"/>
  <c r="A63" i="16"/>
  <c r="A52" i="13"/>
  <c r="F10" i="12"/>
  <c r="A36" i="12"/>
  <c r="I38" i="12"/>
  <c r="AA40" i="12"/>
  <c r="A72" i="15"/>
  <c r="A82" i="14"/>
  <c r="E51" i="13"/>
  <c r="A49" i="15"/>
  <c r="B81" i="16"/>
  <c r="G19" i="3"/>
  <c r="U19" i="12"/>
  <c r="E75" i="16"/>
  <c r="E64" i="13"/>
  <c r="K12" i="3"/>
  <c r="D12" i="12" s="1"/>
  <c r="G49" i="3"/>
  <c r="U49" i="12"/>
  <c r="K9" i="3"/>
  <c r="D9" i="12" s="1"/>
  <c r="T16" i="12"/>
  <c r="A16" i="12"/>
  <c r="F16" i="12"/>
  <c r="D55" i="16"/>
  <c r="D44" i="13"/>
  <c r="E78" i="16"/>
  <c r="E67" i="13"/>
  <c r="W37" i="12"/>
  <c r="B69" i="15"/>
  <c r="B79" i="14"/>
  <c r="G47" i="12"/>
  <c r="A48" i="13"/>
  <c r="B29" i="13"/>
  <c r="B40" i="16"/>
  <c r="C41" i="15"/>
  <c r="AE16" i="12"/>
  <c r="E51" i="14" s="1"/>
  <c r="AD16" i="12"/>
  <c r="D51" i="14" s="1"/>
  <c r="K19" i="3"/>
  <c r="D19" i="12" s="1"/>
  <c r="F43" i="12"/>
  <c r="A43" i="12"/>
  <c r="AA43" i="12"/>
  <c r="E30" i="13"/>
  <c r="E41" i="16"/>
  <c r="E33" i="13"/>
  <c r="E43" i="16"/>
  <c r="E32" i="13"/>
  <c r="B16" i="12"/>
  <c r="K16" i="3"/>
  <c r="D16" i="12" s="1"/>
  <c r="AC33" i="12"/>
  <c r="Y33" i="12"/>
  <c r="F58" i="13" s="1"/>
  <c r="G46" i="3"/>
  <c r="B28" i="13"/>
  <c r="B39" i="16"/>
  <c r="C13" i="12"/>
  <c r="K13" i="3"/>
  <c r="D13" i="12" s="1"/>
  <c r="A32" i="15"/>
  <c r="A42" i="14"/>
  <c r="D54" i="16"/>
  <c r="D43" i="13"/>
  <c r="D45" i="13"/>
  <c r="D56" i="16"/>
  <c r="B54" i="13"/>
  <c r="B65" i="16"/>
  <c r="K7" i="3"/>
  <c r="D7" i="12" s="1"/>
  <c r="B7" i="12"/>
  <c r="AA8" i="12"/>
  <c r="T8" i="12"/>
  <c r="F8" i="12"/>
  <c r="A8" i="12"/>
  <c r="U11" i="12"/>
  <c r="G11" i="3"/>
  <c r="G17" i="12"/>
  <c r="W17" i="12"/>
  <c r="A37" i="12"/>
  <c r="F37" i="12"/>
  <c r="X40" i="12"/>
  <c r="H40" i="12"/>
  <c r="G47" i="3"/>
  <c r="U47" i="12"/>
  <c r="B75" i="14"/>
  <c r="B65" i="15"/>
  <c r="G43" i="12"/>
  <c r="D61" i="16"/>
  <c r="C35" i="13"/>
  <c r="A49" i="13"/>
  <c r="A53" i="14"/>
  <c r="E77" i="16"/>
  <c r="F4" i="12"/>
  <c r="A4" i="12"/>
  <c r="T7" i="12"/>
  <c r="F7" i="12"/>
  <c r="AG40" i="12"/>
  <c r="G75" i="14" s="1"/>
  <c r="B49" i="12"/>
  <c r="E48" i="16"/>
  <c r="K37" i="3"/>
  <c r="D37" i="12" s="1"/>
  <c r="W13" i="12"/>
  <c r="T18" i="12"/>
  <c r="AA21" i="12"/>
  <c r="AG37" i="12"/>
  <c r="G72" i="14" s="1"/>
  <c r="U39" i="12"/>
  <c r="D63" i="13"/>
  <c r="K22" i="3"/>
  <c r="D22" i="12" s="1"/>
  <c r="K34" i="3"/>
  <c r="D34" i="12" s="1"/>
  <c r="W4" i="12"/>
  <c r="E63" i="13"/>
  <c r="D61" i="13"/>
  <c r="D72" i="16"/>
  <c r="A61" i="16"/>
  <c r="G26" i="3"/>
  <c r="G29" i="3"/>
  <c r="H25" i="12"/>
  <c r="K4" i="3"/>
  <c r="D4" i="12" s="1"/>
  <c r="U20" i="12"/>
  <c r="G20" i="3"/>
  <c r="B2" i="12"/>
  <c r="AC10" i="12"/>
  <c r="F30" i="12"/>
  <c r="C51" i="13"/>
  <c r="C51" i="16"/>
  <c r="B8" i="12"/>
  <c r="H14" i="12"/>
  <c r="G19" i="12"/>
  <c r="AA20" i="12"/>
  <c r="I22" i="12"/>
  <c r="W33" i="12"/>
  <c r="B40" i="12"/>
  <c r="B31" i="15"/>
  <c r="B41" i="14"/>
  <c r="F24" i="12"/>
  <c r="U27" i="12"/>
  <c r="B42" i="12"/>
  <c r="C53" i="13"/>
  <c r="B63" i="14"/>
  <c r="A45" i="16"/>
  <c r="A38" i="16"/>
  <c r="A27" i="13"/>
  <c r="A21" i="12"/>
  <c r="B39" i="13"/>
  <c r="A44" i="14"/>
  <c r="B45" i="16"/>
  <c r="F27" i="12"/>
  <c r="A27" i="12"/>
  <c r="T6" i="12"/>
  <c r="F6" i="12"/>
  <c r="G36" i="3"/>
  <c r="G24" i="3"/>
  <c r="D32" i="13"/>
  <c r="E61" i="13"/>
  <c r="C68" i="13"/>
  <c r="E45" i="16"/>
  <c r="I5" i="12"/>
  <c r="AG5" i="12"/>
  <c r="G40" i="14" s="1"/>
  <c r="B61" i="13"/>
  <c r="B72" i="16"/>
  <c r="C67" i="13"/>
  <c r="A83" i="16"/>
  <c r="B60" i="16"/>
  <c r="B49" i="13"/>
  <c r="A31" i="15"/>
  <c r="A41" i="14"/>
  <c r="D66" i="16"/>
  <c r="D55" i="13"/>
  <c r="A60" i="13"/>
  <c r="D67" i="13"/>
  <c r="C66" i="16"/>
  <c r="C55" i="13"/>
  <c r="K30" i="3"/>
  <c r="D30" i="12" s="1"/>
  <c r="K45" i="3"/>
  <c r="D45" i="12" s="1"/>
  <c r="K48" i="3"/>
  <c r="D48" i="12" s="1"/>
  <c r="B47" i="13"/>
  <c r="B73" i="14"/>
  <c r="B65" i="14"/>
  <c r="A15" i="12"/>
  <c r="A35" i="12"/>
  <c r="A47" i="12"/>
  <c r="B57" i="14"/>
  <c r="G32" i="3"/>
  <c r="AC32" i="12" l="1"/>
  <c r="Y32" i="12"/>
  <c r="F57" i="13" s="1"/>
  <c r="Y22" i="12"/>
  <c r="F47" i="13" s="1"/>
  <c r="AC22" i="12"/>
  <c r="B38" i="16"/>
  <c r="B27" i="13"/>
  <c r="AC2" i="12"/>
  <c r="Y2" i="12"/>
  <c r="F27" i="13" s="1"/>
  <c r="AC19" i="12"/>
  <c r="Y19" i="12"/>
  <c r="F44" i="13" s="1"/>
  <c r="A35" i="15"/>
  <c r="A45" i="14"/>
  <c r="A77" i="14"/>
  <c r="A67" i="15"/>
  <c r="Y34" i="12"/>
  <c r="F59" i="13" s="1"/>
  <c r="AC34" i="12"/>
  <c r="C75" i="14"/>
  <c r="C65" i="15"/>
  <c r="AD40" i="12"/>
  <c r="D75" i="14" s="1"/>
  <c r="AE40" i="12"/>
  <c r="E75" i="14" s="1"/>
  <c r="AC29" i="12"/>
  <c r="Y29" i="12"/>
  <c r="F54" i="13" s="1"/>
  <c r="AC26" i="12"/>
  <c r="Y26" i="12"/>
  <c r="F51" i="13" s="1"/>
  <c r="A65" i="13"/>
  <c r="A76" i="16"/>
  <c r="D39" i="13"/>
  <c r="D50" i="16"/>
  <c r="E76" i="16"/>
  <c r="E65" i="13"/>
  <c r="C66" i="14"/>
  <c r="AE31" i="12"/>
  <c r="E66" i="14" s="1"/>
  <c r="AD31" i="12"/>
  <c r="D66" i="14" s="1"/>
  <c r="C56" i="15"/>
  <c r="E36" i="13"/>
  <c r="E47" i="16"/>
  <c r="A46" i="16"/>
  <c r="A35" i="13"/>
  <c r="AE9" i="12"/>
  <c r="E44" i="14" s="1"/>
  <c r="C44" i="14"/>
  <c r="AD9" i="12"/>
  <c r="D44" i="14" s="1"/>
  <c r="C34" i="15"/>
  <c r="D53" i="16"/>
  <c r="D42" i="13"/>
  <c r="A68" i="15"/>
  <c r="A78" i="14"/>
  <c r="AC49" i="12"/>
  <c r="Y49" i="12"/>
  <c r="F74" i="13" s="1"/>
  <c r="Y36" i="12"/>
  <c r="F61" i="13" s="1"/>
  <c r="AC36" i="12"/>
  <c r="C80" i="14"/>
  <c r="AD45" i="12"/>
  <c r="D80" i="14" s="1"/>
  <c r="C70" i="15"/>
  <c r="AE45" i="12"/>
  <c r="E80" i="14" s="1"/>
  <c r="Y14" i="12"/>
  <c r="F39" i="13" s="1"/>
  <c r="AC14" i="12"/>
  <c r="A42" i="16"/>
  <c r="A31" i="13"/>
  <c r="B72" i="13"/>
  <c r="B83" i="16"/>
  <c r="D85" i="16"/>
  <c r="D74" i="13"/>
  <c r="A47" i="13"/>
  <c r="A58" i="16"/>
  <c r="AC47" i="12"/>
  <c r="Y47" i="12"/>
  <c r="F72" i="13" s="1"/>
  <c r="B55" i="16"/>
  <c r="B44" i="13"/>
  <c r="AD37" i="12"/>
  <c r="D72" i="14" s="1"/>
  <c r="C72" i="14"/>
  <c r="AE37" i="12"/>
  <c r="E72" i="14" s="1"/>
  <c r="C62" i="15"/>
  <c r="A78" i="16"/>
  <c r="A67" i="13"/>
  <c r="C58" i="16"/>
  <c r="C47" i="13"/>
  <c r="A47" i="15"/>
  <c r="A57" i="14"/>
  <c r="C56" i="13"/>
  <c r="C67" i="16"/>
  <c r="A51" i="13"/>
  <c r="A62" i="16"/>
  <c r="D29" i="13"/>
  <c r="D40" i="16"/>
  <c r="AC28" i="12"/>
  <c r="Y28" i="12"/>
  <c r="F53" i="13" s="1"/>
  <c r="A41" i="16"/>
  <c r="A30" i="13"/>
  <c r="AE6" i="12"/>
  <c r="E41" i="14" s="1"/>
  <c r="AD6" i="12"/>
  <c r="D41" i="14" s="1"/>
  <c r="C41" i="14"/>
  <c r="C31" i="15"/>
  <c r="Y11" i="12"/>
  <c r="F36" i="13" s="1"/>
  <c r="AC11" i="12"/>
  <c r="B47" i="16"/>
  <c r="B36" i="13"/>
  <c r="B64" i="13"/>
  <c r="B75" i="16"/>
  <c r="A83" i="14"/>
  <c r="A73" i="15"/>
  <c r="AE23" i="12"/>
  <c r="E58" i="14" s="1"/>
  <c r="AD23" i="12"/>
  <c r="D58" i="14" s="1"/>
  <c r="C48" i="15"/>
  <c r="C58" i="14"/>
  <c r="A44" i="16"/>
  <c r="A33" i="13"/>
  <c r="A48" i="14"/>
  <c r="A38" i="15"/>
  <c r="A84" i="16"/>
  <c r="A73" i="13"/>
  <c r="B59" i="13"/>
  <c r="B70" i="16"/>
  <c r="C48" i="14"/>
  <c r="AD13" i="12"/>
  <c r="D48" i="14" s="1"/>
  <c r="C38" i="15"/>
  <c r="AE13" i="12"/>
  <c r="E48" i="14" s="1"/>
  <c r="Y48" i="12"/>
  <c r="F73" i="13" s="1"/>
  <c r="AC48" i="12"/>
  <c r="Y42" i="12"/>
  <c r="F67" i="13" s="1"/>
  <c r="AC42" i="12"/>
  <c r="A80" i="14"/>
  <c r="A70" i="15"/>
  <c r="D64" i="16"/>
  <c r="D53" i="13"/>
  <c r="A32" i="13"/>
  <c r="A43" i="16"/>
  <c r="A55" i="16"/>
  <c r="A44" i="13"/>
  <c r="AC25" i="12"/>
  <c r="Y25" i="12"/>
  <c r="F50" i="13" s="1"/>
  <c r="AD21" i="12"/>
  <c r="D56" i="14" s="1"/>
  <c r="C46" i="15"/>
  <c r="C56" i="14"/>
  <c r="AE21" i="12"/>
  <c r="E56" i="14" s="1"/>
  <c r="AC43" i="12"/>
  <c r="Y43" i="12"/>
  <c r="F68" i="13" s="1"/>
  <c r="AE38" i="12"/>
  <c r="E73" i="14" s="1"/>
  <c r="AD38" i="12"/>
  <c r="D73" i="14" s="1"/>
  <c r="C63" i="15"/>
  <c r="C73" i="14"/>
  <c r="A75" i="16"/>
  <c r="A64" i="13"/>
  <c r="A50" i="16"/>
  <c r="A39" i="13"/>
  <c r="C58" i="15"/>
  <c r="AD33" i="12"/>
  <c r="D68" i="14" s="1"/>
  <c r="AE33" i="12"/>
  <c r="E68" i="14" s="1"/>
  <c r="C68" i="14"/>
  <c r="C69" i="15"/>
  <c r="AE44" i="12"/>
  <c r="E79" i="14" s="1"/>
  <c r="C79" i="14"/>
  <c r="AD44" i="12"/>
  <c r="D79" i="14" s="1"/>
  <c r="Y20" i="12"/>
  <c r="F45" i="13" s="1"/>
  <c r="AC20" i="12"/>
  <c r="A56" i="13"/>
  <c r="A67" i="16"/>
  <c r="A75" i="14"/>
  <c r="A65" i="15"/>
  <c r="A43" i="14"/>
  <c r="A33" i="15"/>
  <c r="A43" i="13"/>
  <c r="A54" i="16"/>
  <c r="A61" i="14"/>
  <c r="A51" i="15"/>
  <c r="B84" i="16"/>
  <c r="B73" i="13"/>
  <c r="A58" i="15"/>
  <c r="A68" i="14"/>
  <c r="D65" i="16"/>
  <c r="D54" i="13"/>
  <c r="D66" i="13"/>
  <c r="D77" i="16"/>
  <c r="A64" i="15"/>
  <c r="A74" i="14"/>
  <c r="A74" i="16"/>
  <c r="A63" i="13"/>
  <c r="A63" i="15"/>
  <c r="A73" i="14"/>
  <c r="AC24" i="12"/>
  <c r="Y24" i="12"/>
  <c r="F49" i="13" s="1"/>
  <c r="A82" i="16"/>
  <c r="A71" i="13"/>
  <c r="A71" i="15"/>
  <c r="A81" i="14"/>
  <c r="B63" i="16"/>
  <c r="B52" i="13"/>
  <c r="D36" i="13"/>
  <c r="D47" i="16"/>
  <c r="D38" i="13"/>
  <c r="D49" i="16"/>
  <c r="A72" i="16"/>
  <c r="A61" i="13"/>
  <c r="B78" i="16"/>
  <c r="B67" i="13"/>
  <c r="AE35" i="12"/>
  <c r="E70" i="14" s="1"/>
  <c r="C70" i="14"/>
  <c r="C60" i="15"/>
  <c r="AD35" i="12"/>
  <c r="D70" i="14" s="1"/>
  <c r="A58" i="13"/>
  <c r="A69" i="16"/>
  <c r="A52" i="16"/>
  <c r="A41" i="13"/>
  <c r="AD30" i="12"/>
  <c r="D65" i="14" s="1"/>
  <c r="C55" i="15"/>
  <c r="C65" i="14"/>
  <c r="AE30" i="12"/>
  <c r="E65" i="14" s="1"/>
  <c r="A64" i="14"/>
  <c r="A54" i="15"/>
  <c r="Y7" i="12"/>
  <c r="F32" i="13" s="1"/>
  <c r="AC7" i="12"/>
  <c r="B73" i="16"/>
  <c r="B62" i="13"/>
  <c r="B45" i="13"/>
  <c r="B56" i="16"/>
  <c r="A39" i="15"/>
  <c r="A49" i="14"/>
  <c r="B53" i="13"/>
  <c r="B64" i="16"/>
  <c r="A66" i="14"/>
  <c r="A56" i="15"/>
  <c r="AC8" i="12"/>
  <c r="Y8" i="12"/>
  <c r="F33" i="13" s="1"/>
  <c r="D58" i="13"/>
  <c r="D69" i="16"/>
  <c r="A55" i="14"/>
  <c r="A45" i="15"/>
  <c r="AD12" i="12"/>
  <c r="D47" i="14" s="1"/>
  <c r="AE12" i="12"/>
  <c r="E47" i="14" s="1"/>
  <c r="C47" i="14"/>
  <c r="C37" i="15"/>
  <c r="AC5" i="12"/>
  <c r="Y5" i="12"/>
  <c r="F30" i="13" s="1"/>
  <c r="B50" i="13"/>
  <c r="B61" i="16"/>
  <c r="C35" i="15"/>
  <c r="AE10" i="12"/>
  <c r="E45" i="14" s="1"/>
  <c r="AD10" i="12"/>
  <c r="D45" i="14" s="1"/>
  <c r="C45" i="14"/>
  <c r="AC17" i="12"/>
  <c r="Y17" i="12"/>
  <c r="F42" i="13" s="1"/>
  <c r="A64" i="16"/>
  <c r="A53" i="13"/>
  <c r="A56" i="14"/>
  <c r="A46" i="15"/>
  <c r="A40" i="14"/>
  <c r="A30" i="15"/>
  <c r="E38" i="16"/>
  <c r="E27" i="13"/>
  <c r="D73" i="16"/>
  <c r="D62" i="13"/>
  <c r="AC41" i="12"/>
  <c r="Y41" i="12"/>
  <c r="F66" i="13" s="1"/>
  <c r="Y46" i="12"/>
  <c r="F71" i="13" s="1"/>
  <c r="AC46" i="12"/>
  <c r="B85" i="16"/>
  <c r="B74" i="13"/>
  <c r="E40" i="16"/>
  <c r="E29" i="13"/>
  <c r="E85" i="16"/>
  <c r="E74" i="13"/>
  <c r="C61" i="14" l="1"/>
  <c r="C51" i="15"/>
  <c r="AD26" i="12"/>
  <c r="D61" i="14" s="1"/>
  <c r="AE26" i="12"/>
  <c r="E61" i="14" s="1"/>
  <c r="C73" i="15"/>
  <c r="C83" i="14"/>
  <c r="AE48" i="12"/>
  <c r="E83" i="14" s="1"/>
  <c r="AD48" i="12"/>
  <c r="D83" i="14" s="1"/>
  <c r="C59" i="14"/>
  <c r="C49" i="15"/>
  <c r="AD24" i="12"/>
  <c r="D59" i="14" s="1"/>
  <c r="AE24" i="12"/>
  <c r="E59" i="14" s="1"/>
  <c r="AE2" i="12"/>
  <c r="E37" i="14" s="1"/>
  <c r="C37" i="14"/>
  <c r="AD2" i="12"/>
  <c r="D37" i="14" s="1"/>
  <c r="C27" i="15"/>
  <c r="AE8" i="12"/>
  <c r="E43" i="14" s="1"/>
  <c r="AD8" i="12"/>
  <c r="D43" i="14" s="1"/>
  <c r="C43" i="14"/>
  <c r="C33" i="15"/>
  <c r="C42" i="14"/>
  <c r="AD7" i="12"/>
  <c r="D42" i="14" s="1"/>
  <c r="AE7" i="12"/>
  <c r="E42" i="14" s="1"/>
  <c r="C32" i="15"/>
  <c r="AE36" i="12"/>
  <c r="E71" i="14" s="1"/>
  <c r="AD36" i="12"/>
  <c r="D71" i="14" s="1"/>
  <c r="C61" i="15"/>
  <c r="C71" i="14"/>
  <c r="C69" i="14"/>
  <c r="AE34" i="12"/>
  <c r="E69" i="14" s="1"/>
  <c r="AD34" i="12"/>
  <c r="D69" i="14" s="1"/>
  <c r="C59" i="15"/>
  <c r="AD5" i="12"/>
  <c r="D40" i="14" s="1"/>
  <c r="AE5" i="12"/>
  <c r="E40" i="14" s="1"/>
  <c r="C40" i="14"/>
  <c r="C30" i="15"/>
  <c r="C68" i="15"/>
  <c r="AE43" i="12"/>
  <c r="E78" i="14" s="1"/>
  <c r="C78" i="14"/>
  <c r="AD43" i="12"/>
  <c r="D78" i="14" s="1"/>
  <c r="C47" i="15"/>
  <c r="C57" i="14"/>
  <c r="AD22" i="12"/>
  <c r="D57" i="14" s="1"/>
  <c r="AE22" i="12"/>
  <c r="E57" i="14" s="1"/>
  <c r="C36" i="15"/>
  <c r="AE11" i="12"/>
  <c r="E46" i="14" s="1"/>
  <c r="C46" i="14"/>
  <c r="AD11" i="12"/>
  <c r="D46" i="14" s="1"/>
  <c r="C55" i="14"/>
  <c r="AE20" i="12"/>
  <c r="E55" i="14" s="1"/>
  <c r="AD20" i="12"/>
  <c r="D55" i="14" s="1"/>
  <c r="C45" i="15"/>
  <c r="C67" i="15"/>
  <c r="C77" i="14"/>
  <c r="AE42" i="12"/>
  <c r="E77" i="14" s="1"/>
  <c r="AD42" i="12"/>
  <c r="D77" i="14" s="1"/>
  <c r="C53" i="15"/>
  <c r="C63" i="14"/>
  <c r="AE28" i="12"/>
  <c r="E63" i="14" s="1"/>
  <c r="AD28" i="12"/>
  <c r="D63" i="14" s="1"/>
  <c r="AD41" i="12"/>
  <c r="D76" i="14" s="1"/>
  <c r="C76" i="14"/>
  <c r="AE41" i="12"/>
  <c r="E76" i="14" s="1"/>
  <c r="C66" i="15"/>
  <c r="C39" i="15"/>
  <c r="C49" i="14"/>
  <c r="AE14" i="12"/>
  <c r="E49" i="14" s="1"/>
  <c r="AD14" i="12"/>
  <c r="D49" i="14" s="1"/>
  <c r="AD17" i="12"/>
  <c r="D52" i="14" s="1"/>
  <c r="C52" i="14"/>
  <c r="C42" i="15"/>
  <c r="AE17" i="12"/>
  <c r="E52" i="14" s="1"/>
  <c r="AD49" i="12"/>
  <c r="D84" i="14" s="1"/>
  <c r="C84" i="14"/>
  <c r="C74" i="15"/>
  <c r="AE49" i="12"/>
  <c r="E84" i="14" s="1"/>
  <c r="C71" i="15"/>
  <c r="AE46" i="12"/>
  <c r="E81" i="14" s="1"/>
  <c r="AD46" i="12"/>
  <c r="D81" i="14" s="1"/>
  <c r="C81" i="14"/>
  <c r="AD29" i="12"/>
  <c r="D64" i="14" s="1"/>
  <c r="C54" i="15"/>
  <c r="AE29" i="12"/>
  <c r="E64" i="14" s="1"/>
  <c r="C64" i="14"/>
  <c r="C44" i="15"/>
  <c r="AE19" i="12"/>
  <c r="E54" i="14" s="1"/>
  <c r="C54" i="14"/>
  <c r="AD19" i="12"/>
  <c r="D54" i="14" s="1"/>
  <c r="AD25" i="12"/>
  <c r="D60" i="14" s="1"/>
  <c r="AE25" i="12"/>
  <c r="E60" i="14" s="1"/>
  <c r="C60" i="14"/>
  <c r="C50" i="15"/>
  <c r="AE47" i="12"/>
  <c r="E82" i="14" s="1"/>
  <c r="C82" i="14"/>
  <c r="AD47" i="12"/>
  <c r="D82" i="14" s="1"/>
  <c r="C72" i="15"/>
  <c r="C57" i="15"/>
  <c r="C67" i="14"/>
  <c r="AE32" i="12"/>
  <c r="E67" i="14" s="1"/>
  <c r="AD32" i="12"/>
  <c r="D67" i="14" s="1"/>
</calcChain>
</file>

<file path=xl/sharedStrings.xml><?xml version="1.0" encoding="utf-8"?>
<sst xmlns="http://schemas.openxmlformats.org/spreadsheetml/2006/main" count="898" uniqueCount="280">
  <si>
    <t>README</t>
  </si>
  <si>
    <t>Data behind the TR2 rolling-dispatch figures (SOC, demand/PV/dispatch, net, self-consumption, metrics histogram).</t>
  </si>
  <si>
    <t>Each quantity sheet: rows = 48 half-hour periods (with hour of day), columns = prosumers, plus fleet_average / fleet_total.</t>
  </si>
  <si>
    <t>Dispatch is the committed slot-1 execution of the rolling horizon (self-consumption baseline, Term 2 + Term 3).</t>
  </si>
  <si>
    <t>SOC is the realised state at the START of each step (fraction of capacity).</t>
  </si>
  <si>
    <t>net_kW = (demand - PV) + (charge - discharge); positive = import, negative = export.</t>
  </si>
  <si>
    <t>Regenerate: python build_workbook.py --force   (see README.md for other transformers).</t>
  </si>
  <si>
    <t>quantity</t>
  </si>
  <si>
    <t>value</t>
  </si>
  <si>
    <t>run</t>
  </si>
  <si>
    <t>TR2 exact-QCP rolling (FOR_PolyS=0, FOR_LinearizeVmax=0), 48 steps, all Optimal</t>
  </si>
  <si>
    <t>source dispatch</t>
  </si>
  <si>
    <t>FOR_rolling_soc_TR2.csv</t>
  </si>
  <si>
    <t>source load/PV</t>
  </si>
  <si>
    <t>TR2_load_PV_48periods.xlsx</t>
  </si>
  <si>
    <t>prosumers</t>
  </si>
  <si>
    <t>PV generated kWh/day</t>
  </si>
  <si>
    <t>demand kWh/day</t>
  </si>
  <si>
    <t>exported kWh/day</t>
  </si>
  <si>
    <t>imported kWh/day</t>
  </si>
  <si>
    <t>SCR % (PV used locally)</t>
  </si>
  <si>
    <t>SSR % (demand met locally)</t>
  </si>
  <si>
    <t>prosumer-periods |net|&lt;50W %</t>
  </si>
  <si>
    <t>SOC min/max over day</t>
  </si>
  <si>
    <t>0.10 / 1.00</t>
  </si>
  <si>
    <t>simultaneous chg+dis rows</t>
  </si>
  <si>
    <t>period</t>
  </si>
  <si>
    <t>hour</t>
  </si>
  <si>
    <t>demand_avg_kW</t>
  </si>
  <si>
    <t>PV_avg_kW</t>
  </si>
  <si>
    <t>charge_avg_kW</t>
  </si>
  <si>
    <t>discharge_avg_kW</t>
  </si>
  <si>
    <t>net_avg_kW</t>
  </si>
  <si>
    <t>SOC_avg_pct</t>
  </si>
  <si>
    <t>demand_total_kW</t>
  </si>
  <si>
    <t>PV_total_kW</t>
  </si>
  <si>
    <t>net_total_kW</t>
  </si>
  <si>
    <t>BES_TR2_three312_A</t>
  </si>
  <si>
    <t>BES_TR2_three321_B</t>
  </si>
  <si>
    <t>BES_TR2_three368_A</t>
  </si>
  <si>
    <t>BES_TR2_three388_A</t>
  </si>
  <si>
    <t>BES_TR2_three409_C</t>
  </si>
  <si>
    <t>BES_TR2_three478_B</t>
  </si>
  <si>
    <t>BES_TR2_three97_B</t>
  </si>
  <si>
    <t>BES_TR2_three133_C</t>
  </si>
  <si>
    <t>BES_TR2_three160_C</t>
  </si>
  <si>
    <t>BES_TR2_five58_C</t>
  </si>
  <si>
    <t>BES_TR2_five147_C</t>
  </si>
  <si>
    <t>BES_TR2_five149_A</t>
  </si>
  <si>
    <t>BES_TR2_five160_C</t>
  </si>
  <si>
    <t>BES_TR2_five170_A</t>
  </si>
  <si>
    <t>BES_TR2_five177_A</t>
  </si>
  <si>
    <t>BES_TR2_five67_C</t>
  </si>
  <si>
    <t>BES_TR2_five243_B</t>
  </si>
  <si>
    <t>BES_TR2_five284_C</t>
  </si>
  <si>
    <t>BES_TR2_five285_B</t>
  </si>
  <si>
    <t>BES_TR2_five303_B</t>
  </si>
  <si>
    <t>BES_TR2_five324_B</t>
  </si>
  <si>
    <t>BES_TR2_five355_A</t>
  </si>
  <si>
    <t>BES_TR2_five394_C</t>
  </si>
  <si>
    <t>BES_TR2_five451_A</t>
  </si>
  <si>
    <t>BES_TR2_five466_A</t>
  </si>
  <si>
    <t>BES_TR2_five494_B</t>
  </si>
  <si>
    <t>BES_TR2_five512_A</t>
  </si>
  <si>
    <t>BES_TR2_five520_C</t>
  </si>
  <si>
    <t>BES_TR2_five540_A</t>
  </si>
  <si>
    <t>BES_TR2_five588_A</t>
  </si>
  <si>
    <t>BES_TR2_five649_A</t>
  </si>
  <si>
    <t>BES_TR2_five663_C</t>
  </si>
  <si>
    <t>BES_TR2_five685_B</t>
  </si>
  <si>
    <t>BES_TR2_five695_A</t>
  </si>
  <si>
    <t>BES_TR2_five704_A</t>
  </si>
  <si>
    <t>BES_TR2_five733_C</t>
  </si>
  <si>
    <t>BES_TR2_five117_B</t>
  </si>
  <si>
    <t>BES_TR2_five778_B</t>
  </si>
  <si>
    <t>BES_TR2_five799_C</t>
  </si>
  <si>
    <t>BES_TR2_five801_C</t>
  </si>
  <si>
    <t>BES_TR2_five831_C</t>
  </si>
  <si>
    <t>BES_TR2_five881_C</t>
  </si>
  <si>
    <t>BES_TR2_five118_B</t>
  </si>
  <si>
    <t>BES_TR2_six64_A</t>
  </si>
  <si>
    <t>BES_TR2_six154_C</t>
  </si>
  <si>
    <t>BES_TR2_six173_C</t>
  </si>
  <si>
    <t>BES_TR2_six186_A</t>
  </si>
  <si>
    <t>BES_TR2_six191_B</t>
  </si>
  <si>
    <t>BES_TR2_six203_A</t>
  </si>
  <si>
    <t>BES_TR2_six232_C</t>
  </si>
  <si>
    <t>BES_TR2_six238_A</t>
  </si>
  <si>
    <t>BES_TR2_six249_B</t>
  </si>
  <si>
    <t>BES_TR2_six254_B</t>
  </si>
  <si>
    <t>BES_TR2_six269_C</t>
  </si>
  <si>
    <t>BES_TR2_six289_C</t>
  </si>
  <si>
    <t>BES_TR2_six317_C</t>
  </si>
  <si>
    <t>BES_TR2_six326_A</t>
  </si>
  <si>
    <t>BES_TR2_six329_A</t>
  </si>
  <si>
    <t>BES_TR2_six342_A</t>
  </si>
  <si>
    <t>BES_TR2_six349_A</t>
  </si>
  <si>
    <t>BES_TR2_six350_B</t>
  </si>
  <si>
    <t>BES_TR2_six362_C</t>
  </si>
  <si>
    <t>BES_TR2_six365_C</t>
  </si>
  <si>
    <t>BES_TR2_six378_A</t>
  </si>
  <si>
    <t>BES_TR2_six385_B</t>
  </si>
  <si>
    <t>BES_TR2_six387_A</t>
  </si>
  <si>
    <t>BES_TR2_six392_C</t>
  </si>
  <si>
    <t>BES_TR2_six410_A</t>
  </si>
  <si>
    <t>BES_TR2_six431_C</t>
  </si>
  <si>
    <t>BES_TR2_six484_B</t>
  </si>
  <si>
    <t>BES_TR2_six512_B</t>
  </si>
  <si>
    <t>BES_TR2_six518_B</t>
  </si>
  <si>
    <t>BES_TR2_six523_C</t>
  </si>
  <si>
    <t>BES_TR2_six571_C</t>
  </si>
  <si>
    <t>BES_TR2_six583_A</t>
  </si>
  <si>
    <t>BES_TR2_six625_A</t>
  </si>
  <si>
    <t>BES_TR2_six646_B</t>
  </si>
  <si>
    <t>BES_TR2_six87_A</t>
  </si>
  <si>
    <t>BES_TR2_six652_A</t>
  </si>
  <si>
    <t>BES_TR2_six665_B</t>
  </si>
  <si>
    <t>BES_TR2_six667_A</t>
  </si>
  <si>
    <t>BES_TR2_six721_A</t>
  </si>
  <si>
    <t>BES_TR2_six740_A</t>
  </si>
  <si>
    <t>BES_TR2_six758_B</t>
  </si>
  <si>
    <t>BES_TR2_six784_B</t>
  </si>
  <si>
    <t>BES_TR2_six799_B</t>
  </si>
  <si>
    <t>BES_TR2_six807_A</t>
  </si>
  <si>
    <t>BES_TR2_six885_A</t>
  </si>
  <si>
    <t>BES_TR2_six894_B</t>
  </si>
  <si>
    <t>BES_TR2_six914_A</t>
  </si>
  <si>
    <t>BES_TR2_six921_B</t>
  </si>
  <si>
    <t>BES_TR2_six929_A</t>
  </si>
  <si>
    <t>BES_TR2_six938_A</t>
  </si>
  <si>
    <t>BES_TR2_six990_B</t>
  </si>
  <si>
    <t>BES_TR2_six1020_A</t>
  </si>
  <si>
    <t>fleet_average</t>
  </si>
  <si>
    <t>fleet_total</t>
  </si>
  <si>
    <t>battery</t>
  </si>
  <si>
    <t>bus</t>
  </si>
  <si>
    <t>phase</t>
  </si>
  <si>
    <t>BattMaxP_kW</t>
  </si>
  <si>
    <t>BattEcap_kWh</t>
  </si>
  <si>
    <t>PV_kWh</t>
  </si>
  <si>
    <t>demand_kWh</t>
  </si>
  <si>
    <t>export_kWh</t>
  </si>
  <si>
    <t>import_kWh</t>
  </si>
  <si>
    <t>SCR_pct</t>
  </si>
  <si>
    <t>SSR_pct</t>
  </si>
  <si>
    <t>TR2_three312</t>
  </si>
  <si>
    <t>TR2_three321</t>
  </si>
  <si>
    <t>TR2_three368</t>
  </si>
  <si>
    <t>TR2_three388</t>
  </si>
  <si>
    <t>TR2_three409</t>
  </si>
  <si>
    <t>TR2_three478</t>
  </si>
  <si>
    <t>TR2_three97</t>
  </si>
  <si>
    <t>TR2_three133</t>
  </si>
  <si>
    <t>TR2_three160</t>
  </si>
  <si>
    <t>TR2_five58</t>
  </si>
  <si>
    <t>TR2_five147</t>
  </si>
  <si>
    <t>TR2_five149</t>
  </si>
  <si>
    <t>TR2_five160</t>
  </si>
  <si>
    <t>TR2_five170</t>
  </si>
  <si>
    <t>TR2_five177</t>
  </si>
  <si>
    <t>TR2_five67</t>
  </si>
  <si>
    <t>TR2_five243</t>
  </si>
  <si>
    <t>TR2_five284</t>
  </si>
  <si>
    <t>TR2_five285</t>
  </si>
  <si>
    <t>TR2_five303</t>
  </si>
  <si>
    <t>TR2_five324</t>
  </si>
  <si>
    <t>TR2_five355</t>
  </si>
  <si>
    <t>TR2_five394</t>
  </si>
  <si>
    <t>TR2_five451</t>
  </si>
  <si>
    <t>TR2_five466</t>
  </si>
  <si>
    <t>TR2_five494</t>
  </si>
  <si>
    <t>TR2_five512</t>
  </si>
  <si>
    <t>TR2_five520</t>
  </si>
  <si>
    <t>TR2_five540</t>
  </si>
  <si>
    <t>TR2_five588</t>
  </si>
  <si>
    <t>TR2_five649</t>
  </si>
  <si>
    <t>TR2_five663</t>
  </si>
  <si>
    <t>TR2_five685</t>
  </si>
  <si>
    <t>TR2_five695</t>
  </si>
  <si>
    <t>TR2_five704</t>
  </si>
  <si>
    <t>TR2_five733</t>
  </si>
  <si>
    <t>TR2_five117</t>
  </si>
  <si>
    <t>TR2_five778</t>
  </si>
  <si>
    <t>TR2_five799</t>
  </si>
  <si>
    <t>TR2_five801</t>
  </si>
  <si>
    <t>TR2_five831</t>
  </si>
  <si>
    <t>TR2_five881</t>
  </si>
  <si>
    <t>TR2_five118</t>
  </si>
  <si>
    <t>TR2_six64</t>
  </si>
  <si>
    <t>TR2_six154</t>
  </si>
  <si>
    <t>TR2_six173</t>
  </si>
  <si>
    <t>TR2_six186</t>
  </si>
  <si>
    <t>TR2_six191</t>
  </si>
  <si>
    <t>TR2_six203</t>
  </si>
  <si>
    <t>TR2_six232</t>
  </si>
  <si>
    <t>TR2_six238</t>
  </si>
  <si>
    <t>TR2_six249</t>
  </si>
  <si>
    <t>TR2_six254</t>
  </si>
  <si>
    <t>TR2_six269</t>
  </si>
  <si>
    <t>TR2_six289</t>
  </si>
  <si>
    <t>TR2_six317</t>
  </si>
  <si>
    <t>TR2_six326</t>
  </si>
  <si>
    <t>TR2_six329</t>
  </si>
  <si>
    <t>TR2_six342</t>
  </si>
  <si>
    <t>TR2_six349</t>
  </si>
  <si>
    <t>TR2_six350</t>
  </si>
  <si>
    <t>TR2_six362</t>
  </si>
  <si>
    <t>TR2_six365</t>
  </si>
  <si>
    <t>TR2_six378</t>
  </si>
  <si>
    <t>TR2_six385</t>
  </si>
  <si>
    <t>TR2_six387</t>
  </si>
  <si>
    <t>TR2_six392</t>
  </si>
  <si>
    <t>TR2_six410</t>
  </si>
  <si>
    <t>TR2_six431</t>
  </si>
  <si>
    <t>TR2_six484</t>
  </si>
  <si>
    <t>TR2_six512</t>
  </si>
  <si>
    <t>TR2_six518</t>
  </si>
  <si>
    <t>TR2_six523</t>
  </si>
  <si>
    <t>TR2_six571</t>
  </si>
  <si>
    <t>TR2_six583</t>
  </si>
  <si>
    <t>TR2_six625</t>
  </si>
  <si>
    <t>TR2_six646</t>
  </si>
  <si>
    <t>TR2_six87</t>
  </si>
  <si>
    <t>TR2_six652</t>
  </si>
  <si>
    <t>TR2_six665</t>
  </si>
  <si>
    <t>TR2_six667</t>
  </si>
  <si>
    <t>TR2_six721</t>
  </si>
  <si>
    <t>TR2_six740</t>
  </si>
  <si>
    <t>TR2_six758</t>
  </si>
  <si>
    <t>TR2_six784</t>
  </si>
  <si>
    <t>TR2_six799</t>
  </si>
  <si>
    <t>TR2_six807</t>
  </si>
  <si>
    <t>TR2_six885</t>
  </si>
  <si>
    <t>TR2_six894</t>
  </si>
  <si>
    <t>TR2_six914</t>
  </si>
  <si>
    <t>TR2_six921</t>
  </si>
  <si>
    <t>TR2_six929</t>
  </si>
  <si>
    <t>TR2_six938</t>
  </si>
  <si>
    <t>TR2_six990</t>
  </si>
  <si>
    <t>TR2_six1020</t>
  </si>
  <si>
    <t>TR2 Rolling Dispatch Analysis</t>
  </si>
  <si>
    <t>Data behind TR2 rolling-dispatch figures: SOC, demand/PV/dispatch, net power, self-consumption, and prosumer metrics.</t>
  </si>
  <si>
    <t>Prosumers</t>
  </si>
  <si>
    <t>PV Generated (kWh/day)</t>
  </si>
  <si>
    <t>Demand (kWh/day)</t>
  </si>
  <si>
    <t>Imported (kWh/day)</t>
  </si>
  <si>
    <t>SCR (%)</t>
  </si>
  <si>
    <t>SSR (%)</t>
  </si>
  <si>
    <t>Notes: positive net power indicates fleet import; negative net power indicates export. SCR and SSR values are stored on a 0-100 percentage scale in the source workbook.</t>
  </si>
  <si>
    <t>Hour</t>
  </si>
  <si>
    <t>Demand total kW</t>
  </si>
  <si>
    <t>PV total kW</t>
  </si>
  <si>
    <t>Net total kW</t>
  </si>
  <si>
    <t>Charge avg kW</t>
  </si>
  <si>
    <t>Discharge avg kW</t>
  </si>
  <si>
    <t>SOC avg %</t>
  </si>
  <si>
    <t>Battery</t>
  </si>
  <si>
    <t>SCR %</t>
  </si>
  <si>
    <t>SSR %</t>
  </si>
  <si>
    <t>Rank</t>
  </si>
  <si>
    <t>Export kWh/day</t>
  </si>
  <si>
    <t>Chart label</t>
  </si>
  <si>
    <t>demand</t>
  </si>
  <si>
    <t>PV generation</t>
  </si>
  <si>
    <t>charging</t>
  </si>
  <si>
    <t>discharging</t>
  </si>
  <si>
    <t>net exchange</t>
  </si>
  <si>
    <t>Net target kW</t>
  </si>
  <si>
    <t>Fleet avg net kW</t>
  </si>
  <si>
    <t>Import only kW</t>
  </si>
  <si>
    <t>Export only kW</t>
  </si>
  <si>
    <t>SOC max %</t>
  </si>
  <si>
    <t>Fleet avg SOC %</t>
  </si>
  <si>
    <t>Legend: very light thin lines = individual prosumers; bold black = fleet-average net; bold muted green = fleet-average SOC; dashed gray targets show net = 0 and SOC max = 100%.</t>
  </si>
  <si>
    <t>Net zero target</t>
  </si>
  <si>
    <t>Fleet average net</t>
  </si>
  <si>
    <t>Demand, PV and battery dispatch -  TR2</t>
  </si>
  <si>
    <t>Demand avg kW</t>
  </si>
  <si>
    <t>PV avg kW</t>
  </si>
  <si>
    <t>Disch. avg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</si>
</sst>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00"/>
  </numFmts>
  <fonts count="6" x14ac:knownFonts="1">
    <font>
      <sz val="11"/>
      <color theme="1"/>
      <name val="Calibri"/>
    </font>
    <font>
      <b/>
      <sz val="11"/>
      <color rgb="FFFFFFFF"/>
      <name val="Calibri"/>
    </font>
    <font>
      <sz val="11"/>
      <color rgb="FF172033"/>
      <name val="Calibri"/>
    </font>
    <font>
      <b/>
      <sz val="11"/>
      <color rgb="FF172033"/>
      <name val="Calibri"/>
    </font>
    <font>
      <b/>
      <sz val="18"/>
      <color rgb="FFFFFFFF"/>
      <name val="Calibri"/>
    </font>
    <font>
      <b/>
      <sz val="15"/>
      <color rgb="FF1720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F8FAFC"/>
      </patternFill>
    </fill>
    <fill>
      <patternFill patternType="solid">
        <fgColor rgb="FFEAF2FF"/>
      </patternFill>
    </fill>
    <fill>
      <patternFill patternType="solid">
        <fgColor rgb="FFEAF6EA"/>
      </patternFill>
    </fill>
    <fill>
      <patternFill patternType="solid">
        <fgColor rgb="FFFFF4E0"/>
      </patternFill>
    </fill>
    <fill>
      <patternFill patternType="solid">
        <fgColor rgb="FFFDECEC"/>
      </patternFill>
    </fill>
    <fill>
      <patternFill patternType="solid">
        <fgColor rgb="FFE6F4F3"/>
      </patternFill>
    </fill>
  </fills>
  <borders count="23">
    <border>
      <left/>
      <right/>
      <top/>
      <bottom/>
      <diagonal/>
    </border>
    <border>
      <left style="thin">
        <color rgb="FFC8D3DF"/>
      </left>
      <right style="thin">
        <color rgb="FFC8D3DF"/>
      </right>
      <top/>
      <bottom/>
      <diagonal/>
    </border>
    <border>
      <left style="thin">
        <color rgb="FFC8D3DF"/>
      </left>
      <right style="thin">
        <color rgb="FFC8D3DF"/>
      </right>
      <top/>
      <bottom style="thin">
        <color rgb="FFE5EAF0"/>
      </bottom>
      <diagonal/>
    </border>
    <border>
      <left style="thin">
        <color rgb="FFC8D3DF"/>
      </left>
      <right/>
      <top style="thin">
        <color rgb="FFC8D3DF"/>
      </top>
      <bottom style="thin">
        <color rgb="FFE5EAF0"/>
      </bottom>
      <diagonal/>
    </border>
    <border>
      <left/>
      <right style="thin">
        <color rgb="FFC8D3DF"/>
      </right>
      <top style="thin">
        <color rgb="FFC8D3DF"/>
      </top>
      <bottom style="thin">
        <color rgb="FFE5EAF0"/>
      </bottom>
      <diagonal/>
    </border>
    <border>
      <left style="thin">
        <color rgb="FFC8D3DF"/>
      </left>
      <right/>
      <top style="thin">
        <color rgb="FFE5EAF0"/>
      </top>
      <bottom style="thin">
        <color rgb="FFE5EAF0"/>
      </bottom>
      <diagonal/>
    </border>
    <border>
      <left/>
      <right style="thin">
        <color rgb="FFC8D3DF"/>
      </right>
      <top style="thin">
        <color rgb="FFE5EAF0"/>
      </top>
      <bottom style="thin">
        <color rgb="FFE5EAF0"/>
      </bottom>
      <diagonal/>
    </border>
    <border>
      <left style="thin">
        <color rgb="FFC8D3DF"/>
      </left>
      <right/>
      <top style="thin">
        <color rgb="FFE5EAF0"/>
      </top>
      <bottom style="thin">
        <color rgb="FFC8D3DF"/>
      </bottom>
      <diagonal/>
    </border>
    <border>
      <left/>
      <right style="thin">
        <color rgb="FFC8D3DF"/>
      </right>
      <top style="thin">
        <color rgb="FFE5EAF0"/>
      </top>
      <bottom style="thin">
        <color rgb="FFC8D3DF"/>
      </bottom>
      <diagonal/>
    </border>
    <border>
      <left/>
      <right/>
      <top style="thin">
        <color rgb="FFC8D3DF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C8D3DF"/>
      </bottom>
      <diagonal/>
    </border>
    <border>
      <left style="thin">
        <color rgb="FFC8D3DF"/>
      </left>
      <right/>
      <top style="thin">
        <color rgb="FFC8D3DF"/>
      </top>
      <bottom/>
      <diagonal/>
    </border>
    <border>
      <left/>
      <right style="thin">
        <color rgb="FFC8D3DF"/>
      </right>
      <top style="thin">
        <color rgb="FFC8D3DF"/>
      </top>
      <bottom/>
      <diagonal/>
    </border>
    <border>
      <left style="thin">
        <color rgb="FFC8D3DF"/>
      </left>
      <right/>
      <top/>
      <bottom style="thin">
        <color rgb="FFC8D3DF"/>
      </bottom>
      <diagonal/>
    </border>
    <border>
      <left/>
      <right style="thin">
        <color rgb="FFC8D3DF"/>
      </right>
      <top/>
      <bottom style="thin">
        <color rgb="FFC8D3DF"/>
      </bottom>
      <diagonal/>
    </border>
    <border>
      <left/>
      <right/>
      <top style="thin">
        <color rgb="FFC8D3DF"/>
      </top>
      <bottom/>
      <diagonal/>
    </border>
    <border>
      <left style="thin">
        <color rgb="FFC8D3DF"/>
      </left>
      <right/>
      <top/>
      <bottom/>
      <diagonal/>
    </border>
    <border>
      <left/>
      <right style="thin">
        <color rgb="FFC8D3DF"/>
      </right>
      <top/>
      <bottom/>
      <diagonal/>
    </border>
    <border>
      <left/>
      <right/>
      <top/>
      <bottom style="thin">
        <color rgb="FFC8D3DF"/>
      </bottom>
      <diagonal/>
    </border>
    <border>
      <left style="thin">
        <color rgb="FFC8D3DF"/>
      </left>
      <right/>
      <top style="thin">
        <color rgb="FFC8D3DF"/>
      </top>
      <bottom style="thin">
        <color rgb="FFC8D3DF"/>
      </bottom>
      <diagonal/>
    </border>
    <border>
      <left/>
      <right/>
      <top style="thin">
        <color rgb="FFC8D3DF"/>
      </top>
      <bottom style="thin">
        <color rgb="FFC8D3DF"/>
      </bottom>
      <diagonal/>
    </border>
    <border>
      <left/>
      <right style="thin">
        <color rgb="FFC8D3DF"/>
      </right>
      <top style="thin">
        <color rgb="FFC8D3DF"/>
      </top>
      <bottom style="thin">
        <color rgb="FFC8D3D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NumberFormat="1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 wrapText="1"/>
    </xf>
    <xf numFmtId="0" fontId="3" fillId="3" borderId="5" xfId="0" applyNumberFormat="1" applyFont="1" applyFill="1" applyBorder="1" applyAlignment="1">
      <alignment vertical="center"/>
    </xf>
    <xf numFmtId="0" fontId="3" fillId="3" borderId="7" xfId="0" applyNumberFormat="1" applyFont="1" applyFill="1" applyBorder="1" applyAlignment="1">
      <alignment vertical="center"/>
    </xf>
    <xf numFmtId="164" fontId="2" fillId="0" borderId="6" xfId="0" applyNumberFormat="1" applyFont="1" applyFill="1" applyBorder="1" applyAlignment="1">
      <alignment vertical="center"/>
    </xf>
    <xf numFmtId="165" fontId="2" fillId="0" borderId="6" xfId="0" applyNumberFormat="1" applyFont="1" applyFill="1" applyBorder="1" applyAlignment="1">
      <alignment vertical="center"/>
    </xf>
    <xf numFmtId="3" fontId="2" fillId="0" borderId="8" xfId="0" applyNumberFormat="1" applyFont="1" applyFill="1" applyBorder="1" applyAlignment="1">
      <alignment vertical="center"/>
    </xf>
    <xf numFmtId="0" fontId="0" fillId="0" borderId="10" xfId="0" applyNumberFormat="1" applyFont="1" applyFill="1" applyBorder="1"/>
    <xf numFmtId="0" fontId="0" fillId="0" borderId="11" xfId="0" applyNumberFormat="1" applyFont="1" applyFill="1" applyBorder="1"/>
    <xf numFmtId="0" fontId="1" fillId="2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1" fontId="2" fillId="0" borderId="5" xfId="0" applyNumberFormat="1" applyFont="1" applyFill="1" applyBorder="1" applyAlignment="1">
      <alignment vertical="center"/>
    </xf>
    <xf numFmtId="1" fontId="2" fillId="0" borderId="7" xfId="0" applyNumberFormat="1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5" fontId="2" fillId="0" borderId="11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166" fontId="2" fillId="0" borderId="11" xfId="0" applyNumberFormat="1" applyFont="1" applyFill="1" applyBorder="1" applyAlignment="1">
      <alignment vertical="center"/>
    </xf>
    <xf numFmtId="164" fontId="2" fillId="0" borderId="10" xfId="0" applyNumberFormat="1" applyFont="1" applyFill="1" applyBorder="1" applyAlignment="1">
      <alignment vertical="center"/>
    </xf>
    <xf numFmtId="164" fontId="2" fillId="0" borderId="11" xfId="0" applyNumberFormat="1" applyFont="1" applyFill="1" applyBorder="1" applyAlignment="1">
      <alignment vertical="center"/>
    </xf>
    <xf numFmtId="164" fontId="2" fillId="0" borderId="8" xfId="0" applyNumberFormat="1" applyFont="1" applyFill="1" applyBorder="1" applyAlignment="1">
      <alignment vertical="center"/>
    </xf>
    <xf numFmtId="165" fontId="2" fillId="0" borderId="8" xfId="0" applyNumberFormat="1" applyFont="1" applyFill="1" applyBorder="1" applyAlignment="1">
      <alignment vertical="center"/>
    </xf>
    <xf numFmtId="166" fontId="2" fillId="0" borderId="6" xfId="0" applyNumberFormat="1" applyFont="1" applyFill="1" applyBorder="1" applyAlignment="1">
      <alignment vertical="center"/>
    </xf>
    <xf numFmtId="166" fontId="2" fillId="0" borderId="8" xfId="0" applyNumberFormat="1" applyFont="1" applyFill="1" applyBorder="1" applyAlignment="1">
      <alignment vertical="center"/>
    </xf>
    <xf numFmtId="1" fontId="2" fillId="0" borderId="10" xfId="0" applyNumberFormat="1" applyFont="1" applyFill="1" applyBorder="1" applyAlignment="1">
      <alignment vertical="center"/>
    </xf>
    <xf numFmtId="1" fontId="2" fillId="0" borderId="11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horizontal="center"/>
    </xf>
    <xf numFmtId="0" fontId="1" fillId="2" borderId="9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165" fontId="0" fillId="0" borderId="5" xfId="0" applyNumberFormat="1" applyFont="1" applyFill="1" applyBorder="1"/>
    <xf numFmtId="165" fontId="0" fillId="0" borderId="7" xfId="0" applyNumberFormat="1" applyFont="1" applyFill="1" applyBorder="1"/>
    <xf numFmtId="164" fontId="0" fillId="0" borderId="10" xfId="0" applyNumberFormat="1" applyFont="1" applyFill="1" applyBorder="1"/>
    <xf numFmtId="164" fontId="0" fillId="0" borderId="6" xfId="0" applyNumberFormat="1" applyFont="1" applyFill="1" applyBorder="1"/>
    <xf numFmtId="164" fontId="0" fillId="0" borderId="11" xfId="0" applyNumberFormat="1" applyFont="1" applyFill="1" applyBorder="1"/>
    <xf numFmtId="164" fontId="0" fillId="0" borderId="8" xfId="0" applyNumberFormat="1" applyFont="1" applyFill="1" applyBorder="1"/>
    <xf numFmtId="166" fontId="0" fillId="0" borderId="10" xfId="0" applyNumberFormat="1" applyFont="1" applyFill="1" applyBorder="1"/>
    <xf numFmtId="166" fontId="0" fillId="0" borderId="11" xfId="0" applyNumberFormat="1" applyFont="1" applyFill="1" applyBorder="1"/>
    <xf numFmtId="165" fontId="0" fillId="0" borderId="6" xfId="0" applyNumberFormat="1" applyFont="1" applyFill="1" applyBorder="1"/>
    <xf numFmtId="165" fontId="0" fillId="0" borderId="8" xfId="0" applyNumberFormat="1" applyFont="1" applyFill="1" applyBorder="1"/>
    <xf numFmtId="165" fontId="0" fillId="0" borderId="10" xfId="0" applyNumberFormat="1" applyFont="1" applyFill="1" applyBorder="1"/>
    <xf numFmtId="165" fontId="0" fillId="0" borderId="11" xfId="0" applyNumberFormat="1" applyFont="1" applyFill="1" applyBorder="1"/>
    <xf numFmtId="1" fontId="0" fillId="0" borderId="5" xfId="0" applyNumberFormat="1" applyFont="1" applyFill="1" applyBorder="1"/>
    <xf numFmtId="1" fontId="0" fillId="0" borderId="7" xfId="0" applyNumberFormat="1" applyFont="1" applyFill="1" applyBorder="1"/>
    <xf numFmtId="166" fontId="0" fillId="0" borderId="6" xfId="0" applyNumberFormat="1" applyFont="1" applyFill="1" applyBorder="1"/>
    <xf numFmtId="166" fontId="0" fillId="0" borderId="8" xfId="0" applyNumberFormat="1" applyFont="1" applyFill="1" applyBorder="1"/>
    <xf numFmtId="0" fontId="4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horizontal="left"/>
    </xf>
    <xf numFmtId="0" fontId="3" fillId="4" borderId="12" xfId="0" applyNumberFormat="1" applyFont="1" applyFill="1" applyBorder="1" applyAlignment="1">
      <alignment horizontal="center" vertical="center"/>
    </xf>
    <xf numFmtId="0" fontId="3" fillId="4" borderId="13" xfId="0" applyNumberFormat="1" applyFont="1" applyFill="1" applyBorder="1" applyAlignment="1">
      <alignment horizontal="center" vertical="center"/>
    </xf>
    <xf numFmtId="3" fontId="5" fillId="4" borderId="14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vertical="center"/>
    </xf>
    <xf numFmtId="0" fontId="3" fillId="5" borderId="12" xfId="0" applyNumberFormat="1" applyFont="1" applyFill="1" applyBorder="1" applyAlignment="1">
      <alignment horizontal="center" vertical="center"/>
    </xf>
    <xf numFmtId="0" fontId="3" fillId="5" borderId="13" xfId="0" applyNumberFormat="1" applyFont="1" applyFill="1" applyBorder="1" applyAlignment="1">
      <alignment horizontal="center" vertical="center"/>
    </xf>
    <xf numFmtId="164" fontId="5" fillId="5" borderId="14" xfId="0" applyNumberFormat="1" applyFont="1" applyFill="1" applyBorder="1" applyAlignment="1">
      <alignment horizontal="center" vertical="center"/>
    </xf>
    <xf numFmtId="0" fontId="2" fillId="5" borderId="15" xfId="0" applyNumberFormat="1" applyFont="1" applyFill="1" applyBorder="1" applyAlignment="1">
      <alignment vertical="center"/>
    </xf>
    <xf numFmtId="0" fontId="3" fillId="6" borderId="12" xfId="0" applyNumberFormat="1" applyFont="1" applyFill="1" applyBorder="1" applyAlignment="1">
      <alignment horizontal="center" vertical="center"/>
    </xf>
    <xf numFmtId="0" fontId="3" fillId="6" borderId="13" xfId="0" applyNumberFormat="1" applyFont="1" applyFill="1" applyBorder="1" applyAlignment="1">
      <alignment horizontal="center" vertical="center"/>
    </xf>
    <xf numFmtId="164" fontId="5" fillId="6" borderId="14" xfId="0" applyNumberFormat="1" applyFont="1" applyFill="1" applyBorder="1" applyAlignment="1">
      <alignment horizontal="center" vertical="center"/>
    </xf>
    <xf numFmtId="0" fontId="2" fillId="6" borderId="15" xfId="0" applyNumberFormat="1" applyFont="1" applyFill="1" applyBorder="1" applyAlignment="1">
      <alignment vertical="center"/>
    </xf>
    <xf numFmtId="0" fontId="3" fillId="7" borderId="12" xfId="0" applyNumberFormat="1" applyFont="1" applyFill="1" applyBorder="1" applyAlignment="1">
      <alignment horizontal="center" vertical="center"/>
    </xf>
    <xf numFmtId="0" fontId="3" fillId="7" borderId="13" xfId="0" applyNumberFormat="1" applyFont="1" applyFill="1" applyBorder="1" applyAlignment="1">
      <alignment horizontal="center" vertical="center"/>
    </xf>
    <xf numFmtId="164" fontId="5" fillId="7" borderId="14" xfId="0" applyNumberFormat="1" applyFont="1" applyFill="1" applyBorder="1" applyAlignment="1">
      <alignment horizontal="center" vertical="center"/>
    </xf>
    <xf numFmtId="0" fontId="2" fillId="7" borderId="15" xfId="0" applyNumberFormat="1" applyFont="1" applyFill="1" applyBorder="1" applyAlignment="1">
      <alignment vertical="center"/>
    </xf>
    <xf numFmtId="0" fontId="3" fillId="8" borderId="12" xfId="0" applyNumberFormat="1" applyFont="1" applyFill="1" applyBorder="1" applyAlignment="1">
      <alignment horizontal="center" vertical="center"/>
    </xf>
    <xf numFmtId="0" fontId="3" fillId="8" borderId="13" xfId="0" applyNumberFormat="1" applyFont="1" applyFill="1" applyBorder="1" applyAlignment="1">
      <alignment horizontal="center" vertical="center"/>
    </xf>
    <xf numFmtId="165" fontId="5" fillId="8" borderId="14" xfId="0" applyNumberFormat="1" applyFont="1" applyFill="1" applyBorder="1" applyAlignment="1">
      <alignment horizontal="center" vertical="center"/>
    </xf>
    <xf numFmtId="0" fontId="2" fillId="8" borderId="15" xfId="0" applyNumberFormat="1" applyFont="1" applyFill="1" applyBorder="1" applyAlignment="1">
      <alignment vertical="center"/>
    </xf>
    <xf numFmtId="165" fontId="5" fillId="5" borderId="14" xfId="0" applyNumberFormat="1" applyFont="1" applyFill="1" applyBorder="1" applyAlignment="1">
      <alignment horizontal="center" vertical="center"/>
    </xf>
    <xf numFmtId="0" fontId="2" fillId="3" borderId="12" xfId="0" applyNumberFormat="1" applyFont="1" applyFill="1" applyBorder="1" applyAlignment="1">
      <alignment vertical="top" wrapText="1"/>
    </xf>
    <xf numFmtId="0" fontId="0" fillId="0" borderId="16" xfId="0" applyNumberFormat="1" applyFont="1" applyFill="1" applyBorder="1"/>
    <xf numFmtId="0" fontId="0" fillId="0" borderId="13" xfId="0" applyNumberFormat="1" applyFont="1" applyFill="1" applyBorder="1"/>
    <xf numFmtId="0" fontId="0" fillId="0" borderId="17" xfId="0" applyNumberFormat="1" applyFont="1" applyFill="1" applyBorder="1"/>
    <xf numFmtId="0" fontId="0" fillId="0" borderId="0" xfId="0" applyNumberFormat="1" applyFont="1" applyFill="1" applyBorder="1"/>
    <xf numFmtId="0" fontId="0" fillId="0" borderId="18" xfId="0" applyNumberFormat="1" applyFont="1" applyFill="1" applyBorder="1"/>
    <xf numFmtId="0" fontId="0" fillId="0" borderId="14" xfId="0" applyNumberFormat="1" applyFont="1" applyFill="1" applyBorder="1"/>
    <xf numFmtId="0" fontId="0" fillId="0" borderId="19" xfId="0" applyNumberFormat="1" applyFont="1" applyFill="1" applyBorder="1"/>
    <xf numFmtId="0" fontId="0" fillId="0" borderId="15" xfId="0" applyNumberFormat="1" applyFont="1" applyFill="1" applyBorder="1"/>
    <xf numFmtId="0" fontId="2" fillId="3" borderId="20" xfId="0" applyNumberFormat="1" applyFont="1" applyFill="1" applyBorder="1" applyAlignment="1">
      <alignment vertical="top" wrapText="1"/>
    </xf>
    <xf numFmtId="0" fontId="0" fillId="0" borderId="21" xfId="0" applyNumberFormat="1" applyFont="1" applyFill="1" applyBorder="1"/>
    <xf numFmtId="0" fontId="0" fillId="0" borderId="22" xfId="0" applyNumberFormat="1" applyFont="1" applyFill="1" applyBorder="1"/>
    <xf numFmtId="0" fontId="5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Fleet Power Profile by Half-Hour (kW)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Demand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ChartData!$B$2:$B$49</c:f>
              <c:numCache>
                <c:formatCode>#,##0.0</c:formatCode>
                <c:ptCount val="48"/>
                <c:pt idx="0">
                  <c:v>22.542882666666664</c:v>
                </c:pt>
                <c:pt idx="1">
                  <c:v>20.083074000000003</c:v>
                </c:pt>
                <c:pt idx="2">
                  <c:v>15.16349670000001</c:v>
                </c:pt>
                <c:pt idx="3">
                  <c:v>13.280624333333336</c:v>
                </c:pt>
                <c:pt idx="4">
                  <c:v>13.113509333333337</c:v>
                </c:pt>
                <c:pt idx="5">
                  <c:v>12.795924000000001</c:v>
                </c:pt>
                <c:pt idx="6">
                  <c:v>12.451188666666663</c:v>
                </c:pt>
                <c:pt idx="7">
                  <c:v>11.801573999999997</c:v>
                </c:pt>
                <c:pt idx="8">
                  <c:v>11.41052066666667</c:v>
                </c:pt>
                <c:pt idx="9">
                  <c:v>10.285202500000002</c:v>
                </c:pt>
                <c:pt idx="10">
                  <c:v>10.950758333333336</c:v>
                </c:pt>
                <c:pt idx="11">
                  <c:v>11.244582633333332</c:v>
                </c:pt>
                <c:pt idx="12">
                  <c:v>11.490795333333335</c:v>
                </c:pt>
                <c:pt idx="13">
                  <c:v>13.429881866666674</c:v>
                </c:pt>
                <c:pt idx="14">
                  <c:v>17.536620033333321</c:v>
                </c:pt>
                <c:pt idx="15">
                  <c:v>20.960811133333348</c:v>
                </c:pt>
                <c:pt idx="16">
                  <c:v>22.36437986666667</c:v>
                </c:pt>
                <c:pt idx="17">
                  <c:v>25.599505866666657</c:v>
                </c:pt>
                <c:pt idx="18">
                  <c:v>28.720928600000001</c:v>
                </c:pt>
                <c:pt idx="19">
                  <c:v>37.96382413333334</c:v>
                </c:pt>
                <c:pt idx="20">
                  <c:v>38.675070266666665</c:v>
                </c:pt>
                <c:pt idx="21">
                  <c:v>36.222018166666658</c:v>
                </c:pt>
                <c:pt idx="22">
                  <c:v>38.407974366666657</c:v>
                </c:pt>
                <c:pt idx="23">
                  <c:v>43.567826333333322</c:v>
                </c:pt>
                <c:pt idx="24">
                  <c:v>40.665885733333347</c:v>
                </c:pt>
                <c:pt idx="25">
                  <c:v>39.678171699999979</c:v>
                </c:pt>
                <c:pt idx="26">
                  <c:v>25.283236333333342</c:v>
                </c:pt>
                <c:pt idx="27">
                  <c:v>26.807614000000019</c:v>
                </c:pt>
                <c:pt idx="28">
                  <c:v>31.458178733333323</c:v>
                </c:pt>
                <c:pt idx="29">
                  <c:v>32.03695093333333</c:v>
                </c:pt>
                <c:pt idx="30">
                  <c:v>31.036622599999994</c:v>
                </c:pt>
                <c:pt idx="31">
                  <c:v>31.775515499999987</c:v>
                </c:pt>
                <c:pt idx="32">
                  <c:v>28.37571566666665</c:v>
                </c:pt>
                <c:pt idx="33">
                  <c:v>31.721641566666666</c:v>
                </c:pt>
                <c:pt idx="34">
                  <c:v>29.173445699999981</c:v>
                </c:pt>
                <c:pt idx="35">
                  <c:v>34.302234166666643</c:v>
                </c:pt>
                <c:pt idx="36">
                  <c:v>34.429074799999988</c:v>
                </c:pt>
                <c:pt idx="37">
                  <c:v>33.767165266666673</c:v>
                </c:pt>
                <c:pt idx="38">
                  <c:v>41.180303766666675</c:v>
                </c:pt>
                <c:pt idx="39">
                  <c:v>45.859675366666657</c:v>
                </c:pt>
                <c:pt idx="40">
                  <c:v>41.097066900000016</c:v>
                </c:pt>
                <c:pt idx="41">
                  <c:v>44.373776933333353</c:v>
                </c:pt>
                <c:pt idx="42">
                  <c:v>45.369376366666685</c:v>
                </c:pt>
                <c:pt idx="43">
                  <c:v>40.498971100000006</c:v>
                </c:pt>
                <c:pt idx="44">
                  <c:v>38.268440999999996</c:v>
                </c:pt>
                <c:pt idx="45">
                  <c:v>35.61368233333333</c:v>
                </c:pt>
                <c:pt idx="46">
                  <c:v>28.918137033333331</c:v>
                </c:pt>
                <c:pt idx="47">
                  <c:v>21.019456333333334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B-425B-943C-9B8FC7E2A825}"/>
            </c:ext>
          </c:extLst>
        </c:ser>
        <c:ser>
          <c:idx val="1"/>
          <c:order val="1"/>
          <c:tx>
            <c:v>PV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ChartData!$C$2:$C$49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0.25246895436666689</c:v>
                </c:pt>
                <c:pt idx="8">
                  <c:v>3.6492683896333249</c:v>
                </c:pt>
                <c:pt idx="9">
                  <c:v>17.065084759550007</c:v>
                </c:pt>
                <c:pt idx="10">
                  <c:v>33.850843651566763</c:v>
                </c:pt>
                <c:pt idx="11">
                  <c:v>54.433829028133246</c:v>
                </c:pt>
                <c:pt idx="12">
                  <c:v>76.891026736916771</c:v>
                </c:pt>
                <c:pt idx="13">
                  <c:v>99.62425818243328</c:v>
                </c:pt>
                <c:pt idx="14">
                  <c:v>122.23977499595006</c:v>
                </c:pt>
                <c:pt idx="15">
                  <c:v>144.88818935374991</c:v>
                </c:pt>
                <c:pt idx="16">
                  <c:v>166.14516959781696</c:v>
                </c:pt>
                <c:pt idx="17">
                  <c:v>186.12676225289994</c:v>
                </c:pt>
                <c:pt idx="18">
                  <c:v>203.14421723566679</c:v>
                </c:pt>
                <c:pt idx="19">
                  <c:v>217.65838242503295</c:v>
                </c:pt>
                <c:pt idx="20">
                  <c:v>230.39815619751681</c:v>
                </c:pt>
                <c:pt idx="21">
                  <c:v>240.91251326804988</c:v>
                </c:pt>
                <c:pt idx="22">
                  <c:v>248.3727552224166</c:v>
                </c:pt>
                <c:pt idx="23">
                  <c:v>251.64445725820002</c:v>
                </c:pt>
                <c:pt idx="24">
                  <c:v>252.59206752026688</c:v>
                </c:pt>
                <c:pt idx="25">
                  <c:v>250.81935268300006</c:v>
                </c:pt>
                <c:pt idx="26">
                  <c:v>244.86400361675027</c:v>
                </c:pt>
                <c:pt idx="27">
                  <c:v>235.77840627786659</c:v>
                </c:pt>
                <c:pt idx="28">
                  <c:v>224.93164166354978</c:v>
                </c:pt>
                <c:pt idx="29">
                  <c:v>211.18720394876669</c:v>
                </c:pt>
                <c:pt idx="30">
                  <c:v>196.58105330594998</c:v>
                </c:pt>
                <c:pt idx="31">
                  <c:v>179.00446527746695</c:v>
                </c:pt>
                <c:pt idx="32">
                  <c:v>159.2090792068332</c:v>
                </c:pt>
                <c:pt idx="33">
                  <c:v>135.30872965148336</c:v>
                </c:pt>
                <c:pt idx="34">
                  <c:v>112.93966049308327</c:v>
                </c:pt>
                <c:pt idx="35">
                  <c:v>89.954053455549982</c:v>
                </c:pt>
                <c:pt idx="36">
                  <c:v>67.719030081166764</c:v>
                </c:pt>
                <c:pt idx="37">
                  <c:v>46.281334520249999</c:v>
                </c:pt>
                <c:pt idx="38">
                  <c:v>27.025534864933324</c:v>
                </c:pt>
                <c:pt idx="39">
                  <c:v>7.8628612138499978</c:v>
                </c:pt>
                <c:pt idx="40">
                  <c:v>1.4501670835666682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0B-425B-943C-9B8FC7E2A825}"/>
            </c:ext>
          </c:extLst>
        </c:ser>
        <c:ser>
          <c:idx val="2"/>
          <c:order val="2"/>
          <c:tx>
            <c:v>Net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ChartData!$D$2:$D$49</c:f>
              <c:numCache>
                <c:formatCode>#,##0.0</c:formatCode>
                <c:ptCount val="48"/>
                <c:pt idx="0">
                  <c:v>8.8266666666569904E-4</c:v>
                </c:pt>
                <c:pt idx="1">
                  <c:v>0.11707400000000945</c:v>
                </c:pt>
                <c:pt idx="2">
                  <c:v>0.49449670000001156</c:v>
                </c:pt>
                <c:pt idx="3">
                  <c:v>0.96162433333333119</c:v>
                </c:pt>
                <c:pt idx="4">
                  <c:v>0.98150933333334045</c:v>
                </c:pt>
                <c:pt idx="5">
                  <c:v>1.2289239999999975</c:v>
                </c:pt>
                <c:pt idx="6">
                  <c:v>2.8641886666666601</c:v>
                </c:pt>
                <c:pt idx="7">
                  <c:v>0.92110504563332896</c:v>
                </c:pt>
                <c:pt idx="8">
                  <c:v>0.9229867631333466</c:v>
                </c:pt>
                <c:pt idx="9">
                  <c:v>0.23411774044999589</c:v>
                </c:pt>
                <c:pt idx="10">
                  <c:v>-7.0853182334269654E-3</c:v>
                </c:pt>
                <c:pt idx="11">
                  <c:v>4.753605200086497E-3</c:v>
                </c:pt>
                <c:pt idx="12">
                  <c:v>7.685964165631276E-4</c:v>
                </c:pt>
                <c:pt idx="13">
                  <c:v>6.2368423338743373E-4</c:v>
                </c:pt>
                <c:pt idx="14">
                  <c:v>-1.154962616680022E-3</c:v>
                </c:pt>
                <c:pt idx="15">
                  <c:v>-12.534378220416547</c:v>
                </c:pt>
                <c:pt idx="16">
                  <c:v>-66.229789731150277</c:v>
                </c:pt>
                <c:pt idx="17">
                  <c:v>-116.08325638623329</c:v>
                </c:pt>
                <c:pt idx="18">
                  <c:v>-145.79328863566678</c:v>
                </c:pt>
                <c:pt idx="19">
                  <c:v>-162.29355829169961</c:v>
                </c:pt>
                <c:pt idx="20">
                  <c:v>-178.62508593085016</c:v>
                </c:pt>
                <c:pt idx="21">
                  <c:v>-198.75549510138322</c:v>
                </c:pt>
                <c:pt idx="22">
                  <c:v>-202.07378085574993</c:v>
                </c:pt>
                <c:pt idx="23">
                  <c:v>-208.1196309248667</c:v>
                </c:pt>
                <c:pt idx="24">
                  <c:v>-214.80618178693356</c:v>
                </c:pt>
                <c:pt idx="25">
                  <c:v>-210.73518098300011</c:v>
                </c:pt>
                <c:pt idx="26">
                  <c:v>-215.7017672834169</c:v>
                </c:pt>
                <c:pt idx="27">
                  <c:v>-207.33379227786656</c:v>
                </c:pt>
                <c:pt idx="28">
                  <c:v>-193.18446293021648</c:v>
                </c:pt>
                <c:pt idx="29">
                  <c:v>-180.38025301543337</c:v>
                </c:pt>
                <c:pt idx="30">
                  <c:v>-166.01843070594998</c:v>
                </c:pt>
                <c:pt idx="31">
                  <c:v>-145.44894977746696</c:v>
                </c:pt>
                <c:pt idx="32">
                  <c:v>-134.06436354016654</c:v>
                </c:pt>
                <c:pt idx="33">
                  <c:v>-106.72008808481671</c:v>
                </c:pt>
                <c:pt idx="34">
                  <c:v>-83.469214793083282</c:v>
                </c:pt>
                <c:pt idx="35">
                  <c:v>-60.686819288883342</c:v>
                </c:pt>
                <c:pt idx="36">
                  <c:v>-38.965955281166778</c:v>
                </c:pt>
                <c:pt idx="37">
                  <c:v>-21.259169253583327</c:v>
                </c:pt>
                <c:pt idx="38">
                  <c:v>-6.4765462043666489</c:v>
                </c:pt>
                <c:pt idx="39">
                  <c:v>-0.31018584718336939</c:v>
                </c:pt>
                <c:pt idx="40">
                  <c:v>1.1899816433320609E-2</c:v>
                </c:pt>
                <c:pt idx="41">
                  <c:v>0.50577693333334395</c:v>
                </c:pt>
                <c:pt idx="42">
                  <c:v>1.698376366666686</c:v>
                </c:pt>
                <c:pt idx="43">
                  <c:v>3.500971100000001</c:v>
                </c:pt>
                <c:pt idx="44">
                  <c:v>5.2064410000000052</c:v>
                </c:pt>
                <c:pt idx="45">
                  <c:v>5.0576823333333323</c:v>
                </c:pt>
                <c:pt idx="46">
                  <c:v>3.7771370333333252</c:v>
                </c:pt>
                <c:pt idx="47">
                  <c:v>3.3784563333333324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0B-425B-943C-9B8FC7E2A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Battery Dispatch (kW)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Charge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5.3684210526315794E-4</c:v>
                </c:pt>
                <c:pt idx="9">
                  <c:v>8.6557894736842111E-2</c:v>
                </c:pt>
                <c:pt idx="10">
                  <c:v>0.24218947368421051</c:v>
                </c:pt>
                <c:pt idx="11">
                  <c:v>0.45467368421052634</c:v>
                </c:pt>
                <c:pt idx="12">
                  <c:v>0.68843157894736839</c:v>
                </c:pt>
                <c:pt idx="13">
                  <c:v>0.9173684210526315</c:v>
                </c:pt>
                <c:pt idx="14">
                  <c:v>1.1195157894736849</c:v>
                </c:pt>
                <c:pt idx="15">
                  <c:v>1.1933157894736843</c:v>
                </c:pt>
                <c:pt idx="16">
                  <c:v>0.82097894736842114</c:v>
                </c:pt>
                <c:pt idx="17">
                  <c:v>0.46883157894736843</c:v>
                </c:pt>
                <c:pt idx="18">
                  <c:v>0.30967368421052627</c:v>
                </c:pt>
                <c:pt idx="19">
                  <c:v>0.20947368421052634</c:v>
                </c:pt>
                <c:pt idx="20">
                  <c:v>0.15412631578947367</c:v>
                </c:pt>
                <c:pt idx="21">
                  <c:v>7.6042105263157911E-2</c:v>
                </c:pt>
                <c:pt idx="22">
                  <c:v>8.3673684210526317E-2</c:v>
                </c:pt>
                <c:pt idx="23">
                  <c:v>2.4915789473684211E-2</c:v>
                </c:pt>
                <c:pt idx="24">
                  <c:v>2.4210526315789475E-3</c:v>
                </c:pt>
                <c:pt idx="25">
                  <c:v>1.9957894736842105E-2</c:v>
                </c:pt>
                <c:pt idx="26">
                  <c:v>4.3505263157894734E-2</c:v>
                </c:pt>
                <c:pt idx="27">
                  <c:v>2.1294736842105266E-2</c:v>
                </c:pt>
                <c:pt idx="28">
                  <c:v>1.4947368421052631E-2</c:v>
                </c:pt>
                <c:pt idx="29">
                  <c:v>3.9894736842105262E-3</c:v>
                </c:pt>
                <c:pt idx="30">
                  <c:v>5.8842105263157887E-3</c:v>
                </c:pt>
                <c:pt idx="31">
                  <c:v>2.5715789473684206E-2</c:v>
                </c:pt>
                <c:pt idx="32">
                  <c:v>6.9684210526315795E-3</c:v>
                </c:pt>
                <c:pt idx="33">
                  <c:v>2.1263157894736841E-2</c:v>
                </c:pt>
                <c:pt idx="34">
                  <c:v>1.4515789473684211E-2</c:v>
                </c:pt>
                <c:pt idx="35">
                  <c:v>1.3778947368421054E-2</c:v>
                </c:pt>
                <c:pt idx="36">
                  <c:v>2.2642105263157894E-2</c:v>
                </c:pt>
                <c:pt idx="37">
                  <c:v>2.0894736842105261E-2</c:v>
                </c:pt>
                <c:pt idx="38">
                  <c:v>1.1168421052631579E-2</c:v>
                </c:pt>
                <c:pt idx="39">
                  <c:v>1.2947368421052632E-3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D-4FC5-AB7F-952CF59C4CA2}"/>
            </c:ext>
          </c:extLst>
        </c:ser>
        <c:ser>
          <c:idx val="1"/>
          <c:order val="1"/>
          <c:tx>
            <c:v>Discharge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ChartData!$H$2:$H$49</c:f>
              <c:numCache>
                <c:formatCode>#,##0.000</c:formatCode>
                <c:ptCount val="48"/>
                <c:pt idx="0">
                  <c:v>0.23728421052631576</c:v>
                </c:pt>
                <c:pt idx="1">
                  <c:v>0.2101684210526315</c:v>
                </c:pt>
                <c:pt idx="2">
                  <c:v>0.15441052631578947</c:v>
                </c:pt>
                <c:pt idx="3">
                  <c:v>0.12967368421052636</c:v>
                </c:pt>
                <c:pt idx="4">
                  <c:v>0.12770526315789468</c:v>
                </c:pt>
                <c:pt idx="5">
                  <c:v>0.12175789473684215</c:v>
                </c:pt>
                <c:pt idx="6">
                  <c:v>0.10091578947368425</c:v>
                </c:pt>
                <c:pt idx="7">
                  <c:v>0.11187368421052633</c:v>
                </c:pt>
                <c:pt idx="8">
                  <c:v>7.2518584356842095E-2</c:v>
                </c:pt>
                <c:pt idx="9">
                  <c:v>1.2726315789473681E-2</c:v>
                </c:pt>
                <c:pt idx="10">
                  <c:v>1.2105263157894737E-3</c:v>
                </c:pt>
                <c:pt idx="11">
                  <c:v>0</c:v>
                </c:pt>
                <c:pt idx="12">
                  <c:v>0</c:v>
                </c:pt>
                <c:pt idx="13">
                  <c:v>1.0052631578947369E-2</c:v>
                </c:pt>
                <c:pt idx="14">
                  <c:v>1.7389473684210524E-2</c:v>
                </c:pt>
                <c:pt idx="15">
                  <c:v>2.0757894736842104E-2</c:v>
                </c:pt>
                <c:pt idx="16">
                  <c:v>4.6526315789473683E-3</c:v>
                </c:pt>
                <c:pt idx="17">
                  <c:v>1E-3</c:v>
                </c:pt>
                <c:pt idx="18">
                  <c:v>8.3052631578947374E-3</c:v>
                </c:pt>
                <c:pt idx="19">
                  <c:v>2.6305263157894738E-2</c:v>
                </c:pt>
                <c:pt idx="20">
                  <c:v>1.6252631578947369E-2</c:v>
                </c:pt>
                <c:pt idx="21">
                  <c:v>1.356842105263158E-2</c:v>
                </c:pt>
                <c:pt idx="22">
                  <c:v>6.1052631578947369E-4</c:v>
                </c:pt>
                <c:pt idx="23">
                  <c:v>2.5368421052631582E-2</c:v>
                </c:pt>
                <c:pt idx="24">
                  <c:v>3.2736842105263154E-2</c:v>
                </c:pt>
                <c:pt idx="25">
                  <c:v>1.568421052631579E-2</c:v>
                </c:pt>
                <c:pt idx="26">
                  <c:v>2.673684210526316E-3</c:v>
                </c:pt>
                <c:pt idx="27">
                  <c:v>4.0631578947368423E-3</c:v>
                </c:pt>
                <c:pt idx="28">
                  <c:v>1.1905263157894735E-2</c:v>
                </c:pt>
                <c:pt idx="29">
                  <c:v>1.6936842105263156E-2</c:v>
                </c:pt>
                <c:pt idx="30">
                  <c:v>1.0873684210526315E-2</c:v>
                </c:pt>
                <c:pt idx="31">
                  <c:v>6.9789473684210516E-3</c:v>
                </c:pt>
                <c:pt idx="32">
                  <c:v>4.0978947368421052E-2</c:v>
                </c:pt>
                <c:pt idx="33">
                  <c:v>5.4242105263157897E-2</c:v>
                </c:pt>
                <c:pt idx="34">
                  <c:v>1.1389473684210527E-2</c:v>
                </c:pt>
                <c:pt idx="35">
                  <c:v>6.6778947368421063E-2</c:v>
                </c:pt>
                <c:pt idx="36">
                  <c:v>8.2389473684210526E-2</c:v>
                </c:pt>
                <c:pt idx="37">
                  <c:v>0.11294736842105263</c:v>
                </c:pt>
                <c:pt idx="38">
                  <c:v>0.22834015901157895</c:v>
                </c:pt>
                <c:pt idx="39">
                  <c:v>0.40452631578947396</c:v>
                </c:pt>
                <c:pt idx="40">
                  <c:v>0.41721052631578975</c:v>
                </c:pt>
                <c:pt idx="41">
                  <c:v>0.46176842105263166</c:v>
                </c:pt>
                <c:pt idx="42">
                  <c:v>0.45969473684210527</c:v>
                </c:pt>
                <c:pt idx="43">
                  <c:v>0.38945263157894744</c:v>
                </c:pt>
                <c:pt idx="44">
                  <c:v>0.34802105263157884</c:v>
                </c:pt>
                <c:pt idx="45">
                  <c:v>0.32164210526315784</c:v>
                </c:pt>
                <c:pt idx="46">
                  <c:v>0.26464210526315796</c:v>
                </c:pt>
                <c:pt idx="47">
                  <c:v>0.18569473684210527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D-4FC5-AB7F-952CF59C4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State of Charge (%)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ChartData!$I$2:$I$49</c:f>
              <c:numCache>
                <c:formatCode>0.0</c:formatCode>
                <c:ptCount val="48"/>
                <c:pt idx="0">
                  <c:v>40</c:v>
                </c:pt>
                <c:pt idx="1">
                  <c:v>37.022328421052649</c:v>
                </c:pt>
                <c:pt idx="2">
                  <c:v>34.384641052631579</c:v>
                </c:pt>
                <c:pt idx="3">
                  <c:v>32.446776842105265</c:v>
                </c:pt>
                <c:pt idx="4">
                  <c:v>30.819590526315775</c:v>
                </c:pt>
                <c:pt idx="5">
                  <c:v>29.216691578947369</c:v>
                </c:pt>
                <c:pt idx="6">
                  <c:v>27.689062105263154</c:v>
                </c:pt>
                <c:pt idx="7">
                  <c:v>26.422723157894747</c:v>
                </c:pt>
                <c:pt idx="8">
                  <c:v>25.01964105263157</c:v>
                </c:pt>
                <c:pt idx="9">
                  <c:v>24.115159999999999</c:v>
                </c:pt>
                <c:pt idx="10">
                  <c:v>24.932733684210515</c:v>
                </c:pt>
                <c:pt idx="11">
                  <c:v>27.653683157894726</c:v>
                </c:pt>
                <c:pt idx="12">
                  <c:v>32.788230526315793</c:v>
                </c:pt>
                <c:pt idx="13">
                  <c:v>40.563310526315789</c:v>
                </c:pt>
                <c:pt idx="14">
                  <c:v>50.797911578947378</c:v>
                </c:pt>
                <c:pt idx="15">
                  <c:v>63.223697894736851</c:v>
                </c:pt>
                <c:pt idx="16">
                  <c:v>76.44060105263155</c:v>
                </c:pt>
                <c:pt idx="17">
                  <c:v>85.654446315789471</c:v>
                </c:pt>
                <c:pt idx="18">
                  <c:v>90.936964210526313</c:v>
                </c:pt>
                <c:pt idx="19">
                  <c:v>94.330286315789479</c:v>
                </c:pt>
                <c:pt idx="20">
                  <c:v>96.366255789473698</c:v>
                </c:pt>
                <c:pt idx="21">
                  <c:v>97.902461052631594</c:v>
                </c:pt>
                <c:pt idx="22">
                  <c:v>98.591155789473675</c:v>
                </c:pt>
                <c:pt idx="23">
                  <c:v>99.528662105263152</c:v>
                </c:pt>
                <c:pt idx="24">
                  <c:v>99.491741052631568</c:v>
                </c:pt>
                <c:pt idx="25">
                  <c:v>99.108356842105266</c:v>
                </c:pt>
                <c:pt idx="26">
                  <c:v>99.136881052631566</c:v>
                </c:pt>
                <c:pt idx="27">
                  <c:v>99.594821052631573</c:v>
                </c:pt>
                <c:pt idx="28">
                  <c:v>99.784386315789476</c:v>
                </c:pt>
                <c:pt idx="29">
                  <c:v>99.80376315789475</c:v>
                </c:pt>
                <c:pt idx="30">
                  <c:v>99.636244210526314</c:v>
                </c:pt>
                <c:pt idx="31">
                  <c:v>99.566207368421061</c:v>
                </c:pt>
                <c:pt idx="32">
                  <c:v>99.769125263157918</c:v>
                </c:pt>
                <c:pt idx="33">
                  <c:v>99.333614736842108</c:v>
                </c:pt>
                <c:pt idx="34">
                  <c:v>98.893053684210543</c:v>
                </c:pt>
                <c:pt idx="35">
                  <c:v>98.914183157894726</c:v>
                </c:pt>
                <c:pt idx="36">
                  <c:v>98.231587368421074</c:v>
                </c:pt>
                <c:pt idx="37">
                  <c:v>97.453587368421069</c:v>
                </c:pt>
                <c:pt idx="38">
                  <c:v>96.272210526315817</c:v>
                </c:pt>
                <c:pt idx="39">
                  <c:v>93.533335789473711</c:v>
                </c:pt>
                <c:pt idx="40">
                  <c:v>88.471953684210547</c:v>
                </c:pt>
                <c:pt idx="41">
                  <c:v>83.236728421052646</c:v>
                </c:pt>
                <c:pt idx="42">
                  <c:v>77.442100000000011</c:v>
                </c:pt>
                <c:pt idx="43">
                  <c:v>71.673122105263161</c:v>
                </c:pt>
                <c:pt idx="44">
                  <c:v>66.785317894736821</c:v>
                </c:pt>
                <c:pt idx="45">
                  <c:v>62.4182589473684</c:v>
                </c:pt>
                <c:pt idx="46">
                  <c:v>58.382404210526317</c:v>
                </c:pt>
                <c:pt idx="47">
                  <c:v>55.061211578947365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B2-4B9E-BA96-C1074E390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Prosumers by Exported Energy (kWh/day)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Export kWh/day</c:v>
          </c:tx>
          <c:spPr>
            <a:solidFill>
              <a:srgbClr val="2E7D32"/>
            </a:solidFill>
          </c:spPr>
          <c:invertIfNegative val="1"/>
          <c:cat>
            <c:strRef>
              <c:f>ChartData!$R$2:$R$11</c:f>
              <c:strCache>
                <c:ptCount val="10"/>
                <c:pt idx="0">
                  <c:v>three97_B</c:v>
                </c:pt>
                <c:pt idx="1">
                  <c:v>six329_A</c:v>
                </c:pt>
                <c:pt idx="2">
                  <c:v>five324_B</c:v>
                </c:pt>
                <c:pt idx="3">
                  <c:v>five801_C</c:v>
                </c:pt>
                <c:pt idx="4">
                  <c:v>three388_A</c:v>
                </c:pt>
                <c:pt idx="5">
                  <c:v>five117_B</c:v>
                </c:pt>
                <c:pt idx="6">
                  <c:v>five285_B</c:v>
                </c:pt>
                <c:pt idx="7">
                  <c:v>five147_C</c:v>
                </c:pt>
                <c:pt idx="8">
                  <c:v>five149_A</c:v>
                </c:pt>
                <c:pt idx="9">
                  <c:v>five243_B</c:v>
                </c:pt>
              </c:strCache>
            </c:strRef>
          </c:cat>
          <c:val>
            <c:numRef>
              <c:f>ChartData!$Q$2:$Q$11</c:f>
              <c:numCache>
                <c:formatCode>#,##0.0</c:formatCode>
                <c:ptCount val="10"/>
                <c:pt idx="0">
                  <c:v>28.63</c:v>
                </c:pt>
                <c:pt idx="1">
                  <c:v>28.19</c:v>
                </c:pt>
                <c:pt idx="2">
                  <c:v>27.84</c:v>
                </c:pt>
                <c:pt idx="3">
                  <c:v>26.95</c:v>
                </c:pt>
                <c:pt idx="4">
                  <c:v>26.84</c:v>
                </c:pt>
                <c:pt idx="5">
                  <c:v>26.59</c:v>
                </c:pt>
                <c:pt idx="6">
                  <c:v>26.45</c:v>
                </c:pt>
                <c:pt idx="7">
                  <c:v>26.4</c:v>
                </c:pt>
                <c:pt idx="8">
                  <c:v>26.39</c:v>
                </c:pt>
                <c:pt idx="9">
                  <c:v>26.19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97D5-4E8F-855C-191F7A222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Self-Consumption vs Self-Sufficiency by Prosumer (%)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Prosumer</c:v>
          </c:tx>
          <c:xVal>
            <c:numLit>
              <c:ptCount val="0"/>
            </c:numLit>
          </c:xVal>
          <c:yVal>
            <c:numRef>
              <c:f>ChartData!$M$2:$M$96</c:f>
              <c:numCache>
                <c:formatCode>0.0</c:formatCode>
                <c:ptCount val="9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99.9</c:v>
                </c:pt>
                <c:pt idx="7">
                  <c:v>100</c:v>
                </c:pt>
                <c:pt idx="8">
                  <c:v>97.2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99.2</c:v>
                </c:pt>
                <c:pt idx="19">
                  <c:v>100</c:v>
                </c:pt>
                <c:pt idx="20">
                  <c:v>88</c:v>
                </c:pt>
                <c:pt idx="21">
                  <c:v>100</c:v>
                </c:pt>
                <c:pt idx="22">
                  <c:v>99.4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99.9</c:v>
                </c:pt>
                <c:pt idx="32">
                  <c:v>100</c:v>
                </c:pt>
                <c:pt idx="33">
                  <c:v>100</c:v>
                </c:pt>
                <c:pt idx="34">
                  <c:v>85.3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96.2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83.2</c:v>
                </c:pt>
                <c:pt idx="45">
                  <c:v>99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89.3</c:v>
                </c:pt>
                <c:pt idx="55">
                  <c:v>100</c:v>
                </c:pt>
                <c:pt idx="56">
                  <c:v>99.9</c:v>
                </c:pt>
                <c:pt idx="57">
                  <c:v>100</c:v>
                </c:pt>
                <c:pt idx="58">
                  <c:v>96.5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86.6</c:v>
                </c:pt>
                <c:pt idx="63">
                  <c:v>100</c:v>
                </c:pt>
                <c:pt idx="64">
                  <c:v>100</c:v>
                </c:pt>
                <c:pt idx="65">
                  <c:v>96</c:v>
                </c:pt>
                <c:pt idx="66">
                  <c:v>100</c:v>
                </c:pt>
                <c:pt idx="67">
                  <c:v>88.7</c:v>
                </c:pt>
                <c:pt idx="68">
                  <c:v>84.9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98.2</c:v>
                </c:pt>
                <c:pt idx="76">
                  <c:v>100</c:v>
                </c:pt>
                <c:pt idx="77">
                  <c:v>91.1</c:v>
                </c:pt>
                <c:pt idx="78">
                  <c:v>100</c:v>
                </c:pt>
                <c:pt idx="79">
                  <c:v>100</c:v>
                </c:pt>
                <c:pt idx="80">
                  <c:v>88.4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99.7</c:v>
                </c:pt>
                <c:pt idx="85">
                  <c:v>88.3</c:v>
                </c:pt>
                <c:pt idx="86">
                  <c:v>100</c:v>
                </c:pt>
                <c:pt idx="87">
                  <c:v>100</c:v>
                </c:pt>
                <c:pt idx="88">
                  <c:v>99.9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90-4D34-85C2-4DBB76060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/>
              <a:t>Fleet-average prosumer profile -  TR2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demand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ChartData!$U$2:$U$49</c:f>
              <c:numCache>
                <c:formatCode>#,##0.000</c:formatCode>
                <c:ptCount val="48"/>
                <c:pt idx="0">
                  <c:v>0.23729350175438593</c:v>
                </c:pt>
                <c:pt idx="1">
                  <c:v>0.21140077894736845</c:v>
                </c:pt>
                <c:pt idx="2">
                  <c:v>0.15961575473684222</c:v>
                </c:pt>
                <c:pt idx="3">
                  <c:v>0.13979604561403511</c:v>
                </c:pt>
                <c:pt idx="4">
                  <c:v>0.13803694035087724</c:v>
                </c:pt>
                <c:pt idx="5">
                  <c:v>0.13469393684210529</c:v>
                </c:pt>
                <c:pt idx="6">
                  <c:v>0.1310651438596491</c:v>
                </c:pt>
                <c:pt idx="7">
                  <c:v>0.12422709473684207</c:v>
                </c:pt>
                <c:pt idx="8">
                  <c:v>0.12011074385964916</c:v>
                </c:pt>
                <c:pt idx="9">
                  <c:v>0.10826528947368423</c:v>
                </c:pt>
                <c:pt idx="10">
                  <c:v>0.11527114035087722</c:v>
                </c:pt>
                <c:pt idx="11">
                  <c:v>0.11836402771929823</c:v>
                </c:pt>
                <c:pt idx="12">
                  <c:v>0.12095574035087721</c:v>
                </c:pt>
                <c:pt idx="13">
                  <c:v>0.14136717754385972</c:v>
                </c:pt>
                <c:pt idx="14">
                  <c:v>0.18459600035087706</c:v>
                </c:pt>
                <c:pt idx="15">
                  <c:v>0.2206401171929826</c:v>
                </c:pt>
                <c:pt idx="16">
                  <c:v>0.23541452491228074</c:v>
                </c:pt>
                <c:pt idx="17">
                  <c:v>0.26946848280701746</c:v>
                </c:pt>
                <c:pt idx="18">
                  <c:v>0.30232556421052631</c:v>
                </c:pt>
                <c:pt idx="19">
                  <c:v>0.39961920140350882</c:v>
                </c:pt>
                <c:pt idx="20">
                  <c:v>0.40710600280701753</c:v>
                </c:pt>
                <c:pt idx="21">
                  <c:v>0.38128440175438588</c:v>
                </c:pt>
                <c:pt idx="22">
                  <c:v>0.40429446701754373</c:v>
                </c:pt>
                <c:pt idx="23">
                  <c:v>0.4586086982456139</c:v>
                </c:pt>
                <c:pt idx="24">
                  <c:v>0.42806195508771944</c:v>
                </c:pt>
                <c:pt idx="25">
                  <c:v>0.41766496526315766</c:v>
                </c:pt>
                <c:pt idx="26">
                  <c:v>0.26613932982456151</c:v>
                </c:pt>
                <c:pt idx="27">
                  <c:v>0.28218541052631596</c:v>
                </c:pt>
                <c:pt idx="28">
                  <c:v>0.33113872350877183</c:v>
                </c:pt>
                <c:pt idx="29">
                  <c:v>0.33723106245614032</c:v>
                </c:pt>
                <c:pt idx="30">
                  <c:v>0.32670129052631575</c:v>
                </c:pt>
                <c:pt idx="31">
                  <c:v>0.33447911052631563</c:v>
                </c:pt>
                <c:pt idx="32">
                  <c:v>0.29869174385964897</c:v>
                </c:pt>
                <c:pt idx="33">
                  <c:v>0.33391201649122804</c:v>
                </c:pt>
                <c:pt idx="34">
                  <c:v>0.30708890210526296</c:v>
                </c:pt>
                <c:pt idx="35">
                  <c:v>0.36107614912280678</c:v>
                </c:pt>
                <c:pt idx="36">
                  <c:v>0.36241131368421042</c:v>
                </c:pt>
                <c:pt idx="37">
                  <c:v>0.35544384491228076</c:v>
                </c:pt>
                <c:pt idx="38">
                  <c:v>0.43347688175438603</c:v>
                </c:pt>
                <c:pt idx="39">
                  <c:v>0.48273342491228061</c:v>
                </c:pt>
                <c:pt idx="40">
                  <c:v>0.43260070421052649</c:v>
                </c:pt>
                <c:pt idx="41">
                  <c:v>0.46709238877193004</c:v>
                </c:pt>
                <c:pt idx="42">
                  <c:v>0.47757238280701775</c:v>
                </c:pt>
                <c:pt idx="43">
                  <c:v>0.42630495894736847</c:v>
                </c:pt>
                <c:pt idx="44">
                  <c:v>0.40282569473684204</c:v>
                </c:pt>
                <c:pt idx="45">
                  <c:v>0.37488086666666665</c:v>
                </c:pt>
                <c:pt idx="46">
                  <c:v>0.30440144245614031</c:v>
                </c:pt>
                <c:pt idx="47">
                  <c:v>0.22125743508771931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D-4DD6-BF54-EFAF4665F028}"/>
            </c:ext>
          </c:extLst>
        </c:ser>
        <c:ser>
          <c:idx val="1"/>
          <c:order val="1"/>
          <c:tx>
            <c:v>PV generation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2.6575679407017565E-3</c:v>
                </c:pt>
                <c:pt idx="8">
                  <c:v>3.8413351469824469E-2</c:v>
                </c:pt>
                <c:pt idx="9">
                  <c:v>0.17963247115315797</c:v>
                </c:pt>
                <c:pt idx="10">
                  <c:v>0.35632467001649226</c:v>
                </c:pt>
                <c:pt idx="11">
                  <c:v>0.57298767398035</c:v>
                </c:pt>
                <c:pt idx="12">
                  <c:v>0.80937922880965019</c:v>
                </c:pt>
                <c:pt idx="13">
                  <c:v>1.0486764019203503</c:v>
                </c:pt>
                <c:pt idx="14">
                  <c:v>1.2867344736415796</c:v>
                </c:pt>
                <c:pt idx="15">
                  <c:v>1.5251388353026305</c:v>
                </c:pt>
                <c:pt idx="16">
                  <c:v>1.7488965220822839</c:v>
                </c:pt>
                <c:pt idx="17">
                  <c:v>1.9592290763463152</c:v>
                </c:pt>
                <c:pt idx="18">
                  <c:v>2.1383601814280713</c:v>
                </c:pt>
                <c:pt idx="19">
                  <c:v>2.2911408676319258</c:v>
                </c:pt>
                <c:pt idx="20">
                  <c:v>2.4252437494475454</c:v>
                </c:pt>
                <c:pt idx="21">
                  <c:v>2.535921192295262</c:v>
                </c:pt>
                <c:pt idx="22">
                  <c:v>2.6144500549728065</c:v>
                </c:pt>
                <c:pt idx="23">
                  <c:v>2.6488890237705265</c:v>
                </c:pt>
                <c:pt idx="24">
                  <c:v>2.6588638686343882</c:v>
                </c:pt>
                <c:pt idx="25">
                  <c:v>2.6402037124526321</c:v>
                </c:pt>
                <c:pt idx="26">
                  <c:v>2.5775158275447398</c:v>
                </c:pt>
                <c:pt idx="27">
                  <c:v>2.4818779608196482</c:v>
                </c:pt>
                <c:pt idx="28">
                  <c:v>2.3677014911952607</c:v>
                </c:pt>
                <c:pt idx="29">
                  <c:v>2.2230231994607021</c:v>
                </c:pt>
                <c:pt idx="30">
                  <c:v>2.0692742453257891</c:v>
                </c:pt>
                <c:pt idx="31">
                  <c:v>1.8842575292364943</c:v>
                </c:pt>
                <c:pt idx="32">
                  <c:v>1.6758850442824547</c:v>
                </c:pt>
                <c:pt idx="33">
                  <c:v>1.4243024173840353</c:v>
                </c:pt>
                <c:pt idx="34">
                  <c:v>1.1888385315061396</c:v>
                </c:pt>
                <c:pt idx="35">
                  <c:v>0.94688477321631559</c:v>
                </c:pt>
                <c:pt idx="36">
                  <c:v>0.71283189559122906</c:v>
                </c:pt>
                <c:pt idx="37">
                  <c:v>0.48717194231842104</c:v>
                </c:pt>
                <c:pt idx="38">
                  <c:v>0.28447931436771917</c:v>
                </c:pt>
                <c:pt idx="39">
                  <c:v>8.276696014578945E-2</c:v>
                </c:pt>
                <c:pt idx="40">
                  <c:v>1.5264916669122823E-2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ED-4DD6-BF54-EFAF4665F028}"/>
            </c:ext>
          </c:extLst>
        </c:ser>
        <c:ser>
          <c:idx val="2"/>
          <c:order val="2"/>
          <c:tx>
            <c:v>charging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5.3684210526315794E-4</c:v>
                </c:pt>
                <c:pt idx="9">
                  <c:v>8.6557894736842111E-2</c:v>
                </c:pt>
                <c:pt idx="10">
                  <c:v>0.24218947368421051</c:v>
                </c:pt>
                <c:pt idx="11">
                  <c:v>0.45467368421052634</c:v>
                </c:pt>
                <c:pt idx="12">
                  <c:v>0.68843157894736839</c:v>
                </c:pt>
                <c:pt idx="13">
                  <c:v>0.9173684210526315</c:v>
                </c:pt>
                <c:pt idx="14">
                  <c:v>1.1195157894736849</c:v>
                </c:pt>
                <c:pt idx="15">
                  <c:v>1.1933157894736843</c:v>
                </c:pt>
                <c:pt idx="16">
                  <c:v>0.82097894736842114</c:v>
                </c:pt>
                <c:pt idx="17">
                  <c:v>0.46883157894736843</c:v>
                </c:pt>
                <c:pt idx="18">
                  <c:v>0.30967368421052627</c:v>
                </c:pt>
                <c:pt idx="19">
                  <c:v>0.20947368421052634</c:v>
                </c:pt>
                <c:pt idx="20">
                  <c:v>0.15412631578947367</c:v>
                </c:pt>
                <c:pt idx="21">
                  <c:v>7.6042105263157911E-2</c:v>
                </c:pt>
                <c:pt idx="22">
                  <c:v>8.3673684210526317E-2</c:v>
                </c:pt>
                <c:pt idx="23">
                  <c:v>2.4915789473684211E-2</c:v>
                </c:pt>
                <c:pt idx="24">
                  <c:v>2.4210526315789475E-3</c:v>
                </c:pt>
                <c:pt idx="25">
                  <c:v>1.9957894736842105E-2</c:v>
                </c:pt>
                <c:pt idx="26">
                  <c:v>4.3505263157894734E-2</c:v>
                </c:pt>
                <c:pt idx="27">
                  <c:v>2.1294736842105266E-2</c:v>
                </c:pt>
                <c:pt idx="28">
                  <c:v>1.4947368421052631E-2</c:v>
                </c:pt>
                <c:pt idx="29">
                  <c:v>3.9894736842105262E-3</c:v>
                </c:pt>
                <c:pt idx="30">
                  <c:v>5.8842105263157887E-3</c:v>
                </c:pt>
                <c:pt idx="31">
                  <c:v>2.5715789473684206E-2</c:v>
                </c:pt>
                <c:pt idx="32">
                  <c:v>6.9684210526315795E-3</c:v>
                </c:pt>
                <c:pt idx="33">
                  <c:v>2.1263157894736841E-2</c:v>
                </c:pt>
                <c:pt idx="34">
                  <c:v>1.4515789473684211E-2</c:v>
                </c:pt>
                <c:pt idx="35">
                  <c:v>1.3778947368421054E-2</c:v>
                </c:pt>
                <c:pt idx="36">
                  <c:v>2.2642105263157894E-2</c:v>
                </c:pt>
                <c:pt idx="37">
                  <c:v>2.0894736842105261E-2</c:v>
                </c:pt>
                <c:pt idx="38">
                  <c:v>1.1168421052631579E-2</c:v>
                </c:pt>
                <c:pt idx="39">
                  <c:v>1.2947368421052632E-3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ED-4DD6-BF54-EFAF4665F028}"/>
            </c:ext>
          </c:extLst>
        </c:ser>
        <c:ser>
          <c:idx val="3"/>
          <c:order val="3"/>
          <c:tx>
            <c:v>discharging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ChartData!$X$2:$X$49</c:f>
              <c:numCache>
                <c:formatCode>#,##0.000</c:formatCode>
                <c:ptCount val="48"/>
                <c:pt idx="0">
                  <c:v>0.23728421052631576</c:v>
                </c:pt>
                <c:pt idx="1">
                  <c:v>0.2101684210526315</c:v>
                </c:pt>
                <c:pt idx="2">
                  <c:v>0.15441052631578947</c:v>
                </c:pt>
                <c:pt idx="3">
                  <c:v>0.12967368421052636</c:v>
                </c:pt>
                <c:pt idx="4">
                  <c:v>0.12770526315789468</c:v>
                </c:pt>
                <c:pt idx="5">
                  <c:v>0.12175789473684215</c:v>
                </c:pt>
                <c:pt idx="6">
                  <c:v>0.10091578947368425</c:v>
                </c:pt>
                <c:pt idx="7">
                  <c:v>0.11187368421052633</c:v>
                </c:pt>
                <c:pt idx="8">
                  <c:v>7.2518584356842095E-2</c:v>
                </c:pt>
                <c:pt idx="9">
                  <c:v>1.2726315789473681E-2</c:v>
                </c:pt>
                <c:pt idx="10">
                  <c:v>1.2105263157894737E-3</c:v>
                </c:pt>
                <c:pt idx="11">
                  <c:v>0</c:v>
                </c:pt>
                <c:pt idx="12">
                  <c:v>0</c:v>
                </c:pt>
                <c:pt idx="13">
                  <c:v>1.0052631578947369E-2</c:v>
                </c:pt>
                <c:pt idx="14">
                  <c:v>1.7389473684210524E-2</c:v>
                </c:pt>
                <c:pt idx="15">
                  <c:v>2.0757894736842104E-2</c:v>
                </c:pt>
                <c:pt idx="16">
                  <c:v>4.6526315789473683E-3</c:v>
                </c:pt>
                <c:pt idx="17">
                  <c:v>1E-3</c:v>
                </c:pt>
                <c:pt idx="18">
                  <c:v>8.3052631578947374E-3</c:v>
                </c:pt>
                <c:pt idx="19">
                  <c:v>2.6305263157894738E-2</c:v>
                </c:pt>
                <c:pt idx="20">
                  <c:v>1.6252631578947369E-2</c:v>
                </c:pt>
                <c:pt idx="21">
                  <c:v>1.356842105263158E-2</c:v>
                </c:pt>
                <c:pt idx="22">
                  <c:v>6.1052631578947369E-4</c:v>
                </c:pt>
                <c:pt idx="23">
                  <c:v>2.5368421052631582E-2</c:v>
                </c:pt>
                <c:pt idx="24">
                  <c:v>3.2736842105263154E-2</c:v>
                </c:pt>
                <c:pt idx="25">
                  <c:v>1.568421052631579E-2</c:v>
                </c:pt>
                <c:pt idx="26">
                  <c:v>2.673684210526316E-3</c:v>
                </c:pt>
                <c:pt idx="27">
                  <c:v>4.0631578947368423E-3</c:v>
                </c:pt>
                <c:pt idx="28">
                  <c:v>1.1905263157894735E-2</c:v>
                </c:pt>
                <c:pt idx="29">
                  <c:v>1.6936842105263156E-2</c:v>
                </c:pt>
                <c:pt idx="30">
                  <c:v>1.0873684210526315E-2</c:v>
                </c:pt>
                <c:pt idx="31">
                  <c:v>6.9789473684210516E-3</c:v>
                </c:pt>
                <c:pt idx="32">
                  <c:v>4.0978947368421052E-2</c:v>
                </c:pt>
                <c:pt idx="33">
                  <c:v>5.4242105263157897E-2</c:v>
                </c:pt>
                <c:pt idx="34">
                  <c:v>1.1389473684210527E-2</c:v>
                </c:pt>
                <c:pt idx="35">
                  <c:v>6.6778947368421063E-2</c:v>
                </c:pt>
                <c:pt idx="36">
                  <c:v>8.2389473684210526E-2</c:v>
                </c:pt>
                <c:pt idx="37">
                  <c:v>0.11294736842105263</c:v>
                </c:pt>
                <c:pt idx="38">
                  <c:v>0.22834015901157895</c:v>
                </c:pt>
                <c:pt idx="39">
                  <c:v>0.40452631578947396</c:v>
                </c:pt>
                <c:pt idx="40">
                  <c:v>0.41721052631578975</c:v>
                </c:pt>
                <c:pt idx="41">
                  <c:v>0.46176842105263166</c:v>
                </c:pt>
                <c:pt idx="42">
                  <c:v>0.45969473684210527</c:v>
                </c:pt>
                <c:pt idx="43">
                  <c:v>0.38945263157894744</c:v>
                </c:pt>
                <c:pt idx="44">
                  <c:v>0.34802105263157884</c:v>
                </c:pt>
                <c:pt idx="45">
                  <c:v>0.32164210526315784</c:v>
                </c:pt>
                <c:pt idx="46">
                  <c:v>0.26464210526315796</c:v>
                </c:pt>
                <c:pt idx="47">
                  <c:v>0.18569473684210527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ED-4DD6-BF54-EFAF4665F028}"/>
            </c:ext>
          </c:extLst>
        </c:ser>
        <c:ser>
          <c:idx val="4"/>
          <c:order val="4"/>
          <c:tx>
            <c:v>net exchange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ChartData!$Y$2:$Y$49</c:f>
              <c:numCache>
                <c:formatCode>#,##0.000</c:formatCode>
                <c:ptCount val="48"/>
                <c:pt idx="0">
                  <c:v>9.2912280701684669E-6</c:v>
                </c:pt>
                <c:pt idx="1">
                  <c:v>1.2323578947369407E-3</c:v>
                </c:pt>
                <c:pt idx="2">
                  <c:v>5.2052284210527544E-3</c:v>
                </c:pt>
                <c:pt idx="3">
                  <c:v>1.0122361403508751E-2</c:v>
                </c:pt>
                <c:pt idx="4">
                  <c:v>1.0331677192982558E-2</c:v>
                </c:pt>
                <c:pt idx="5">
                  <c:v>1.293604210526314E-2</c:v>
                </c:pt>
                <c:pt idx="6">
                  <c:v>3.0149354385964847E-2</c:v>
                </c:pt>
                <c:pt idx="7">
                  <c:v>9.695842585613984E-3</c:v>
                </c:pt>
                <c:pt idx="8">
                  <c:v>9.7156501382457544E-3</c:v>
                </c:pt>
                <c:pt idx="9">
                  <c:v>2.4643972678946875E-3</c:v>
                </c:pt>
                <c:pt idx="10">
                  <c:v>-7.4582297194015395E-5</c:v>
                </c:pt>
                <c:pt idx="11">
                  <c:v>5.0037949474557308E-5</c:v>
                </c:pt>
                <c:pt idx="12">
                  <c:v>8.0904885954025119E-6</c:v>
                </c:pt>
                <c:pt idx="13">
                  <c:v>6.5650971936004332E-6</c:v>
                </c:pt>
                <c:pt idx="14">
                  <c:v>-1.2157501228085565E-5</c:v>
                </c:pt>
                <c:pt idx="15">
                  <c:v>-0.13194082337280569</c:v>
                </c:pt>
                <c:pt idx="16">
                  <c:v>-0.6971556813805293</c:v>
                </c:pt>
                <c:pt idx="17">
                  <c:v>-1.221929014591929</c:v>
                </c:pt>
                <c:pt idx="18">
                  <c:v>-1.5346661961649135</c:v>
                </c:pt>
                <c:pt idx="19">
                  <c:v>-1.7083532451757855</c:v>
                </c:pt>
                <c:pt idx="20">
                  <c:v>-1.8802640624300015</c:v>
                </c:pt>
                <c:pt idx="21">
                  <c:v>-2.0921631063303501</c:v>
                </c:pt>
                <c:pt idx="22">
                  <c:v>-2.1270924300605261</c:v>
                </c:pt>
                <c:pt idx="23">
                  <c:v>-2.1907329571038598</c:v>
                </c:pt>
                <c:pt idx="24">
                  <c:v>-2.2611177030203526</c:v>
                </c:pt>
                <c:pt idx="25">
                  <c:v>-2.218265062978948</c:v>
                </c:pt>
                <c:pt idx="26">
                  <c:v>-2.27054491877281</c:v>
                </c:pt>
                <c:pt idx="27">
                  <c:v>-2.182460971345964</c:v>
                </c:pt>
                <c:pt idx="28">
                  <c:v>-2.0335206624233311</c:v>
                </c:pt>
                <c:pt idx="29">
                  <c:v>-1.8987395054256144</c:v>
                </c:pt>
                <c:pt idx="30">
                  <c:v>-1.7475624284836839</c:v>
                </c:pt>
                <c:pt idx="31">
                  <c:v>-1.5310415766049155</c:v>
                </c:pt>
                <c:pt idx="32">
                  <c:v>-1.4112038267385951</c:v>
                </c:pt>
                <c:pt idx="33">
                  <c:v>-1.1233693482612281</c:v>
                </c:pt>
                <c:pt idx="34">
                  <c:v>-0.87862331361140289</c:v>
                </c:pt>
                <c:pt idx="35">
                  <c:v>-0.6388086240935088</c:v>
                </c:pt>
                <c:pt idx="36">
                  <c:v>-0.41016795032807124</c:v>
                </c:pt>
                <c:pt idx="37">
                  <c:v>-0.22378072898508766</c:v>
                </c:pt>
                <c:pt idx="38">
                  <c:v>-6.8174170572280507E-2</c:v>
                </c:pt>
                <c:pt idx="39">
                  <c:v>-3.2651141808775486E-3</c:v>
                </c:pt>
                <c:pt idx="40">
                  <c:v>1.2526122561390407E-4</c:v>
                </c:pt>
                <c:pt idx="41">
                  <c:v>5.3239677192983836E-3</c:v>
                </c:pt>
                <c:pt idx="42">
                  <c:v>1.7877645964912481E-2</c:v>
                </c:pt>
                <c:pt idx="43">
                  <c:v>3.6852327368421034E-2</c:v>
                </c:pt>
                <c:pt idx="44">
                  <c:v>5.4804642105263202E-2</c:v>
                </c:pt>
                <c:pt idx="45">
                  <c:v>5.3238761403508805E-2</c:v>
                </c:pt>
                <c:pt idx="46">
                  <c:v>3.9759337192982358E-2</c:v>
                </c:pt>
                <c:pt idx="47">
                  <c:v>3.5562698245614033E-2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ED-4DD6-BF54-EFAF4665F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2.7"/>
          <c:min val="-2.2999999999999998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Average per prosumer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/>
              <a:t>Self-consumption residual per prosumer -  TR2
net is driven to zero except when storage saturates  (SCR 31%, SSR 98%)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BES_TR2_three312_A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Net_kW!$C$2:$C$49</c:f>
              <c:numCache>
                <c:formatCode>#,##0.000</c:formatCode>
                <c:ptCount val="48"/>
                <c:pt idx="0">
                  <c:v>4.3133333333306162E-4</c:v>
                </c:pt>
                <c:pt idx="1">
                  <c:v>-3.6399999999998928E-4</c:v>
                </c:pt>
                <c:pt idx="2">
                  <c:v>-1.3799999999999921E-4</c:v>
                </c:pt>
                <c:pt idx="3">
                  <c:v>0</c:v>
                </c:pt>
                <c:pt idx="4">
                  <c:v>-9.2000000000008741E-5</c:v>
                </c:pt>
                <c:pt idx="5">
                  <c:v>-4.099999999999937E-4</c:v>
                </c:pt>
                <c:pt idx="6">
                  <c:v>0</c:v>
                </c:pt>
                <c:pt idx="7">
                  <c:v>1.6839739999999209E-4</c:v>
                </c:pt>
                <c:pt idx="8">
                  <c:v>4.4813060000009619E-4</c:v>
                </c:pt>
                <c:pt idx="9">
                  <c:v>-4.3016789999998639E-4</c:v>
                </c:pt>
                <c:pt idx="10">
                  <c:v>-3.022162000010375E-4</c:v>
                </c:pt>
                <c:pt idx="11">
                  <c:v>4.0151760000101122E-4</c:v>
                </c:pt>
                <c:pt idx="12">
                  <c:v>6.1055499998907692E-5</c:v>
                </c:pt>
                <c:pt idx="13">
                  <c:v>7.9124200001001732E-5</c:v>
                </c:pt>
                <c:pt idx="14">
                  <c:v>-3.5659109999985889E-4</c:v>
                </c:pt>
                <c:pt idx="15">
                  <c:v>-1.129008333331516E-4</c:v>
                </c:pt>
                <c:pt idx="16">
                  <c:v>-2.7204870000108178E-4</c:v>
                </c:pt>
                <c:pt idx="17">
                  <c:v>-0.43316920019999999</c:v>
                </c:pt>
                <c:pt idx="18">
                  <c:v>-0.7112978553333309</c:v>
                </c:pt>
                <c:pt idx="19">
                  <c:v>-1.725545999987643E-4</c:v>
                </c:pt>
                <c:pt idx="20">
                  <c:v>-1.6037396667106801E-4</c:v>
                </c:pt>
                <c:pt idx="21">
                  <c:v>-0.45788417423332989</c:v>
                </c:pt>
                <c:pt idx="22">
                  <c:v>-2.454029443500001</c:v>
                </c:pt>
                <c:pt idx="23">
                  <c:v>-2.2913250316</c:v>
                </c:pt>
                <c:pt idx="24">
                  <c:v>-2.4352013301333342</c:v>
                </c:pt>
                <c:pt idx="25">
                  <c:v>-2.2577549206666672</c:v>
                </c:pt>
                <c:pt idx="26">
                  <c:v>-2.2793648615</c:v>
                </c:pt>
                <c:pt idx="27">
                  <c:v>-0.68141907893333098</c:v>
                </c:pt>
                <c:pt idx="28">
                  <c:v>4.8708010000012009E-4</c:v>
                </c:pt>
                <c:pt idx="29">
                  <c:v>-1.0472479631333349</c:v>
                </c:pt>
                <c:pt idx="30">
                  <c:v>-0.18248603776666991</c:v>
                </c:pt>
                <c:pt idx="31">
                  <c:v>-1.4728578904000009</c:v>
                </c:pt>
                <c:pt idx="32">
                  <c:v>-1.2738900429999991</c:v>
                </c:pt>
                <c:pt idx="33">
                  <c:v>-0.93557878803333205</c:v>
                </c:pt>
                <c:pt idx="34">
                  <c:v>-0.54045212883333205</c:v>
                </c:pt>
                <c:pt idx="35">
                  <c:v>4.9011743332988411E-4</c:v>
                </c:pt>
                <c:pt idx="36">
                  <c:v>-4.7383433333098019E-4</c:v>
                </c:pt>
                <c:pt idx="37">
                  <c:v>1.286888333330016E-4</c:v>
                </c:pt>
                <c:pt idx="38">
                  <c:v>-4.5322746666691388E-4</c:v>
                </c:pt>
                <c:pt idx="39">
                  <c:v>1.7403870000000379E-4</c:v>
                </c:pt>
                <c:pt idx="40">
                  <c:v>1.771677999999888E-4</c:v>
                </c:pt>
                <c:pt idx="41">
                  <c:v>4.9799999999999844E-4</c:v>
                </c:pt>
                <c:pt idx="42">
                  <c:v>0</c:v>
                </c:pt>
                <c:pt idx="43">
                  <c:v>0</c:v>
                </c:pt>
                <c:pt idx="44">
                  <c:v>-3.9133333333302161E-4</c:v>
                </c:pt>
                <c:pt idx="45">
                  <c:v>-3.2666666666958388E-5</c:v>
                </c:pt>
                <c:pt idx="46">
                  <c:v>-1.5333333333300561E-4</c:v>
                </c:pt>
                <c:pt idx="47">
                  <c:v>4.4299999999997119E-4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F-45EB-BAD4-FCE58A6548F0}"/>
            </c:ext>
          </c:extLst>
        </c:ser>
        <c:ser>
          <c:idx val="1"/>
          <c:order val="1"/>
          <c:tx>
            <c:v>BES_TR2_three321_B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Net_kW!$D$2:$D$49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4.5400000000001001E-4</c:v>
                </c:pt>
                <c:pt idx="2">
                  <c:v>-6.9388939039072284E-18</c:v>
                </c:pt>
                <c:pt idx="3">
                  <c:v>-4.880000000000162E-4</c:v>
                </c:pt>
                <c:pt idx="4">
                  <c:v>-5.7999999999891472E-5</c:v>
                </c:pt>
                <c:pt idx="5">
                  <c:v>3.1399999999999478E-4</c:v>
                </c:pt>
                <c:pt idx="6">
                  <c:v>1.4000000000000121E-4</c:v>
                </c:pt>
                <c:pt idx="7">
                  <c:v>-4.4080346666667408E-4</c:v>
                </c:pt>
                <c:pt idx="8">
                  <c:v>-2.8049253333320418E-4</c:v>
                </c:pt>
                <c:pt idx="9">
                  <c:v>4.2644279999998203E-4</c:v>
                </c:pt>
                <c:pt idx="10">
                  <c:v>-4.5628826666799238E-4</c:v>
                </c:pt>
                <c:pt idx="11">
                  <c:v>-2.8797653333201279E-4</c:v>
                </c:pt>
                <c:pt idx="12">
                  <c:v>-2.6159266666803132E-4</c:v>
                </c:pt>
                <c:pt idx="13">
                  <c:v>5.5832266668165431E-5</c:v>
                </c:pt>
                <c:pt idx="14">
                  <c:v>6.5211866666414764E-5</c:v>
                </c:pt>
                <c:pt idx="15">
                  <c:v>-0.29206345666666711</c:v>
                </c:pt>
                <c:pt idx="16">
                  <c:v>-2.1019077316000012</c:v>
                </c:pt>
                <c:pt idx="17">
                  <c:v>-2.3715949336</c:v>
                </c:pt>
                <c:pt idx="18">
                  <c:v>-2.482060862666668</c:v>
                </c:pt>
                <c:pt idx="19">
                  <c:v>-2.9148624394666651</c:v>
                </c:pt>
                <c:pt idx="20">
                  <c:v>-3.0970089430666681</c:v>
                </c:pt>
                <c:pt idx="21">
                  <c:v>-3.1867061211999999</c:v>
                </c:pt>
                <c:pt idx="22">
                  <c:v>-3.2271229246666682</c:v>
                </c:pt>
                <c:pt idx="23">
                  <c:v>-3.3865667088000002</c:v>
                </c:pt>
                <c:pt idx="24">
                  <c:v>-3.1753893290666682</c:v>
                </c:pt>
                <c:pt idx="25">
                  <c:v>-3.2958316719999998</c:v>
                </c:pt>
                <c:pt idx="26">
                  <c:v>-2.2247454819999999</c:v>
                </c:pt>
                <c:pt idx="27">
                  <c:v>-3.1090783274666678</c:v>
                </c:pt>
                <c:pt idx="28">
                  <c:v>-3.0225078931999998</c:v>
                </c:pt>
                <c:pt idx="29">
                  <c:v>-2.835190173066668</c:v>
                </c:pt>
                <c:pt idx="30">
                  <c:v>-2.5136164947999999</c:v>
                </c:pt>
                <c:pt idx="31">
                  <c:v>-1.691541853866668</c:v>
                </c:pt>
                <c:pt idx="32">
                  <c:v>-1.8947187906666649</c:v>
                </c:pt>
                <c:pt idx="33">
                  <c:v>-1.5162314729333319</c:v>
                </c:pt>
                <c:pt idx="34">
                  <c:v>-1.378180393999999</c:v>
                </c:pt>
                <c:pt idx="35">
                  <c:v>-0.99183028786666705</c:v>
                </c:pt>
                <c:pt idx="36">
                  <c:v>-0.779780901333335</c:v>
                </c:pt>
                <c:pt idx="37">
                  <c:v>-0.24897672600000001</c:v>
                </c:pt>
                <c:pt idx="38">
                  <c:v>2.668189333338844E-4</c:v>
                </c:pt>
                <c:pt idx="39">
                  <c:v>-6.1948399999955939E-5</c:v>
                </c:pt>
                <c:pt idx="40">
                  <c:v>-3.7010959999683729E-4</c:v>
                </c:pt>
                <c:pt idx="41">
                  <c:v>2.7233333333298582E-4</c:v>
                </c:pt>
                <c:pt idx="42">
                  <c:v>-3.7266666666696541E-4</c:v>
                </c:pt>
                <c:pt idx="43">
                  <c:v>3.2366666666699961E-4</c:v>
                </c:pt>
                <c:pt idx="44">
                  <c:v>-4.243333333329713E-4</c:v>
                </c:pt>
                <c:pt idx="45">
                  <c:v>-1.6000000000016001E-5</c:v>
                </c:pt>
                <c:pt idx="46">
                  <c:v>-4.4933333333302411E-4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F-45EB-BAD4-FCE58A6548F0}"/>
            </c:ext>
          </c:extLst>
        </c:ser>
        <c:ser>
          <c:idx val="2"/>
          <c:order val="2"/>
          <c:tx>
            <c:v>BES_TR2_three368_A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Net_kW!$E$2:$E$49</c:f>
              <c:numCache>
                <c:formatCode>#,##0.000</c:formatCode>
                <c:ptCount val="48"/>
                <c:pt idx="0">
                  <c:v>-2.666666666698014E-5</c:v>
                </c:pt>
                <c:pt idx="1">
                  <c:v>0</c:v>
                </c:pt>
                <c:pt idx="2">
                  <c:v>-1.5733333333300961E-4</c:v>
                </c:pt>
                <c:pt idx="3">
                  <c:v>-2.666666666698014E-5</c:v>
                </c:pt>
                <c:pt idx="4">
                  <c:v>0</c:v>
                </c:pt>
                <c:pt idx="5">
                  <c:v>-1.8066666666705089E-4</c:v>
                </c:pt>
                <c:pt idx="6">
                  <c:v>0</c:v>
                </c:pt>
                <c:pt idx="7">
                  <c:v>3.5959826666667749E-4</c:v>
                </c:pt>
                <c:pt idx="8">
                  <c:v>-1.3124626666660699E-4</c:v>
                </c:pt>
                <c:pt idx="9">
                  <c:v>-2.8677859999999561E-4</c:v>
                </c:pt>
                <c:pt idx="10">
                  <c:v>1.7385586666601729E-4</c:v>
                </c:pt>
                <c:pt idx="11">
                  <c:v>4.4345066667034187E-5</c:v>
                </c:pt>
                <c:pt idx="12">
                  <c:v>-1.3262966666705009E-4</c:v>
                </c:pt>
                <c:pt idx="13">
                  <c:v>2.0741613333402631E-4</c:v>
                </c:pt>
                <c:pt idx="14">
                  <c:v>3.6727260000002371E-4</c:v>
                </c:pt>
                <c:pt idx="15">
                  <c:v>3.3695500000008321E-4</c:v>
                </c:pt>
                <c:pt idx="16">
                  <c:v>2.1396753333302601E-4</c:v>
                </c:pt>
                <c:pt idx="17">
                  <c:v>-4.6146679999981011E-4</c:v>
                </c:pt>
                <c:pt idx="18">
                  <c:v>-2.6968133333406252E-4</c:v>
                </c:pt>
                <c:pt idx="19">
                  <c:v>-3.3370306666591348E-4</c:v>
                </c:pt>
                <c:pt idx="20">
                  <c:v>-2.3380486666368941E-4</c:v>
                </c:pt>
                <c:pt idx="21">
                  <c:v>9.5439399999897034E-5</c:v>
                </c:pt>
                <c:pt idx="22">
                  <c:v>4.3770433333600872E-4</c:v>
                </c:pt>
                <c:pt idx="23">
                  <c:v>-0.48256602106666691</c:v>
                </c:pt>
                <c:pt idx="24">
                  <c:v>-1.122438664533334</c:v>
                </c:pt>
                <c:pt idx="25">
                  <c:v>-1.3753268359999999</c:v>
                </c:pt>
                <c:pt idx="26">
                  <c:v>-1.3167595743333329</c:v>
                </c:pt>
                <c:pt idx="27">
                  <c:v>-1.045738497066667</c:v>
                </c:pt>
                <c:pt idx="28">
                  <c:v>-1.2157267132666669</c:v>
                </c:pt>
                <c:pt idx="29">
                  <c:v>-1.1783607532000011</c:v>
                </c:pt>
                <c:pt idx="30">
                  <c:v>-1.0860606474000001</c:v>
                </c:pt>
                <c:pt idx="31">
                  <c:v>-0.95030582693333399</c:v>
                </c:pt>
                <c:pt idx="32">
                  <c:v>-0.78921169533333291</c:v>
                </c:pt>
                <c:pt idx="33">
                  <c:v>-0.50361230313333305</c:v>
                </c:pt>
                <c:pt idx="34">
                  <c:v>-0.48795253033333302</c:v>
                </c:pt>
                <c:pt idx="35">
                  <c:v>1.252273332991161E-5</c:v>
                </c:pt>
                <c:pt idx="36">
                  <c:v>-2.3746733333401829E-4</c:v>
                </c:pt>
                <c:pt idx="37">
                  <c:v>2.2763700000005829E-4</c:v>
                </c:pt>
                <c:pt idx="38">
                  <c:v>2.0029280000042129E-4</c:v>
                </c:pt>
                <c:pt idx="39">
                  <c:v>3.5602580000004819E-4</c:v>
                </c:pt>
                <c:pt idx="40">
                  <c:v>4.6477853333365399E-4</c:v>
                </c:pt>
                <c:pt idx="41">
                  <c:v>2.4800000000002598E-4</c:v>
                </c:pt>
                <c:pt idx="42">
                  <c:v>-1.833333333300935E-5</c:v>
                </c:pt>
                <c:pt idx="43">
                  <c:v>4.6266666666705541E-4</c:v>
                </c:pt>
                <c:pt idx="44">
                  <c:v>3.5899999999999821E-4</c:v>
                </c:pt>
                <c:pt idx="45">
                  <c:v>-3.3466666666698291E-4</c:v>
                </c:pt>
                <c:pt idx="46">
                  <c:v>-2.6400000000001422E-4</c:v>
                </c:pt>
                <c:pt idx="47">
                  <c:v>-1.7933333333303161E-4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8F-45EB-BAD4-FCE58A6548F0}"/>
            </c:ext>
          </c:extLst>
        </c:ser>
        <c:ser>
          <c:idx val="3"/>
          <c:order val="3"/>
          <c:tx>
            <c:v>BES_TR2_three388_A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3.9049893333475971E-4</c:v>
                </c:pt>
                <c:pt idx="14">
                  <c:v>4.732118666668228E-4</c:v>
                </c:pt>
                <c:pt idx="15">
                  <c:v>-1.05157609</c:v>
                </c:pt>
                <c:pt idx="16">
                  <c:v>-1.205571064933338</c:v>
                </c:pt>
                <c:pt idx="17">
                  <c:v>-2.2971576002666669</c:v>
                </c:pt>
                <c:pt idx="18">
                  <c:v>-2.572115362666668</c:v>
                </c:pt>
                <c:pt idx="19">
                  <c:v>-2.779923406133332</c:v>
                </c:pt>
                <c:pt idx="20">
                  <c:v>-3.0830089430666678</c:v>
                </c:pt>
                <c:pt idx="21">
                  <c:v>-3.2263051211999998</c:v>
                </c:pt>
                <c:pt idx="22">
                  <c:v>-3.3279779246666679</c:v>
                </c:pt>
                <c:pt idx="23">
                  <c:v>-3.3725667088</c:v>
                </c:pt>
                <c:pt idx="24">
                  <c:v>-3.3854813290666681</c:v>
                </c:pt>
                <c:pt idx="25">
                  <c:v>-3.3613216719999999</c:v>
                </c:pt>
                <c:pt idx="26">
                  <c:v>-3.280158482</c:v>
                </c:pt>
                <c:pt idx="27">
                  <c:v>-3.1563343274666682</c:v>
                </c:pt>
                <c:pt idx="28">
                  <c:v>-3.0085078932</c:v>
                </c:pt>
                <c:pt idx="29">
                  <c:v>-2.6673025064000009</c:v>
                </c:pt>
                <c:pt idx="30">
                  <c:v>-2.4736284947999998</c:v>
                </c:pt>
                <c:pt idx="31">
                  <c:v>-2.2314278538666681</c:v>
                </c:pt>
                <c:pt idx="32">
                  <c:v>-1.984036057333332</c:v>
                </c:pt>
                <c:pt idx="33">
                  <c:v>-1.6023062729333319</c:v>
                </c:pt>
                <c:pt idx="34">
                  <c:v>-1.286819393999999</c:v>
                </c:pt>
                <c:pt idx="35">
                  <c:v>-1.0058496212000001</c:v>
                </c:pt>
                <c:pt idx="36">
                  <c:v>-0.80654793466666796</c:v>
                </c:pt>
                <c:pt idx="37">
                  <c:v>-0.48443525933333298</c:v>
                </c:pt>
                <c:pt idx="38">
                  <c:v>-3.5309014400000172E-2</c:v>
                </c:pt>
                <c:pt idx="39">
                  <c:v>-7.6948399999998696E-5</c:v>
                </c:pt>
                <c:pt idx="40">
                  <c:v>-5.1442933333700758E-5</c:v>
                </c:pt>
                <c:pt idx="41">
                  <c:v>2.6666666666699812E-4</c:v>
                </c:pt>
                <c:pt idx="42">
                  <c:v>3.4533333333297561E-4</c:v>
                </c:pt>
                <c:pt idx="43">
                  <c:v>-1.4399999999997751E-4</c:v>
                </c:pt>
                <c:pt idx="44">
                  <c:v>4.3933333333301411E-4</c:v>
                </c:pt>
                <c:pt idx="45">
                  <c:v>7.6666666667002392E-5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8F-45EB-BAD4-FCE58A6548F0}"/>
            </c:ext>
          </c:extLst>
        </c:ser>
        <c:ser>
          <c:idx val="4"/>
          <c:order val="4"/>
          <c:tx>
            <c:v>BES_TR2_three409_C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-1.7100000000000451E-4</c:v>
                </c:pt>
                <c:pt idx="2">
                  <c:v>1.4433333333399581E-4</c:v>
                </c:pt>
                <c:pt idx="3">
                  <c:v>0</c:v>
                </c:pt>
                <c:pt idx="4">
                  <c:v>3.9400000000000551E-4</c:v>
                </c:pt>
                <c:pt idx="5">
                  <c:v>-4.2066666666701341E-4</c:v>
                </c:pt>
                <c:pt idx="6">
                  <c:v>1.970000000000027E-4</c:v>
                </c:pt>
                <c:pt idx="7">
                  <c:v>2.3019653333333781E-4</c:v>
                </c:pt>
                <c:pt idx="8">
                  <c:v>3.7084080000009118E-4</c:v>
                </c:pt>
                <c:pt idx="9">
                  <c:v>-1.795571999999995E-4</c:v>
                </c:pt>
                <c:pt idx="10">
                  <c:v>-2.3262160000098181E-4</c:v>
                </c:pt>
                <c:pt idx="11">
                  <c:v>2.3023466668048439E-5</c:v>
                </c:pt>
                <c:pt idx="12">
                  <c:v>-2.4759266666807278E-4</c:v>
                </c:pt>
                <c:pt idx="13">
                  <c:v>4.6776560000094669E-4</c:v>
                </c:pt>
                <c:pt idx="14">
                  <c:v>4.0545199999852948E-5</c:v>
                </c:pt>
                <c:pt idx="15">
                  <c:v>-2.3208999999990709E-4</c:v>
                </c:pt>
                <c:pt idx="16">
                  <c:v>-1.902329398266668</c:v>
                </c:pt>
                <c:pt idx="17">
                  <c:v>-2.3622559336000002</c:v>
                </c:pt>
                <c:pt idx="18">
                  <c:v>-2.5579970293333352</c:v>
                </c:pt>
                <c:pt idx="19">
                  <c:v>-2.912383406133332</c:v>
                </c:pt>
                <c:pt idx="20">
                  <c:v>-2.7803146097333351</c:v>
                </c:pt>
                <c:pt idx="21">
                  <c:v>-2.9851011212</c:v>
                </c:pt>
                <c:pt idx="22">
                  <c:v>-3.1861962580000012</c:v>
                </c:pt>
                <c:pt idx="23">
                  <c:v>-2.9875147088</c:v>
                </c:pt>
                <c:pt idx="24">
                  <c:v>-3.1886399957333351</c:v>
                </c:pt>
                <c:pt idx="25">
                  <c:v>-3.0920826720000001</c:v>
                </c:pt>
                <c:pt idx="26">
                  <c:v>-2.5965494819999999</c:v>
                </c:pt>
                <c:pt idx="27">
                  <c:v>-2.9154943274666678</c:v>
                </c:pt>
                <c:pt idx="28">
                  <c:v>-2.7034705598666671</c:v>
                </c:pt>
                <c:pt idx="29">
                  <c:v>-2.4297408397333351</c:v>
                </c:pt>
                <c:pt idx="30">
                  <c:v>-2.1837661614666661</c:v>
                </c:pt>
                <c:pt idx="31">
                  <c:v>-2.1539385205333339</c:v>
                </c:pt>
                <c:pt idx="32">
                  <c:v>-1.864962390666665</c:v>
                </c:pt>
                <c:pt idx="33">
                  <c:v>-1.6937537395999991</c:v>
                </c:pt>
                <c:pt idx="34">
                  <c:v>-1.3459691939999989</c:v>
                </c:pt>
                <c:pt idx="35">
                  <c:v>-0.92849682119999999</c:v>
                </c:pt>
                <c:pt idx="36">
                  <c:v>-0.58306460133333504</c:v>
                </c:pt>
                <c:pt idx="37">
                  <c:v>-0.34085705933333299</c:v>
                </c:pt>
                <c:pt idx="38">
                  <c:v>7.025226666684814E-5</c:v>
                </c:pt>
                <c:pt idx="39">
                  <c:v>4.5805159999967587E-4</c:v>
                </c:pt>
                <c:pt idx="40">
                  <c:v>-3.4244293333368653E-4</c:v>
                </c:pt>
                <c:pt idx="41">
                  <c:v>0</c:v>
                </c:pt>
                <c:pt idx="42">
                  <c:v>4.473333333329943E-4</c:v>
                </c:pt>
                <c:pt idx="43">
                  <c:v>-4.740000000000022E-4</c:v>
                </c:pt>
                <c:pt idx="44">
                  <c:v>0</c:v>
                </c:pt>
                <c:pt idx="45">
                  <c:v>2.8933333333297512E-4</c:v>
                </c:pt>
                <c:pt idx="46">
                  <c:v>-3.1600000000001072E-4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8F-45EB-BAD4-FCE58A6548F0}"/>
            </c:ext>
          </c:extLst>
        </c:ser>
        <c:ser>
          <c:idx val="5"/>
          <c:order val="5"/>
          <c:tx>
            <c:v>BES_TR2_three478_B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Net_kW!$H$2:$H$49</c:f>
              <c:numCache>
                <c:formatCode>#,##0.000</c:formatCode>
                <c:ptCount val="48"/>
                <c:pt idx="0">
                  <c:v>-4.9333333333301255E-4</c:v>
                </c:pt>
                <c:pt idx="1">
                  <c:v>-4.1999999999997589E-4</c:v>
                </c:pt>
                <c:pt idx="2">
                  <c:v>2.013333333329981E-4</c:v>
                </c:pt>
                <c:pt idx="3">
                  <c:v>-3.2333333333300912E-4</c:v>
                </c:pt>
                <c:pt idx="4">
                  <c:v>-7.2000000000002617E-5</c:v>
                </c:pt>
                <c:pt idx="5">
                  <c:v>-3.3999999999997921E-4</c:v>
                </c:pt>
                <c:pt idx="6">
                  <c:v>-5.5333333333004719E-5</c:v>
                </c:pt>
                <c:pt idx="7">
                  <c:v>-3.3935933333006929E-5</c:v>
                </c:pt>
                <c:pt idx="8">
                  <c:v>-1.5586939999990759E-4</c:v>
                </c:pt>
                <c:pt idx="9">
                  <c:v>3.0283210000002497E-4</c:v>
                </c:pt>
                <c:pt idx="10">
                  <c:v>-5.2162000010458343E-6</c:v>
                </c:pt>
                <c:pt idx="11">
                  <c:v>3.8517600001009011E-5</c:v>
                </c:pt>
                <c:pt idx="12">
                  <c:v>-4.9294450000114676E-4</c:v>
                </c:pt>
                <c:pt idx="13">
                  <c:v>-3.0587579999896702E-4</c:v>
                </c:pt>
                <c:pt idx="14">
                  <c:v>-2.3092443333316839E-4</c:v>
                </c:pt>
                <c:pt idx="15">
                  <c:v>-3.3023416666733141E-4</c:v>
                </c:pt>
                <c:pt idx="16">
                  <c:v>-2.4704870000102908E-4</c:v>
                </c:pt>
                <c:pt idx="17">
                  <c:v>-1.0706102002</c:v>
                </c:pt>
                <c:pt idx="18">
                  <c:v>-1.8159115220000011</c:v>
                </c:pt>
                <c:pt idx="19">
                  <c:v>-1.9864605545999989</c:v>
                </c:pt>
                <c:pt idx="20">
                  <c:v>-2.2444557073000011</c:v>
                </c:pt>
                <c:pt idx="21">
                  <c:v>-2.3989968409000002</c:v>
                </c:pt>
                <c:pt idx="22">
                  <c:v>-2.1712407768333342</c:v>
                </c:pt>
                <c:pt idx="23">
                  <c:v>-1.0163550316000001</c:v>
                </c:pt>
                <c:pt idx="24">
                  <c:v>-2.3273409968000012</c:v>
                </c:pt>
                <c:pt idx="25">
                  <c:v>-2.2578632540000001</c:v>
                </c:pt>
                <c:pt idx="26">
                  <c:v>-2.3959755281666668</c:v>
                </c:pt>
                <c:pt idx="27">
                  <c:v>-2.1877807456000009</c:v>
                </c:pt>
                <c:pt idx="28">
                  <c:v>-1.9950955865666671</c:v>
                </c:pt>
                <c:pt idx="29">
                  <c:v>-2.101202763133335</c:v>
                </c:pt>
                <c:pt idx="30">
                  <c:v>-1.8617180377666671</c:v>
                </c:pt>
                <c:pt idx="31">
                  <c:v>-1.778639557066668</c:v>
                </c:pt>
                <c:pt idx="32">
                  <c:v>-1.4819400429999989</c:v>
                </c:pt>
                <c:pt idx="33">
                  <c:v>-1.235923788033332</c:v>
                </c:pt>
                <c:pt idx="34">
                  <c:v>-1.055070462166666</c:v>
                </c:pt>
                <c:pt idx="35">
                  <c:v>-0.7958815492333331</c:v>
                </c:pt>
                <c:pt idx="36">
                  <c:v>-0.44637903433333398</c:v>
                </c:pt>
                <c:pt idx="37">
                  <c:v>-0.41589637783333328</c:v>
                </c:pt>
                <c:pt idx="38">
                  <c:v>1.9277253333405131E-4</c:v>
                </c:pt>
                <c:pt idx="39">
                  <c:v>-4.9496129999992977E-4</c:v>
                </c:pt>
                <c:pt idx="40">
                  <c:v>-1.2416553333299829E-4</c:v>
                </c:pt>
                <c:pt idx="41">
                  <c:v>-1.5133333333305909E-4</c:v>
                </c:pt>
                <c:pt idx="42">
                  <c:v>1.16000000000005E-4</c:v>
                </c:pt>
                <c:pt idx="43">
                  <c:v>4.9466666666703185E-4</c:v>
                </c:pt>
                <c:pt idx="44">
                  <c:v>2.013333333329981E-4</c:v>
                </c:pt>
                <c:pt idx="45">
                  <c:v>-3.2333333333300912E-4</c:v>
                </c:pt>
                <c:pt idx="46">
                  <c:v>-1.7266666666670291E-4</c:v>
                </c:pt>
                <c:pt idx="47">
                  <c:v>4.2233333333299711E-4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8F-45EB-BAD4-FCE58A6548F0}"/>
            </c:ext>
          </c:extLst>
        </c:ser>
        <c:ser>
          <c:idx val="6"/>
          <c:order val="6"/>
          <c:tx>
            <c:v>BES_TR2_three97_B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2.6550746666679712E-4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-1.334548000002655E-4</c:v>
                </c:pt>
                <c:pt idx="15">
                  <c:v>-1.29826259</c:v>
                </c:pt>
                <c:pt idx="16">
                  <c:v>-2.2183293982666679</c:v>
                </c:pt>
                <c:pt idx="17">
                  <c:v>-2.4906509336</c:v>
                </c:pt>
                <c:pt idx="18">
                  <c:v>-2.7225753626666682</c:v>
                </c:pt>
                <c:pt idx="19">
                  <c:v>-2.920383406133332</c:v>
                </c:pt>
                <c:pt idx="20">
                  <c:v>-3.094008943066668</c:v>
                </c:pt>
                <c:pt idx="21">
                  <c:v>-3.2373051211999999</c:v>
                </c:pt>
                <c:pt idx="22">
                  <c:v>-3.338977924666668</c:v>
                </c:pt>
                <c:pt idx="23">
                  <c:v>-3.3835667088000001</c:v>
                </c:pt>
                <c:pt idx="24">
                  <c:v>-3.3964813290666682</c:v>
                </c:pt>
                <c:pt idx="25">
                  <c:v>-3.372321672</c:v>
                </c:pt>
                <c:pt idx="26">
                  <c:v>-3.2911584820000002</c:v>
                </c:pt>
                <c:pt idx="27">
                  <c:v>-3.1673343274666679</c:v>
                </c:pt>
                <c:pt idx="28">
                  <c:v>-3.0195078932000001</c:v>
                </c:pt>
                <c:pt idx="29">
                  <c:v>-2.8321901730666679</c:v>
                </c:pt>
                <c:pt idx="30">
                  <c:v>-2.6331284948000002</c:v>
                </c:pt>
                <c:pt idx="31">
                  <c:v>-2.3935838538666681</c:v>
                </c:pt>
                <c:pt idx="32">
                  <c:v>-2.123800057333332</c:v>
                </c:pt>
                <c:pt idx="33">
                  <c:v>-1.7980712729333319</c:v>
                </c:pt>
                <c:pt idx="34">
                  <c:v>-1.4932117273333321</c:v>
                </c:pt>
                <c:pt idx="35">
                  <c:v>-1.1799496212</c:v>
                </c:pt>
                <c:pt idx="36">
                  <c:v>-0.87691693466666798</c:v>
                </c:pt>
                <c:pt idx="37">
                  <c:v>-0.584750726</c:v>
                </c:pt>
                <c:pt idx="38">
                  <c:v>-0.32232074773333319</c:v>
                </c:pt>
                <c:pt idx="39">
                  <c:v>-6.1159948399999997E-2</c:v>
                </c:pt>
                <c:pt idx="40">
                  <c:v>2.3622373333332181E-4</c:v>
                </c:pt>
                <c:pt idx="41">
                  <c:v>0</c:v>
                </c:pt>
                <c:pt idx="42">
                  <c:v>0</c:v>
                </c:pt>
                <c:pt idx="43">
                  <c:v>-3.3066666666700661E-4</c:v>
                </c:pt>
                <c:pt idx="44">
                  <c:v>1.7333333333302561E-4</c:v>
                </c:pt>
                <c:pt idx="45">
                  <c:v>-3.729999999999567E-4</c:v>
                </c:pt>
                <c:pt idx="46">
                  <c:v>2.30000000000008E-4</c:v>
                </c:pt>
                <c:pt idx="47">
                  <c:v>-1.2033333333340281E-4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8F-45EB-BAD4-FCE58A6548F0}"/>
            </c:ext>
          </c:extLst>
        </c:ser>
        <c:ser>
          <c:idx val="7"/>
          <c:order val="7"/>
          <c:tx>
            <c:v>BES_TR2_three133_C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Net_kW!$J$2:$J$49</c:f>
              <c:numCache>
                <c:formatCode>#,##0.000</c:formatCode>
                <c:ptCount val="48"/>
                <c:pt idx="0">
                  <c:v>4.2733333333330042E-4</c:v>
                </c:pt>
                <c:pt idx="1">
                  <c:v>-5.0000000000000044E-4</c:v>
                </c:pt>
                <c:pt idx="2">
                  <c:v>-3.0800000000000272E-4</c:v>
                </c:pt>
                <c:pt idx="3">
                  <c:v>0</c:v>
                </c:pt>
                <c:pt idx="4">
                  <c:v>4.1000000000000758E-4</c:v>
                </c:pt>
                <c:pt idx="5">
                  <c:v>2.8200000000000452E-4</c:v>
                </c:pt>
                <c:pt idx="6">
                  <c:v>-4.446666666670096E-4</c:v>
                </c:pt>
                <c:pt idx="7">
                  <c:v>-4.4393593333340309E-4</c:v>
                </c:pt>
                <c:pt idx="8">
                  <c:v>-3.6202733332907362E-5</c:v>
                </c:pt>
                <c:pt idx="9">
                  <c:v>-2.8345666666790281E-6</c:v>
                </c:pt>
                <c:pt idx="10">
                  <c:v>2.7678379999901409E-4</c:v>
                </c:pt>
                <c:pt idx="11">
                  <c:v>1.6517600001042521E-5</c:v>
                </c:pt>
                <c:pt idx="12">
                  <c:v>6.1055499998907692E-5</c:v>
                </c:pt>
                <c:pt idx="13">
                  <c:v>3.8612420000105901E-4</c:v>
                </c:pt>
                <c:pt idx="14">
                  <c:v>-4.6959110000011067E-4</c:v>
                </c:pt>
                <c:pt idx="15">
                  <c:v>3.0432500000010521E-5</c:v>
                </c:pt>
                <c:pt idx="16">
                  <c:v>-0.26821504870000101</c:v>
                </c:pt>
                <c:pt idx="17">
                  <c:v>-1.7893748668666669</c:v>
                </c:pt>
                <c:pt idx="18">
                  <c:v>-1.836703522000001</c:v>
                </c:pt>
                <c:pt idx="19">
                  <c:v>-2.0814281545999989</c:v>
                </c:pt>
                <c:pt idx="20">
                  <c:v>-2.2951520406333339</c:v>
                </c:pt>
                <c:pt idx="21">
                  <c:v>-2.3406415075666671</c:v>
                </c:pt>
                <c:pt idx="22">
                  <c:v>-2.4877334435000011</c:v>
                </c:pt>
                <c:pt idx="23">
                  <c:v>-2.3100864982666658</c:v>
                </c:pt>
                <c:pt idx="24">
                  <c:v>-2.4227573301333338</c:v>
                </c:pt>
                <c:pt idx="25">
                  <c:v>-2.4127412540000002</c:v>
                </c:pt>
                <c:pt idx="26">
                  <c:v>-2.041302194833333</c:v>
                </c:pt>
                <c:pt idx="27">
                  <c:v>-2.1836054122666679</c:v>
                </c:pt>
                <c:pt idx="28">
                  <c:v>-1.944004253233333</c:v>
                </c:pt>
                <c:pt idx="29">
                  <c:v>-2.0124140964666681</c:v>
                </c:pt>
                <c:pt idx="30">
                  <c:v>-1.8236051711000001</c:v>
                </c:pt>
                <c:pt idx="31">
                  <c:v>-1.7215685570666679</c:v>
                </c:pt>
                <c:pt idx="32">
                  <c:v>-1.509940042999999</c:v>
                </c:pt>
                <c:pt idx="33">
                  <c:v>-1.327626121366666</c:v>
                </c:pt>
                <c:pt idx="34">
                  <c:v>-1.0226834621666661</c:v>
                </c:pt>
                <c:pt idx="35">
                  <c:v>-8.7038549233333096E-2</c:v>
                </c:pt>
                <c:pt idx="36">
                  <c:v>1.046323333289689E-4</c:v>
                </c:pt>
                <c:pt idx="37">
                  <c:v>-2.1044499999955949E-5</c:v>
                </c:pt>
                <c:pt idx="38">
                  <c:v>-1.1989413333290951E-4</c:v>
                </c:pt>
                <c:pt idx="39">
                  <c:v>-1.712946333329857E-4</c:v>
                </c:pt>
                <c:pt idx="40">
                  <c:v>-4.7549886666703461E-4</c:v>
                </c:pt>
                <c:pt idx="41">
                  <c:v>-2.9933333333320711E-4</c:v>
                </c:pt>
                <c:pt idx="42">
                  <c:v>-2.9933333333330431E-4</c:v>
                </c:pt>
                <c:pt idx="43">
                  <c:v>-8.6666666666013192E-6</c:v>
                </c:pt>
                <c:pt idx="44">
                  <c:v>0</c:v>
                </c:pt>
                <c:pt idx="45">
                  <c:v>3.3000000000005247E-5</c:v>
                </c:pt>
                <c:pt idx="46">
                  <c:v>2.253333333330082E-4</c:v>
                </c:pt>
                <c:pt idx="47">
                  <c:v>4.2733333333330042E-4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68F-45EB-BAD4-FCE58A6548F0}"/>
            </c:ext>
          </c:extLst>
        </c:ser>
        <c:ser>
          <c:idx val="8"/>
          <c:order val="8"/>
          <c:tx>
            <c:v>BES_TR2_three160_C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Net_kW!$K$2:$K$49</c:f>
              <c:numCache>
                <c:formatCode>#,##0.000</c:formatCode>
                <c:ptCount val="48"/>
                <c:pt idx="0">
                  <c:v>-2.5166666666709409E-4</c:v>
                </c:pt>
                <c:pt idx="1">
                  <c:v>4.790000000000072E-4</c:v>
                </c:pt>
                <c:pt idx="2">
                  <c:v>1.426666666669851E-4</c:v>
                </c:pt>
                <c:pt idx="3">
                  <c:v>4.166666666669816E-4</c:v>
                </c:pt>
                <c:pt idx="4">
                  <c:v>0</c:v>
                </c:pt>
                <c:pt idx="5">
                  <c:v>-2.9333333333300682E-4</c:v>
                </c:pt>
                <c:pt idx="6">
                  <c:v>0</c:v>
                </c:pt>
                <c:pt idx="7">
                  <c:v>-2.1780346666666619E-4</c:v>
                </c:pt>
                <c:pt idx="8">
                  <c:v>-3.3492533333193131E-5</c:v>
                </c:pt>
                <c:pt idx="9">
                  <c:v>-4.9223866666725513E-5</c:v>
                </c:pt>
                <c:pt idx="10">
                  <c:v>2.5871173333202879E-4</c:v>
                </c:pt>
                <c:pt idx="11">
                  <c:v>2.1335680000100779E-4</c:v>
                </c:pt>
                <c:pt idx="12">
                  <c:v>-4.3059266666811702E-4</c:v>
                </c:pt>
                <c:pt idx="13">
                  <c:v>3.3016560000098671E-4</c:v>
                </c:pt>
                <c:pt idx="14">
                  <c:v>4.7621186666702009E-4</c:v>
                </c:pt>
                <c:pt idx="15">
                  <c:v>-1.037566666670653E-4</c:v>
                </c:pt>
                <c:pt idx="16">
                  <c:v>-0.90276773160000112</c:v>
                </c:pt>
                <c:pt idx="17">
                  <c:v>-2.411465266933333</c:v>
                </c:pt>
                <c:pt idx="18">
                  <c:v>-2.7295753626666679</c:v>
                </c:pt>
                <c:pt idx="19">
                  <c:v>-2.841197739466665</c:v>
                </c:pt>
                <c:pt idx="20">
                  <c:v>-2.928635276400001</c:v>
                </c:pt>
                <c:pt idx="21">
                  <c:v>-3.2111567878666669</c:v>
                </c:pt>
                <c:pt idx="22">
                  <c:v>-3.1205669246666679</c:v>
                </c:pt>
                <c:pt idx="23">
                  <c:v>-3.3905667088000002</c:v>
                </c:pt>
                <c:pt idx="24">
                  <c:v>-3.2384009957333348</c:v>
                </c:pt>
                <c:pt idx="25">
                  <c:v>-3.2858426719999998</c:v>
                </c:pt>
                <c:pt idx="26">
                  <c:v>-3.2981584819999998</c:v>
                </c:pt>
                <c:pt idx="27">
                  <c:v>-3.0059403274666678</c:v>
                </c:pt>
                <c:pt idx="28">
                  <c:v>-2.936342559866667</c:v>
                </c:pt>
                <c:pt idx="29">
                  <c:v>-2.8166488397333351</c:v>
                </c:pt>
                <c:pt idx="30">
                  <c:v>-1.4861764948</c:v>
                </c:pt>
                <c:pt idx="31">
                  <c:v>-1.8558671872000021</c:v>
                </c:pt>
                <c:pt idx="32">
                  <c:v>-2.106895090666665</c:v>
                </c:pt>
                <c:pt idx="33">
                  <c:v>-1.569586606266665</c:v>
                </c:pt>
                <c:pt idx="34">
                  <c:v>-1.2593467273333321</c:v>
                </c:pt>
                <c:pt idx="35">
                  <c:v>1.5378800000021009E-5</c:v>
                </c:pt>
                <c:pt idx="36">
                  <c:v>3.343986666660137E-4</c:v>
                </c:pt>
                <c:pt idx="37">
                  <c:v>1.47940666669899E-4</c:v>
                </c:pt>
                <c:pt idx="38">
                  <c:v>-4.9408106666337659E-4</c:v>
                </c:pt>
                <c:pt idx="39">
                  <c:v>-8.6615066669848417E-5</c:v>
                </c:pt>
                <c:pt idx="40">
                  <c:v>-1.2877626666674141E-4</c:v>
                </c:pt>
                <c:pt idx="41">
                  <c:v>1.660000000001105E-4</c:v>
                </c:pt>
                <c:pt idx="42">
                  <c:v>3.5333333333339989E-4</c:v>
                </c:pt>
                <c:pt idx="43">
                  <c:v>5.7666666667011153E-5</c:v>
                </c:pt>
                <c:pt idx="44">
                  <c:v>7.4230999999999991E-2</c:v>
                </c:pt>
                <c:pt idx="45">
                  <c:v>0.106624</c:v>
                </c:pt>
                <c:pt idx="46">
                  <c:v>0.2243</c:v>
                </c:pt>
                <c:pt idx="47">
                  <c:v>0.112259333333333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68F-45EB-BAD4-FCE58A6548F0}"/>
            </c:ext>
          </c:extLst>
        </c:ser>
        <c:ser>
          <c:idx val="9"/>
          <c:order val="9"/>
          <c:tx>
            <c:v>BES_TR2_five58_C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Net_kW!$L$2:$L$49</c:f>
              <c:numCache>
                <c:formatCode>#,##0.000</c:formatCode>
                <c:ptCount val="48"/>
                <c:pt idx="0">
                  <c:v>-2.6299999999998552E-4</c:v>
                </c:pt>
                <c:pt idx="1">
                  <c:v>6.9999999999958984E-5</c:v>
                </c:pt>
                <c:pt idx="2">
                  <c:v>-2.2333333333302011E-4</c:v>
                </c:pt>
                <c:pt idx="3">
                  <c:v>0</c:v>
                </c:pt>
                <c:pt idx="4">
                  <c:v>2.5333333333299462E-4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4.2174133333780513E-5</c:v>
                </c:pt>
                <c:pt idx="9">
                  <c:v>4.2644280000000978E-4</c:v>
                </c:pt>
                <c:pt idx="10">
                  <c:v>-3.4028826666798739E-4</c:v>
                </c:pt>
                <c:pt idx="11">
                  <c:v>-4.6130986666526042E-4</c:v>
                </c:pt>
                <c:pt idx="12">
                  <c:v>4.6140733333188688E-4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-0.43184942333333298</c:v>
                </c:pt>
                <c:pt idx="16">
                  <c:v>-2.2233293982666682</c:v>
                </c:pt>
                <c:pt idx="17">
                  <c:v>-1.695138266933333</c:v>
                </c:pt>
                <c:pt idx="18">
                  <c:v>-1.1260083626666679</c:v>
                </c:pt>
                <c:pt idx="19">
                  <c:v>-1.6058179394666621</c:v>
                </c:pt>
                <c:pt idx="20">
                  <c:v>-2.180142276400002</c:v>
                </c:pt>
                <c:pt idx="21">
                  <c:v>-2.3330884545333328</c:v>
                </c:pt>
                <c:pt idx="22">
                  <c:v>-3.2620816580000009</c:v>
                </c:pt>
                <c:pt idx="23">
                  <c:v>-3.3293267088</c:v>
                </c:pt>
                <c:pt idx="24">
                  <c:v>-3.2418773290666678</c:v>
                </c:pt>
                <c:pt idx="25">
                  <c:v>-3.3598376719999998</c:v>
                </c:pt>
                <c:pt idx="26">
                  <c:v>-3.2961584820000001</c:v>
                </c:pt>
                <c:pt idx="27">
                  <c:v>-3.0785576608000009</c:v>
                </c:pt>
                <c:pt idx="28">
                  <c:v>-3.0245078932</c:v>
                </c:pt>
                <c:pt idx="29">
                  <c:v>-2.7501118397333348</c:v>
                </c:pt>
                <c:pt idx="30">
                  <c:v>-2.6314301614666671</c:v>
                </c:pt>
                <c:pt idx="31">
                  <c:v>-2.3985838538666679</c:v>
                </c:pt>
                <c:pt idx="32">
                  <c:v>-2.0175380573333319</c:v>
                </c:pt>
                <c:pt idx="33">
                  <c:v>-1.6662661729333319</c:v>
                </c:pt>
                <c:pt idx="34">
                  <c:v>-1.447940727333332</c:v>
                </c:pt>
                <c:pt idx="35">
                  <c:v>-0.98776402120000006</c:v>
                </c:pt>
                <c:pt idx="36">
                  <c:v>-0.74953626800000106</c:v>
                </c:pt>
                <c:pt idx="37">
                  <c:v>-0.37647205933333311</c:v>
                </c:pt>
                <c:pt idx="38">
                  <c:v>4.3825226666681372E-4</c:v>
                </c:pt>
                <c:pt idx="39">
                  <c:v>-4.6328173333295969E-4</c:v>
                </c:pt>
                <c:pt idx="40">
                  <c:v>1.215570666663057E-4</c:v>
                </c:pt>
                <c:pt idx="41">
                  <c:v>9.1666666666989638E-5</c:v>
                </c:pt>
                <c:pt idx="42">
                  <c:v>-1.939999999999997E-4</c:v>
                </c:pt>
                <c:pt idx="43">
                  <c:v>4.7633333333296779E-4</c:v>
                </c:pt>
                <c:pt idx="44">
                  <c:v>-7.3333333332981088E-5</c:v>
                </c:pt>
                <c:pt idx="45">
                  <c:v>1.500000000000945E-4</c:v>
                </c:pt>
                <c:pt idx="46">
                  <c:v>-1.6199999999999551E-4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68F-45EB-BAD4-FCE58A6548F0}"/>
            </c:ext>
          </c:extLst>
        </c:ser>
        <c:ser>
          <c:idx val="10"/>
          <c:order val="10"/>
          <c:tx>
            <c:v>BES_TR2_five147_C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Net_kW!$M$2:$M$49</c:f>
              <c:numCache>
                <c:formatCode>#,##0.000</c:formatCode>
                <c:ptCount val="48"/>
                <c:pt idx="0">
                  <c:v>2.6666666666699812E-4</c:v>
                </c:pt>
                <c:pt idx="1">
                  <c:v>1.0000000000000291E-4</c:v>
                </c:pt>
                <c:pt idx="2">
                  <c:v>-4.5000000000000601E-4</c:v>
                </c:pt>
                <c:pt idx="3">
                  <c:v>-1.833333333330078E-4</c:v>
                </c:pt>
                <c:pt idx="4">
                  <c:v>0</c:v>
                </c:pt>
                <c:pt idx="5">
                  <c:v>-3.1666666666700649E-4</c:v>
                </c:pt>
                <c:pt idx="6">
                  <c:v>-3.1666666666700649E-4</c:v>
                </c:pt>
                <c:pt idx="7">
                  <c:v>1.4252986666672679E-4</c:v>
                </c:pt>
                <c:pt idx="8">
                  <c:v>4.884079999978308E-5</c:v>
                </c:pt>
                <c:pt idx="9">
                  <c:v>4.2644279999998203E-4</c:v>
                </c:pt>
                <c:pt idx="10">
                  <c:v>2.6378399999027469E-5</c:v>
                </c:pt>
                <c:pt idx="11">
                  <c:v>1.420234666681397E-4</c:v>
                </c:pt>
                <c:pt idx="12">
                  <c:v>1.147406666652806E-4</c:v>
                </c:pt>
                <c:pt idx="13">
                  <c:v>-4.0783439999891868E-4</c:v>
                </c:pt>
                <c:pt idx="14">
                  <c:v>4.0545199999852948E-5</c:v>
                </c:pt>
                <c:pt idx="15">
                  <c:v>-0.50655942333333326</c:v>
                </c:pt>
                <c:pt idx="16">
                  <c:v>-1.8220990649333351</c:v>
                </c:pt>
                <c:pt idx="17">
                  <c:v>-2.1833839336</c:v>
                </c:pt>
                <c:pt idx="18">
                  <c:v>-2.0581293626666679</c:v>
                </c:pt>
                <c:pt idx="19">
                  <c:v>-2.3283300727999992</c:v>
                </c:pt>
                <c:pt idx="20">
                  <c:v>-2.902932276400001</c:v>
                </c:pt>
                <c:pt idx="21">
                  <c:v>-3.1661051212000002</c:v>
                </c:pt>
                <c:pt idx="22">
                  <c:v>-3.215127924666668</c:v>
                </c:pt>
                <c:pt idx="23">
                  <c:v>-3.3700500421333328</c:v>
                </c:pt>
                <c:pt idx="24">
                  <c:v>-3.3884813290666682</c:v>
                </c:pt>
                <c:pt idx="25">
                  <c:v>-3.303638338666667</c:v>
                </c:pt>
                <c:pt idx="26">
                  <c:v>-3.2224751486666672</c:v>
                </c:pt>
                <c:pt idx="27">
                  <c:v>-3.1593343274666679</c:v>
                </c:pt>
                <c:pt idx="28">
                  <c:v>-2.9342745598666671</c:v>
                </c:pt>
                <c:pt idx="29">
                  <c:v>-2.780056839733335</c:v>
                </c:pt>
                <c:pt idx="30">
                  <c:v>-2.6196118281333329</c:v>
                </c:pt>
                <c:pt idx="31">
                  <c:v>-2.269733853866668</c:v>
                </c:pt>
                <c:pt idx="32">
                  <c:v>-2.115800057333332</c:v>
                </c:pt>
                <c:pt idx="33">
                  <c:v>-1.7432539395999991</c:v>
                </c:pt>
                <c:pt idx="34">
                  <c:v>-1.3665252606666649</c:v>
                </c:pt>
                <c:pt idx="35">
                  <c:v>-1.0931362878666671</c:v>
                </c:pt>
                <c:pt idx="36">
                  <c:v>-0.62979026800000104</c:v>
                </c:pt>
                <c:pt idx="37">
                  <c:v>-0.50074472599999997</c:v>
                </c:pt>
                <c:pt idx="38">
                  <c:v>-0.1214274144000002</c:v>
                </c:pt>
                <c:pt idx="39">
                  <c:v>-4.3948399999993448E-5</c:v>
                </c:pt>
                <c:pt idx="40">
                  <c:v>4.4122373333332909E-4</c:v>
                </c:pt>
                <c:pt idx="41">
                  <c:v>4.6999999999997039E-4</c:v>
                </c:pt>
                <c:pt idx="42">
                  <c:v>5.0666666667087412E-5</c:v>
                </c:pt>
                <c:pt idx="43">
                  <c:v>8.6666666667012393E-5</c:v>
                </c:pt>
                <c:pt idx="44">
                  <c:v>-4.3199999999998789E-4</c:v>
                </c:pt>
                <c:pt idx="45">
                  <c:v>-4.6666666666705941E-4</c:v>
                </c:pt>
                <c:pt idx="46">
                  <c:v>1.4866666666701889E-4</c:v>
                </c:pt>
                <c:pt idx="47">
                  <c:v>-5.9999999999990623E-5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68F-45EB-BAD4-FCE58A6548F0}"/>
            </c:ext>
          </c:extLst>
        </c:ser>
        <c:ser>
          <c:idx val="11"/>
          <c:order val="11"/>
          <c:tx>
            <c:v>BES_TR2_five149_A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Net_kW!$N$2:$N$49</c:f>
              <c:numCache>
                <c:formatCode>#,##0.000</c:formatCode>
                <c:ptCount val="48"/>
                <c:pt idx="0">
                  <c:v>6.7999999999984739E-5</c:v>
                </c:pt>
                <c:pt idx="1">
                  <c:v>1.2399999999999911E-4</c:v>
                </c:pt>
                <c:pt idx="2">
                  <c:v>1.7733333333302961E-4</c:v>
                </c:pt>
                <c:pt idx="3">
                  <c:v>1.166666666670008E-4</c:v>
                </c:pt>
                <c:pt idx="4">
                  <c:v>4.5466666666699179E-4</c:v>
                </c:pt>
                <c:pt idx="5">
                  <c:v>4.0500000000000258E-4</c:v>
                </c:pt>
                <c:pt idx="6">
                  <c:v>4.0966666666700241E-4</c:v>
                </c:pt>
                <c:pt idx="7">
                  <c:v>1.62529866666733E-4</c:v>
                </c:pt>
                <c:pt idx="8">
                  <c:v>-4.3825866666180602E-5</c:v>
                </c:pt>
                <c:pt idx="9">
                  <c:v>-3.8522386666700598E-4</c:v>
                </c:pt>
                <c:pt idx="10">
                  <c:v>-2.5762160000131212E-4</c:v>
                </c:pt>
                <c:pt idx="11">
                  <c:v>4.7735680000099418E-4</c:v>
                </c:pt>
                <c:pt idx="12">
                  <c:v>8.1407333331950937E-5</c:v>
                </c:pt>
                <c:pt idx="13">
                  <c:v>-1.3316773333205129E-4</c:v>
                </c:pt>
                <c:pt idx="14">
                  <c:v>-1.4945480000005951E-4</c:v>
                </c:pt>
                <c:pt idx="15">
                  <c:v>3.7391000000019941E-4</c:v>
                </c:pt>
                <c:pt idx="16">
                  <c:v>-1.7976800649333351</c:v>
                </c:pt>
                <c:pt idx="17">
                  <c:v>-2.383882266933333</c:v>
                </c:pt>
                <c:pt idx="18">
                  <c:v>-2.6336120293333352</c:v>
                </c:pt>
                <c:pt idx="19">
                  <c:v>-2.7459287394666649</c:v>
                </c:pt>
                <c:pt idx="20">
                  <c:v>-3.0621622764000009</c:v>
                </c:pt>
                <c:pt idx="21">
                  <c:v>-3.1711884545333331</c:v>
                </c:pt>
                <c:pt idx="22">
                  <c:v>-3.3299779246666681</c:v>
                </c:pt>
                <c:pt idx="23">
                  <c:v>-3.2269173754666669</c:v>
                </c:pt>
                <c:pt idx="24">
                  <c:v>-3.2897126624000008</c:v>
                </c:pt>
                <c:pt idx="25">
                  <c:v>-3.3290516719999999</c:v>
                </c:pt>
                <c:pt idx="26">
                  <c:v>-3.0860518153333332</c:v>
                </c:pt>
                <c:pt idx="27">
                  <c:v>-3.143292994133335</c:v>
                </c:pt>
                <c:pt idx="28">
                  <c:v>-2.9287355598666669</c:v>
                </c:pt>
                <c:pt idx="29">
                  <c:v>-2.659544506400001</c:v>
                </c:pt>
                <c:pt idx="30">
                  <c:v>-2.6241284947999999</c:v>
                </c:pt>
                <c:pt idx="31">
                  <c:v>-2.304620520533335</c:v>
                </c:pt>
                <c:pt idx="32">
                  <c:v>-1.9493453906666649</c:v>
                </c:pt>
                <c:pt idx="33">
                  <c:v>-1.7041832729333319</c:v>
                </c:pt>
                <c:pt idx="34">
                  <c:v>-1.1700693939999991</c:v>
                </c:pt>
                <c:pt idx="35">
                  <c:v>-1.0418089545333331</c:v>
                </c:pt>
                <c:pt idx="36">
                  <c:v>-0.76039026800000098</c:v>
                </c:pt>
                <c:pt idx="37">
                  <c:v>-0.25349405933333302</c:v>
                </c:pt>
                <c:pt idx="38">
                  <c:v>-0.18801274773333321</c:v>
                </c:pt>
                <c:pt idx="39">
                  <c:v>-2.928173333299755E-5</c:v>
                </c:pt>
                <c:pt idx="40">
                  <c:v>4.0890399999271583E-5</c:v>
                </c:pt>
                <c:pt idx="41">
                  <c:v>1.77999999999956E-4</c:v>
                </c:pt>
                <c:pt idx="42">
                  <c:v>2.296666666670166E-4</c:v>
                </c:pt>
                <c:pt idx="43">
                  <c:v>-2.5433333333302333E-4</c:v>
                </c:pt>
                <c:pt idx="44">
                  <c:v>-1.889999999999947E-4</c:v>
                </c:pt>
                <c:pt idx="45">
                  <c:v>-1.113333333329081E-4</c:v>
                </c:pt>
                <c:pt idx="46">
                  <c:v>-1.4999999999987251E-5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68F-45EB-BAD4-FCE58A6548F0}"/>
            </c:ext>
          </c:extLst>
        </c:ser>
        <c:ser>
          <c:idx val="12"/>
          <c:order val="12"/>
          <c:tx>
            <c:v>BES_TR2_five160_C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Net_kW!$O$2:$O$49</c:f>
              <c:numCache>
                <c:formatCode>#,##0.000</c:formatCode>
                <c:ptCount val="48"/>
                <c:pt idx="0">
                  <c:v>-3.5799999999999721E-4</c:v>
                </c:pt>
                <c:pt idx="1">
                  <c:v>0</c:v>
                </c:pt>
                <c:pt idx="2">
                  <c:v>2.3333333333000469E-5</c:v>
                </c:pt>
                <c:pt idx="3">
                  <c:v>-3.8133333333340008E-4</c:v>
                </c:pt>
                <c:pt idx="4">
                  <c:v>-2.7433333333300169E-4</c:v>
                </c:pt>
                <c:pt idx="5">
                  <c:v>-8.3666666666690204E-5</c:v>
                </c:pt>
                <c:pt idx="6">
                  <c:v>1.06999999999996E-4</c:v>
                </c:pt>
                <c:pt idx="7">
                  <c:v>-1.854017333333402E-4</c:v>
                </c:pt>
                <c:pt idx="8">
                  <c:v>1.327537333333968E-4</c:v>
                </c:pt>
                <c:pt idx="9">
                  <c:v>3.5522139999998731E-4</c:v>
                </c:pt>
                <c:pt idx="10">
                  <c:v>3.2985586666597899E-4</c:v>
                </c:pt>
                <c:pt idx="11">
                  <c:v>7.1011733334014338E-5</c:v>
                </c:pt>
                <c:pt idx="12">
                  <c:v>1.7103699999898581E-4</c:v>
                </c:pt>
                <c:pt idx="13">
                  <c:v>-3.5891719999936461E-4</c:v>
                </c:pt>
                <c:pt idx="14">
                  <c:v>-1.470607333330376E-4</c:v>
                </c:pt>
                <c:pt idx="15">
                  <c:v>4.962883333333723E-4</c:v>
                </c:pt>
                <c:pt idx="16">
                  <c:v>4.7730086666597499E-4</c:v>
                </c:pt>
                <c:pt idx="17">
                  <c:v>-4.1746679999987713E-4</c:v>
                </c:pt>
                <c:pt idx="18">
                  <c:v>-0.1496306813333339</c:v>
                </c:pt>
                <c:pt idx="19">
                  <c:v>-0.51464370306666596</c:v>
                </c:pt>
                <c:pt idx="20">
                  <c:v>-1.2876291382000009</c:v>
                </c:pt>
                <c:pt idx="21">
                  <c:v>-1.403785893933333</c:v>
                </c:pt>
                <c:pt idx="22">
                  <c:v>-1.5168036290000011</c:v>
                </c:pt>
                <c:pt idx="23">
                  <c:v>-1.526536021066667</c:v>
                </c:pt>
                <c:pt idx="24">
                  <c:v>-1.572780664533334</c:v>
                </c:pt>
                <c:pt idx="25">
                  <c:v>-1.3723196360000001</c:v>
                </c:pt>
                <c:pt idx="26">
                  <c:v>-1.422914607666667</c:v>
                </c:pt>
                <c:pt idx="27">
                  <c:v>-1.4257589970666671</c:v>
                </c:pt>
                <c:pt idx="28">
                  <c:v>-1.429622613266667</c:v>
                </c:pt>
                <c:pt idx="29">
                  <c:v>-1.1789932532</c:v>
                </c:pt>
                <c:pt idx="30">
                  <c:v>-1.2009222474000001</c:v>
                </c:pt>
                <c:pt idx="31">
                  <c:v>-1.1657919269333341</c:v>
                </c:pt>
                <c:pt idx="32">
                  <c:v>-1.0309000286666661</c:v>
                </c:pt>
                <c:pt idx="33">
                  <c:v>-0.78339363646666604</c:v>
                </c:pt>
                <c:pt idx="34">
                  <c:v>-0.70796533033333264</c:v>
                </c:pt>
                <c:pt idx="35">
                  <c:v>-0.41685934393333302</c:v>
                </c:pt>
                <c:pt idx="36">
                  <c:v>-9.9173800666667034E-2</c:v>
                </c:pt>
                <c:pt idx="37">
                  <c:v>-1.4495363000000041E-2</c:v>
                </c:pt>
                <c:pt idx="38">
                  <c:v>-7.0373866666556539E-5</c:v>
                </c:pt>
                <c:pt idx="39">
                  <c:v>-1.4764086666696491E-4</c:v>
                </c:pt>
                <c:pt idx="40">
                  <c:v>-1.9222146666636461E-4</c:v>
                </c:pt>
                <c:pt idx="41">
                  <c:v>2.050000000000107E-4</c:v>
                </c:pt>
                <c:pt idx="42">
                  <c:v>1.3033333333299649E-4</c:v>
                </c:pt>
                <c:pt idx="43">
                  <c:v>3.2100000000000179E-4</c:v>
                </c:pt>
                <c:pt idx="44">
                  <c:v>3.2099999999990469E-4</c:v>
                </c:pt>
                <c:pt idx="45">
                  <c:v>1.2666666666699691E-4</c:v>
                </c:pt>
                <c:pt idx="46">
                  <c:v>-1.5799999999999151E-4</c:v>
                </c:pt>
                <c:pt idx="47">
                  <c:v>-1.073333333330151E-4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68F-45EB-BAD4-FCE58A6548F0}"/>
            </c:ext>
          </c:extLst>
        </c:ser>
        <c:ser>
          <c:idx val="13"/>
          <c:order val="13"/>
          <c:tx>
            <c:v>BES_TR2_five170_A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Net_kW!$P$2:$P$49</c:f>
              <c:numCache>
                <c:formatCode>#,##0.000</c:formatCode>
                <c:ptCount val="48"/>
                <c:pt idx="0">
                  <c:v>2.9333333333300682E-4</c:v>
                </c:pt>
                <c:pt idx="1">
                  <c:v>0</c:v>
                </c:pt>
                <c:pt idx="2">
                  <c:v>2.6666666666699812E-4</c:v>
                </c:pt>
                <c:pt idx="3">
                  <c:v>2.6666666666598501E-5</c:v>
                </c:pt>
                <c:pt idx="4">
                  <c:v>1.8666666666702911E-4</c:v>
                </c:pt>
                <c:pt idx="5">
                  <c:v>1.066666666668104E-4</c:v>
                </c:pt>
                <c:pt idx="6">
                  <c:v>0</c:v>
                </c:pt>
                <c:pt idx="7">
                  <c:v>-2.872692666670007E-4</c:v>
                </c:pt>
                <c:pt idx="8">
                  <c:v>-3.0086939999990169E-4</c:v>
                </c:pt>
                <c:pt idx="9">
                  <c:v>-3.7683456666667842E-4</c:v>
                </c:pt>
                <c:pt idx="10">
                  <c:v>2.3478379999897209E-4</c:v>
                </c:pt>
                <c:pt idx="11">
                  <c:v>-3.9348239999892343E-4</c:v>
                </c:pt>
                <c:pt idx="12">
                  <c:v>-1.5894450000109031E-4</c:v>
                </c:pt>
                <c:pt idx="13">
                  <c:v>2.1579086666800859E-4</c:v>
                </c:pt>
                <c:pt idx="14">
                  <c:v>-4.6959110000011067E-4</c:v>
                </c:pt>
                <c:pt idx="15">
                  <c:v>3.0876583333316893E-4</c:v>
                </c:pt>
                <c:pt idx="16">
                  <c:v>1.961796666583027E-5</c:v>
                </c:pt>
                <c:pt idx="17">
                  <c:v>-1.520446533533333</c:v>
                </c:pt>
                <c:pt idx="18">
                  <c:v>-1.866366188666668</c:v>
                </c:pt>
                <c:pt idx="19">
                  <c:v>-2.140529954599999</c:v>
                </c:pt>
                <c:pt idx="20">
                  <c:v>-2.199711673966668</c:v>
                </c:pt>
                <c:pt idx="21">
                  <c:v>-2.3633721742333331</c:v>
                </c:pt>
                <c:pt idx="22">
                  <c:v>-2.4917334435000011</c:v>
                </c:pt>
                <c:pt idx="23">
                  <c:v>-2.2041050316000002</c:v>
                </c:pt>
                <c:pt idx="24">
                  <c:v>-2.4854509968000009</c:v>
                </c:pt>
                <c:pt idx="25">
                  <c:v>-2.281916254</c:v>
                </c:pt>
                <c:pt idx="26">
                  <c:v>-2.4329339948333328</c:v>
                </c:pt>
                <c:pt idx="27">
                  <c:v>-2.348714745600001</c:v>
                </c:pt>
                <c:pt idx="28">
                  <c:v>-2.1551889865666669</c:v>
                </c:pt>
                <c:pt idx="29">
                  <c:v>-1.7789831631333339</c:v>
                </c:pt>
                <c:pt idx="30">
                  <c:v>-1.917384937766667</c:v>
                </c:pt>
                <c:pt idx="31">
                  <c:v>-1.5939834237333339</c:v>
                </c:pt>
                <c:pt idx="32">
                  <c:v>-1.5522090429999991</c:v>
                </c:pt>
                <c:pt idx="33">
                  <c:v>-1.1980236880333319</c:v>
                </c:pt>
                <c:pt idx="34">
                  <c:v>-1.052008795499999</c:v>
                </c:pt>
                <c:pt idx="35">
                  <c:v>-0.72501274923333314</c:v>
                </c:pt>
                <c:pt idx="36">
                  <c:v>-0.40034160100000099</c:v>
                </c:pt>
                <c:pt idx="37">
                  <c:v>-0.41572604449999989</c:v>
                </c:pt>
                <c:pt idx="38">
                  <c:v>-4.8746079999990172E-4</c:v>
                </c:pt>
                <c:pt idx="39">
                  <c:v>-1.6596130000007259E-4</c:v>
                </c:pt>
                <c:pt idx="40">
                  <c:v>4.7167799999914273E-5</c:v>
                </c:pt>
                <c:pt idx="41">
                  <c:v>1.166666666669869E-4</c:v>
                </c:pt>
                <c:pt idx="42">
                  <c:v>1.163333333329963E-4</c:v>
                </c:pt>
                <c:pt idx="43">
                  <c:v>0</c:v>
                </c:pt>
                <c:pt idx="44">
                  <c:v>-4.0666666666669399E-4</c:v>
                </c:pt>
                <c:pt idx="45">
                  <c:v>-2.9999999999999472E-4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68F-45EB-BAD4-FCE58A6548F0}"/>
            </c:ext>
          </c:extLst>
        </c:ser>
        <c:ser>
          <c:idx val="14"/>
          <c:order val="14"/>
          <c:tx>
            <c:v>BES_TR2_five177_A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-4.7999999999992493E-5</c:v>
                </c:pt>
                <c:pt idx="2">
                  <c:v>0</c:v>
                </c:pt>
                <c:pt idx="3">
                  <c:v>2.9066666666699442E-4</c:v>
                </c:pt>
                <c:pt idx="4">
                  <c:v>-3.3866666666659828E-4</c:v>
                </c:pt>
                <c:pt idx="5">
                  <c:v>2.9866666666700242E-4</c:v>
                </c:pt>
                <c:pt idx="6">
                  <c:v>-3.4666666666670343E-4</c:v>
                </c:pt>
                <c:pt idx="7">
                  <c:v>2.4365366666695421E-5</c:v>
                </c:pt>
                <c:pt idx="8">
                  <c:v>-1.310136666696216E-5</c:v>
                </c:pt>
                <c:pt idx="9">
                  <c:v>-2.150839499999932E-4</c:v>
                </c:pt>
                <c:pt idx="10">
                  <c:v>-5.0608100000494587E-5</c:v>
                </c:pt>
                <c:pt idx="11">
                  <c:v>-1.967411999994895E-4</c:v>
                </c:pt>
                <c:pt idx="12">
                  <c:v>3.0527749999398328E-5</c:v>
                </c:pt>
                <c:pt idx="13">
                  <c:v>-1.5293789999948351E-4</c:v>
                </c:pt>
                <c:pt idx="14">
                  <c:v>2.3320445000007961E-4</c:v>
                </c:pt>
                <c:pt idx="15">
                  <c:v>4.9921625000015624E-4</c:v>
                </c:pt>
                <c:pt idx="16">
                  <c:v>-1.2352435000051451E-4</c:v>
                </c:pt>
                <c:pt idx="17">
                  <c:v>4.0123323333352001E-4</c:v>
                </c:pt>
                <c:pt idx="18">
                  <c:v>9.0905666666585283E-5</c:v>
                </c:pt>
                <c:pt idx="19">
                  <c:v>4.0288936666743602E-4</c:v>
                </c:pt>
                <c:pt idx="20">
                  <c:v>-0.83850335364999995</c:v>
                </c:pt>
                <c:pt idx="21">
                  <c:v>-1.1772394204500001</c:v>
                </c:pt>
                <c:pt idx="22">
                  <c:v>-1.100615388416667</c:v>
                </c:pt>
                <c:pt idx="23">
                  <c:v>-1.2320875158</c:v>
                </c:pt>
                <c:pt idx="24">
                  <c:v>-1.1552431650666679</c:v>
                </c:pt>
                <c:pt idx="25">
                  <c:v>-0.79914629366666701</c:v>
                </c:pt>
                <c:pt idx="26">
                  <c:v>-1.0064104307499999</c:v>
                </c:pt>
                <c:pt idx="27">
                  <c:v>-1.0209310394666671</c:v>
                </c:pt>
                <c:pt idx="28">
                  <c:v>-0.69094045994999997</c:v>
                </c:pt>
                <c:pt idx="29">
                  <c:v>-0.79274431489999997</c:v>
                </c:pt>
                <c:pt idx="30">
                  <c:v>-0.7590595188833329</c:v>
                </c:pt>
                <c:pt idx="31">
                  <c:v>-0.72521194520000043</c:v>
                </c:pt>
                <c:pt idx="32">
                  <c:v>-0.62952668816666646</c:v>
                </c:pt>
                <c:pt idx="33">
                  <c:v>-0.60803366068333287</c:v>
                </c:pt>
                <c:pt idx="34">
                  <c:v>-0.3336292644166664</c:v>
                </c:pt>
                <c:pt idx="35">
                  <c:v>-0.4032829079500001</c:v>
                </c:pt>
                <c:pt idx="36">
                  <c:v>-0.29209385050000047</c:v>
                </c:pt>
                <c:pt idx="37">
                  <c:v>-9.0093522249999974E-2</c:v>
                </c:pt>
                <c:pt idx="38">
                  <c:v>-3.6828039999992068E-4</c:v>
                </c:pt>
                <c:pt idx="39">
                  <c:v>2.7268601666699532E-4</c:v>
                </c:pt>
                <c:pt idx="40">
                  <c:v>1.2691723333302371E-4</c:v>
                </c:pt>
                <c:pt idx="41">
                  <c:v>3.7999999999982492E-5</c:v>
                </c:pt>
                <c:pt idx="42">
                  <c:v>5.333333333024104E-6</c:v>
                </c:pt>
                <c:pt idx="43">
                  <c:v>7.9999999999524896E-6</c:v>
                </c:pt>
                <c:pt idx="44">
                  <c:v>-4.2000000000003151E-4</c:v>
                </c:pt>
                <c:pt idx="45">
                  <c:v>2.7800000000000052E-4</c:v>
                </c:pt>
                <c:pt idx="46">
                  <c:v>-4.1866666666701141E-4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68F-45EB-BAD4-FCE58A6548F0}"/>
            </c:ext>
          </c:extLst>
        </c:ser>
        <c:ser>
          <c:idx val="15"/>
          <c:order val="15"/>
          <c:tx>
            <c:v>BES_TR2_five67_C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Net_kW!$R$2:$R$49</c:f>
              <c:numCache>
                <c:formatCode>#,##0.000</c:formatCode>
                <c:ptCount val="48"/>
                <c:pt idx="0">
                  <c:v>3.5733333333340389E-4</c:v>
                </c:pt>
                <c:pt idx="1">
                  <c:v>-4.2599999999998189E-4</c:v>
                </c:pt>
                <c:pt idx="2">
                  <c:v>2.4666666666700587E-4</c:v>
                </c:pt>
                <c:pt idx="3">
                  <c:v>3.0666666666701042E-4</c:v>
                </c:pt>
                <c:pt idx="4">
                  <c:v>1.2333333333298951E-4</c:v>
                </c:pt>
                <c:pt idx="5">
                  <c:v>-2.5200000000000222E-4</c:v>
                </c:pt>
                <c:pt idx="6">
                  <c:v>-5.0666666667004152E-5</c:v>
                </c:pt>
                <c:pt idx="7">
                  <c:v>-2.1213679999965149E-4</c:v>
                </c:pt>
                <c:pt idx="8">
                  <c:v>3.268408000000958E-4</c:v>
                </c:pt>
                <c:pt idx="9">
                  <c:v>4.197761333330028E-4</c:v>
                </c:pt>
                <c:pt idx="10">
                  <c:v>-2.169549333350673E-4</c:v>
                </c:pt>
                <c:pt idx="11">
                  <c:v>1.420234666680287E-4</c:v>
                </c:pt>
                <c:pt idx="12">
                  <c:v>-4.7259333335047948E-5</c:v>
                </c:pt>
                <c:pt idx="13">
                  <c:v>2.5883226666811859E-4</c:v>
                </c:pt>
                <c:pt idx="14">
                  <c:v>-5.9454799999913988E-5</c:v>
                </c:pt>
                <c:pt idx="15">
                  <c:v>-3.4808999999991208E-4</c:v>
                </c:pt>
                <c:pt idx="16">
                  <c:v>-1.7677710649333349</c:v>
                </c:pt>
                <c:pt idx="17">
                  <c:v>-2.328031266933333</c:v>
                </c:pt>
                <c:pt idx="18">
                  <c:v>-2.704759029333335</c:v>
                </c:pt>
                <c:pt idx="19">
                  <c:v>-2.3651024061333321</c:v>
                </c:pt>
                <c:pt idx="20">
                  <c:v>-3.054255609733334</c:v>
                </c:pt>
                <c:pt idx="21">
                  <c:v>-2.2439397878666698</c:v>
                </c:pt>
                <c:pt idx="22">
                  <c:v>-3.191013924666668</c:v>
                </c:pt>
                <c:pt idx="23">
                  <c:v>-2.814420275466667</c:v>
                </c:pt>
                <c:pt idx="24">
                  <c:v>-0.69851466239999782</c:v>
                </c:pt>
                <c:pt idx="25">
                  <c:v>-0.73830167199999996</c:v>
                </c:pt>
                <c:pt idx="26">
                  <c:v>-2.4964701486666669</c:v>
                </c:pt>
                <c:pt idx="27">
                  <c:v>-2.7127946608000011</c:v>
                </c:pt>
                <c:pt idx="28">
                  <c:v>-1.8021175598666701</c:v>
                </c:pt>
                <c:pt idx="29">
                  <c:v>-2.3801261730666678</c:v>
                </c:pt>
                <c:pt idx="30">
                  <c:v>-2.357613161466666</c:v>
                </c:pt>
                <c:pt idx="31">
                  <c:v>-2.2439598538666679</c:v>
                </c:pt>
                <c:pt idx="32">
                  <c:v>-1.8056007239999989</c:v>
                </c:pt>
                <c:pt idx="33">
                  <c:v>-1.427739939599999</c:v>
                </c:pt>
                <c:pt idx="34">
                  <c:v>-0.76909406066666586</c:v>
                </c:pt>
                <c:pt idx="35">
                  <c:v>-0.67502828786666702</c:v>
                </c:pt>
                <c:pt idx="36">
                  <c:v>-0.72247260133333502</c:v>
                </c:pt>
                <c:pt idx="37">
                  <c:v>-0.23713505933333309</c:v>
                </c:pt>
                <c:pt idx="38">
                  <c:v>-4.4741440000017901E-4</c:v>
                </c:pt>
                <c:pt idx="39">
                  <c:v>-2.8461506666699332E-4</c:v>
                </c:pt>
                <c:pt idx="40">
                  <c:v>-6.9442933333718759E-5</c:v>
                </c:pt>
                <c:pt idx="41">
                  <c:v>9.2666666666962882E-5</c:v>
                </c:pt>
                <c:pt idx="42">
                  <c:v>0</c:v>
                </c:pt>
                <c:pt idx="43">
                  <c:v>-2.086666666669956E-4</c:v>
                </c:pt>
                <c:pt idx="44">
                  <c:v>3.8666666666697941E-4</c:v>
                </c:pt>
                <c:pt idx="45">
                  <c:v>0</c:v>
                </c:pt>
                <c:pt idx="46">
                  <c:v>0</c:v>
                </c:pt>
                <c:pt idx="47">
                  <c:v>1.7800000000001151E-4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68F-45EB-BAD4-FCE58A6548F0}"/>
            </c:ext>
          </c:extLst>
        </c:ser>
        <c:ser>
          <c:idx val="16"/>
          <c:order val="16"/>
          <c:tx>
            <c:v>BES_TR2_five243_B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-6.4333331994416952E-9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4.0545200000074999E-5</c:v>
                </c:pt>
                <c:pt idx="15">
                  <c:v>-1.37862609</c:v>
                </c:pt>
                <c:pt idx="16">
                  <c:v>-2.1743293982666678</c:v>
                </c:pt>
                <c:pt idx="17">
                  <c:v>-1.6845309336000001</c:v>
                </c:pt>
                <c:pt idx="18">
                  <c:v>-2.4211253626666678</c:v>
                </c:pt>
                <c:pt idx="19">
                  <c:v>-2.8163834061333319</c:v>
                </c:pt>
                <c:pt idx="20">
                  <c:v>-2.9602406097333351</c:v>
                </c:pt>
                <c:pt idx="21">
                  <c:v>-3.1996051211999998</c:v>
                </c:pt>
                <c:pt idx="22">
                  <c:v>-3.0625279246666679</c:v>
                </c:pt>
                <c:pt idx="23">
                  <c:v>-3.3218299421333328</c:v>
                </c:pt>
                <c:pt idx="24">
                  <c:v>-3.3807523290666679</c:v>
                </c:pt>
                <c:pt idx="25">
                  <c:v>-2.0230793720000002</c:v>
                </c:pt>
                <c:pt idx="26">
                  <c:v>-2.2848584820000002</c:v>
                </c:pt>
                <c:pt idx="27">
                  <c:v>-2.4628676608000011</c:v>
                </c:pt>
                <c:pt idx="28">
                  <c:v>-3.0155078932000001</c:v>
                </c:pt>
                <c:pt idx="29">
                  <c:v>-2.8281901730666679</c:v>
                </c:pt>
                <c:pt idx="30">
                  <c:v>-2.6291284948000002</c:v>
                </c:pt>
                <c:pt idx="31">
                  <c:v>-2.3895838538666681</c:v>
                </c:pt>
                <c:pt idx="32">
                  <c:v>-2.119800057333332</c:v>
                </c:pt>
                <c:pt idx="33">
                  <c:v>-1.7940712729333319</c:v>
                </c:pt>
                <c:pt idx="34">
                  <c:v>-1.4892117273333321</c:v>
                </c:pt>
                <c:pt idx="35">
                  <c:v>-1.1759496212</c:v>
                </c:pt>
                <c:pt idx="36">
                  <c:v>-0.87291693466666798</c:v>
                </c:pt>
                <c:pt idx="37">
                  <c:v>-0.57566815933333337</c:v>
                </c:pt>
                <c:pt idx="38">
                  <c:v>-0.30815408106666647</c:v>
                </c:pt>
                <c:pt idx="39">
                  <c:v>-3.2581506666700538E-4</c:v>
                </c:pt>
                <c:pt idx="40">
                  <c:v>2.3622373333332181E-4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68F-45EB-BAD4-FCE58A6548F0}"/>
            </c:ext>
          </c:extLst>
        </c:ser>
        <c:ser>
          <c:idx val="17"/>
          <c:order val="17"/>
          <c:tx>
            <c:v>BES_TR2_five284_C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2.0000000000020002E-6</c:v>
                </c:pt>
                <c:pt idx="2">
                  <c:v>8.6333333332994089E-5</c:v>
                </c:pt>
                <c:pt idx="3">
                  <c:v>6.8999999999999617E-5</c:v>
                </c:pt>
                <c:pt idx="4">
                  <c:v>6.1333333333399298E-5</c:v>
                </c:pt>
                <c:pt idx="5">
                  <c:v>9.6000000000040497E-5</c:v>
                </c:pt>
                <c:pt idx="6">
                  <c:v>0</c:v>
                </c:pt>
                <c:pt idx="7">
                  <c:v>2.299315999996776E-4</c:v>
                </c:pt>
                <c:pt idx="8">
                  <c:v>3.3975373333342001E-4</c:v>
                </c:pt>
                <c:pt idx="9">
                  <c:v>-1.277859999999909E-5</c:v>
                </c:pt>
                <c:pt idx="10">
                  <c:v>2.131891999989782E-4</c:v>
                </c:pt>
                <c:pt idx="11">
                  <c:v>2.5301173333402982E-4</c:v>
                </c:pt>
                <c:pt idx="12">
                  <c:v>-1.3729633333403599E-4</c:v>
                </c:pt>
                <c:pt idx="13">
                  <c:v>1.294161333340593E-4</c:v>
                </c:pt>
                <c:pt idx="14">
                  <c:v>1.7760593333304711E-4</c:v>
                </c:pt>
                <c:pt idx="15">
                  <c:v>-1.6021166666668751E-4</c:v>
                </c:pt>
                <c:pt idx="16">
                  <c:v>1.9363419999895989E-4</c:v>
                </c:pt>
                <c:pt idx="17">
                  <c:v>8.353320000017983E-5</c:v>
                </c:pt>
                <c:pt idx="18">
                  <c:v>1.889853333327807E-4</c:v>
                </c:pt>
                <c:pt idx="19">
                  <c:v>-3.0036973333302802E-4</c:v>
                </c:pt>
                <c:pt idx="20">
                  <c:v>-0.22062880486666669</c:v>
                </c:pt>
                <c:pt idx="21">
                  <c:v>-1.5495988939333329</c:v>
                </c:pt>
                <c:pt idx="22">
                  <c:v>-1.5993969623333339</c:v>
                </c:pt>
                <c:pt idx="23">
                  <c:v>-1.4777793544</c:v>
                </c:pt>
                <c:pt idx="24">
                  <c:v>-1.611125531200001</c:v>
                </c:pt>
                <c:pt idx="25">
                  <c:v>-0.22395350266666991</c:v>
                </c:pt>
                <c:pt idx="26">
                  <c:v>-1.5810577743333329</c:v>
                </c:pt>
                <c:pt idx="27">
                  <c:v>-1.1572886304000001</c:v>
                </c:pt>
                <c:pt idx="28">
                  <c:v>-1.3986466132666671</c:v>
                </c:pt>
                <c:pt idx="29">
                  <c:v>-1.195045086533334</c:v>
                </c:pt>
                <c:pt idx="30">
                  <c:v>-1.223479914066667</c:v>
                </c:pt>
                <c:pt idx="31">
                  <c:v>-1.0295389269333339</c:v>
                </c:pt>
                <c:pt idx="32">
                  <c:v>-0.96308002866666587</c:v>
                </c:pt>
                <c:pt idx="33">
                  <c:v>-0.87203563646666593</c:v>
                </c:pt>
                <c:pt idx="34">
                  <c:v>-0.5994525303333329</c:v>
                </c:pt>
                <c:pt idx="35">
                  <c:v>-0.56297481059999999</c:v>
                </c:pt>
                <c:pt idx="36">
                  <c:v>-0.11332980066666699</c:v>
                </c:pt>
                <c:pt idx="37">
                  <c:v>-0.24803476299999999</c:v>
                </c:pt>
                <c:pt idx="38">
                  <c:v>-7.6092373866666591E-2</c:v>
                </c:pt>
                <c:pt idx="39">
                  <c:v>-3.2330753333298379E-4</c:v>
                </c:pt>
                <c:pt idx="40">
                  <c:v>1.011186666666219E-5</c:v>
                </c:pt>
                <c:pt idx="41">
                  <c:v>4.7166666666598189E-4</c:v>
                </c:pt>
                <c:pt idx="42">
                  <c:v>3.4866666666699691E-4</c:v>
                </c:pt>
                <c:pt idx="43">
                  <c:v>1.0533333333295761E-4</c:v>
                </c:pt>
                <c:pt idx="44">
                  <c:v>2.5933333333300062E-4</c:v>
                </c:pt>
                <c:pt idx="45">
                  <c:v>3.8933333333290848E-4</c:v>
                </c:pt>
                <c:pt idx="46">
                  <c:v>3.3700000000003172E-4</c:v>
                </c:pt>
                <c:pt idx="47">
                  <c:v>1.5733333333300961E-4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68F-45EB-BAD4-FCE58A6548F0}"/>
            </c:ext>
          </c:extLst>
        </c:ser>
        <c:ser>
          <c:idx val="18"/>
          <c:order val="18"/>
          <c:tx>
            <c:v>BES_TR2_five285_B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Net_kW!$U$2:$U$49</c:f>
              <c:numCache>
                <c:formatCode>#,##0.000</c:formatCode>
                <c:ptCount val="48"/>
                <c:pt idx="0">
                  <c:v>-1.586666666669734E-4</c:v>
                </c:pt>
                <c:pt idx="1">
                  <c:v>-6.6666666666992391E-5</c:v>
                </c:pt>
                <c:pt idx="2">
                  <c:v>4.4133333333307162E-4</c:v>
                </c:pt>
                <c:pt idx="3">
                  <c:v>4.6766666666697709E-4</c:v>
                </c:pt>
                <c:pt idx="4">
                  <c:v>-4.1533333333301781E-4</c:v>
                </c:pt>
                <c:pt idx="5">
                  <c:v>0</c:v>
                </c:pt>
                <c:pt idx="6">
                  <c:v>1.2E-2</c:v>
                </c:pt>
                <c:pt idx="7">
                  <c:v>5.2559196533333331E-2</c:v>
                </c:pt>
                <c:pt idx="8">
                  <c:v>6.265507466666799E-3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4.0545200000074999E-5</c:v>
                </c:pt>
                <c:pt idx="15">
                  <c:v>3.7390999999997732E-4</c:v>
                </c:pt>
                <c:pt idx="16">
                  <c:v>-1.3293293982666681</c:v>
                </c:pt>
                <c:pt idx="17">
                  <c:v>-2.4806509336000002</c:v>
                </c:pt>
                <c:pt idx="18">
                  <c:v>-2.712575362666668</c:v>
                </c:pt>
                <c:pt idx="19">
                  <c:v>-2.906288072799998</c:v>
                </c:pt>
                <c:pt idx="20">
                  <c:v>-3.0620937430666682</c:v>
                </c:pt>
                <c:pt idx="21">
                  <c:v>-3.1745479211999998</c:v>
                </c:pt>
                <c:pt idx="22">
                  <c:v>-3.293634158000001</c:v>
                </c:pt>
                <c:pt idx="23">
                  <c:v>-3.2835295754666669</c:v>
                </c:pt>
                <c:pt idx="24">
                  <c:v>-3.222584662400001</c:v>
                </c:pt>
                <c:pt idx="25">
                  <c:v>-3.1638330053333328</c:v>
                </c:pt>
                <c:pt idx="26">
                  <c:v>-3.1322084819999998</c:v>
                </c:pt>
                <c:pt idx="27">
                  <c:v>-2.9838643274666681</c:v>
                </c:pt>
                <c:pt idx="28">
                  <c:v>-3.0095078931999999</c:v>
                </c:pt>
                <c:pt idx="29">
                  <c:v>-2.8221901730666681</c:v>
                </c:pt>
                <c:pt idx="30">
                  <c:v>-2.6231284948</c:v>
                </c:pt>
                <c:pt idx="31">
                  <c:v>-2.3835838538666678</c:v>
                </c:pt>
                <c:pt idx="32">
                  <c:v>-2.1138000573333322</c:v>
                </c:pt>
                <c:pt idx="33">
                  <c:v>-1.7880712729333319</c:v>
                </c:pt>
                <c:pt idx="34">
                  <c:v>-1.363187060666665</c:v>
                </c:pt>
                <c:pt idx="35">
                  <c:v>-0.95979962120000006</c:v>
                </c:pt>
                <c:pt idx="36">
                  <c:v>-0.47933193466666801</c:v>
                </c:pt>
                <c:pt idx="37">
                  <c:v>-0.34111405933333311</c:v>
                </c:pt>
                <c:pt idx="38">
                  <c:v>-0.2179840810666662</c:v>
                </c:pt>
                <c:pt idx="39">
                  <c:v>-5.1159948400000002E-2</c:v>
                </c:pt>
                <c:pt idx="40">
                  <c:v>2.3622373333331839E-4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-3.1133333333305258E-4</c:v>
                </c:pt>
                <c:pt idx="45">
                  <c:v>2.186666666669779E-4</c:v>
                </c:pt>
                <c:pt idx="46">
                  <c:v>-6.6666666669767949E-5</c:v>
                </c:pt>
                <c:pt idx="47">
                  <c:v>-2.2666666667003899E-5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68F-45EB-BAD4-FCE58A6548F0}"/>
            </c:ext>
          </c:extLst>
        </c:ser>
        <c:ser>
          <c:idx val="19"/>
          <c:order val="19"/>
          <c:tx>
            <c:v>BES_TR2_five303_B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Net_kW!$V$2:$V$49</c:f>
              <c:numCache>
                <c:formatCode>#,##0.000</c:formatCode>
                <c:ptCount val="48"/>
                <c:pt idx="0">
                  <c:v>-2.8333333333299682E-4</c:v>
                </c:pt>
                <c:pt idx="1">
                  <c:v>9.9999999999988987E-5</c:v>
                </c:pt>
                <c:pt idx="2">
                  <c:v>0</c:v>
                </c:pt>
                <c:pt idx="3">
                  <c:v>-1.6000000000000741E-4</c:v>
                </c:pt>
                <c:pt idx="4">
                  <c:v>-9.3333333333001089E-5</c:v>
                </c:pt>
                <c:pt idx="5">
                  <c:v>0</c:v>
                </c:pt>
                <c:pt idx="6">
                  <c:v>-2.5333333333299462E-4</c:v>
                </c:pt>
                <c:pt idx="7">
                  <c:v>-4.4080346666666709E-4</c:v>
                </c:pt>
                <c:pt idx="8">
                  <c:v>-4.0782586666621162E-4</c:v>
                </c:pt>
                <c:pt idx="9">
                  <c:v>-1.535571999999874E-4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-1.192600000110566E-5</c:v>
                </c:pt>
                <c:pt idx="13">
                  <c:v>9.8832266667958635E-5</c:v>
                </c:pt>
                <c:pt idx="14">
                  <c:v>1.812118666666418E-4</c:v>
                </c:pt>
                <c:pt idx="15">
                  <c:v>-2.404233333300754E-4</c:v>
                </c:pt>
                <c:pt idx="16">
                  <c:v>-1.538641664933335</c:v>
                </c:pt>
                <c:pt idx="17">
                  <c:v>-2.4870569335999999</c:v>
                </c:pt>
                <c:pt idx="18">
                  <c:v>-2.5090201960000011</c:v>
                </c:pt>
                <c:pt idx="19">
                  <c:v>-2.8168667394666649</c:v>
                </c:pt>
                <c:pt idx="20">
                  <c:v>-2.9199376097333349</c:v>
                </c:pt>
                <c:pt idx="21">
                  <c:v>-2.970818454533334</c:v>
                </c:pt>
                <c:pt idx="22">
                  <c:v>-1.471782591333338</c:v>
                </c:pt>
                <c:pt idx="23">
                  <c:v>-2.3227693754666698</c:v>
                </c:pt>
                <c:pt idx="24">
                  <c:v>-2.0959819957333381</c:v>
                </c:pt>
                <c:pt idx="25">
                  <c:v>-3.2555816719999999</c:v>
                </c:pt>
                <c:pt idx="26">
                  <c:v>-3.007222482</c:v>
                </c:pt>
                <c:pt idx="27">
                  <c:v>-2.8177089941333349</c:v>
                </c:pt>
                <c:pt idx="28">
                  <c:v>-2.6709628932</c:v>
                </c:pt>
                <c:pt idx="29">
                  <c:v>-2.7053721730666682</c:v>
                </c:pt>
                <c:pt idx="30">
                  <c:v>-2.6020326614666671</c:v>
                </c:pt>
                <c:pt idx="31">
                  <c:v>-1.8648755205333349</c:v>
                </c:pt>
                <c:pt idx="32">
                  <c:v>-2.0949820906666652</c:v>
                </c:pt>
                <c:pt idx="33">
                  <c:v>-1.6050812729333319</c:v>
                </c:pt>
                <c:pt idx="34">
                  <c:v>-1.2253483939999981</c:v>
                </c:pt>
                <c:pt idx="35">
                  <c:v>-1.0861042878666669</c:v>
                </c:pt>
                <c:pt idx="36">
                  <c:v>-0.80249383466666802</c:v>
                </c:pt>
                <c:pt idx="37">
                  <c:v>-0.15916469266666711</c:v>
                </c:pt>
                <c:pt idx="38">
                  <c:v>-0.21249341440000019</c:v>
                </c:pt>
                <c:pt idx="39">
                  <c:v>-4.5281733333013552E-5</c:v>
                </c:pt>
                <c:pt idx="40">
                  <c:v>2.3689040000030029E-4</c:v>
                </c:pt>
                <c:pt idx="41">
                  <c:v>3.1666666665985943E-5</c:v>
                </c:pt>
                <c:pt idx="42">
                  <c:v>3.4000000000000702E-4</c:v>
                </c:pt>
                <c:pt idx="43">
                  <c:v>2.0833333333292181E-4</c:v>
                </c:pt>
                <c:pt idx="44">
                  <c:v>4.5333333333008603E-5</c:v>
                </c:pt>
                <c:pt idx="45">
                  <c:v>-1.2966666666991419E-4</c:v>
                </c:pt>
                <c:pt idx="46">
                  <c:v>-6.0000000000004487E-5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68F-45EB-BAD4-FCE58A6548F0}"/>
            </c:ext>
          </c:extLst>
        </c:ser>
        <c:ser>
          <c:idx val="20"/>
          <c:order val="20"/>
          <c:tx>
            <c:v>BES_TR2_five324_B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-3.999999999999837E-5</c:v>
                </c:pt>
                <c:pt idx="2">
                  <c:v>0</c:v>
                </c:pt>
                <c:pt idx="3">
                  <c:v>-3.999999999999837E-5</c:v>
                </c:pt>
                <c:pt idx="4">
                  <c:v>0</c:v>
                </c:pt>
                <c:pt idx="5">
                  <c:v>2.5333333333329988E-4</c:v>
                </c:pt>
                <c:pt idx="6">
                  <c:v>-2.933333333333954E-4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3.8644280000001141E-4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2.6340733333196642E-4</c:v>
                </c:pt>
                <c:pt idx="13">
                  <c:v>2.588322666678966E-4</c:v>
                </c:pt>
                <c:pt idx="14">
                  <c:v>5.4520000003499547E-7</c:v>
                </c:pt>
                <c:pt idx="15">
                  <c:v>-1.0470794233333329</c:v>
                </c:pt>
                <c:pt idx="16">
                  <c:v>-2.1679160649333351</c:v>
                </c:pt>
                <c:pt idx="17">
                  <c:v>-2.4876509335999999</c:v>
                </c:pt>
                <c:pt idx="18">
                  <c:v>-2.6755486960000008</c:v>
                </c:pt>
                <c:pt idx="19">
                  <c:v>-2.9004500727999991</c:v>
                </c:pt>
                <c:pt idx="20">
                  <c:v>-3.0910089430666678</c:v>
                </c:pt>
                <c:pt idx="21">
                  <c:v>-3.2292141212000001</c:v>
                </c:pt>
                <c:pt idx="22">
                  <c:v>-3.3054319246666681</c:v>
                </c:pt>
                <c:pt idx="23">
                  <c:v>-3.0482629087999999</c:v>
                </c:pt>
                <c:pt idx="24">
                  <c:v>-3.3720013290666682</c:v>
                </c:pt>
                <c:pt idx="25">
                  <c:v>-3.3083616720000002</c:v>
                </c:pt>
                <c:pt idx="26">
                  <c:v>-3.288158482</c:v>
                </c:pt>
                <c:pt idx="27">
                  <c:v>-3.1033743274666681</c:v>
                </c:pt>
                <c:pt idx="28">
                  <c:v>-3.0165078932</c:v>
                </c:pt>
                <c:pt idx="29">
                  <c:v>-2.8291901730666682</c:v>
                </c:pt>
                <c:pt idx="30">
                  <c:v>-2.5691684948</c:v>
                </c:pt>
                <c:pt idx="31">
                  <c:v>-2.3905838538666679</c:v>
                </c:pt>
                <c:pt idx="32">
                  <c:v>-2.1190000573333321</c:v>
                </c:pt>
                <c:pt idx="33">
                  <c:v>-1.7305112729333321</c:v>
                </c:pt>
                <c:pt idx="34">
                  <c:v>-1.490211727333332</c:v>
                </c:pt>
                <c:pt idx="35">
                  <c:v>-1.1159896212</c:v>
                </c:pt>
                <c:pt idx="36">
                  <c:v>-0.76886226800000101</c:v>
                </c:pt>
                <c:pt idx="37">
                  <c:v>-0.41087072600000007</c:v>
                </c:pt>
                <c:pt idx="38">
                  <c:v>-0.21475224773333321</c:v>
                </c:pt>
                <c:pt idx="39">
                  <c:v>4.00451600000018E-4</c:v>
                </c:pt>
                <c:pt idx="40">
                  <c:v>-5.109599999664205E-6</c:v>
                </c:pt>
                <c:pt idx="41">
                  <c:v>-3.9999999999995589E-4</c:v>
                </c:pt>
                <c:pt idx="42">
                  <c:v>-1.7333333333002801E-4</c:v>
                </c:pt>
                <c:pt idx="43">
                  <c:v>8.8785999999999976E-2</c:v>
                </c:pt>
                <c:pt idx="44">
                  <c:v>0.25866866666666699</c:v>
                </c:pt>
                <c:pt idx="45">
                  <c:v>0.231713</c:v>
                </c:pt>
                <c:pt idx="46">
                  <c:v>0.52397333333333296</c:v>
                </c:pt>
                <c:pt idx="47">
                  <c:v>0.3624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68F-45EB-BAD4-FCE58A6548F0}"/>
            </c:ext>
          </c:extLst>
        </c:ser>
        <c:ser>
          <c:idx val="21"/>
          <c:order val="21"/>
          <c:tx>
            <c:v>BES_TR2_five355_A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Net_kW!$X$2:$X$49</c:f>
              <c:numCache>
                <c:formatCode>#,##0.000</c:formatCode>
                <c:ptCount val="48"/>
                <c:pt idx="0">
                  <c:v>-9.2000000000008741E-5</c:v>
                </c:pt>
                <c:pt idx="1">
                  <c:v>4.7999999999992493E-5</c:v>
                </c:pt>
                <c:pt idx="2">
                  <c:v>3.2666666666697491E-4</c:v>
                </c:pt>
                <c:pt idx="3">
                  <c:v>-4.7599999999999032E-4</c:v>
                </c:pt>
                <c:pt idx="4">
                  <c:v>-1.033333333330111E-4</c:v>
                </c:pt>
                <c:pt idx="5">
                  <c:v>-4.6000000000004371E-5</c:v>
                </c:pt>
                <c:pt idx="6">
                  <c:v>0</c:v>
                </c:pt>
                <c:pt idx="7">
                  <c:v>-2.706026000000028E-4</c:v>
                </c:pt>
                <c:pt idx="8">
                  <c:v>-2.3620273333291311E-4</c:v>
                </c:pt>
                <c:pt idx="9">
                  <c:v>9.3832100000010299E-5</c:v>
                </c:pt>
                <c:pt idx="10">
                  <c:v>-2.745495333340287E-4</c:v>
                </c:pt>
                <c:pt idx="11">
                  <c:v>-3.9348239999892343E-4</c:v>
                </c:pt>
                <c:pt idx="12">
                  <c:v>3.7105549999882909E-4</c:v>
                </c:pt>
                <c:pt idx="13">
                  <c:v>-3.4720913333197162E-4</c:v>
                </c:pt>
                <c:pt idx="14">
                  <c:v>-2.602577666666051E-4</c:v>
                </c:pt>
                <c:pt idx="15">
                  <c:v>-2.2823416666617469E-4</c:v>
                </c:pt>
                <c:pt idx="16">
                  <c:v>-2.6831536666804817E-4</c:v>
                </c:pt>
                <c:pt idx="17">
                  <c:v>-0.99345240020000003</c:v>
                </c:pt>
                <c:pt idx="18">
                  <c:v>-1.2236835220000011</c:v>
                </c:pt>
                <c:pt idx="19">
                  <c:v>-1.923922221266666</c:v>
                </c:pt>
                <c:pt idx="20">
                  <c:v>-2.2040113739666678</c:v>
                </c:pt>
                <c:pt idx="21">
                  <c:v>-2.210099507566667</c:v>
                </c:pt>
                <c:pt idx="22">
                  <c:v>-2.4848921101666681</c:v>
                </c:pt>
                <c:pt idx="23">
                  <c:v>-2.222641698266667</c:v>
                </c:pt>
                <c:pt idx="24">
                  <c:v>-2.5428609968000009</c:v>
                </c:pt>
                <c:pt idx="25">
                  <c:v>-2.5247412539999998</c:v>
                </c:pt>
                <c:pt idx="26">
                  <c:v>-2.3990208614999999</c:v>
                </c:pt>
                <c:pt idx="27">
                  <c:v>-2.1104740789333341</c:v>
                </c:pt>
                <c:pt idx="28">
                  <c:v>-2.2601309198999999</c:v>
                </c:pt>
                <c:pt idx="29">
                  <c:v>-1.957522629800001</c:v>
                </c:pt>
                <c:pt idx="30">
                  <c:v>-1.9666227710999999</c:v>
                </c:pt>
                <c:pt idx="31">
                  <c:v>-1.6285678904000009</c:v>
                </c:pt>
                <c:pt idx="32">
                  <c:v>-1.432516042999999</c:v>
                </c:pt>
                <c:pt idx="33">
                  <c:v>-1.336632788033332</c:v>
                </c:pt>
                <c:pt idx="34">
                  <c:v>-0.93102679549999912</c:v>
                </c:pt>
                <c:pt idx="35">
                  <c:v>-0.73946954923333308</c:v>
                </c:pt>
                <c:pt idx="36">
                  <c:v>-0.65318770100000101</c:v>
                </c:pt>
                <c:pt idx="37">
                  <c:v>-0.36385037783333302</c:v>
                </c:pt>
                <c:pt idx="38">
                  <c:v>-7.8560799999946584E-5</c:v>
                </c:pt>
                <c:pt idx="39">
                  <c:v>-2.13699613E-2</c:v>
                </c:pt>
                <c:pt idx="40">
                  <c:v>4.265677999999995E-4</c:v>
                </c:pt>
                <c:pt idx="41">
                  <c:v>1.266666666669414E-4</c:v>
                </c:pt>
                <c:pt idx="42">
                  <c:v>3.1433333333302782E-4</c:v>
                </c:pt>
                <c:pt idx="43">
                  <c:v>2.5999999999998252E-4</c:v>
                </c:pt>
                <c:pt idx="44">
                  <c:v>5.866666666598519E-5</c:v>
                </c:pt>
                <c:pt idx="45">
                  <c:v>-1.106666666670086E-4</c:v>
                </c:pt>
                <c:pt idx="46">
                  <c:v>4.840000000000122E-4</c:v>
                </c:pt>
                <c:pt idx="47">
                  <c:v>-3.6399999999989219E-4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68F-45EB-BAD4-FCE58A6548F0}"/>
            </c:ext>
          </c:extLst>
        </c:ser>
        <c:ser>
          <c:idx val="22"/>
          <c:order val="22"/>
          <c:tx>
            <c:v>BES_TR2_five394_C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Net_kW!$Y$2:$Y$49</c:f>
              <c:numCache>
                <c:formatCode>#,##0.000</c:formatCode>
                <c:ptCount val="48"/>
                <c:pt idx="0">
                  <c:v>2.1700000000013381E-4</c:v>
                </c:pt>
                <c:pt idx="1">
                  <c:v>0</c:v>
                </c:pt>
                <c:pt idx="2">
                  <c:v>2.7999999999998859E-4</c:v>
                </c:pt>
                <c:pt idx="3">
                  <c:v>4.1333333333298811E-4</c:v>
                </c:pt>
                <c:pt idx="4">
                  <c:v>0</c:v>
                </c:pt>
                <c:pt idx="5">
                  <c:v>-3.0666666666701042E-4</c:v>
                </c:pt>
                <c:pt idx="6">
                  <c:v>0</c:v>
                </c:pt>
                <c:pt idx="7">
                  <c:v>1.7615963633333651E-2</c:v>
                </c:pt>
                <c:pt idx="8">
                  <c:v>5.0548985700000042E-2</c:v>
                </c:pt>
                <c:pt idx="9">
                  <c:v>4.9813744999999132E-4</c:v>
                </c:pt>
                <c:pt idx="10">
                  <c:v>2.0581099998501221E-5</c:v>
                </c:pt>
                <c:pt idx="11">
                  <c:v>-1.2572946666533641E-4</c:v>
                </c:pt>
                <c:pt idx="12">
                  <c:v>1.2456474999833489E-4</c:v>
                </c:pt>
                <c:pt idx="13">
                  <c:v>-3.8352176666500698E-4</c:v>
                </c:pt>
                <c:pt idx="14">
                  <c:v>2.8547705000003809E-4</c:v>
                </c:pt>
                <c:pt idx="15">
                  <c:v>2.0217125000021599E-4</c:v>
                </c:pt>
                <c:pt idx="16">
                  <c:v>3.3844318333198231E-4</c:v>
                </c:pt>
                <c:pt idx="17">
                  <c:v>-1.7805029002333339</c:v>
                </c:pt>
                <c:pt idx="18">
                  <c:v>-2.2650341090000019</c:v>
                </c:pt>
                <c:pt idx="19">
                  <c:v>-2.4221721470333319</c:v>
                </c:pt>
                <c:pt idx="20">
                  <c:v>-2.689507825183334</c:v>
                </c:pt>
                <c:pt idx="21">
                  <c:v>-2.62171078105</c:v>
                </c:pt>
                <c:pt idx="22">
                  <c:v>-2.8328084840833339</c:v>
                </c:pt>
                <c:pt idx="23">
                  <c:v>-2.7520438702000001</c:v>
                </c:pt>
                <c:pt idx="24">
                  <c:v>-2.9023678296000019</c:v>
                </c:pt>
                <c:pt idx="25">
                  <c:v>-2.7743381296666669</c:v>
                </c:pt>
                <c:pt idx="26">
                  <c:v>-2.8620136717500002</c:v>
                </c:pt>
                <c:pt idx="27">
                  <c:v>-2.724814203200002</c:v>
                </c:pt>
                <c:pt idx="28">
                  <c:v>-2.49447940655</c:v>
                </c:pt>
                <c:pt idx="29">
                  <c:v>-2.460416401433335</c:v>
                </c:pt>
                <c:pt idx="30">
                  <c:v>-2.2862374329500001</c:v>
                </c:pt>
                <c:pt idx="31">
                  <c:v>-1.932369205466667</c:v>
                </c:pt>
                <c:pt idx="32">
                  <c:v>-1.7743450501666651</c:v>
                </c:pt>
                <c:pt idx="33">
                  <c:v>-1.228070363816665</c:v>
                </c:pt>
                <c:pt idx="34">
                  <c:v>-0.70383192808333206</c:v>
                </c:pt>
                <c:pt idx="35">
                  <c:v>-0.7481655852166671</c:v>
                </c:pt>
                <c:pt idx="36">
                  <c:v>-0.56570231783333447</c:v>
                </c:pt>
                <c:pt idx="37">
                  <c:v>-0.29989021858333298</c:v>
                </c:pt>
                <c:pt idx="38">
                  <c:v>-4.1365426666650768E-4</c:v>
                </c:pt>
                <c:pt idx="39">
                  <c:v>-3.1621516667024168E-5</c:v>
                </c:pt>
                <c:pt idx="40">
                  <c:v>3.9029099999643442E-5</c:v>
                </c:pt>
                <c:pt idx="41">
                  <c:v>-2.290000000000347E-4</c:v>
                </c:pt>
                <c:pt idx="42">
                  <c:v>3.4400000000001102E-4</c:v>
                </c:pt>
                <c:pt idx="43">
                  <c:v>1.5799999999999151E-4</c:v>
                </c:pt>
                <c:pt idx="44">
                  <c:v>7.2000000000016495E-5</c:v>
                </c:pt>
                <c:pt idx="45">
                  <c:v>3.9999999999984492E-5</c:v>
                </c:pt>
                <c:pt idx="46">
                  <c:v>-3.0666666666701042E-4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68F-45EB-BAD4-FCE58A6548F0}"/>
            </c:ext>
          </c:extLst>
        </c:ser>
        <c:ser>
          <c:idx val="23"/>
          <c:order val="23"/>
          <c:tx>
            <c:v>BES_TR2_five451_A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Net_kW!$Z$2:$Z$49</c:f>
              <c:numCache>
                <c:formatCode>#,##0.000</c:formatCode>
                <c:ptCount val="48"/>
                <c:pt idx="0">
                  <c:v>-7.499999999999174E-5</c:v>
                </c:pt>
                <c:pt idx="1">
                  <c:v>9.4999999999983986E-5</c:v>
                </c:pt>
                <c:pt idx="2">
                  <c:v>0</c:v>
                </c:pt>
                <c:pt idx="3">
                  <c:v>-3.1933333333300512E-4</c:v>
                </c:pt>
                <c:pt idx="4">
                  <c:v>-1.4933333333300161E-4</c:v>
                </c:pt>
                <c:pt idx="5">
                  <c:v>4.886666666669981E-4</c:v>
                </c:pt>
                <c:pt idx="6">
                  <c:v>1.7766666666699241E-4</c:v>
                </c:pt>
                <c:pt idx="7">
                  <c:v>-4.3483550000006371E-4</c:v>
                </c:pt>
                <c:pt idx="8">
                  <c:v>4.2608833333762641E-5</c:v>
                </c:pt>
                <c:pt idx="9">
                  <c:v>3.2219341666699103E-4</c:v>
                </c:pt>
                <c:pt idx="10">
                  <c:v>-3.3768016666751999E-4</c:v>
                </c:pt>
                <c:pt idx="11">
                  <c:v>1.4098000000489769E-5</c:v>
                </c:pt>
                <c:pt idx="12">
                  <c:v>3.9421291666552621E-4</c:v>
                </c:pt>
                <c:pt idx="13">
                  <c:v>-3.122298333324558E-4</c:v>
                </c:pt>
                <c:pt idx="14">
                  <c:v>-4.2339258333301538E-4</c:v>
                </c:pt>
                <c:pt idx="15">
                  <c:v>-1.4130625000019489E-4</c:v>
                </c:pt>
                <c:pt idx="16">
                  <c:v>3.845941666491548E-5</c:v>
                </c:pt>
                <c:pt idx="17">
                  <c:v>3.6516649999995821E-4</c:v>
                </c:pt>
                <c:pt idx="18">
                  <c:v>-1.4709078016666679</c:v>
                </c:pt>
                <c:pt idx="19">
                  <c:v>-3.9096216666179018E-4</c:v>
                </c:pt>
                <c:pt idx="20">
                  <c:v>-1.22807982275</c:v>
                </c:pt>
                <c:pt idx="21">
                  <c:v>-1.6384033007500001</c:v>
                </c:pt>
                <c:pt idx="22">
                  <c:v>-1.90703513625</c:v>
                </c:pt>
                <c:pt idx="23">
                  <c:v>-1.04427652633333</c:v>
                </c:pt>
                <c:pt idx="24">
                  <c:v>-1.1432908306666669</c:v>
                </c:pt>
                <c:pt idx="25">
                  <c:v>-1.9129827116666669</c:v>
                </c:pt>
                <c:pt idx="26">
                  <c:v>-1.91740305125</c:v>
                </c:pt>
                <c:pt idx="27">
                  <c:v>-1.905780888</c:v>
                </c:pt>
                <c:pt idx="28">
                  <c:v>-1.58234503325</c:v>
                </c:pt>
                <c:pt idx="29">
                  <c:v>-1.6747660581666679</c:v>
                </c:pt>
                <c:pt idx="30">
                  <c:v>-1.4017576425833329</c:v>
                </c:pt>
                <c:pt idx="31">
                  <c:v>-1.0207535753333341</c:v>
                </c:pt>
                <c:pt idx="32">
                  <c:v>-1.142544369166665</c:v>
                </c:pt>
                <c:pt idx="33">
                  <c:v>-1.029044545583333</c:v>
                </c:pt>
                <c:pt idx="34">
                  <c:v>-0.83980332958333248</c:v>
                </c:pt>
                <c:pt idx="35">
                  <c:v>-0.42675691324999998</c:v>
                </c:pt>
                <c:pt idx="36">
                  <c:v>-0.22940695083333451</c:v>
                </c:pt>
                <c:pt idx="37">
                  <c:v>-4.838704166670107E-4</c:v>
                </c:pt>
                <c:pt idx="38">
                  <c:v>-4.6729467333333191E-2</c:v>
                </c:pt>
                <c:pt idx="39">
                  <c:v>-8.3063010833333006E-3</c:v>
                </c:pt>
                <c:pt idx="40">
                  <c:v>-3.0268333326977088E-6</c:v>
                </c:pt>
                <c:pt idx="41">
                  <c:v>0</c:v>
                </c:pt>
                <c:pt idx="42">
                  <c:v>2.6499999999998752E-4</c:v>
                </c:pt>
                <c:pt idx="43">
                  <c:v>-2.4899999999999922E-4</c:v>
                </c:pt>
                <c:pt idx="44">
                  <c:v>2.4433333333299939E-4</c:v>
                </c:pt>
                <c:pt idx="45">
                  <c:v>1.0099999999999E-4</c:v>
                </c:pt>
                <c:pt idx="46">
                  <c:v>2.210000000000267E-4</c:v>
                </c:pt>
                <c:pt idx="47">
                  <c:v>1.116666666669541E-4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68F-45EB-BAD4-FCE58A6548F0}"/>
            </c:ext>
          </c:extLst>
        </c:ser>
        <c:ser>
          <c:idx val="24"/>
          <c:order val="24"/>
          <c:tx>
            <c:v>BES_TR2_five466_A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4.190000000000027E-4</c:v>
                </c:pt>
                <c:pt idx="2">
                  <c:v>3.0566666666669712E-4</c:v>
                </c:pt>
                <c:pt idx="3">
                  <c:v>0</c:v>
                </c:pt>
                <c:pt idx="4">
                  <c:v>4.190000000000027E-4</c:v>
                </c:pt>
                <c:pt idx="5">
                  <c:v>3.0566666666669712E-4</c:v>
                </c:pt>
                <c:pt idx="6">
                  <c:v>-3.8866666666660671E-4</c:v>
                </c:pt>
                <c:pt idx="7">
                  <c:v>-1.7696796666699649E-4</c:v>
                </c:pt>
                <c:pt idx="8">
                  <c:v>3.4956530000005559E-4</c:v>
                </c:pt>
                <c:pt idx="9">
                  <c:v>-1.017506166670068E-4</c:v>
                </c:pt>
                <c:pt idx="10">
                  <c:v>-3.9127476666711569E-4</c:v>
                </c:pt>
                <c:pt idx="11">
                  <c:v>-1.967411999994895E-4</c:v>
                </c:pt>
                <c:pt idx="12">
                  <c:v>-2.4480558333361818E-4</c:v>
                </c:pt>
                <c:pt idx="13">
                  <c:v>-1.5293789999948351E-4</c:v>
                </c:pt>
                <c:pt idx="14">
                  <c:v>2.6520445000000059E-4</c:v>
                </c:pt>
                <c:pt idx="15">
                  <c:v>2.3988291666698911E-4</c:v>
                </c:pt>
                <c:pt idx="16">
                  <c:v>-1.752435000063057E-5</c:v>
                </c:pt>
                <c:pt idx="17">
                  <c:v>6.5899900000054856E-5</c:v>
                </c:pt>
                <c:pt idx="18">
                  <c:v>4.8057233333298482E-4</c:v>
                </c:pt>
                <c:pt idx="19">
                  <c:v>2.555603333398437E-5</c:v>
                </c:pt>
                <c:pt idx="20">
                  <c:v>4.3664634999995838E-4</c:v>
                </c:pt>
                <c:pt idx="21">
                  <c:v>-0.15849342044999989</c:v>
                </c:pt>
                <c:pt idx="22">
                  <c:v>-1.1649213884166669</c:v>
                </c:pt>
                <c:pt idx="23">
                  <c:v>-1.1879478491333331</c:v>
                </c:pt>
                <c:pt idx="24">
                  <c:v>-0.97053549840000097</c:v>
                </c:pt>
                <c:pt idx="25">
                  <c:v>-1.1266039603333331</c:v>
                </c:pt>
                <c:pt idx="26">
                  <c:v>-1.0537038640833329</c:v>
                </c:pt>
                <c:pt idx="27">
                  <c:v>-1.0005681728</c:v>
                </c:pt>
                <c:pt idx="28">
                  <c:v>-0.83973245995000001</c:v>
                </c:pt>
                <c:pt idx="29">
                  <c:v>-0.90551364823333302</c:v>
                </c:pt>
                <c:pt idx="30">
                  <c:v>-0.87861545221666693</c:v>
                </c:pt>
                <c:pt idx="31">
                  <c:v>-0.66422594520000044</c:v>
                </c:pt>
                <c:pt idx="32">
                  <c:v>-0.59781502149999954</c:v>
                </c:pt>
                <c:pt idx="33">
                  <c:v>1.8660598333458681E-4</c:v>
                </c:pt>
                <c:pt idx="34">
                  <c:v>6.6935583330651749E-5</c:v>
                </c:pt>
                <c:pt idx="35">
                  <c:v>2.6889204999991367E-4</c:v>
                </c:pt>
                <c:pt idx="36">
                  <c:v>-4.8251716666708472E-4</c:v>
                </c:pt>
                <c:pt idx="37">
                  <c:v>-4.0418188916667E-2</c:v>
                </c:pt>
                <c:pt idx="38">
                  <c:v>-8.4120280399999914E-2</c:v>
                </c:pt>
                <c:pt idx="39">
                  <c:v>-4.603139833330161E-4</c:v>
                </c:pt>
                <c:pt idx="40">
                  <c:v>-4.1141610000000611E-4</c:v>
                </c:pt>
                <c:pt idx="41">
                  <c:v>0</c:v>
                </c:pt>
                <c:pt idx="42">
                  <c:v>3.6233333333299261E-4</c:v>
                </c:pt>
                <c:pt idx="43">
                  <c:v>3.6233333333299261E-4</c:v>
                </c:pt>
                <c:pt idx="44">
                  <c:v>-2.8300000000000552E-4</c:v>
                </c:pt>
                <c:pt idx="45">
                  <c:v>-3.4266666666604722E-4</c:v>
                </c:pt>
                <c:pt idx="46">
                  <c:v>0</c:v>
                </c:pt>
                <c:pt idx="47">
                  <c:v>-1.923333333329891E-4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68F-45EB-BAD4-FCE58A6548F0}"/>
            </c:ext>
          </c:extLst>
        </c:ser>
        <c:ser>
          <c:idx val="25"/>
          <c:order val="25"/>
          <c:tx>
            <c:v>BES_TR2_five494_B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3.5999999999999921E-4</c:v>
                </c:pt>
                <c:pt idx="2">
                  <c:v>0</c:v>
                </c:pt>
                <c:pt idx="3">
                  <c:v>3.5999999999999921E-4</c:v>
                </c:pt>
                <c:pt idx="4">
                  <c:v>0</c:v>
                </c:pt>
                <c:pt idx="5">
                  <c:v>-2.30000000000008E-4</c:v>
                </c:pt>
                <c:pt idx="6">
                  <c:v>-4.099999999999937E-4</c:v>
                </c:pt>
                <c:pt idx="7">
                  <c:v>4.5369870000000478E-4</c:v>
                </c:pt>
                <c:pt idx="8">
                  <c:v>-3.443469999994675E-5</c:v>
                </c:pt>
                <c:pt idx="9">
                  <c:v>-2.150839499999932E-4</c:v>
                </c:pt>
                <c:pt idx="10">
                  <c:v>-2.6081000005090389E-6</c:v>
                </c:pt>
                <c:pt idx="11">
                  <c:v>-1.967411999994895E-4</c:v>
                </c:pt>
                <c:pt idx="12">
                  <c:v>3.9052774999936979E-4</c:v>
                </c:pt>
                <c:pt idx="13">
                  <c:v>-1.5293789999948351E-4</c:v>
                </c:pt>
                <c:pt idx="14">
                  <c:v>-1.4479554999990979E-4</c:v>
                </c:pt>
                <c:pt idx="15">
                  <c:v>-6.8117083332874806E-5</c:v>
                </c:pt>
                <c:pt idx="16">
                  <c:v>-1.2352435000051451E-4</c:v>
                </c:pt>
                <c:pt idx="17">
                  <c:v>-3.201000999999426E-4</c:v>
                </c:pt>
                <c:pt idx="18">
                  <c:v>2.2023900000001101E-4</c:v>
                </c:pt>
                <c:pt idx="19">
                  <c:v>-1.4077729999895089E-4</c:v>
                </c:pt>
                <c:pt idx="20">
                  <c:v>4.0564635000017718E-4</c:v>
                </c:pt>
                <c:pt idx="21">
                  <c:v>-0.88777275378333287</c:v>
                </c:pt>
                <c:pt idx="22">
                  <c:v>-1.01936072175</c:v>
                </c:pt>
                <c:pt idx="23">
                  <c:v>-0.72029451580000003</c:v>
                </c:pt>
                <c:pt idx="24">
                  <c:v>-1.054846498400001</c:v>
                </c:pt>
                <c:pt idx="25">
                  <c:v>-1.119917293666667</c:v>
                </c:pt>
                <c:pt idx="26">
                  <c:v>-1.19743443075</c:v>
                </c:pt>
                <c:pt idx="27">
                  <c:v>-1.1510003728</c:v>
                </c:pt>
                <c:pt idx="28">
                  <c:v>-0.80529545994999996</c:v>
                </c:pt>
                <c:pt idx="29">
                  <c:v>-0.71188064823333397</c:v>
                </c:pt>
                <c:pt idx="30">
                  <c:v>2.6814778333000833E-4</c:v>
                </c:pt>
                <c:pt idx="31">
                  <c:v>1.5838813333254881E-4</c:v>
                </c:pt>
                <c:pt idx="32">
                  <c:v>-3.076881666695952E-4</c:v>
                </c:pt>
                <c:pt idx="33">
                  <c:v>2.5260598333054501E-4</c:v>
                </c:pt>
                <c:pt idx="34">
                  <c:v>-4.5939774999942401E-4</c:v>
                </c:pt>
                <c:pt idx="35">
                  <c:v>-3.5844128333309411E-4</c:v>
                </c:pt>
                <c:pt idx="36">
                  <c:v>-5.2183833333524499E-5</c:v>
                </c:pt>
                <c:pt idx="37">
                  <c:v>3.2914441666699601E-4</c:v>
                </c:pt>
                <c:pt idx="38">
                  <c:v>1.4638626666679119E-4</c:v>
                </c:pt>
                <c:pt idx="39">
                  <c:v>4.5001934999999721E-4</c:v>
                </c:pt>
                <c:pt idx="40">
                  <c:v>-3.1416099999959091E-5</c:v>
                </c:pt>
                <c:pt idx="41">
                  <c:v>3.2833333333304182E-4</c:v>
                </c:pt>
                <c:pt idx="42">
                  <c:v>-1.050000000000217E-4</c:v>
                </c:pt>
                <c:pt idx="43">
                  <c:v>-4.2400000000009102E-4</c:v>
                </c:pt>
                <c:pt idx="44">
                  <c:v>-1.136666666659014E-4</c:v>
                </c:pt>
                <c:pt idx="45">
                  <c:v>-1.1499999999997621E-4</c:v>
                </c:pt>
                <c:pt idx="46">
                  <c:v>2.2699999999997719E-4</c:v>
                </c:pt>
                <c:pt idx="47">
                  <c:v>-1.01999999999991E-4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68F-45EB-BAD4-FCE58A6548F0}"/>
            </c:ext>
          </c:extLst>
        </c:ser>
        <c:ser>
          <c:idx val="26"/>
          <c:order val="26"/>
          <c:tx>
            <c:v>BES_TR2_five512_A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Net_kW!$AC$2:$AC$49</c:f>
              <c:numCache>
                <c:formatCode>#,##0.000</c:formatCode>
                <c:ptCount val="48"/>
                <c:pt idx="0">
                  <c:v>7.9999999999968985E-5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-4.399999999999959E-4</c:v>
                </c:pt>
                <c:pt idx="5">
                  <c:v>-4.800000000000082E-4</c:v>
                </c:pt>
                <c:pt idx="6">
                  <c:v>0</c:v>
                </c:pt>
                <c:pt idx="7">
                  <c:v>3.5959826666664968E-4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9.8558666659781524E-6</c:v>
                </c:pt>
                <c:pt idx="11">
                  <c:v>4.710117333340258E-4</c:v>
                </c:pt>
                <c:pt idx="12">
                  <c:v>4.0703666665919958E-5</c:v>
                </c:pt>
                <c:pt idx="13">
                  <c:v>-8.6317199999297323E-5</c:v>
                </c:pt>
                <c:pt idx="14">
                  <c:v>-3.1972740000008049E-4</c:v>
                </c:pt>
                <c:pt idx="15">
                  <c:v>-3.1304499999995627E-4</c:v>
                </c:pt>
                <c:pt idx="16">
                  <c:v>3.5530086666601962E-4</c:v>
                </c:pt>
                <c:pt idx="17">
                  <c:v>2.345331999999978E-4</c:v>
                </c:pt>
                <c:pt idx="18">
                  <c:v>-2.768133333397316E-5</c:v>
                </c:pt>
                <c:pt idx="19">
                  <c:v>-1.064371703066666</c:v>
                </c:pt>
                <c:pt idx="20">
                  <c:v>-1.4690283382000009</c:v>
                </c:pt>
                <c:pt idx="21">
                  <c:v>-1.3324254272666669</c:v>
                </c:pt>
                <c:pt idx="22">
                  <c:v>-0.14457362900000389</c:v>
                </c:pt>
                <c:pt idx="23">
                  <c:v>-1.180886021066667</c:v>
                </c:pt>
                <c:pt idx="24">
                  <c:v>-1.292272997866668</c:v>
                </c:pt>
                <c:pt idx="25">
                  <c:v>-1.318393836</c:v>
                </c:pt>
                <c:pt idx="26">
                  <c:v>-1.4716159076666671</c:v>
                </c:pt>
                <c:pt idx="27">
                  <c:v>3.8683626666602411E-4</c:v>
                </c:pt>
                <c:pt idx="28">
                  <c:v>-1.005510613266666</c:v>
                </c:pt>
                <c:pt idx="29">
                  <c:v>-1.383095086533334</c:v>
                </c:pt>
                <c:pt idx="30">
                  <c:v>-1.0402409140666671</c:v>
                </c:pt>
                <c:pt idx="31">
                  <c:v>-1.0370619269333341</c:v>
                </c:pt>
                <c:pt idx="32">
                  <c:v>-0.81995936199999897</c:v>
                </c:pt>
                <c:pt idx="33">
                  <c:v>-0.499041303133333</c:v>
                </c:pt>
                <c:pt idx="34">
                  <c:v>-0.51881819699999898</c:v>
                </c:pt>
                <c:pt idx="35">
                  <c:v>-0.31920381060000003</c:v>
                </c:pt>
                <c:pt idx="36">
                  <c:v>-0.22264966733333399</c:v>
                </c:pt>
                <c:pt idx="37">
                  <c:v>-0.20799456299999999</c:v>
                </c:pt>
                <c:pt idx="38">
                  <c:v>-2.1576573866666591E-2</c:v>
                </c:pt>
                <c:pt idx="39">
                  <c:v>9.6692466666992161E-5</c:v>
                </c:pt>
                <c:pt idx="40">
                  <c:v>-3.5855480000357431E-4</c:v>
                </c:pt>
                <c:pt idx="41">
                  <c:v>-2.4666666669892479E-5</c:v>
                </c:pt>
                <c:pt idx="42">
                  <c:v>-3.4866666666699691E-4</c:v>
                </c:pt>
                <c:pt idx="43">
                  <c:v>3.5666666666600571E-4</c:v>
                </c:pt>
                <c:pt idx="44">
                  <c:v>-1.4666666666701689E-4</c:v>
                </c:pt>
                <c:pt idx="45">
                  <c:v>0</c:v>
                </c:pt>
                <c:pt idx="46">
                  <c:v>0</c:v>
                </c:pt>
                <c:pt idx="47">
                  <c:v>1.20000000000009E-4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68F-45EB-BAD4-FCE58A6548F0}"/>
            </c:ext>
          </c:extLst>
        </c:ser>
        <c:ser>
          <c:idx val="27"/>
          <c:order val="27"/>
          <c:tx>
            <c:v>BES_TR2_five520_C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Net_kW!$AD$2:$AD$49</c:f>
              <c:numCache>
                <c:formatCode>#,##0.000</c:formatCode>
                <c:ptCount val="48"/>
                <c:pt idx="0">
                  <c:v>4.579999999999862E-4</c:v>
                </c:pt>
                <c:pt idx="1">
                  <c:v>-4.453333333329923E-4</c:v>
                </c:pt>
                <c:pt idx="2">
                  <c:v>-6.9388939039072284E-18</c:v>
                </c:pt>
                <c:pt idx="3">
                  <c:v>1.266666666702165E-5</c:v>
                </c:pt>
                <c:pt idx="4">
                  <c:v>-6.9388939039072284E-18</c:v>
                </c:pt>
                <c:pt idx="5">
                  <c:v>-6.9388939039072284E-18</c:v>
                </c:pt>
                <c:pt idx="6">
                  <c:v>1.266666666702165E-5</c:v>
                </c:pt>
                <c:pt idx="7">
                  <c:v>-2.9030129999999682E-4</c:v>
                </c:pt>
                <c:pt idx="8">
                  <c:v>4.4623196666704329E-4</c:v>
                </c:pt>
                <c:pt idx="9">
                  <c:v>-2.9908394999999388E-4</c:v>
                </c:pt>
                <c:pt idx="10">
                  <c:v>-2.6081000005229171E-6</c:v>
                </c:pt>
                <c:pt idx="11">
                  <c:v>-1.8407453333248169E-4</c:v>
                </c:pt>
                <c:pt idx="12">
                  <c:v>3.0527749999342817E-5</c:v>
                </c:pt>
                <c:pt idx="13">
                  <c:v>-3.1627123333277662E-4</c:v>
                </c:pt>
                <c:pt idx="14">
                  <c:v>3.9120445000007109E-4</c:v>
                </c:pt>
                <c:pt idx="15">
                  <c:v>6.9882916666985651E-5</c:v>
                </c:pt>
                <c:pt idx="16">
                  <c:v>4.9808983332844108E-5</c:v>
                </c:pt>
                <c:pt idx="17">
                  <c:v>-1.3543343333288771E-4</c:v>
                </c:pt>
                <c:pt idx="18">
                  <c:v>-1.6176100000003801E-4</c:v>
                </c:pt>
                <c:pt idx="19">
                  <c:v>-4.2044396666907069E-4</c:v>
                </c:pt>
                <c:pt idx="20">
                  <c:v>4.966463499997964E-4</c:v>
                </c:pt>
                <c:pt idx="21">
                  <c:v>-2.394204500000274E-4</c:v>
                </c:pt>
                <c:pt idx="22">
                  <c:v>-3.5405508333297142E-4</c:v>
                </c:pt>
                <c:pt idx="23">
                  <c:v>-1.1180875158000001</c:v>
                </c:pt>
                <c:pt idx="24">
                  <c:v>-1.163014498400001</c:v>
                </c:pt>
                <c:pt idx="25">
                  <c:v>-1.167773960333333</c:v>
                </c:pt>
                <c:pt idx="26">
                  <c:v>-1.1995247640833331</c:v>
                </c:pt>
                <c:pt idx="27">
                  <c:v>-1.0148973727999999</c:v>
                </c:pt>
                <c:pt idx="28">
                  <c:v>-1.1045654599500001</c:v>
                </c:pt>
                <c:pt idx="29">
                  <c:v>-0.8823086482333331</c:v>
                </c:pt>
                <c:pt idx="30">
                  <c:v>-0.95967318554999992</c:v>
                </c:pt>
                <c:pt idx="31">
                  <c:v>-0.827963611866667</c:v>
                </c:pt>
                <c:pt idx="32">
                  <c:v>-0.57953668816666648</c:v>
                </c:pt>
                <c:pt idx="33">
                  <c:v>1.6127265000065449E-4</c:v>
                </c:pt>
                <c:pt idx="34">
                  <c:v>-4.7173108333345431E-4</c:v>
                </c:pt>
                <c:pt idx="35">
                  <c:v>4.6222538333287599E-4</c:v>
                </c:pt>
                <c:pt idx="36">
                  <c:v>-4.8818383333387732E-4</c:v>
                </c:pt>
                <c:pt idx="37">
                  <c:v>3.3487775000000213E-4</c:v>
                </c:pt>
                <c:pt idx="38">
                  <c:v>-3.6488039999990618E-4</c:v>
                </c:pt>
                <c:pt idx="39">
                  <c:v>-1.333139833329389E-4</c:v>
                </c:pt>
                <c:pt idx="40">
                  <c:v>6.4917233333017244E-5</c:v>
                </c:pt>
                <c:pt idx="41">
                  <c:v>3.0333333333298912E-4</c:v>
                </c:pt>
                <c:pt idx="42">
                  <c:v>1.3333333333975791E-5</c:v>
                </c:pt>
                <c:pt idx="43">
                  <c:v>-4.2433333333302681E-4</c:v>
                </c:pt>
                <c:pt idx="44">
                  <c:v>1.593333333340663E-4</c:v>
                </c:pt>
                <c:pt idx="45">
                  <c:v>7.2333333333007843E-5</c:v>
                </c:pt>
                <c:pt idx="46">
                  <c:v>-7.4000000000018495E-5</c:v>
                </c:pt>
                <c:pt idx="47">
                  <c:v>-5.9999999999948983E-5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68F-45EB-BAD4-FCE58A6548F0}"/>
            </c:ext>
          </c:extLst>
        </c:ser>
        <c:ser>
          <c:idx val="28"/>
          <c:order val="28"/>
          <c:tx>
            <c:v>BES_TR2_five540_A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Net_kW!$AE$2:$AE$49</c:f>
              <c:numCache>
                <c:formatCode>#,##0.000</c:formatCode>
                <c:ptCount val="48"/>
                <c:pt idx="0">
                  <c:v>3.5366666666700192E-4</c:v>
                </c:pt>
                <c:pt idx="1">
                  <c:v>9.1000000000007741E-5</c:v>
                </c:pt>
                <c:pt idx="2">
                  <c:v>0</c:v>
                </c:pt>
                <c:pt idx="3">
                  <c:v>-4.0333333333295029E-5</c:v>
                </c:pt>
                <c:pt idx="4">
                  <c:v>4.8499999999998539E-4</c:v>
                </c:pt>
                <c:pt idx="5">
                  <c:v>0</c:v>
                </c:pt>
                <c:pt idx="6">
                  <c:v>0</c:v>
                </c:pt>
                <c:pt idx="7">
                  <c:v>3.4719653333332989E-4</c:v>
                </c:pt>
                <c:pt idx="8">
                  <c:v>-7.7825866666207666E-5</c:v>
                </c:pt>
                <c:pt idx="9">
                  <c:v>-1.7955720000001341E-4</c:v>
                </c:pt>
                <c:pt idx="10">
                  <c:v>-2.89621600001011E-4</c:v>
                </c:pt>
                <c:pt idx="11">
                  <c:v>1.420234666680287E-4</c:v>
                </c:pt>
                <c:pt idx="12">
                  <c:v>1.3274066666491E-4</c:v>
                </c:pt>
                <c:pt idx="13">
                  <c:v>2.5883226666811859E-4</c:v>
                </c:pt>
                <c:pt idx="14">
                  <c:v>-3.0278813333328708E-4</c:v>
                </c:pt>
                <c:pt idx="15">
                  <c:v>-0.52537049000000002</c:v>
                </c:pt>
                <c:pt idx="16">
                  <c:v>-2.2106672649333352</c:v>
                </c:pt>
                <c:pt idx="17">
                  <c:v>-2.3231239335999998</c:v>
                </c:pt>
                <c:pt idx="18">
                  <c:v>-2.6849650293333349</c:v>
                </c:pt>
                <c:pt idx="19">
                  <c:v>-2.6633867394666648</c:v>
                </c:pt>
                <c:pt idx="20">
                  <c:v>-3.0138209430666678</c:v>
                </c:pt>
                <c:pt idx="21">
                  <c:v>-3.221323787866667</c:v>
                </c:pt>
                <c:pt idx="22">
                  <c:v>-3.2036301246666681</c:v>
                </c:pt>
                <c:pt idx="23">
                  <c:v>-3.2925846421333329</c:v>
                </c:pt>
                <c:pt idx="24">
                  <c:v>-3.2095213290666682</c:v>
                </c:pt>
                <c:pt idx="25">
                  <c:v>-3.1193616720000001</c:v>
                </c:pt>
                <c:pt idx="26">
                  <c:v>-2.991753815333333</c:v>
                </c:pt>
                <c:pt idx="27">
                  <c:v>-2.8390303274666682</c:v>
                </c:pt>
                <c:pt idx="28">
                  <c:v>-2.7797658932</c:v>
                </c:pt>
                <c:pt idx="29">
                  <c:v>-2.6744008397333352</c:v>
                </c:pt>
                <c:pt idx="30">
                  <c:v>-2.4612088281333331</c:v>
                </c:pt>
                <c:pt idx="31">
                  <c:v>-1.926515853866668</c:v>
                </c:pt>
                <c:pt idx="32">
                  <c:v>-1.9355640573333319</c:v>
                </c:pt>
                <c:pt idx="33">
                  <c:v>-1.4970226062666649</c:v>
                </c:pt>
                <c:pt idx="34">
                  <c:v>-3.3039400000195451E-4</c:v>
                </c:pt>
                <c:pt idx="35">
                  <c:v>2.0037879999990069E-4</c:v>
                </c:pt>
                <c:pt idx="36">
                  <c:v>1.777319999990423E-4</c:v>
                </c:pt>
                <c:pt idx="37">
                  <c:v>3.592739999999095E-4</c:v>
                </c:pt>
                <c:pt idx="38">
                  <c:v>2.3335226666681969E-4</c:v>
                </c:pt>
                <c:pt idx="39">
                  <c:v>-1.5994839999999841E-4</c:v>
                </c:pt>
                <c:pt idx="40">
                  <c:v>-1.610959999964745E-5</c:v>
                </c:pt>
                <c:pt idx="41">
                  <c:v>-3.0299999999999772E-4</c:v>
                </c:pt>
                <c:pt idx="42">
                  <c:v>0</c:v>
                </c:pt>
                <c:pt idx="43">
                  <c:v>-3.5920000000000401E-4</c:v>
                </c:pt>
                <c:pt idx="44">
                  <c:v>-4.6000000000001601E-4</c:v>
                </c:pt>
                <c:pt idx="45">
                  <c:v>-1.4199999999997551E-4</c:v>
                </c:pt>
                <c:pt idx="46">
                  <c:v>3.5600000000002302E-4</c:v>
                </c:pt>
                <c:pt idx="47">
                  <c:v>2.5666666666596122E-4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68F-45EB-BAD4-FCE58A6548F0}"/>
            </c:ext>
          </c:extLst>
        </c:ser>
        <c:ser>
          <c:idx val="29"/>
          <c:order val="29"/>
          <c:tx>
            <c:v>BES_TR2_five588_A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Net_kW!$AF$2:$AF$49</c:f>
              <c:numCache>
                <c:formatCode>#,##0.000</c:formatCode>
                <c:ptCount val="48"/>
                <c:pt idx="0">
                  <c:v>-3.8300000000002221E-4</c:v>
                </c:pt>
                <c:pt idx="1">
                  <c:v>3.1999999999998702E-4</c:v>
                </c:pt>
                <c:pt idx="2">
                  <c:v>1.496666666669921E-4</c:v>
                </c:pt>
                <c:pt idx="3">
                  <c:v>2.6900000000000529E-4</c:v>
                </c:pt>
                <c:pt idx="4">
                  <c:v>-2.1533333333301211E-4</c:v>
                </c:pt>
                <c:pt idx="5">
                  <c:v>-4.6000000000018249E-5</c:v>
                </c:pt>
                <c:pt idx="6">
                  <c:v>3.9799999999999558E-4</c:v>
                </c:pt>
                <c:pt idx="7">
                  <c:v>2.414978333333262E-4</c:v>
                </c:pt>
                <c:pt idx="8">
                  <c:v>-1.3539116666655421E-4</c:v>
                </c:pt>
                <c:pt idx="9">
                  <c:v>-1.064732500000026E-4</c:v>
                </c:pt>
                <c:pt idx="10">
                  <c:v>1.4898649999950389E-4</c:v>
                </c:pt>
                <c:pt idx="11">
                  <c:v>-2.6323533333255661E-4</c:v>
                </c:pt>
                <c:pt idx="12">
                  <c:v>1.9879583332493841E-5</c:v>
                </c:pt>
                <c:pt idx="13">
                  <c:v>-2.1656316666573969E-4</c:v>
                </c:pt>
                <c:pt idx="14">
                  <c:v>-2.2465925000003659E-4</c:v>
                </c:pt>
                <c:pt idx="15">
                  <c:v>-6.2639583332857462E-5</c:v>
                </c:pt>
                <c:pt idx="16">
                  <c:v>4.5412608333195159E-4</c:v>
                </c:pt>
                <c:pt idx="17">
                  <c:v>4.5716649999993919E-4</c:v>
                </c:pt>
                <c:pt idx="18">
                  <c:v>-0.57871260166666805</c:v>
                </c:pt>
                <c:pt idx="19">
                  <c:v>-1.5764216288333319</c:v>
                </c:pt>
                <c:pt idx="20">
                  <c:v>-1.6232695894166671</c:v>
                </c:pt>
                <c:pt idx="21">
                  <c:v>-1.884663034083333</c:v>
                </c:pt>
                <c:pt idx="22">
                  <c:v>-1.9630732029166671</c:v>
                </c:pt>
                <c:pt idx="23">
                  <c:v>-2.078530526333334</c:v>
                </c:pt>
                <c:pt idx="24">
                  <c:v>-1.933298830666667</c:v>
                </c:pt>
                <c:pt idx="25">
                  <c:v>-1.972964378333333</c:v>
                </c:pt>
                <c:pt idx="26">
                  <c:v>-2.0317240512499999</c:v>
                </c:pt>
                <c:pt idx="27">
                  <c:v>-1.8353786213333341</c:v>
                </c:pt>
                <c:pt idx="28">
                  <c:v>-1.7071590999166659</c:v>
                </c:pt>
                <c:pt idx="29">
                  <c:v>-1.744868858166668</c:v>
                </c:pt>
                <c:pt idx="30">
                  <c:v>-1.4885706425833329</c:v>
                </c:pt>
                <c:pt idx="31">
                  <c:v>-1.300885908666668</c:v>
                </c:pt>
                <c:pt idx="32">
                  <c:v>-1.175652702499999</c:v>
                </c:pt>
                <c:pt idx="33">
                  <c:v>-0.77310521224999895</c:v>
                </c:pt>
                <c:pt idx="34">
                  <c:v>-0.36646062958333248</c:v>
                </c:pt>
                <c:pt idx="35">
                  <c:v>-3.8017991666994272E-4</c:v>
                </c:pt>
                <c:pt idx="36">
                  <c:v>1.0091583333249329E-4</c:v>
                </c:pt>
                <c:pt idx="37">
                  <c:v>-1.858704166670111E-4</c:v>
                </c:pt>
                <c:pt idx="38">
                  <c:v>-2.6846733333318879E-4</c:v>
                </c:pt>
                <c:pt idx="39">
                  <c:v>-1.6830108333301669E-4</c:v>
                </c:pt>
                <c:pt idx="40">
                  <c:v>-3.5236016666666259E-4</c:v>
                </c:pt>
                <c:pt idx="41">
                  <c:v>0</c:v>
                </c:pt>
                <c:pt idx="42">
                  <c:v>2.5199999999997452E-4</c:v>
                </c:pt>
                <c:pt idx="43">
                  <c:v>4.866666666669961E-4</c:v>
                </c:pt>
                <c:pt idx="44">
                  <c:v>-6.7999999999998617E-5</c:v>
                </c:pt>
                <c:pt idx="45">
                  <c:v>-1.933333333329901E-4</c:v>
                </c:pt>
                <c:pt idx="46">
                  <c:v>0</c:v>
                </c:pt>
                <c:pt idx="47">
                  <c:v>2.7266666666697642E-4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68F-45EB-BAD4-FCE58A6548F0}"/>
            </c:ext>
          </c:extLst>
        </c:ser>
        <c:ser>
          <c:idx val="30"/>
          <c:order val="30"/>
          <c:tx>
            <c:v>BES_TR2_five649_A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Net_kW!$AG$2:$AG$49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-3.1333333333299912E-4</c:v>
                </c:pt>
                <c:pt idx="2">
                  <c:v>-6.9388939039072284E-18</c:v>
                </c:pt>
                <c:pt idx="3">
                  <c:v>-6.9388939039072284E-18</c:v>
                </c:pt>
                <c:pt idx="4">
                  <c:v>-1.5366666666699611E-4</c:v>
                </c:pt>
                <c:pt idx="5">
                  <c:v>-1.596666666665997E-4</c:v>
                </c:pt>
                <c:pt idx="6">
                  <c:v>-3.3133333333330161E-4</c:v>
                </c:pt>
                <c:pt idx="7">
                  <c:v>-4.2280346666664909E-4</c:v>
                </c:pt>
                <c:pt idx="8">
                  <c:v>2.6550746666679538E-4</c:v>
                </c:pt>
                <c:pt idx="9">
                  <c:v>1.131094666669968E-4</c:v>
                </c:pt>
                <c:pt idx="10">
                  <c:v>-3.402882666680429E-4</c:v>
                </c:pt>
                <c:pt idx="11">
                  <c:v>1.540234666680407E-4</c:v>
                </c:pt>
                <c:pt idx="12">
                  <c:v>-2.4392600000133771E-4</c:v>
                </c:pt>
                <c:pt idx="13">
                  <c:v>9.9165600001338561E-5</c:v>
                </c:pt>
                <c:pt idx="14">
                  <c:v>-1.131214666669766E-4</c:v>
                </c:pt>
                <c:pt idx="15">
                  <c:v>-0.71599142333333288</c:v>
                </c:pt>
                <c:pt idx="16">
                  <c:v>-2.017003398266668</c:v>
                </c:pt>
                <c:pt idx="17">
                  <c:v>-2.2351502669333332</c:v>
                </c:pt>
                <c:pt idx="18">
                  <c:v>-2.6738020293333351</c:v>
                </c:pt>
                <c:pt idx="19">
                  <c:v>-2.813696739466665</c:v>
                </c:pt>
                <c:pt idx="20">
                  <c:v>-3.1040089430666682</c:v>
                </c:pt>
                <c:pt idx="21">
                  <c:v>-1.53488145453333</c:v>
                </c:pt>
                <c:pt idx="22">
                  <c:v>-3.1693769246666679</c:v>
                </c:pt>
                <c:pt idx="23">
                  <c:v>-3.1472347088000001</c:v>
                </c:pt>
                <c:pt idx="24">
                  <c:v>-3.1834866624000009</c:v>
                </c:pt>
                <c:pt idx="25">
                  <c:v>-3.1600676719999998</c:v>
                </c:pt>
                <c:pt idx="26">
                  <c:v>-2.978622815333333</c:v>
                </c:pt>
                <c:pt idx="27">
                  <c:v>-3.0359479941333349</c:v>
                </c:pt>
                <c:pt idx="28">
                  <c:v>-2.7818182265333329</c:v>
                </c:pt>
                <c:pt idx="29">
                  <c:v>-2.8421901730666681</c:v>
                </c:pt>
                <c:pt idx="30">
                  <c:v>-2.6431284948</c:v>
                </c:pt>
                <c:pt idx="31">
                  <c:v>-2.4035838538666678</c:v>
                </c:pt>
                <c:pt idx="32">
                  <c:v>-2.017113390666665</c:v>
                </c:pt>
                <c:pt idx="33">
                  <c:v>-1.8080712729333319</c:v>
                </c:pt>
                <c:pt idx="34">
                  <c:v>-1.351678060666665</c:v>
                </c:pt>
                <c:pt idx="35">
                  <c:v>-1.157716954533333</c:v>
                </c:pt>
                <c:pt idx="36">
                  <c:v>-0.71659260133333502</c:v>
                </c:pt>
                <c:pt idx="37">
                  <c:v>-0.27301072599999998</c:v>
                </c:pt>
                <c:pt idx="38">
                  <c:v>-0.10681708106666619</c:v>
                </c:pt>
                <c:pt idx="39">
                  <c:v>-1.052817333329903E-4</c:v>
                </c:pt>
                <c:pt idx="40">
                  <c:v>-2.28442933333739E-4</c:v>
                </c:pt>
                <c:pt idx="41">
                  <c:v>-1.2533333333297761E-4</c:v>
                </c:pt>
                <c:pt idx="42">
                  <c:v>-2.5200000000002998E-4</c:v>
                </c:pt>
                <c:pt idx="43">
                  <c:v>4.376666666670026E-4</c:v>
                </c:pt>
                <c:pt idx="44">
                  <c:v>2.9666666666600122E-4</c:v>
                </c:pt>
                <c:pt idx="45">
                  <c:v>-3.1333333333299912E-4</c:v>
                </c:pt>
                <c:pt idx="46">
                  <c:v>-6.9388939039072284E-18</c:v>
                </c:pt>
                <c:pt idx="47">
                  <c:v>-3.3133333333330161E-4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68F-45EB-BAD4-FCE58A6548F0}"/>
            </c:ext>
          </c:extLst>
        </c:ser>
        <c:ser>
          <c:idx val="31"/>
          <c:order val="31"/>
          <c:tx>
            <c:v>BES_TR2_five663_C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Net_kW!$AH$2:$AH$49</c:f>
              <c:numCache>
                <c:formatCode>#,##0.000</c:formatCode>
                <c:ptCount val="48"/>
                <c:pt idx="0">
                  <c:v>1.833333333329801E-4</c:v>
                </c:pt>
                <c:pt idx="1">
                  <c:v>4.3266666666701148E-4</c:v>
                </c:pt>
                <c:pt idx="2">
                  <c:v>3.3633333333299431E-4</c:v>
                </c:pt>
                <c:pt idx="3">
                  <c:v>1.2700000000000211E-4</c:v>
                </c:pt>
                <c:pt idx="4">
                  <c:v>-1.3466666666700491E-4</c:v>
                </c:pt>
                <c:pt idx="5">
                  <c:v>4.609999999999892E-4</c:v>
                </c:pt>
                <c:pt idx="6">
                  <c:v>3.8833333333330999E-4</c:v>
                </c:pt>
                <c:pt idx="7">
                  <c:v>3.9369870000000029E-4</c:v>
                </c:pt>
                <c:pt idx="8">
                  <c:v>3.4956530000004871E-4</c:v>
                </c:pt>
                <c:pt idx="9">
                  <c:v>2.8758271666701202E-4</c:v>
                </c:pt>
                <c:pt idx="10">
                  <c:v>3.907252333324937E-4</c:v>
                </c:pt>
                <c:pt idx="11">
                  <c:v>5.4592133333503101E-5</c:v>
                </c:pt>
                <c:pt idx="12">
                  <c:v>-3.2480558333361498E-4</c:v>
                </c:pt>
                <c:pt idx="13">
                  <c:v>-1.5293789999948351E-4</c:v>
                </c:pt>
                <c:pt idx="14">
                  <c:v>3.1687111666695023E-4</c:v>
                </c:pt>
                <c:pt idx="15">
                  <c:v>3.5954958333317411E-4</c:v>
                </c:pt>
                <c:pt idx="16">
                  <c:v>-1.2352435000051451E-4</c:v>
                </c:pt>
                <c:pt idx="17">
                  <c:v>3.3589990000004732E-4</c:v>
                </c:pt>
                <c:pt idx="18">
                  <c:v>1.7757233333293149E-4</c:v>
                </c:pt>
                <c:pt idx="19">
                  <c:v>-3.4711063333203729E-4</c:v>
                </c:pt>
                <c:pt idx="20">
                  <c:v>3.4597968333305312E-4</c:v>
                </c:pt>
                <c:pt idx="21">
                  <c:v>-0.1062394204499999</c:v>
                </c:pt>
                <c:pt idx="22">
                  <c:v>-1.143961055083333</c:v>
                </c:pt>
                <c:pt idx="23">
                  <c:v>-1.035597182466667</c:v>
                </c:pt>
                <c:pt idx="24">
                  <c:v>-1.2323608317333341</c:v>
                </c:pt>
                <c:pt idx="25">
                  <c:v>-1.1230469603333331</c:v>
                </c:pt>
                <c:pt idx="26">
                  <c:v>-1.13359243075</c:v>
                </c:pt>
                <c:pt idx="27">
                  <c:v>-1.0583397061333331</c:v>
                </c:pt>
                <c:pt idx="28">
                  <c:v>-1.0965654599500001</c:v>
                </c:pt>
                <c:pt idx="29">
                  <c:v>-0.78427364823333301</c:v>
                </c:pt>
                <c:pt idx="30">
                  <c:v>-0.92382485221666666</c:v>
                </c:pt>
                <c:pt idx="31">
                  <c:v>-0.86184394520000041</c:v>
                </c:pt>
                <c:pt idx="32">
                  <c:v>-0.68786935483333245</c:v>
                </c:pt>
                <c:pt idx="33">
                  <c:v>-0.59953906068333285</c:v>
                </c:pt>
                <c:pt idx="34">
                  <c:v>-0.31884473108333239</c:v>
                </c:pt>
                <c:pt idx="35">
                  <c:v>-0.34219477461666709</c:v>
                </c:pt>
                <c:pt idx="36">
                  <c:v>-0.19580418383333351</c:v>
                </c:pt>
                <c:pt idx="37">
                  <c:v>-1.0925188916666989E-2</c:v>
                </c:pt>
                <c:pt idx="38">
                  <c:v>-2.0453280399999909E-2</c:v>
                </c:pt>
                <c:pt idx="39">
                  <c:v>1.130193499999932E-4</c:v>
                </c:pt>
                <c:pt idx="40">
                  <c:v>1.865838999999814E-4</c:v>
                </c:pt>
                <c:pt idx="41">
                  <c:v>2.279999999999921E-4</c:v>
                </c:pt>
                <c:pt idx="42">
                  <c:v>2.7466666666700612E-4</c:v>
                </c:pt>
                <c:pt idx="43">
                  <c:v>0</c:v>
                </c:pt>
                <c:pt idx="44">
                  <c:v>-2.186666666669779E-4</c:v>
                </c:pt>
                <c:pt idx="45">
                  <c:v>1.146666666669849E-4</c:v>
                </c:pt>
                <c:pt idx="46">
                  <c:v>9.3333333333028845E-5</c:v>
                </c:pt>
                <c:pt idx="47">
                  <c:v>-1.973333333329941E-4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68F-45EB-BAD4-FCE58A6548F0}"/>
            </c:ext>
          </c:extLst>
        </c:ser>
        <c:ser>
          <c:idx val="32"/>
          <c:order val="32"/>
          <c:tx>
            <c:v>BES_TR2_five685_B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Net_kW!$AI$2:$AI$49</c:f>
              <c:numCache>
                <c:formatCode>#,##0.000</c:formatCode>
                <c:ptCount val="48"/>
                <c:pt idx="0">
                  <c:v>-1.070000000000237E-4</c:v>
                </c:pt>
                <c:pt idx="1">
                  <c:v>0</c:v>
                </c:pt>
                <c:pt idx="2">
                  <c:v>2.4200000000002E-4</c:v>
                </c:pt>
                <c:pt idx="3">
                  <c:v>-1.5066666666700701E-4</c:v>
                </c:pt>
                <c:pt idx="4">
                  <c:v>4.6666666666699003E-4</c:v>
                </c:pt>
                <c:pt idx="5">
                  <c:v>-4.8199999999998239E-4</c:v>
                </c:pt>
                <c:pt idx="6">
                  <c:v>-4.800000000000082E-4</c:v>
                </c:pt>
                <c:pt idx="7">
                  <c:v>1.4819653333332519E-4</c:v>
                </c:pt>
                <c:pt idx="8">
                  <c:v>-2.8549253333323699E-4</c:v>
                </c:pt>
                <c:pt idx="9">
                  <c:v>4.2644280000000978E-4</c:v>
                </c:pt>
                <c:pt idx="10">
                  <c:v>-1.5162160000098399E-4</c:v>
                </c:pt>
                <c:pt idx="11">
                  <c:v>-4.8864319999886163E-4</c:v>
                </c:pt>
                <c:pt idx="12">
                  <c:v>-2.2859266666808151E-4</c:v>
                </c:pt>
                <c:pt idx="13">
                  <c:v>8.6832266668057656E-5</c:v>
                </c:pt>
                <c:pt idx="14">
                  <c:v>4.0545199999852948E-5</c:v>
                </c:pt>
                <c:pt idx="15">
                  <c:v>-3.5008999999974749E-4</c:v>
                </c:pt>
                <c:pt idx="16">
                  <c:v>-2.0410873982666682</c:v>
                </c:pt>
                <c:pt idx="17">
                  <c:v>-2.4846509336000002</c:v>
                </c:pt>
                <c:pt idx="18">
                  <c:v>-2.716575362666668</c:v>
                </c:pt>
                <c:pt idx="19">
                  <c:v>-2.825343406133332</c:v>
                </c:pt>
                <c:pt idx="20">
                  <c:v>-2.8079406097333348</c:v>
                </c:pt>
                <c:pt idx="21">
                  <c:v>-1.9171511212000001</c:v>
                </c:pt>
                <c:pt idx="22">
                  <c:v>-3.0510769246666678</c:v>
                </c:pt>
                <c:pt idx="23">
                  <c:v>-3.3247507754666672</c:v>
                </c:pt>
                <c:pt idx="24">
                  <c:v>-2.7688567290666679</c:v>
                </c:pt>
                <c:pt idx="25">
                  <c:v>-2.1889916720000002</c:v>
                </c:pt>
                <c:pt idx="26">
                  <c:v>-3.0007391486666668</c:v>
                </c:pt>
                <c:pt idx="27">
                  <c:v>-2.8282076608000009</c:v>
                </c:pt>
                <c:pt idx="28">
                  <c:v>-2.8385578932</c:v>
                </c:pt>
                <c:pt idx="29">
                  <c:v>-2.4578135064000008</c:v>
                </c:pt>
                <c:pt idx="30">
                  <c:v>-0.15328682813332989</c:v>
                </c:pt>
                <c:pt idx="31">
                  <c:v>-1.049711187199998</c:v>
                </c:pt>
                <c:pt idx="32">
                  <c:v>-9.2381057333331906E-2</c:v>
                </c:pt>
                <c:pt idx="33">
                  <c:v>-0.83932827293333201</c:v>
                </c:pt>
                <c:pt idx="34">
                  <c:v>-0.74584506066666589</c:v>
                </c:pt>
                <c:pt idx="35">
                  <c:v>-1.0184316212</c:v>
                </c:pt>
                <c:pt idx="36">
                  <c:v>-0.87091693466666797</c:v>
                </c:pt>
                <c:pt idx="37">
                  <c:v>-0.48971072599999999</c:v>
                </c:pt>
                <c:pt idx="38">
                  <c:v>-0.21735474773333319</c:v>
                </c:pt>
                <c:pt idx="39">
                  <c:v>2.8538493333300432E-4</c:v>
                </c:pt>
                <c:pt idx="40">
                  <c:v>3.8289040000032137E-4</c:v>
                </c:pt>
                <c:pt idx="41">
                  <c:v>2.4200000000002E-4</c:v>
                </c:pt>
                <c:pt idx="42">
                  <c:v>2.7599999999999852E-4</c:v>
                </c:pt>
                <c:pt idx="43">
                  <c:v>4.3666666666697379E-4</c:v>
                </c:pt>
                <c:pt idx="44">
                  <c:v>-4.41999999999998E-4</c:v>
                </c:pt>
                <c:pt idx="45">
                  <c:v>-5.3333333333301092E-5</c:v>
                </c:pt>
                <c:pt idx="46">
                  <c:v>-3.5466666666700292E-4</c:v>
                </c:pt>
                <c:pt idx="47">
                  <c:v>-3.4000000000034003E-5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68F-45EB-BAD4-FCE58A6548F0}"/>
            </c:ext>
          </c:extLst>
        </c:ser>
        <c:ser>
          <c:idx val="33"/>
          <c:order val="33"/>
          <c:tx>
            <c:v>BES_TR2_five695_A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Net_kW!$AJ$2:$AJ$49</c:f>
              <c:numCache>
                <c:formatCode>#,##0.000</c:formatCode>
                <c:ptCount val="48"/>
                <c:pt idx="0">
                  <c:v>-4.8333333333300249E-4</c:v>
                </c:pt>
                <c:pt idx="1">
                  <c:v>0</c:v>
                </c:pt>
                <c:pt idx="2">
                  <c:v>-2.336666666669929E-4</c:v>
                </c:pt>
                <c:pt idx="3">
                  <c:v>-8.3333333333407422E-5</c:v>
                </c:pt>
                <c:pt idx="4">
                  <c:v>-3.0199999999999672E-4</c:v>
                </c:pt>
                <c:pt idx="5">
                  <c:v>-1.6666666666997901E-5</c:v>
                </c:pt>
                <c:pt idx="6">
                  <c:v>2.4799999999999822E-4</c:v>
                </c:pt>
                <c:pt idx="7">
                  <c:v>-7.4701333336590903E-6</c:v>
                </c:pt>
                <c:pt idx="8">
                  <c:v>2.6550746666679972E-4</c:v>
                </c:pt>
                <c:pt idx="9">
                  <c:v>4.2644279999998203E-4</c:v>
                </c:pt>
                <c:pt idx="10">
                  <c:v>3.4704506666496942E-4</c:v>
                </c:pt>
                <c:pt idx="11">
                  <c:v>1.420234666681397E-4</c:v>
                </c:pt>
                <c:pt idx="12">
                  <c:v>-4.0192600000121809E-4</c:v>
                </c:pt>
                <c:pt idx="13">
                  <c:v>1.3549893333508761E-4</c:v>
                </c:pt>
                <c:pt idx="14">
                  <c:v>1.4211866666835601E-5</c:v>
                </c:pt>
                <c:pt idx="15">
                  <c:v>-3.2935666666689117E-4</c:v>
                </c:pt>
                <c:pt idx="16">
                  <c:v>-1.957187998266668</c:v>
                </c:pt>
                <c:pt idx="17">
                  <c:v>-2.3126269335999998</c:v>
                </c:pt>
                <c:pt idx="18">
                  <c:v>-2.5975317293333351</c:v>
                </c:pt>
                <c:pt idx="19">
                  <c:v>-2.8292908727999988</c:v>
                </c:pt>
                <c:pt idx="20">
                  <c:v>-1.905584843066668</c:v>
                </c:pt>
                <c:pt idx="21">
                  <c:v>-2.7199971212</c:v>
                </c:pt>
                <c:pt idx="22">
                  <c:v>-3.2309779246666679</c:v>
                </c:pt>
                <c:pt idx="23">
                  <c:v>-3.1125680421333328</c:v>
                </c:pt>
                <c:pt idx="24">
                  <c:v>-3.1095889957333349</c:v>
                </c:pt>
                <c:pt idx="25">
                  <c:v>-3.2719843386666669</c:v>
                </c:pt>
                <c:pt idx="26">
                  <c:v>-3.0879444820000002</c:v>
                </c:pt>
                <c:pt idx="27">
                  <c:v>-3.141918327466668</c:v>
                </c:pt>
                <c:pt idx="28">
                  <c:v>-2.9716758932</c:v>
                </c:pt>
                <c:pt idx="29">
                  <c:v>-2.688756839733335</c:v>
                </c:pt>
                <c:pt idx="30">
                  <c:v>-2.5628804947999999</c:v>
                </c:pt>
                <c:pt idx="31">
                  <c:v>-2.2095434538666678</c:v>
                </c:pt>
                <c:pt idx="32">
                  <c:v>-2.0418920573333321</c:v>
                </c:pt>
                <c:pt idx="33">
                  <c:v>-1.793071272933332</c:v>
                </c:pt>
                <c:pt idx="34">
                  <c:v>-1.230208393999999</c:v>
                </c:pt>
                <c:pt idx="35">
                  <c:v>-0.85484595453333401</c:v>
                </c:pt>
                <c:pt idx="36">
                  <c:v>-0.61572793466666798</c:v>
                </c:pt>
                <c:pt idx="37">
                  <c:v>-0.53380139266666671</c:v>
                </c:pt>
                <c:pt idx="38">
                  <c:v>-0.1900627477333332</c:v>
                </c:pt>
                <c:pt idx="39">
                  <c:v>1.173849333298005E-4</c:v>
                </c:pt>
                <c:pt idx="40">
                  <c:v>4.3289040000027418E-4</c:v>
                </c:pt>
                <c:pt idx="41">
                  <c:v>-7.1666666666997392E-5</c:v>
                </c:pt>
                <c:pt idx="42">
                  <c:v>4.850000000000132E-4</c:v>
                </c:pt>
                <c:pt idx="43">
                  <c:v>-2.6400000000004198E-4</c:v>
                </c:pt>
                <c:pt idx="44">
                  <c:v>-4.1066666666700341E-4</c:v>
                </c:pt>
                <c:pt idx="45">
                  <c:v>-3.2299999999996221E-4</c:v>
                </c:pt>
                <c:pt idx="46">
                  <c:v>1.1333333333296559E-4</c:v>
                </c:pt>
                <c:pt idx="47">
                  <c:v>4.2799999999998389E-4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68F-45EB-BAD4-FCE58A6548F0}"/>
            </c:ext>
          </c:extLst>
        </c:ser>
        <c:ser>
          <c:idx val="34"/>
          <c:order val="34"/>
          <c:tx>
            <c:v>BES_TR2_five704_A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Net_kW!$AK$2:$AK$49</c:f>
              <c:numCache>
                <c:formatCode>#,##0.000</c:formatCode>
                <c:ptCount val="48"/>
                <c:pt idx="0">
                  <c:v>-4.9099999999990818E-4</c:v>
                </c:pt>
                <c:pt idx="1">
                  <c:v>1.183333333329983E-4</c:v>
                </c:pt>
                <c:pt idx="2">
                  <c:v>1.166666666669869E-4</c:v>
                </c:pt>
                <c:pt idx="3">
                  <c:v>0.29752766666666702</c:v>
                </c:pt>
                <c:pt idx="4">
                  <c:v>0.50465166666666705</c:v>
                </c:pt>
                <c:pt idx="5">
                  <c:v>0.50461533333333297</c:v>
                </c:pt>
                <c:pt idx="6">
                  <c:v>0.45461133333333298</c:v>
                </c:pt>
                <c:pt idx="7">
                  <c:v>5.0419397400000003E-2</c:v>
                </c:pt>
                <c:pt idx="8">
                  <c:v>6.5746130600000091E-2</c:v>
                </c:pt>
                <c:pt idx="9">
                  <c:v>0.19579483210000001</c:v>
                </c:pt>
                <c:pt idx="10">
                  <c:v>-3.7721620000097378E-4</c:v>
                </c:pt>
                <c:pt idx="11">
                  <c:v>-2.2214906666601089E-4</c:v>
                </c:pt>
                <c:pt idx="12">
                  <c:v>-3.6094450000123679E-4</c:v>
                </c:pt>
                <c:pt idx="13">
                  <c:v>-4.1120913333203562E-4</c:v>
                </c:pt>
                <c:pt idx="14">
                  <c:v>1.3075566667186679E-5</c:v>
                </c:pt>
                <c:pt idx="15">
                  <c:v>2.7443250000014352E-4</c:v>
                </c:pt>
                <c:pt idx="16">
                  <c:v>3.5228463333192289E-4</c:v>
                </c:pt>
                <c:pt idx="17">
                  <c:v>-1.308668666670787E-4</c:v>
                </c:pt>
                <c:pt idx="18">
                  <c:v>-1.3964044553333339</c:v>
                </c:pt>
                <c:pt idx="19">
                  <c:v>-1.9887068879333321</c:v>
                </c:pt>
                <c:pt idx="20">
                  <c:v>-1.044974040633331</c:v>
                </c:pt>
                <c:pt idx="21">
                  <c:v>-2.2862051742333329</c:v>
                </c:pt>
                <c:pt idx="22">
                  <c:v>-1.3945647768333309</c:v>
                </c:pt>
                <c:pt idx="23">
                  <c:v>-0.91307636493333</c:v>
                </c:pt>
                <c:pt idx="24">
                  <c:v>5.2336533329033763E-5</c:v>
                </c:pt>
                <c:pt idx="25">
                  <c:v>-1.005873333298907E-4</c:v>
                </c:pt>
                <c:pt idx="26">
                  <c:v>-1.7282185281666671</c:v>
                </c:pt>
                <c:pt idx="27">
                  <c:v>-1.9568754122666681</c:v>
                </c:pt>
                <c:pt idx="28">
                  <c:v>-1.1794545865666699</c:v>
                </c:pt>
                <c:pt idx="29">
                  <c:v>-0.29308262980000088</c:v>
                </c:pt>
                <c:pt idx="30">
                  <c:v>-1.3050550377666661</c:v>
                </c:pt>
                <c:pt idx="31">
                  <c:v>-0.96778589040000096</c:v>
                </c:pt>
                <c:pt idx="32">
                  <c:v>-1.2054293763333319</c:v>
                </c:pt>
                <c:pt idx="33">
                  <c:v>-1.262078454699999</c:v>
                </c:pt>
                <c:pt idx="34">
                  <c:v>-0.81997512883333212</c:v>
                </c:pt>
                <c:pt idx="35">
                  <c:v>-0.38447521590000011</c:v>
                </c:pt>
                <c:pt idx="36">
                  <c:v>-0.40360970100000099</c:v>
                </c:pt>
                <c:pt idx="37">
                  <c:v>-6.7707377833332971E-2</c:v>
                </c:pt>
                <c:pt idx="38">
                  <c:v>2.1110586667005829E-4</c:v>
                </c:pt>
                <c:pt idx="39">
                  <c:v>3.0403869999995342E-4</c:v>
                </c:pt>
                <c:pt idx="40">
                  <c:v>-4.8783220000014888E-4</c:v>
                </c:pt>
                <c:pt idx="41">
                  <c:v>-2.4299999999999319E-4</c:v>
                </c:pt>
                <c:pt idx="42">
                  <c:v>4.0700000000004621E-4</c:v>
                </c:pt>
                <c:pt idx="43">
                  <c:v>1.816666666698552E-4</c:v>
                </c:pt>
                <c:pt idx="44">
                  <c:v>0.12270566666667</c:v>
                </c:pt>
                <c:pt idx="45">
                  <c:v>1.0089366666666699</c:v>
                </c:pt>
                <c:pt idx="46">
                  <c:v>0.92588066666666702</c:v>
                </c:pt>
                <c:pt idx="47">
                  <c:v>0.93216066666666697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68F-45EB-BAD4-FCE58A6548F0}"/>
            </c:ext>
          </c:extLst>
        </c:ser>
        <c:ser>
          <c:idx val="35"/>
          <c:order val="35"/>
          <c:tx>
            <c:v>BES_TR2_five733_C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2.7959826666665988E-4</c:v>
                </c:pt>
                <c:pt idx="8">
                  <c:v>1.327537333333968E-4</c:v>
                </c:pt>
                <c:pt idx="9">
                  <c:v>-2.8677860000000938E-4</c:v>
                </c:pt>
                <c:pt idx="10">
                  <c:v>3.2985586666597899E-4</c:v>
                </c:pt>
                <c:pt idx="11">
                  <c:v>7.1011733334014338E-5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2.02726000000375E-5</c:v>
                </c:pt>
                <c:pt idx="15">
                  <c:v>-3.1304499999995627E-4</c:v>
                </c:pt>
                <c:pt idx="16">
                  <c:v>-1.646991333339454E-4</c:v>
                </c:pt>
                <c:pt idx="17">
                  <c:v>-3.2546679999989608E-4</c:v>
                </c:pt>
                <c:pt idx="18">
                  <c:v>-1.203287681333334</c:v>
                </c:pt>
                <c:pt idx="19">
                  <c:v>-1.4311917030666661</c:v>
                </c:pt>
                <c:pt idx="20">
                  <c:v>-1.5180044715333341</c:v>
                </c:pt>
                <c:pt idx="21">
                  <c:v>-1.5896525606</c:v>
                </c:pt>
                <c:pt idx="22">
                  <c:v>-1.6404889623333341</c:v>
                </c:pt>
                <c:pt idx="23">
                  <c:v>-1.6627833543999999</c:v>
                </c:pt>
                <c:pt idx="24">
                  <c:v>-1.669240664533334</c:v>
                </c:pt>
                <c:pt idx="25">
                  <c:v>-1.6571608360000001</c:v>
                </c:pt>
                <c:pt idx="26">
                  <c:v>-1.6165792409999999</c:v>
                </c:pt>
                <c:pt idx="27">
                  <c:v>-1.554667163733334</c:v>
                </c:pt>
                <c:pt idx="28">
                  <c:v>-1.4807539465999999</c:v>
                </c:pt>
                <c:pt idx="29">
                  <c:v>-1.387095086533334</c:v>
                </c:pt>
                <c:pt idx="30">
                  <c:v>-1.2875642474</c:v>
                </c:pt>
                <c:pt idx="31">
                  <c:v>-1.1677919269333339</c:v>
                </c:pt>
                <c:pt idx="32">
                  <c:v>-1.0329000286666661</c:v>
                </c:pt>
                <c:pt idx="33">
                  <c:v>-0.87003563646666593</c:v>
                </c:pt>
                <c:pt idx="34">
                  <c:v>-0.7176058636666659</c:v>
                </c:pt>
                <c:pt idx="35">
                  <c:v>-0.56097481059999998</c:v>
                </c:pt>
                <c:pt idx="36">
                  <c:v>-0.40945846733333402</c:v>
                </c:pt>
                <c:pt idx="37">
                  <c:v>-0.26337536299999997</c:v>
                </c:pt>
                <c:pt idx="38">
                  <c:v>-0.1321603738666666</c:v>
                </c:pt>
                <c:pt idx="39">
                  <c:v>-1.579974200000001E-3</c:v>
                </c:pt>
                <c:pt idx="40">
                  <c:v>1.181118666666592E-4</c:v>
                </c:pt>
                <c:pt idx="41">
                  <c:v>0</c:v>
                </c:pt>
                <c:pt idx="42">
                  <c:v>0</c:v>
                </c:pt>
                <c:pt idx="43">
                  <c:v>1.46666666669959E-5</c:v>
                </c:pt>
                <c:pt idx="44">
                  <c:v>4.7400000000003001E-4</c:v>
                </c:pt>
                <c:pt idx="45">
                  <c:v>-3.9999999999995589E-4</c:v>
                </c:pt>
                <c:pt idx="46">
                  <c:v>-3.633333333297184E-5</c:v>
                </c:pt>
                <c:pt idx="47">
                  <c:v>2.5300000000000322E-4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68F-45EB-BAD4-FCE58A6548F0}"/>
            </c:ext>
          </c:extLst>
        </c:ser>
        <c:ser>
          <c:idx val="36"/>
          <c:order val="36"/>
          <c:tx>
            <c:v>BES_TR2_five117_B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1.9000000000002351E-4</c:v>
                </c:pt>
                <c:pt idx="2">
                  <c:v>0</c:v>
                </c:pt>
                <c:pt idx="3">
                  <c:v>0</c:v>
                </c:pt>
                <c:pt idx="4">
                  <c:v>1.9000000000002351E-4</c:v>
                </c:pt>
                <c:pt idx="5">
                  <c:v>0</c:v>
                </c:pt>
                <c:pt idx="6">
                  <c:v>-1.15000000000004E-4</c:v>
                </c:pt>
                <c:pt idx="7">
                  <c:v>-1.358034666666674E-4</c:v>
                </c:pt>
                <c:pt idx="8">
                  <c:v>2.655074666667988E-4</c:v>
                </c:pt>
                <c:pt idx="9">
                  <c:v>-3.8355719999999972E-4</c:v>
                </c:pt>
                <c:pt idx="10">
                  <c:v>-3.4028826666798739E-4</c:v>
                </c:pt>
                <c:pt idx="11">
                  <c:v>3.3202346666805221E-4</c:v>
                </c:pt>
                <c:pt idx="12">
                  <c:v>8.1407333331950937E-5</c:v>
                </c:pt>
                <c:pt idx="13">
                  <c:v>1.288322666679331E-4</c:v>
                </c:pt>
                <c:pt idx="14">
                  <c:v>3.6054519999995088E-4</c:v>
                </c:pt>
                <c:pt idx="15">
                  <c:v>-0.27762608999999983</c:v>
                </c:pt>
                <c:pt idx="16">
                  <c:v>-2.2163293982666681</c:v>
                </c:pt>
                <c:pt idx="17">
                  <c:v>-2.4886509335999998</c:v>
                </c:pt>
                <c:pt idx="18">
                  <c:v>-2.5413853626666678</c:v>
                </c:pt>
                <c:pt idx="19">
                  <c:v>-2.9183834061333318</c:v>
                </c:pt>
                <c:pt idx="20">
                  <c:v>-2.1188589430666682</c:v>
                </c:pt>
                <c:pt idx="21">
                  <c:v>-3.1864351212000002</c:v>
                </c:pt>
                <c:pt idx="22">
                  <c:v>-3.3206879246666681</c:v>
                </c:pt>
                <c:pt idx="23">
                  <c:v>-3.2186667087999998</c:v>
                </c:pt>
                <c:pt idx="24">
                  <c:v>-3.394481329066668</c:v>
                </c:pt>
                <c:pt idx="25">
                  <c:v>-3.191131672</c:v>
                </c:pt>
                <c:pt idx="26">
                  <c:v>-3.2891584819999999</c:v>
                </c:pt>
                <c:pt idx="27">
                  <c:v>-3.1653343274666681</c:v>
                </c:pt>
                <c:pt idx="28">
                  <c:v>-2.7377971598666671</c:v>
                </c:pt>
                <c:pt idx="29">
                  <c:v>-2.6809281730666679</c:v>
                </c:pt>
                <c:pt idx="30">
                  <c:v>-2.5281911614666668</c:v>
                </c:pt>
                <c:pt idx="31">
                  <c:v>-2.1971906538666679</c:v>
                </c:pt>
                <c:pt idx="32">
                  <c:v>-2.1055810573333318</c:v>
                </c:pt>
                <c:pt idx="33">
                  <c:v>-1.7589811062666649</c:v>
                </c:pt>
                <c:pt idx="34">
                  <c:v>-1.260500060666665</c:v>
                </c:pt>
                <c:pt idx="35">
                  <c:v>-0.92218935453333306</c:v>
                </c:pt>
                <c:pt idx="36">
                  <c:v>-0.86453826800000133</c:v>
                </c:pt>
                <c:pt idx="37">
                  <c:v>-0.485395992666667</c:v>
                </c:pt>
                <c:pt idx="38">
                  <c:v>-0.30403074773333322</c:v>
                </c:pt>
                <c:pt idx="39">
                  <c:v>4.7895160000002712E-4</c:v>
                </c:pt>
                <c:pt idx="40">
                  <c:v>4.1749039999991472E-4</c:v>
                </c:pt>
                <c:pt idx="41">
                  <c:v>-4.7666666666695828E-4</c:v>
                </c:pt>
                <c:pt idx="42">
                  <c:v>-2.1999999999966491E-5</c:v>
                </c:pt>
                <c:pt idx="43">
                  <c:v>-8.3633333332999715E-5</c:v>
                </c:pt>
                <c:pt idx="44">
                  <c:v>-4.9766666667028225E-4</c:v>
                </c:pt>
                <c:pt idx="45">
                  <c:v>-1.386666666659542E-4</c:v>
                </c:pt>
                <c:pt idx="46">
                  <c:v>3.4899999999998821E-4</c:v>
                </c:pt>
                <c:pt idx="47">
                  <c:v>3.000000000000225E-5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68F-45EB-BAD4-FCE58A6548F0}"/>
            </c:ext>
          </c:extLst>
        </c:ser>
        <c:ser>
          <c:idx val="37"/>
          <c:order val="37"/>
          <c:tx>
            <c:v>BES_TR2_five778_B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Net_kW!$AN$2:$AN$49</c:f>
              <c:numCache>
                <c:formatCode>#,##0.000</c:formatCode>
                <c:ptCount val="48"/>
                <c:pt idx="0">
                  <c:v>-2.426666666670019E-4</c:v>
                </c:pt>
                <c:pt idx="1">
                  <c:v>0</c:v>
                </c:pt>
                <c:pt idx="2">
                  <c:v>2.5600000000000622E-4</c:v>
                </c:pt>
                <c:pt idx="3">
                  <c:v>-4.9866666666670278E-4</c:v>
                </c:pt>
                <c:pt idx="4">
                  <c:v>-3.7200000000001121E-4</c:v>
                </c:pt>
                <c:pt idx="5">
                  <c:v>1.2933333333300931E-4</c:v>
                </c:pt>
                <c:pt idx="6">
                  <c:v>0</c:v>
                </c:pt>
                <c:pt idx="7">
                  <c:v>3.1652986666630412E-4</c:v>
                </c:pt>
                <c:pt idx="8">
                  <c:v>2.6550746666679712E-4</c:v>
                </c:pt>
                <c:pt idx="9">
                  <c:v>-1.9355719999999971E-4</c:v>
                </c:pt>
                <c:pt idx="10">
                  <c:v>3.704506666524221E-5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-2.3716773333193331E-4</c:v>
                </c:pt>
                <c:pt idx="14">
                  <c:v>-2.1978813333300981E-4</c:v>
                </c:pt>
                <c:pt idx="15">
                  <c:v>-0.20194608999999991</c:v>
                </c:pt>
                <c:pt idx="16">
                  <c:v>-2.0475307316000011</c:v>
                </c:pt>
                <c:pt idx="17">
                  <c:v>-2.1551176002666672</c:v>
                </c:pt>
                <c:pt idx="18">
                  <c:v>-2.6539473626666679</c:v>
                </c:pt>
                <c:pt idx="19">
                  <c:v>-0.89407673946666177</c:v>
                </c:pt>
                <c:pt idx="20">
                  <c:v>-2.530145743066667</c:v>
                </c:pt>
                <c:pt idx="21">
                  <c:v>-3.0802677878666671</c:v>
                </c:pt>
                <c:pt idx="22">
                  <c:v>-3.2988283246666681</c:v>
                </c:pt>
                <c:pt idx="23">
                  <c:v>-3.2920627088000001</c:v>
                </c:pt>
                <c:pt idx="24">
                  <c:v>-3.3202279957333349</c:v>
                </c:pt>
                <c:pt idx="25">
                  <c:v>-3.372321672</c:v>
                </c:pt>
                <c:pt idx="26">
                  <c:v>-3.146277148666667</c:v>
                </c:pt>
                <c:pt idx="27">
                  <c:v>-2.0837556607999979</c:v>
                </c:pt>
                <c:pt idx="28">
                  <c:v>-2.8587814265333331</c:v>
                </c:pt>
                <c:pt idx="29">
                  <c:v>-2.5502982397333351</c:v>
                </c:pt>
                <c:pt idx="30">
                  <c:v>-2.5712371614666671</c:v>
                </c:pt>
                <c:pt idx="31">
                  <c:v>-2.2909178872000009</c:v>
                </c:pt>
                <c:pt idx="32">
                  <c:v>-1.793785723999999</c:v>
                </c:pt>
                <c:pt idx="33">
                  <c:v>-1.547451606266665</c:v>
                </c:pt>
                <c:pt idx="34">
                  <c:v>-1.2332003939999989</c:v>
                </c:pt>
                <c:pt idx="35">
                  <c:v>-1.1028208211999999</c:v>
                </c:pt>
                <c:pt idx="36">
                  <c:v>-0.79930506800000101</c:v>
                </c:pt>
                <c:pt idx="37">
                  <c:v>-0.584750726</c:v>
                </c:pt>
                <c:pt idx="38">
                  <c:v>-0.32232074773333319</c:v>
                </c:pt>
                <c:pt idx="39">
                  <c:v>-6.1159948399999997E-2</c:v>
                </c:pt>
                <c:pt idx="40">
                  <c:v>-6.4429333336835093E-6</c:v>
                </c:pt>
                <c:pt idx="41">
                  <c:v>0</c:v>
                </c:pt>
                <c:pt idx="42">
                  <c:v>1.2933333333300931E-4</c:v>
                </c:pt>
                <c:pt idx="43">
                  <c:v>-3.7200000000001121E-4</c:v>
                </c:pt>
                <c:pt idx="44">
                  <c:v>0</c:v>
                </c:pt>
                <c:pt idx="45">
                  <c:v>0</c:v>
                </c:pt>
                <c:pt idx="46">
                  <c:v>3.6420000000000902E-4</c:v>
                </c:pt>
                <c:pt idx="47">
                  <c:v>2.2333333333302011E-4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68F-45EB-BAD4-FCE58A6548F0}"/>
            </c:ext>
          </c:extLst>
        </c:ser>
        <c:ser>
          <c:idx val="38"/>
          <c:order val="38"/>
          <c:tx>
            <c:v>BES_TR2_five799_C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Net_kW!$AO$2:$AO$49</c:f>
              <c:numCache>
                <c:formatCode>#,##0.000</c:formatCode>
                <c:ptCount val="48"/>
                <c:pt idx="0">
                  <c:v>-1.2666666666993899E-5</c:v>
                </c:pt>
                <c:pt idx="1">
                  <c:v>2.8300000000003322E-4</c:v>
                </c:pt>
                <c:pt idx="2">
                  <c:v>1.4166666666703959E-4</c:v>
                </c:pt>
                <c:pt idx="3">
                  <c:v>-7.5666666667001392E-5</c:v>
                </c:pt>
                <c:pt idx="4">
                  <c:v>-4.810000000000092E-4</c:v>
                </c:pt>
                <c:pt idx="5">
                  <c:v>-1.6566666666670279E-4</c:v>
                </c:pt>
                <c:pt idx="6">
                  <c:v>0.119710333333333</c:v>
                </c:pt>
                <c:pt idx="7">
                  <c:v>9.4829196533333326E-2</c:v>
                </c:pt>
                <c:pt idx="8">
                  <c:v>0.2298671741333338</c:v>
                </c:pt>
                <c:pt idx="9">
                  <c:v>4.2644279999998203E-4</c:v>
                </c:pt>
                <c:pt idx="10">
                  <c:v>2.8371173333202599E-4</c:v>
                </c:pt>
                <c:pt idx="11">
                  <c:v>3.9335680000096568E-4</c:v>
                </c:pt>
                <c:pt idx="12">
                  <c:v>2.2140733333186891E-4</c:v>
                </c:pt>
                <c:pt idx="13">
                  <c:v>-3.9916773333192879E-4</c:v>
                </c:pt>
                <c:pt idx="14">
                  <c:v>2.8587853333283952E-4</c:v>
                </c:pt>
                <c:pt idx="15">
                  <c:v>-3.600900000000351E-4</c:v>
                </c:pt>
                <c:pt idx="16">
                  <c:v>-0.54951339826666823</c:v>
                </c:pt>
                <c:pt idx="17">
                  <c:v>-2.3431122669333329</c:v>
                </c:pt>
                <c:pt idx="18">
                  <c:v>-2.5649808960000011</c:v>
                </c:pt>
                <c:pt idx="19">
                  <c:v>-3.0440096727999988</c:v>
                </c:pt>
                <c:pt idx="20">
                  <c:v>-3.3350840097333352</c:v>
                </c:pt>
                <c:pt idx="21">
                  <c:v>-3.3557431212000002</c:v>
                </c:pt>
                <c:pt idx="22">
                  <c:v>-2.2114975913333348</c:v>
                </c:pt>
                <c:pt idx="23">
                  <c:v>-3.3788427088000001</c:v>
                </c:pt>
                <c:pt idx="24">
                  <c:v>-3.6167326624000009</c:v>
                </c:pt>
                <c:pt idx="25">
                  <c:v>-3.4368985053333332</c:v>
                </c:pt>
                <c:pt idx="26">
                  <c:v>-2.500283215333333</c:v>
                </c:pt>
                <c:pt idx="27">
                  <c:v>-2.5998136608000011</c:v>
                </c:pt>
                <c:pt idx="28">
                  <c:v>-2.7891825598666671</c:v>
                </c:pt>
                <c:pt idx="29">
                  <c:v>-2.815120173066668</c:v>
                </c:pt>
                <c:pt idx="30">
                  <c:v>-2.4915591614666668</c:v>
                </c:pt>
                <c:pt idx="31">
                  <c:v>-2.3007058538666678</c:v>
                </c:pt>
                <c:pt idx="32">
                  <c:v>-2.0713760573333322</c:v>
                </c:pt>
                <c:pt idx="33">
                  <c:v>-1.7856779395999991</c:v>
                </c:pt>
                <c:pt idx="34">
                  <c:v>-1.241372393999999</c:v>
                </c:pt>
                <c:pt idx="35">
                  <c:v>-1.0703196211999999</c:v>
                </c:pt>
                <c:pt idx="36">
                  <c:v>-0.50677826800000103</c:v>
                </c:pt>
                <c:pt idx="37">
                  <c:v>-0.38053465933333303</c:v>
                </c:pt>
                <c:pt idx="38">
                  <c:v>-7.2322747733333193E-2</c:v>
                </c:pt>
                <c:pt idx="39">
                  <c:v>-3.7528173333301051E-4</c:v>
                </c:pt>
                <c:pt idx="40">
                  <c:v>6.455706666630423E-5</c:v>
                </c:pt>
                <c:pt idx="41">
                  <c:v>2.4566666666692161E-4</c:v>
                </c:pt>
                <c:pt idx="42">
                  <c:v>2.2600000000005949E-4</c:v>
                </c:pt>
                <c:pt idx="43">
                  <c:v>-2.0366666666604691E-4</c:v>
                </c:pt>
                <c:pt idx="44">
                  <c:v>-1.4400000000000521E-4</c:v>
                </c:pt>
                <c:pt idx="45">
                  <c:v>-1.6266666666700511E-4</c:v>
                </c:pt>
                <c:pt idx="46">
                  <c:v>3.8000000000038003E-5</c:v>
                </c:pt>
                <c:pt idx="47">
                  <c:v>7.0000000000000617E-5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68F-45EB-BAD4-FCE58A6548F0}"/>
            </c:ext>
          </c:extLst>
        </c:ser>
        <c:ser>
          <c:idx val="39"/>
          <c:order val="39"/>
          <c:tx>
            <c:v>BES_TR2_five801_C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-1.159999999999911E-4</c:v>
                </c:pt>
                <c:pt idx="2">
                  <c:v>0</c:v>
                </c:pt>
                <c:pt idx="3">
                  <c:v>1.7066666666669389E-4</c:v>
                </c:pt>
                <c:pt idx="4">
                  <c:v>-2.8666666666669888E-4</c:v>
                </c:pt>
                <c:pt idx="5">
                  <c:v>0</c:v>
                </c:pt>
                <c:pt idx="6">
                  <c:v>-1.159999999999911E-4</c:v>
                </c:pt>
                <c:pt idx="7">
                  <c:v>-4.4080346666667408E-4</c:v>
                </c:pt>
                <c:pt idx="8">
                  <c:v>2.6550746666679619E-4</c:v>
                </c:pt>
                <c:pt idx="9">
                  <c:v>1.397761333333247E-4</c:v>
                </c:pt>
                <c:pt idx="10">
                  <c:v>-1.6962160000139059E-4</c:v>
                </c:pt>
                <c:pt idx="11">
                  <c:v>-1.879765333319128E-4</c:v>
                </c:pt>
                <c:pt idx="12">
                  <c:v>6.1740666664866772E-5</c:v>
                </c:pt>
                <c:pt idx="13">
                  <c:v>1.4283226666811369E-4</c:v>
                </c:pt>
                <c:pt idx="14">
                  <c:v>4.0545199999852948E-5</c:v>
                </c:pt>
                <c:pt idx="15">
                  <c:v>-0.53368408999999994</c:v>
                </c:pt>
                <c:pt idx="16">
                  <c:v>-1.9941673982666679</c:v>
                </c:pt>
                <c:pt idx="17">
                  <c:v>-2.2761309336000002</c:v>
                </c:pt>
                <c:pt idx="18">
                  <c:v>-2.3469870293333348</c:v>
                </c:pt>
                <c:pt idx="19">
                  <c:v>-2.7160234061333322</c:v>
                </c:pt>
                <c:pt idx="20">
                  <c:v>-2.8106616097333341</c:v>
                </c:pt>
                <c:pt idx="21">
                  <c:v>-3.2189911212000002</c:v>
                </c:pt>
                <c:pt idx="22">
                  <c:v>-3.316892591333334</c:v>
                </c:pt>
                <c:pt idx="23">
                  <c:v>-3.3237680421333331</c:v>
                </c:pt>
                <c:pt idx="24">
                  <c:v>-3.1091093290666678</c:v>
                </c:pt>
                <c:pt idx="25">
                  <c:v>-3.3351510053333331</c:v>
                </c:pt>
                <c:pt idx="26">
                  <c:v>-3.284158482</c:v>
                </c:pt>
                <c:pt idx="27">
                  <c:v>-3.0924503274666679</c:v>
                </c:pt>
                <c:pt idx="28">
                  <c:v>-3.0011938932</c:v>
                </c:pt>
                <c:pt idx="29">
                  <c:v>-2.768620173066668</c:v>
                </c:pt>
                <c:pt idx="30">
                  <c:v>-2.6035004948</c:v>
                </c:pt>
                <c:pt idx="31">
                  <c:v>-2.3413278538666682</c:v>
                </c:pt>
                <c:pt idx="32">
                  <c:v>-2.1168000573333319</c:v>
                </c:pt>
                <c:pt idx="33">
                  <c:v>-1.791071272933332</c:v>
                </c:pt>
                <c:pt idx="34">
                  <c:v>-1.4447270606666649</c:v>
                </c:pt>
                <c:pt idx="35">
                  <c:v>-1.1465502878666669</c:v>
                </c:pt>
                <c:pt idx="36">
                  <c:v>-0.76790226800000105</c:v>
                </c:pt>
                <c:pt idx="37">
                  <c:v>-0.27852172600000003</c:v>
                </c:pt>
                <c:pt idx="38">
                  <c:v>-0.28497808106666639</c:v>
                </c:pt>
                <c:pt idx="39">
                  <c:v>-3.2794839999994441E-4</c:v>
                </c:pt>
                <c:pt idx="40">
                  <c:v>-1.4177626666667109E-4</c:v>
                </c:pt>
                <c:pt idx="41">
                  <c:v>-5.5999999999944983E-5</c:v>
                </c:pt>
                <c:pt idx="42">
                  <c:v>3.809999999999647E-4</c:v>
                </c:pt>
                <c:pt idx="43">
                  <c:v>-3.029999999999422E-4</c:v>
                </c:pt>
                <c:pt idx="44">
                  <c:v>4.6533333333298449E-4</c:v>
                </c:pt>
                <c:pt idx="45">
                  <c:v>3.4866666666699691E-4</c:v>
                </c:pt>
                <c:pt idx="46">
                  <c:v>1.9333333333293459E-4</c:v>
                </c:pt>
                <c:pt idx="47">
                  <c:v>3.9466666666698741E-4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C68F-45EB-BAD4-FCE58A6548F0}"/>
            </c:ext>
          </c:extLst>
        </c:ser>
        <c:ser>
          <c:idx val="40"/>
          <c:order val="40"/>
          <c:tx>
            <c:v>BES_TR2_five831_C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-2.7499999999999752E-4</c:v>
                </c:pt>
                <c:pt idx="3">
                  <c:v>-6.1666666667001269E-5</c:v>
                </c:pt>
                <c:pt idx="4">
                  <c:v>2.4166666666669559E-4</c:v>
                </c:pt>
                <c:pt idx="5">
                  <c:v>4.2166666666701441E-4</c:v>
                </c:pt>
                <c:pt idx="6">
                  <c:v>0</c:v>
                </c:pt>
                <c:pt idx="7">
                  <c:v>-3.3550216666669569E-4</c:v>
                </c:pt>
                <c:pt idx="8">
                  <c:v>-2.357244999998537E-4</c:v>
                </c:pt>
                <c:pt idx="9">
                  <c:v>-3.3013991666699759E-4</c:v>
                </c:pt>
                <c:pt idx="10">
                  <c:v>2.9731983333247669E-4</c:v>
                </c:pt>
                <c:pt idx="11">
                  <c:v>3.387646666675459E-4</c:v>
                </c:pt>
                <c:pt idx="12">
                  <c:v>3.8254624999944919E-4</c:v>
                </c:pt>
                <c:pt idx="13">
                  <c:v>-2.5656316666544671E-4</c:v>
                </c:pt>
                <c:pt idx="14">
                  <c:v>-2.2465925000003659E-4</c:v>
                </c:pt>
                <c:pt idx="15">
                  <c:v>2.8036041666701372E-4</c:v>
                </c:pt>
                <c:pt idx="16">
                  <c:v>3.5792749998542213E-5</c:v>
                </c:pt>
                <c:pt idx="17">
                  <c:v>-0.34540683349999979</c:v>
                </c:pt>
                <c:pt idx="18">
                  <c:v>-1.521696268333335</c:v>
                </c:pt>
                <c:pt idx="19">
                  <c:v>-1.642650962166665</c:v>
                </c:pt>
                <c:pt idx="20">
                  <c:v>-1.5957465894166669</c:v>
                </c:pt>
                <c:pt idx="21">
                  <c:v>-1.6242730340833329</c:v>
                </c:pt>
                <c:pt idx="22">
                  <c:v>-1.6906872029166671</c:v>
                </c:pt>
                <c:pt idx="23">
                  <c:v>-4.4585966667032301E-4</c:v>
                </c:pt>
                <c:pt idx="24">
                  <c:v>-3.2416399999712908E-4</c:v>
                </c:pt>
                <c:pt idx="25">
                  <c:v>-3.7116666666836551E-6</c:v>
                </c:pt>
                <c:pt idx="26">
                  <c:v>-2.290512500000563E-4</c:v>
                </c:pt>
                <c:pt idx="27">
                  <c:v>-0.83887495466666684</c:v>
                </c:pt>
                <c:pt idx="28">
                  <c:v>-0.98158343324999986</c:v>
                </c:pt>
                <c:pt idx="29">
                  <c:v>-1.4235281915000011</c:v>
                </c:pt>
                <c:pt idx="30">
                  <c:v>-1.3185073092499999</c:v>
                </c:pt>
                <c:pt idx="31">
                  <c:v>-0.69531124200000094</c:v>
                </c:pt>
                <c:pt idx="32">
                  <c:v>-1.0864210358333319</c:v>
                </c:pt>
                <c:pt idx="33">
                  <c:v>-0.8658405455833329</c:v>
                </c:pt>
                <c:pt idx="34">
                  <c:v>-0.59763199624999941</c:v>
                </c:pt>
                <c:pt idx="35">
                  <c:v>-0.53195851324999999</c:v>
                </c:pt>
                <c:pt idx="36">
                  <c:v>-0.1907824175000005</c:v>
                </c:pt>
                <c:pt idx="37">
                  <c:v>-4.765370833330132E-4</c:v>
                </c:pt>
                <c:pt idx="38">
                  <c:v>-2.4020467333333181E-2</c:v>
                </c:pt>
                <c:pt idx="39">
                  <c:v>-8.97496775E-3</c:v>
                </c:pt>
                <c:pt idx="40">
                  <c:v>3.7263983333335471E-4</c:v>
                </c:pt>
                <c:pt idx="41">
                  <c:v>-6.1666666667001269E-5</c:v>
                </c:pt>
                <c:pt idx="42">
                  <c:v>6.2566666670038629E-5</c:v>
                </c:pt>
                <c:pt idx="43">
                  <c:v>-2.5206666667010319E-4</c:v>
                </c:pt>
                <c:pt idx="44">
                  <c:v>0</c:v>
                </c:pt>
                <c:pt idx="45">
                  <c:v>1.183333333329983E-4</c:v>
                </c:pt>
                <c:pt idx="46">
                  <c:v>-4.5499999999999707E-4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68F-45EB-BAD4-FCE58A6548F0}"/>
            </c:ext>
          </c:extLst>
        </c:ser>
        <c:ser>
          <c:idx val="41"/>
          <c:order val="41"/>
          <c:tx>
            <c:v>BES_TR2_five881_C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-1.2533333333300531E-4</c:v>
                </c:pt>
                <c:pt idx="3">
                  <c:v>-2.8133333333339727E-4</c:v>
                </c:pt>
                <c:pt idx="4">
                  <c:v>0</c:v>
                </c:pt>
                <c:pt idx="5">
                  <c:v>0</c:v>
                </c:pt>
                <c:pt idx="6">
                  <c:v>-4.0666666666702711E-4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-2.3244526666701271E-4</c:v>
                </c:pt>
                <c:pt idx="10">
                  <c:v>-1.311441333340102E-4</c:v>
                </c:pt>
                <c:pt idx="11">
                  <c:v>7.1011733334014338E-5</c:v>
                </c:pt>
                <c:pt idx="12">
                  <c:v>-3.6596300000102389E-4</c:v>
                </c:pt>
                <c:pt idx="13">
                  <c:v>1.294161333340593E-4</c:v>
                </c:pt>
                <c:pt idx="14">
                  <c:v>2.02726000000375E-5</c:v>
                </c:pt>
                <c:pt idx="15">
                  <c:v>1.8268833333345841E-4</c:v>
                </c:pt>
                <c:pt idx="16">
                  <c:v>-7.1365800004025148E-5</c:v>
                </c:pt>
                <c:pt idx="17">
                  <c:v>-3.5213346666596029E-4</c:v>
                </c:pt>
                <c:pt idx="18">
                  <c:v>-6.7681333334096427E-5</c:v>
                </c:pt>
                <c:pt idx="19">
                  <c:v>-1.9170306666604911E-4</c:v>
                </c:pt>
                <c:pt idx="20">
                  <c:v>-1.0194111382000011</c:v>
                </c:pt>
                <c:pt idx="21">
                  <c:v>-1.6186525606</c:v>
                </c:pt>
                <c:pt idx="22">
                  <c:v>-1.152614295666667</c:v>
                </c:pt>
                <c:pt idx="23">
                  <c:v>-1.756064687733333</c:v>
                </c:pt>
                <c:pt idx="24">
                  <c:v>-1.8172406645333341</c:v>
                </c:pt>
                <c:pt idx="25">
                  <c:v>-1.6879031693333331</c:v>
                </c:pt>
                <c:pt idx="26">
                  <c:v>-1.4172435743333329</c:v>
                </c:pt>
                <c:pt idx="27">
                  <c:v>-1.274409497066668</c:v>
                </c:pt>
                <c:pt idx="28">
                  <c:v>-1.369418279933333</c:v>
                </c:pt>
                <c:pt idx="29">
                  <c:v>-1.1650670865333339</c:v>
                </c:pt>
                <c:pt idx="30">
                  <c:v>-0.85157091406666718</c:v>
                </c:pt>
                <c:pt idx="31">
                  <c:v>-9.8593600003860082E-5</c:v>
                </c:pt>
                <c:pt idx="32">
                  <c:v>1.5997133333400801E-4</c:v>
                </c:pt>
                <c:pt idx="33">
                  <c:v>-3.356364666662337E-4</c:v>
                </c:pt>
                <c:pt idx="34">
                  <c:v>-1.56496999998923E-4</c:v>
                </c:pt>
                <c:pt idx="35">
                  <c:v>2.8285606666700319E-4</c:v>
                </c:pt>
                <c:pt idx="36">
                  <c:v>1.0486599999900979E-4</c:v>
                </c:pt>
                <c:pt idx="37">
                  <c:v>-3.7536300000001738E-4</c:v>
                </c:pt>
                <c:pt idx="38">
                  <c:v>-1.6037386666656331E-4</c:v>
                </c:pt>
                <c:pt idx="39">
                  <c:v>-3.4597420000000162E-4</c:v>
                </c:pt>
                <c:pt idx="40">
                  <c:v>4.7744519999996099E-4</c:v>
                </c:pt>
                <c:pt idx="41">
                  <c:v>1.7966666666670289E-4</c:v>
                </c:pt>
                <c:pt idx="42">
                  <c:v>4.136666666669786E-4</c:v>
                </c:pt>
                <c:pt idx="43">
                  <c:v>1.7966666666670289E-4</c:v>
                </c:pt>
                <c:pt idx="44">
                  <c:v>4.136666666669786E-4</c:v>
                </c:pt>
                <c:pt idx="45">
                  <c:v>0</c:v>
                </c:pt>
                <c:pt idx="46">
                  <c:v>0</c:v>
                </c:pt>
                <c:pt idx="47">
                  <c:v>-4.6100000000000307E-4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C68F-45EB-BAD4-FCE58A6548F0}"/>
            </c:ext>
          </c:extLst>
        </c:ser>
        <c:ser>
          <c:idx val="42"/>
          <c:order val="42"/>
          <c:tx>
            <c:v>BES_TR2_five118_B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Net_kW!$AS$2:$AS$49</c:f>
              <c:numCache>
                <c:formatCode>#,##0.000</c:formatCode>
                <c:ptCount val="48"/>
                <c:pt idx="0">
                  <c:v>-7.899999999999574E-5</c:v>
                </c:pt>
                <c:pt idx="1">
                  <c:v>-2.7733333333301863E-4</c:v>
                </c:pt>
                <c:pt idx="2">
                  <c:v>-3.326666666667033E-4</c:v>
                </c:pt>
                <c:pt idx="3">
                  <c:v>-3.8100000000002021E-4</c:v>
                </c:pt>
                <c:pt idx="4">
                  <c:v>-3.0266666666695091E-4</c:v>
                </c:pt>
                <c:pt idx="5">
                  <c:v>6.5666666666991391E-5</c:v>
                </c:pt>
                <c:pt idx="6">
                  <c:v>1.4200000000000321E-4</c:v>
                </c:pt>
                <c:pt idx="7">
                  <c:v>1.652986666633716E-5</c:v>
                </c:pt>
                <c:pt idx="8">
                  <c:v>4.6450746666680531E-4</c:v>
                </c:pt>
                <c:pt idx="9">
                  <c:v>1.251094666670054E-4</c:v>
                </c:pt>
                <c:pt idx="10">
                  <c:v>-4.7162160000102649E-4</c:v>
                </c:pt>
                <c:pt idx="11">
                  <c:v>3.4935680000103281E-4</c:v>
                </c:pt>
                <c:pt idx="12">
                  <c:v>-3.5059266666803701E-4</c:v>
                </c:pt>
                <c:pt idx="13">
                  <c:v>-6.3167733332036846E-5</c:v>
                </c:pt>
                <c:pt idx="14">
                  <c:v>1.878533332888566E-6</c:v>
                </c:pt>
                <c:pt idx="15">
                  <c:v>4.3777666666722231E-4</c:v>
                </c:pt>
                <c:pt idx="16">
                  <c:v>-0.26121939826666818</c:v>
                </c:pt>
                <c:pt idx="17">
                  <c:v>-1.8805699335999999</c:v>
                </c:pt>
                <c:pt idx="18">
                  <c:v>-2.446150696000001</c:v>
                </c:pt>
                <c:pt idx="19">
                  <c:v>-2.7808020727999989</c:v>
                </c:pt>
                <c:pt idx="20">
                  <c:v>-2.8625169430666682</c:v>
                </c:pt>
                <c:pt idx="21">
                  <c:v>-3.0575851211999998</c:v>
                </c:pt>
                <c:pt idx="22">
                  <c:v>-3.2587405913333352</c:v>
                </c:pt>
                <c:pt idx="23">
                  <c:v>-3.0585600421333332</c:v>
                </c:pt>
                <c:pt idx="24">
                  <c:v>-3.374958662400001</c:v>
                </c:pt>
                <c:pt idx="25">
                  <c:v>-3.2678726720000002</c:v>
                </c:pt>
                <c:pt idx="26">
                  <c:v>-3.0011274819999998</c:v>
                </c:pt>
                <c:pt idx="27">
                  <c:v>-3.0539303274666678</c:v>
                </c:pt>
                <c:pt idx="28">
                  <c:v>-2.9106392265333332</c:v>
                </c:pt>
                <c:pt idx="29">
                  <c:v>-2.7245768397333352</c:v>
                </c:pt>
                <c:pt idx="30">
                  <c:v>-2.5685474948000002</c:v>
                </c:pt>
                <c:pt idx="31">
                  <c:v>-2.2010778538666682</c:v>
                </c:pt>
                <c:pt idx="32">
                  <c:v>-1.919817057333332</c:v>
                </c:pt>
                <c:pt idx="33">
                  <c:v>-1.4184889395999991</c:v>
                </c:pt>
                <c:pt idx="34">
                  <c:v>-1.427386227333332</c:v>
                </c:pt>
                <c:pt idx="35">
                  <c:v>-0.88175328786666707</c:v>
                </c:pt>
                <c:pt idx="36">
                  <c:v>-0.76904726800000101</c:v>
                </c:pt>
                <c:pt idx="37">
                  <c:v>-0.39193352599999998</c:v>
                </c:pt>
                <c:pt idx="38">
                  <c:v>-1.9560747733333161E-2</c:v>
                </c:pt>
                <c:pt idx="39">
                  <c:v>-3.4161506666707808E-4</c:v>
                </c:pt>
                <c:pt idx="40">
                  <c:v>-4.3710959999976318E-4</c:v>
                </c:pt>
                <c:pt idx="41">
                  <c:v>-1.0333333333001351E-5</c:v>
                </c:pt>
                <c:pt idx="42">
                  <c:v>3.6300000000000221E-4</c:v>
                </c:pt>
                <c:pt idx="43">
                  <c:v>1.736666666669606E-4</c:v>
                </c:pt>
                <c:pt idx="44">
                  <c:v>-3.000000000086267E-6</c:v>
                </c:pt>
                <c:pt idx="45">
                  <c:v>-1.569999999999627E-4</c:v>
                </c:pt>
                <c:pt idx="46">
                  <c:v>4.8099999999995369E-4</c:v>
                </c:pt>
                <c:pt idx="47">
                  <c:v>6.6333333333057354E-5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68F-45EB-BAD4-FCE58A6548F0}"/>
            </c:ext>
          </c:extLst>
        </c:ser>
        <c:ser>
          <c:idx val="43"/>
          <c:order val="43"/>
          <c:tx>
            <c:v>BES_TR2_six64_A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Net_kW!$AT$2:$AT$49</c:f>
              <c:numCache>
                <c:formatCode>#,##0.000</c:formatCode>
                <c:ptCount val="48"/>
                <c:pt idx="0">
                  <c:v>1.406666666669554E-4</c:v>
                </c:pt>
                <c:pt idx="1">
                  <c:v>-3.7200000000001121E-4</c:v>
                </c:pt>
                <c:pt idx="2">
                  <c:v>-8.9333333332969334E-5</c:v>
                </c:pt>
                <c:pt idx="3">
                  <c:v>3.9600000000000751E-4</c:v>
                </c:pt>
                <c:pt idx="4">
                  <c:v>3.5666666666700492E-4</c:v>
                </c:pt>
                <c:pt idx="5">
                  <c:v>4.1200000000002351E-4</c:v>
                </c:pt>
                <c:pt idx="6">
                  <c:v>-2.106666666670115E-4</c:v>
                </c:pt>
                <c:pt idx="7">
                  <c:v>9.206406666700806E-5</c:v>
                </c:pt>
                <c:pt idx="8">
                  <c:v>5.7972666671068929E-6</c:v>
                </c:pt>
                <c:pt idx="9">
                  <c:v>-3.1616789999995559E-4</c:v>
                </c:pt>
                <c:pt idx="10">
                  <c:v>3.4278379999896908E-4</c:v>
                </c:pt>
                <c:pt idx="11">
                  <c:v>-3.9348239999897888E-4</c:v>
                </c:pt>
                <c:pt idx="12">
                  <c:v>-2.096111666680667E-4</c:v>
                </c:pt>
                <c:pt idx="13">
                  <c:v>4.9679086666798433E-4</c:v>
                </c:pt>
                <c:pt idx="14">
                  <c:v>3.7742233333082347E-5</c:v>
                </c:pt>
                <c:pt idx="15">
                  <c:v>-2.3356750000003151E-4</c:v>
                </c:pt>
                <c:pt idx="16">
                  <c:v>-4.0571536666700331E-4</c:v>
                </c:pt>
                <c:pt idx="17">
                  <c:v>-0.1480262002000001</c:v>
                </c:pt>
                <c:pt idx="18">
                  <c:v>-2.019431522000001</c:v>
                </c:pt>
                <c:pt idx="19">
                  <c:v>-2.055550554599999</c:v>
                </c:pt>
                <c:pt idx="20">
                  <c:v>-2.0014750406333341</c:v>
                </c:pt>
                <c:pt idx="21">
                  <c:v>-2.4054788408999999</c:v>
                </c:pt>
                <c:pt idx="22">
                  <c:v>-2.3748257768333341</c:v>
                </c:pt>
                <c:pt idx="23">
                  <c:v>-2.3167593649333331</c:v>
                </c:pt>
                <c:pt idx="24">
                  <c:v>-2.3546723301333339</c:v>
                </c:pt>
                <c:pt idx="25">
                  <c:v>-2.185796254</c:v>
                </c:pt>
                <c:pt idx="26">
                  <c:v>-1.9654368615</c:v>
                </c:pt>
                <c:pt idx="27">
                  <c:v>-2.0753637456000011</c:v>
                </c:pt>
                <c:pt idx="28">
                  <c:v>-0.52248691990000018</c:v>
                </c:pt>
                <c:pt idx="29">
                  <c:v>-1.9615445298000009</c:v>
                </c:pt>
                <c:pt idx="30">
                  <c:v>-1.5540549711</c:v>
                </c:pt>
                <c:pt idx="31">
                  <c:v>-1.6429452570666681</c:v>
                </c:pt>
                <c:pt idx="32">
                  <c:v>-1.570350042999999</c:v>
                </c:pt>
                <c:pt idx="33">
                  <c:v>-1.0606687880333321</c:v>
                </c:pt>
                <c:pt idx="34">
                  <c:v>-1.0833314621666661</c:v>
                </c:pt>
                <c:pt idx="35">
                  <c:v>-0.79134354923333317</c:v>
                </c:pt>
                <c:pt idx="36">
                  <c:v>-0.39622170100000098</c:v>
                </c:pt>
                <c:pt idx="37">
                  <c:v>-0.29151771116666703</c:v>
                </c:pt>
                <c:pt idx="38">
                  <c:v>-1.7253894133332951E-2</c:v>
                </c:pt>
                <c:pt idx="39">
                  <c:v>-4.4929463333301389E-4</c:v>
                </c:pt>
                <c:pt idx="40">
                  <c:v>-3.8016553333301839E-4</c:v>
                </c:pt>
                <c:pt idx="41">
                  <c:v>1.0233333333398149E-4</c:v>
                </c:pt>
                <c:pt idx="42">
                  <c:v>8.5000000000001741E-5</c:v>
                </c:pt>
                <c:pt idx="43">
                  <c:v>-1.33333333330321E-5</c:v>
                </c:pt>
                <c:pt idx="44">
                  <c:v>-7.9333333333014844E-5</c:v>
                </c:pt>
                <c:pt idx="45">
                  <c:v>-4.3066666666702341E-4</c:v>
                </c:pt>
                <c:pt idx="46">
                  <c:v>-1.4266666666701289E-4</c:v>
                </c:pt>
                <c:pt idx="47">
                  <c:v>-2.05999999999984E-4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C68F-45EB-BAD4-FCE58A6548F0}"/>
            </c:ext>
          </c:extLst>
        </c:ser>
        <c:ser>
          <c:idx val="44"/>
          <c:order val="44"/>
          <c:tx>
            <c:v>BES_TR2_six154_C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Net_kW!$AU$2:$AU$49</c:f>
              <c:numCache>
                <c:formatCode>#,##0.000</c:formatCode>
                <c:ptCount val="48"/>
                <c:pt idx="0">
                  <c:v>1.6266666666700511E-4</c:v>
                </c:pt>
                <c:pt idx="1">
                  <c:v>0</c:v>
                </c:pt>
                <c:pt idx="2">
                  <c:v>0</c:v>
                </c:pt>
                <c:pt idx="3">
                  <c:v>2.1333333333983792E-5</c:v>
                </c:pt>
                <c:pt idx="4">
                  <c:v>0</c:v>
                </c:pt>
                <c:pt idx="5">
                  <c:v>2.1333333332984591E-5</c:v>
                </c:pt>
                <c:pt idx="6">
                  <c:v>0</c:v>
                </c:pt>
                <c:pt idx="7">
                  <c:v>2.7959826666666693E-4</c:v>
                </c:pt>
                <c:pt idx="8">
                  <c:v>1.4342040000041301E-4</c:v>
                </c:pt>
                <c:pt idx="9">
                  <c:v>-2.761119333329959E-4</c:v>
                </c:pt>
                <c:pt idx="10">
                  <c:v>3.2985586666597899E-4</c:v>
                </c:pt>
                <c:pt idx="11">
                  <c:v>9.2345066666998932E-5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-5.8274000000468904E-6</c:v>
                </c:pt>
                <c:pt idx="15">
                  <c:v>-1.7304500000003831E-4</c:v>
                </c:pt>
                <c:pt idx="16">
                  <c:v>-3.8803246666707652E-4</c:v>
                </c:pt>
                <c:pt idx="17">
                  <c:v>3.8453320000009228E-4</c:v>
                </c:pt>
                <c:pt idx="18">
                  <c:v>-2.8268133333431139E-4</c:v>
                </c:pt>
                <c:pt idx="19">
                  <c:v>-0.7730173697333329</c:v>
                </c:pt>
                <c:pt idx="20">
                  <c:v>-1.373094471533334</c:v>
                </c:pt>
                <c:pt idx="21">
                  <c:v>-1.3328498939333331</c:v>
                </c:pt>
                <c:pt idx="22">
                  <c:v>-1.454376629</c:v>
                </c:pt>
                <c:pt idx="23">
                  <c:v>-1.6607833543999999</c:v>
                </c:pt>
                <c:pt idx="24">
                  <c:v>-1.464076997866667</c:v>
                </c:pt>
                <c:pt idx="25">
                  <c:v>-1.3976468360000001</c:v>
                </c:pt>
                <c:pt idx="26">
                  <c:v>-1.6145792409999999</c:v>
                </c:pt>
                <c:pt idx="27">
                  <c:v>-1.4426458304000009</c:v>
                </c:pt>
                <c:pt idx="28">
                  <c:v>-1.4787539465999999</c:v>
                </c:pt>
                <c:pt idx="29">
                  <c:v>-1.385095086533334</c:v>
                </c:pt>
                <c:pt idx="30">
                  <c:v>-1.2855642474</c:v>
                </c:pt>
                <c:pt idx="31">
                  <c:v>-1.055770593600001</c:v>
                </c:pt>
                <c:pt idx="32">
                  <c:v>-1.0309000286666661</c:v>
                </c:pt>
                <c:pt idx="33">
                  <c:v>-0.82874230313333253</c:v>
                </c:pt>
                <c:pt idx="34">
                  <c:v>-0.64487786366666588</c:v>
                </c:pt>
                <c:pt idx="35">
                  <c:v>-0.55897481059999998</c:v>
                </c:pt>
                <c:pt idx="36">
                  <c:v>-0.16514380066666701</c:v>
                </c:pt>
                <c:pt idx="37">
                  <c:v>4.6997033332996102E-4</c:v>
                </c:pt>
                <c:pt idx="38">
                  <c:v>-1.6704053333604921E-4</c:v>
                </c:pt>
                <c:pt idx="39">
                  <c:v>7.9359133330014764E-5</c:v>
                </c:pt>
                <c:pt idx="40">
                  <c:v>-4.5355480000036641E-4</c:v>
                </c:pt>
                <c:pt idx="41">
                  <c:v>4.4866666666987243E-4</c:v>
                </c:pt>
                <c:pt idx="42">
                  <c:v>3.4533333333297561E-4</c:v>
                </c:pt>
                <c:pt idx="43">
                  <c:v>0.373875666666666</c:v>
                </c:pt>
                <c:pt idx="44">
                  <c:v>0.63255799999999995</c:v>
                </c:pt>
                <c:pt idx="45">
                  <c:v>0.61160999999999999</c:v>
                </c:pt>
                <c:pt idx="46">
                  <c:v>0.33025933333333302</c:v>
                </c:pt>
                <c:pt idx="47">
                  <c:v>0.70146533333333405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68F-45EB-BAD4-FCE58A6548F0}"/>
            </c:ext>
          </c:extLst>
        </c:ser>
        <c:ser>
          <c:idx val="45"/>
          <c:order val="45"/>
          <c:tx>
            <c:v>BES_TR2_six173_C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Net_kW!$AV$2:$AV$49</c:f>
              <c:numCache>
                <c:formatCode>#,##0.000</c:formatCode>
                <c:ptCount val="48"/>
                <c:pt idx="0">
                  <c:v>6.0333333332995842E-5</c:v>
                </c:pt>
                <c:pt idx="1">
                  <c:v>3.2166666666699761E-4</c:v>
                </c:pt>
                <c:pt idx="2">
                  <c:v>-7.4333333333953533E-5</c:v>
                </c:pt>
                <c:pt idx="3">
                  <c:v>3.3233333333398951E-4</c:v>
                </c:pt>
                <c:pt idx="4">
                  <c:v>0</c:v>
                </c:pt>
                <c:pt idx="5">
                  <c:v>-4.776666666670148E-4</c:v>
                </c:pt>
                <c:pt idx="6">
                  <c:v>2.9300000000000159E-4</c:v>
                </c:pt>
                <c:pt idx="7">
                  <c:v>2.6559196533333329E-2</c:v>
                </c:pt>
                <c:pt idx="8">
                  <c:v>0.14178784079999979</c:v>
                </c:pt>
                <c:pt idx="9">
                  <c:v>-2.8055720000000339E-4</c:v>
                </c:pt>
                <c:pt idx="10">
                  <c:v>-3.402882666680429E-4</c:v>
                </c:pt>
                <c:pt idx="11">
                  <c:v>1.930234666680519E-4</c:v>
                </c:pt>
                <c:pt idx="12">
                  <c:v>-1.5425933333479411E-4</c:v>
                </c:pt>
                <c:pt idx="13">
                  <c:v>-1.205010666653905E-4</c:v>
                </c:pt>
                <c:pt idx="14">
                  <c:v>-2.9045480000000618E-4</c:v>
                </c:pt>
                <c:pt idx="15">
                  <c:v>-4.5408999999985161E-4</c:v>
                </c:pt>
                <c:pt idx="16">
                  <c:v>-1.009329398266668</c:v>
                </c:pt>
                <c:pt idx="17">
                  <c:v>-2.4460649336000002</c:v>
                </c:pt>
                <c:pt idx="18">
                  <c:v>-2.5943460293333351</c:v>
                </c:pt>
                <c:pt idx="19">
                  <c:v>-1.252390739466662</c:v>
                </c:pt>
                <c:pt idx="20">
                  <c:v>-2.8739449430666681</c:v>
                </c:pt>
                <c:pt idx="21">
                  <c:v>-3.1944322878666669</c:v>
                </c:pt>
                <c:pt idx="22">
                  <c:v>-3.2264412580000008</c:v>
                </c:pt>
                <c:pt idx="23">
                  <c:v>-3.1855457087999999</c:v>
                </c:pt>
                <c:pt idx="24">
                  <c:v>-3.071011662400001</c:v>
                </c:pt>
                <c:pt idx="25">
                  <c:v>-3.1597600053333328</c:v>
                </c:pt>
                <c:pt idx="26">
                  <c:v>-3.133372482</c:v>
                </c:pt>
                <c:pt idx="27">
                  <c:v>-2.9260349941333348</c:v>
                </c:pt>
                <c:pt idx="28">
                  <c:v>-2.6688578932000002</c:v>
                </c:pt>
                <c:pt idx="29">
                  <c:v>-2.467942173066668</c:v>
                </c:pt>
                <c:pt idx="30">
                  <c:v>-2.2770864947999998</c:v>
                </c:pt>
                <c:pt idx="31">
                  <c:v>-2.130644187200001</c:v>
                </c:pt>
                <c:pt idx="32">
                  <c:v>-1.9334000573333321</c:v>
                </c:pt>
                <c:pt idx="33">
                  <c:v>-1.5248089395999991</c:v>
                </c:pt>
                <c:pt idx="34">
                  <c:v>-1.3336573939999989</c:v>
                </c:pt>
                <c:pt idx="35">
                  <c:v>-0.92703028786666708</c:v>
                </c:pt>
                <c:pt idx="36">
                  <c:v>-0.59327293466666808</c:v>
                </c:pt>
                <c:pt idx="37">
                  <c:v>-0.31011339266666699</c:v>
                </c:pt>
                <c:pt idx="38">
                  <c:v>-2.2364081066666149E-2</c:v>
                </c:pt>
                <c:pt idx="39">
                  <c:v>-3.6261506666696031E-4</c:v>
                </c:pt>
                <c:pt idx="40">
                  <c:v>2.1955706666731969E-4</c:v>
                </c:pt>
                <c:pt idx="41">
                  <c:v>-2.9933333333287399E-4</c:v>
                </c:pt>
                <c:pt idx="42">
                  <c:v>1.050000000000217E-4</c:v>
                </c:pt>
                <c:pt idx="43">
                  <c:v>7.6999999999882718E-5</c:v>
                </c:pt>
                <c:pt idx="44">
                  <c:v>3.8766666666689709E-4</c:v>
                </c:pt>
                <c:pt idx="45">
                  <c:v>4.2533333333405482E-4</c:v>
                </c:pt>
                <c:pt idx="46">
                  <c:v>3.9233333333310583E-4</c:v>
                </c:pt>
                <c:pt idx="47">
                  <c:v>-5.3333333334015798E-5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68F-45EB-BAD4-FCE58A6548F0}"/>
            </c:ext>
          </c:extLst>
        </c:ser>
        <c:ser>
          <c:idx val="46"/>
          <c:order val="46"/>
          <c:tx>
            <c:v>BES_TR2_six186_A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Net_kW!$AW$2:$AW$49</c:f>
              <c:numCache>
                <c:formatCode>#,##0.000</c:formatCode>
                <c:ptCount val="48"/>
                <c:pt idx="0">
                  <c:v>1.0933333333298929E-4</c:v>
                </c:pt>
                <c:pt idx="1">
                  <c:v>1.933333333330178E-4</c:v>
                </c:pt>
                <c:pt idx="2">
                  <c:v>2.0666666666670219E-4</c:v>
                </c:pt>
                <c:pt idx="3">
                  <c:v>4.089999999999927E-4</c:v>
                </c:pt>
                <c:pt idx="4">
                  <c:v>-3.1299999999999378E-4</c:v>
                </c:pt>
                <c:pt idx="5">
                  <c:v>-4.093333333329841E-4</c:v>
                </c:pt>
                <c:pt idx="6">
                  <c:v>-2.9099999999998571E-4</c:v>
                </c:pt>
                <c:pt idx="7">
                  <c:v>-4.4080346666667408E-4</c:v>
                </c:pt>
                <c:pt idx="8">
                  <c:v>1.525074666668402E-4</c:v>
                </c:pt>
                <c:pt idx="9">
                  <c:v>3.9527613333301131E-4</c:v>
                </c:pt>
                <c:pt idx="10">
                  <c:v>4.4237839999872191E-4</c:v>
                </c:pt>
                <c:pt idx="11">
                  <c:v>3.4002346666806021E-4</c:v>
                </c:pt>
                <c:pt idx="12">
                  <c:v>-9.9259333334544841E-5</c:v>
                </c:pt>
                <c:pt idx="13">
                  <c:v>-4.681677333318035E-4</c:v>
                </c:pt>
                <c:pt idx="14">
                  <c:v>6.5878533332952571E-5</c:v>
                </c:pt>
                <c:pt idx="15">
                  <c:v>3.7391000000019941E-4</c:v>
                </c:pt>
                <c:pt idx="16">
                  <c:v>-1.5550323982666681</c:v>
                </c:pt>
                <c:pt idx="17">
                  <c:v>-2.4906509336</c:v>
                </c:pt>
                <c:pt idx="18">
                  <c:v>-1.628481029333338</c:v>
                </c:pt>
                <c:pt idx="19">
                  <c:v>-1.4416274061333321</c:v>
                </c:pt>
                <c:pt idx="20">
                  <c:v>-1.253278943066668</c:v>
                </c:pt>
                <c:pt idx="21">
                  <c:v>-2.9909257878666669</c:v>
                </c:pt>
                <c:pt idx="22">
                  <c:v>-3.2089339246666682</c:v>
                </c:pt>
                <c:pt idx="23">
                  <c:v>-3.3638747088000001</c:v>
                </c:pt>
                <c:pt idx="24">
                  <c:v>-3.131579329066668</c:v>
                </c:pt>
                <c:pt idx="25">
                  <c:v>-3.3568766719999998</c:v>
                </c:pt>
                <c:pt idx="26">
                  <c:v>-3.1511269820000001</c:v>
                </c:pt>
                <c:pt idx="27">
                  <c:v>-3.1621859941333348</c:v>
                </c:pt>
                <c:pt idx="28">
                  <c:v>-2.7452102265333331</c:v>
                </c:pt>
                <c:pt idx="29">
                  <c:v>-2.8321901730666679</c:v>
                </c:pt>
                <c:pt idx="30">
                  <c:v>-2.5147444948</c:v>
                </c:pt>
                <c:pt idx="31">
                  <c:v>-2.2376698538666679</c:v>
                </c:pt>
                <c:pt idx="32">
                  <c:v>-2.117158723999998</c:v>
                </c:pt>
                <c:pt idx="33">
                  <c:v>-1.530415939599999</c:v>
                </c:pt>
                <c:pt idx="34">
                  <c:v>-1.4932117273333321</c:v>
                </c:pt>
                <c:pt idx="35">
                  <c:v>-0.90565328786666699</c:v>
                </c:pt>
                <c:pt idx="36">
                  <c:v>-0.86662026800000136</c:v>
                </c:pt>
                <c:pt idx="37">
                  <c:v>-0.57445405933333338</c:v>
                </c:pt>
                <c:pt idx="38">
                  <c:v>-0.1178990810666662</c:v>
                </c:pt>
                <c:pt idx="39">
                  <c:v>-2.5615066666984099E-5</c:v>
                </c:pt>
                <c:pt idx="40">
                  <c:v>2.7489040000028281E-4</c:v>
                </c:pt>
                <c:pt idx="41">
                  <c:v>-2.9066666666699442E-4</c:v>
                </c:pt>
                <c:pt idx="42">
                  <c:v>-4.7533333333299449E-4</c:v>
                </c:pt>
                <c:pt idx="43">
                  <c:v>1.003333333329248E-4</c:v>
                </c:pt>
                <c:pt idx="44">
                  <c:v>-4.9633333333298779E-4</c:v>
                </c:pt>
                <c:pt idx="45">
                  <c:v>1.6766666666701011E-4</c:v>
                </c:pt>
                <c:pt idx="46">
                  <c:v>-2.386666666669979E-4</c:v>
                </c:pt>
                <c:pt idx="47">
                  <c:v>1.6299999999999651E-4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68F-45EB-BAD4-FCE58A6548F0}"/>
            </c:ext>
          </c:extLst>
        </c:ser>
        <c:ser>
          <c:idx val="47"/>
          <c:order val="47"/>
          <c:tx>
            <c:v>BES_TR2_six191_B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Net_kW!$AX$2:$AX$49</c:f>
              <c:numCache>
                <c:formatCode>#,##0.000</c:formatCode>
                <c:ptCount val="48"/>
                <c:pt idx="0">
                  <c:v>-1.659999999999717E-4</c:v>
                </c:pt>
                <c:pt idx="1">
                  <c:v>4.666666666697239E-5</c:v>
                </c:pt>
                <c:pt idx="2">
                  <c:v>2.4736666666699819E-4</c:v>
                </c:pt>
                <c:pt idx="3">
                  <c:v>-1.166666666669869E-4</c:v>
                </c:pt>
                <c:pt idx="4">
                  <c:v>-6.9388939039072284E-18</c:v>
                </c:pt>
                <c:pt idx="5">
                  <c:v>-6.9388939039072284E-18</c:v>
                </c:pt>
                <c:pt idx="6">
                  <c:v>-6.9388939039072284E-18</c:v>
                </c:pt>
                <c:pt idx="7">
                  <c:v>4.1939739999999342E-4</c:v>
                </c:pt>
                <c:pt idx="8">
                  <c:v>-3.0086939999990348E-4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-3.9348239999897888E-4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-0.27924704870000089</c:v>
                </c:pt>
                <c:pt idx="17">
                  <c:v>-1.8424882002</c:v>
                </c:pt>
                <c:pt idx="18">
                  <c:v>-2.0164315220000009</c:v>
                </c:pt>
                <c:pt idx="19">
                  <c:v>-2.1647875545999988</c:v>
                </c:pt>
                <c:pt idx="20">
                  <c:v>-2.2950067073000011</c:v>
                </c:pt>
                <c:pt idx="21">
                  <c:v>-2.4024788409000002</c:v>
                </c:pt>
                <c:pt idx="22">
                  <c:v>-2.449070443500001</c:v>
                </c:pt>
                <c:pt idx="23">
                  <c:v>-2.4735009982666671</c:v>
                </c:pt>
                <c:pt idx="24">
                  <c:v>-2.521860996800001</c:v>
                </c:pt>
                <c:pt idx="25">
                  <c:v>-2.4620835873333329</c:v>
                </c:pt>
                <c:pt idx="26">
                  <c:v>-2.4428688615</c:v>
                </c:pt>
                <c:pt idx="27">
                  <c:v>-2.3500007456000009</c:v>
                </c:pt>
                <c:pt idx="28">
                  <c:v>-2.2391309199</c:v>
                </c:pt>
                <c:pt idx="29">
                  <c:v>-2.0986426298000009</c:v>
                </c:pt>
                <c:pt idx="30">
                  <c:v>-1.9493463711000001</c:v>
                </c:pt>
                <c:pt idx="31">
                  <c:v>-1.7696878904000011</c:v>
                </c:pt>
                <c:pt idx="32">
                  <c:v>-1.5673500429999989</c:v>
                </c:pt>
                <c:pt idx="33">
                  <c:v>-1.323053454699999</c:v>
                </c:pt>
                <c:pt idx="34">
                  <c:v>-0.99755162883333215</c:v>
                </c:pt>
                <c:pt idx="35">
                  <c:v>-0.80646104923333306</c:v>
                </c:pt>
                <c:pt idx="36">
                  <c:v>-0.60718770100000108</c:v>
                </c:pt>
                <c:pt idx="37">
                  <c:v>-0.38410837783333329</c:v>
                </c:pt>
                <c:pt idx="38">
                  <c:v>-3.3777894133332931E-2</c:v>
                </c:pt>
                <c:pt idx="39">
                  <c:v>2.4937203333397218E-4</c:v>
                </c:pt>
                <c:pt idx="40">
                  <c:v>3.6183446666698821E-4</c:v>
                </c:pt>
                <c:pt idx="41">
                  <c:v>-3.9666666666704492E-4</c:v>
                </c:pt>
                <c:pt idx="42">
                  <c:v>-1.4066666666701089E-4</c:v>
                </c:pt>
                <c:pt idx="43">
                  <c:v>-2.8000000000005798E-4</c:v>
                </c:pt>
                <c:pt idx="44">
                  <c:v>3.4100000000003572E-4</c:v>
                </c:pt>
                <c:pt idx="45">
                  <c:v>0</c:v>
                </c:pt>
                <c:pt idx="46">
                  <c:v>-1.666666666670924E-4</c:v>
                </c:pt>
                <c:pt idx="47">
                  <c:v>-9.3333333329725932E-6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C68F-45EB-BAD4-FCE58A6548F0}"/>
            </c:ext>
          </c:extLst>
        </c:ser>
        <c:ser>
          <c:idx val="48"/>
          <c:order val="48"/>
          <c:tx>
            <c:v>BES_TR2_six203_A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Net_kW!$AY$2:$AY$49</c:f>
              <c:numCache>
                <c:formatCode>#,##0.000</c:formatCode>
                <c:ptCount val="48"/>
                <c:pt idx="0">
                  <c:v>-5.3333333333016597E-5</c:v>
                </c:pt>
                <c:pt idx="1">
                  <c:v>0</c:v>
                </c:pt>
                <c:pt idx="2">
                  <c:v>-5.3333333333016597E-5</c:v>
                </c:pt>
                <c:pt idx="3">
                  <c:v>0</c:v>
                </c:pt>
                <c:pt idx="4">
                  <c:v>-2.8466666666700219E-4</c:v>
                </c:pt>
                <c:pt idx="5">
                  <c:v>2.3133333333329181E-4</c:v>
                </c:pt>
                <c:pt idx="6">
                  <c:v>0</c:v>
                </c:pt>
                <c:pt idx="7">
                  <c:v>3.6606406666697683E-4</c:v>
                </c:pt>
                <c:pt idx="8">
                  <c:v>-3.0086939999990001E-4</c:v>
                </c:pt>
                <c:pt idx="9">
                  <c:v>-4.8350123333298559E-4</c:v>
                </c:pt>
                <c:pt idx="10">
                  <c:v>-5.2162000010458343E-6</c:v>
                </c:pt>
                <c:pt idx="11">
                  <c:v>1.5995093333404101E-4</c:v>
                </c:pt>
                <c:pt idx="12">
                  <c:v>2.637221666658141E-4</c:v>
                </c:pt>
                <c:pt idx="13">
                  <c:v>-3.0587579999896702E-4</c:v>
                </c:pt>
                <c:pt idx="14">
                  <c:v>4.7707556666698459E-4</c:v>
                </c:pt>
                <c:pt idx="15">
                  <c:v>3.0432499999788479E-5</c:v>
                </c:pt>
                <c:pt idx="16">
                  <c:v>-0.15541821536666811</c:v>
                </c:pt>
                <c:pt idx="17">
                  <c:v>-1.3619695335333331</c:v>
                </c:pt>
                <c:pt idx="18">
                  <c:v>-1.785127655333334</c:v>
                </c:pt>
                <c:pt idx="19">
                  <c:v>-1.9690955545999991</c:v>
                </c:pt>
                <c:pt idx="20">
                  <c:v>-2.3060067073000008</c:v>
                </c:pt>
                <c:pt idx="21">
                  <c:v>-2.351763507566667</c:v>
                </c:pt>
                <c:pt idx="22">
                  <c:v>-2.147557776833334</c:v>
                </c:pt>
                <c:pt idx="23">
                  <c:v>-2.5231750316000001</c:v>
                </c:pt>
                <c:pt idx="24">
                  <c:v>-2.4996296634666679</c:v>
                </c:pt>
                <c:pt idx="25">
                  <c:v>-2.4530259206666671</c:v>
                </c:pt>
                <c:pt idx="26">
                  <c:v>-2.4538688615000002</c:v>
                </c:pt>
                <c:pt idx="27">
                  <c:v>-2.0573774122666681</c:v>
                </c:pt>
                <c:pt idx="28">
                  <c:v>-2.0425122532333329</c:v>
                </c:pt>
                <c:pt idx="29">
                  <c:v>-1.9379469631333339</c:v>
                </c:pt>
                <c:pt idx="30">
                  <c:v>-1.719513037766667</c:v>
                </c:pt>
                <c:pt idx="31">
                  <c:v>-1.742168223733334</c:v>
                </c:pt>
                <c:pt idx="32">
                  <c:v>-1.534714042999999</c:v>
                </c:pt>
                <c:pt idx="33">
                  <c:v>-1.148477588033332</c:v>
                </c:pt>
                <c:pt idx="34">
                  <c:v>-4.6901862166669028E-2</c:v>
                </c:pt>
                <c:pt idx="35">
                  <c:v>-0.52480714923333416</c:v>
                </c:pt>
                <c:pt idx="36">
                  <c:v>-0.40821270100000112</c:v>
                </c:pt>
                <c:pt idx="37">
                  <c:v>-0.21902604449999999</c:v>
                </c:pt>
                <c:pt idx="38">
                  <c:v>-2.0922746666696129E-4</c:v>
                </c:pt>
                <c:pt idx="39">
                  <c:v>-3.9294633330078099E-5</c:v>
                </c:pt>
                <c:pt idx="40">
                  <c:v>-1.204988666700935E-4</c:v>
                </c:pt>
                <c:pt idx="41">
                  <c:v>-4.7000000000019249E-5</c:v>
                </c:pt>
                <c:pt idx="42">
                  <c:v>-4.46000000000002E-4</c:v>
                </c:pt>
                <c:pt idx="43">
                  <c:v>3.6333333333304912E-4</c:v>
                </c:pt>
                <c:pt idx="44">
                  <c:v>2.09999999999988E-4</c:v>
                </c:pt>
                <c:pt idx="45">
                  <c:v>0</c:v>
                </c:pt>
                <c:pt idx="46">
                  <c:v>-5.3333333333016597E-5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68F-45EB-BAD4-FCE58A6548F0}"/>
            </c:ext>
          </c:extLst>
        </c:ser>
        <c:ser>
          <c:idx val="49"/>
          <c:order val="49"/>
          <c:tx>
            <c:v>BES_TR2_six232_C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Net_kW!$AZ$2:$AZ$49</c:f>
              <c:numCache>
                <c:formatCode>#,##0.000</c:formatCode>
                <c:ptCount val="48"/>
                <c:pt idx="0">
                  <c:v>-4.0066666666699341E-4</c:v>
                </c:pt>
                <c:pt idx="1">
                  <c:v>-1.953333333329921E-4</c:v>
                </c:pt>
                <c:pt idx="2">
                  <c:v>4.9766666666669485E-4</c:v>
                </c:pt>
                <c:pt idx="3">
                  <c:v>-2.070000000000127E-4</c:v>
                </c:pt>
                <c:pt idx="4">
                  <c:v>-1.5266666666699511E-4</c:v>
                </c:pt>
                <c:pt idx="5">
                  <c:v>-1.566666666665828E-4</c:v>
                </c:pt>
                <c:pt idx="6">
                  <c:v>3.1733333333298919E-4</c:v>
                </c:pt>
                <c:pt idx="7">
                  <c:v>-4.2850216666666391E-4</c:v>
                </c:pt>
                <c:pt idx="8">
                  <c:v>-8.4057833333248122E-5</c:v>
                </c:pt>
                <c:pt idx="9">
                  <c:v>3.3519341666700397E-4</c:v>
                </c:pt>
                <c:pt idx="10">
                  <c:v>3.8431983333248038E-4</c:v>
                </c:pt>
                <c:pt idx="11">
                  <c:v>-2.8790199999945138E-4</c:v>
                </c:pt>
                <c:pt idx="12">
                  <c:v>-2.7078708333450052E-4</c:v>
                </c:pt>
                <c:pt idx="13">
                  <c:v>1.6543683333447581E-4</c:v>
                </c:pt>
                <c:pt idx="14">
                  <c:v>7.3340749999761812E-5</c:v>
                </c:pt>
                <c:pt idx="15">
                  <c:v>2.3002708333308419E-4</c:v>
                </c:pt>
                <c:pt idx="16">
                  <c:v>-1.654058333500075E-5</c:v>
                </c:pt>
                <c:pt idx="17">
                  <c:v>4.0649983333285178E-4</c:v>
                </c:pt>
                <c:pt idx="18">
                  <c:v>-0.86892293500000106</c:v>
                </c:pt>
                <c:pt idx="19">
                  <c:v>-1.5833049621666651</c:v>
                </c:pt>
                <c:pt idx="20">
                  <c:v>-1.632108256083334</c:v>
                </c:pt>
                <c:pt idx="21">
                  <c:v>-1.7932397007500001</c:v>
                </c:pt>
                <c:pt idx="22">
                  <c:v>-1.8325205362500001</c:v>
                </c:pt>
                <c:pt idx="23">
                  <c:v>-1.9927005263333331</c:v>
                </c:pt>
                <c:pt idx="24">
                  <c:v>-1.147296163999997</c:v>
                </c:pt>
                <c:pt idx="25">
                  <c:v>-2.0103070449999998</c:v>
                </c:pt>
                <c:pt idx="26">
                  <c:v>-1.97745205125</c:v>
                </c:pt>
                <c:pt idx="27">
                  <c:v>-1.8749606213333341</c:v>
                </c:pt>
                <c:pt idx="28">
                  <c:v>-1.798329099916667</c:v>
                </c:pt>
                <c:pt idx="29">
                  <c:v>-1.6844428581666679</c:v>
                </c:pt>
                <c:pt idx="30">
                  <c:v>-1.541081975916667</c:v>
                </c:pt>
                <c:pt idx="31">
                  <c:v>-1.3779195753333351</c:v>
                </c:pt>
                <c:pt idx="32">
                  <c:v>-1.257200035833332</c:v>
                </c:pt>
                <c:pt idx="33">
                  <c:v>-0.95555921224999996</c:v>
                </c:pt>
                <c:pt idx="34">
                  <c:v>-0.81057666291666552</c:v>
                </c:pt>
                <c:pt idx="35">
                  <c:v>-0.58404451325000006</c:v>
                </c:pt>
                <c:pt idx="36">
                  <c:v>-0.38994175083333449</c:v>
                </c:pt>
                <c:pt idx="37">
                  <c:v>-9.8773370416667006E-2</c:v>
                </c:pt>
                <c:pt idx="38">
                  <c:v>4.7993266666679363E-4</c:v>
                </c:pt>
                <c:pt idx="39">
                  <c:v>-4.2296775000003062E-4</c:v>
                </c:pt>
                <c:pt idx="40">
                  <c:v>4.9097316666635304E-4</c:v>
                </c:pt>
                <c:pt idx="41">
                  <c:v>1.2400000000001299E-4</c:v>
                </c:pt>
                <c:pt idx="42">
                  <c:v>1.513333333329481E-4</c:v>
                </c:pt>
                <c:pt idx="43">
                  <c:v>-3.6033333333299061E-4</c:v>
                </c:pt>
                <c:pt idx="44">
                  <c:v>9.0000000000006741E-5</c:v>
                </c:pt>
                <c:pt idx="45">
                  <c:v>3.9333333333002603E-5</c:v>
                </c:pt>
                <c:pt idx="46">
                  <c:v>3.7333333333300361E-4</c:v>
                </c:pt>
                <c:pt idx="47">
                  <c:v>-2.7799999999998659E-4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C68F-45EB-BAD4-FCE58A6548F0}"/>
            </c:ext>
          </c:extLst>
        </c:ser>
        <c:ser>
          <c:idx val="50"/>
          <c:order val="50"/>
          <c:tx>
            <c:v>BES_TR2_six238_A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Net_kW!$BA$2:$BA$49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-8.5000000000029496E-5</c:v>
                </c:pt>
                <c:pt idx="3">
                  <c:v>-4.3966666666679638E-4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8.1630299999663203E-5</c:v>
                </c:pt>
                <c:pt idx="8">
                  <c:v>-1.346809666665592E-4</c:v>
                </c:pt>
                <c:pt idx="9">
                  <c:v>2.6413745000002098E-4</c:v>
                </c:pt>
                <c:pt idx="10">
                  <c:v>3.6581099998517219E-5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4.5181156666795902E-4</c:v>
                </c:pt>
                <c:pt idx="14">
                  <c:v>2.8547705000003809E-4</c:v>
                </c:pt>
                <c:pt idx="15">
                  <c:v>-8.8495416666889426E-5</c:v>
                </c:pt>
                <c:pt idx="16">
                  <c:v>-1.759522223483335</c:v>
                </c:pt>
                <c:pt idx="17">
                  <c:v>-2.1855695668999999</c:v>
                </c:pt>
                <c:pt idx="18">
                  <c:v>-2.077081442333335</c:v>
                </c:pt>
                <c:pt idx="19">
                  <c:v>-2.5615854803666651</c:v>
                </c:pt>
                <c:pt idx="20">
                  <c:v>-2.557621158516667</c:v>
                </c:pt>
                <c:pt idx="21">
                  <c:v>-2.7238386477166672</c:v>
                </c:pt>
                <c:pt idx="22">
                  <c:v>-2.9278556840833341</c:v>
                </c:pt>
                <c:pt idx="23">
                  <c:v>-2.744922536866667</c:v>
                </c:pt>
                <c:pt idx="24">
                  <c:v>-2.6766357629333348</c:v>
                </c:pt>
                <c:pt idx="25">
                  <c:v>-1.66116479633333</c:v>
                </c:pt>
                <c:pt idx="26">
                  <c:v>-2.7332771384166672</c:v>
                </c:pt>
                <c:pt idx="27">
                  <c:v>-2.562077536533335</c:v>
                </c:pt>
                <c:pt idx="28">
                  <c:v>-2.2778250732166669</c:v>
                </c:pt>
                <c:pt idx="29">
                  <c:v>-1.9887727347666679</c:v>
                </c:pt>
                <c:pt idx="30">
                  <c:v>-1.97695943295</c:v>
                </c:pt>
                <c:pt idx="31">
                  <c:v>-0.46222587213333388</c:v>
                </c:pt>
                <c:pt idx="32">
                  <c:v>-0.72724171683333494</c:v>
                </c:pt>
                <c:pt idx="33">
                  <c:v>3.4130285000513738E-4</c:v>
                </c:pt>
                <c:pt idx="34">
                  <c:v>-0.9259855947499982</c:v>
                </c:pt>
                <c:pt idx="35">
                  <c:v>4.540814500000045E-4</c:v>
                </c:pt>
                <c:pt idx="36">
                  <c:v>4.9348833332574227E-5</c:v>
                </c:pt>
                <c:pt idx="37">
                  <c:v>1.3111474999982781E-4</c:v>
                </c:pt>
                <c:pt idx="38">
                  <c:v>1.5767906666649961E-4</c:v>
                </c:pt>
                <c:pt idx="39">
                  <c:v>4.9537848333297552E-4</c:v>
                </c:pt>
                <c:pt idx="40">
                  <c:v>-2.8897089999935233E-4</c:v>
                </c:pt>
                <c:pt idx="41">
                  <c:v>9.0666666666017193E-5</c:v>
                </c:pt>
                <c:pt idx="42">
                  <c:v>-2.7299999999996771E-4</c:v>
                </c:pt>
                <c:pt idx="43">
                  <c:v>-3.8333333333029351E-5</c:v>
                </c:pt>
                <c:pt idx="44">
                  <c:v>-1.090000000000257E-4</c:v>
                </c:pt>
                <c:pt idx="45">
                  <c:v>4.276666666669926E-4</c:v>
                </c:pt>
                <c:pt idx="46">
                  <c:v>3.3133333333296161E-4</c:v>
                </c:pt>
                <c:pt idx="47">
                  <c:v>6.1666666666959635E-5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68F-45EB-BAD4-FCE58A6548F0}"/>
            </c:ext>
          </c:extLst>
        </c:ser>
        <c:ser>
          <c:idx val="51"/>
          <c:order val="51"/>
          <c:tx>
            <c:v>BES_TR2_six249_B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Net_kW!$BB$2:$BB$49</c:f>
              <c:numCache>
                <c:formatCode>#,##0.000</c:formatCode>
                <c:ptCount val="48"/>
                <c:pt idx="0">
                  <c:v>0</c:v>
                </c:pt>
                <c:pt idx="1">
                  <c:v>2.5866666666701787E-4</c:v>
                </c:pt>
                <c:pt idx="2">
                  <c:v>8.2000000000012618E-5</c:v>
                </c:pt>
                <c:pt idx="3">
                  <c:v>1.423333333329668E-4</c:v>
                </c:pt>
                <c:pt idx="4">
                  <c:v>0</c:v>
                </c:pt>
                <c:pt idx="5">
                  <c:v>-3.2666666666986137E-5</c:v>
                </c:pt>
                <c:pt idx="6">
                  <c:v>2.5866666666701787E-4</c:v>
                </c:pt>
                <c:pt idx="7">
                  <c:v>-3.3460259999998349E-4</c:v>
                </c:pt>
                <c:pt idx="8">
                  <c:v>1.9513060000007909E-4</c:v>
                </c:pt>
                <c:pt idx="9">
                  <c:v>5.3832100000025813E-5</c:v>
                </c:pt>
                <c:pt idx="10">
                  <c:v>3.6078379999898708E-4</c:v>
                </c:pt>
                <c:pt idx="11">
                  <c:v>4.6385093333400912E-4</c:v>
                </c:pt>
                <c:pt idx="12">
                  <c:v>6.1055499998907692E-5</c:v>
                </c:pt>
                <c:pt idx="13">
                  <c:v>-4.7209133332004598E-5</c:v>
                </c:pt>
                <c:pt idx="14">
                  <c:v>4.9774223333320933E-4</c:v>
                </c:pt>
                <c:pt idx="15">
                  <c:v>3.0432500000010521E-5</c:v>
                </c:pt>
                <c:pt idx="16">
                  <c:v>-4.3904870000099899E-4</c:v>
                </c:pt>
                <c:pt idx="17">
                  <c:v>-1.4080748668666661</c:v>
                </c:pt>
                <c:pt idx="18">
                  <c:v>-2.0384315220000011</c:v>
                </c:pt>
                <c:pt idx="19">
                  <c:v>-2.1330252212666649</c:v>
                </c:pt>
                <c:pt idx="20">
                  <c:v>-2.123027040633334</c:v>
                </c:pt>
                <c:pt idx="21">
                  <c:v>-2.4029948408999999</c:v>
                </c:pt>
                <c:pt idx="22">
                  <c:v>-2.3317661101666678</c:v>
                </c:pt>
                <c:pt idx="23">
                  <c:v>-2.3853063649333328</c:v>
                </c:pt>
                <c:pt idx="24">
                  <c:v>-2.285353996800001</c:v>
                </c:pt>
                <c:pt idx="25">
                  <c:v>-2.4392862540000002</c:v>
                </c:pt>
                <c:pt idx="26">
                  <c:v>-2.4357045281666672</c:v>
                </c:pt>
                <c:pt idx="27">
                  <c:v>-2.210713745600001</c:v>
                </c:pt>
                <c:pt idx="28">
                  <c:v>-2.1608722532333329</c:v>
                </c:pt>
                <c:pt idx="29">
                  <c:v>-1.9977572964666681</c:v>
                </c:pt>
                <c:pt idx="30">
                  <c:v>-1.9252643710999999</c:v>
                </c:pt>
                <c:pt idx="31">
                  <c:v>-1.6914292237333339</c:v>
                </c:pt>
                <c:pt idx="32">
                  <c:v>-1.435743376333332</c:v>
                </c:pt>
                <c:pt idx="33">
                  <c:v>-1.279563454699999</c:v>
                </c:pt>
                <c:pt idx="34">
                  <c:v>-1.035558128833332</c:v>
                </c:pt>
                <c:pt idx="35">
                  <c:v>-0.74321621590000009</c:v>
                </c:pt>
                <c:pt idx="36">
                  <c:v>-0.41526036766666802</c:v>
                </c:pt>
                <c:pt idx="37">
                  <c:v>-0.116637711166667</c:v>
                </c:pt>
                <c:pt idx="38">
                  <c:v>2.1077253333309789E-4</c:v>
                </c:pt>
                <c:pt idx="39">
                  <c:v>2.170386999999496E-4</c:v>
                </c:pt>
                <c:pt idx="40">
                  <c:v>-3.6016553333301232E-4</c:v>
                </c:pt>
                <c:pt idx="41">
                  <c:v>-2.1833333333301511E-4</c:v>
                </c:pt>
                <c:pt idx="42">
                  <c:v>0</c:v>
                </c:pt>
                <c:pt idx="43">
                  <c:v>-3.5466666666660041E-4</c:v>
                </c:pt>
                <c:pt idx="44">
                  <c:v>1.789999999999847E-4</c:v>
                </c:pt>
                <c:pt idx="45">
                  <c:v>4.0166666666670292E-4</c:v>
                </c:pt>
                <c:pt idx="46">
                  <c:v>2.5866666666701787E-4</c:v>
                </c:pt>
                <c:pt idx="47">
                  <c:v>-3.2666666666986137E-5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C68F-45EB-BAD4-FCE58A6548F0}"/>
            </c:ext>
          </c:extLst>
        </c:ser>
        <c:ser>
          <c:idx val="52"/>
          <c:order val="52"/>
          <c:tx>
            <c:v>BES_TR2_six254_B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Net_kW!$BC$2:$BC$49</c:f>
              <c:numCache>
                <c:formatCode>#,##0.000</c:formatCode>
                <c:ptCount val="48"/>
                <c:pt idx="0">
                  <c:v>2.8700000000003723E-4</c:v>
                </c:pt>
                <c:pt idx="1">
                  <c:v>-2.2533333333307759E-4</c:v>
                </c:pt>
                <c:pt idx="2">
                  <c:v>0</c:v>
                </c:pt>
                <c:pt idx="3">
                  <c:v>-7.6666666666697081E-5</c:v>
                </c:pt>
                <c:pt idx="4">
                  <c:v>3.3933333333299731E-4</c:v>
                </c:pt>
                <c:pt idx="5">
                  <c:v>0</c:v>
                </c:pt>
                <c:pt idx="6">
                  <c:v>-3.0666666666701042E-4</c:v>
                </c:pt>
                <c:pt idx="7">
                  <c:v>1.2852986666672669E-4</c:v>
                </c:pt>
                <c:pt idx="8">
                  <c:v>2.5084079999979081E-4</c:v>
                </c:pt>
                <c:pt idx="9">
                  <c:v>-2.9622386666702799E-4</c:v>
                </c:pt>
                <c:pt idx="10">
                  <c:v>-3.4028826666798739E-4</c:v>
                </c:pt>
                <c:pt idx="11">
                  <c:v>-3.6530986666527537E-4</c:v>
                </c:pt>
                <c:pt idx="12">
                  <c:v>-1.485926666681125E-4</c:v>
                </c:pt>
                <c:pt idx="13">
                  <c:v>2.5883226666811859E-4</c:v>
                </c:pt>
                <c:pt idx="14">
                  <c:v>2.9587853333290498E-4</c:v>
                </c:pt>
                <c:pt idx="15">
                  <c:v>-2.5675666666691299E-4</c:v>
                </c:pt>
                <c:pt idx="16">
                  <c:v>-1.803329398266668</c:v>
                </c:pt>
                <c:pt idx="17">
                  <c:v>-2.3369270669333329</c:v>
                </c:pt>
                <c:pt idx="18">
                  <c:v>-2.7082693626666678</c:v>
                </c:pt>
                <c:pt idx="19">
                  <c:v>-2.8094057394666652</c:v>
                </c:pt>
                <c:pt idx="20">
                  <c:v>-1.461917609733338</c:v>
                </c:pt>
                <c:pt idx="21">
                  <c:v>-2.648107787866667</c:v>
                </c:pt>
                <c:pt idx="22">
                  <c:v>-2.7117819246666679</c:v>
                </c:pt>
                <c:pt idx="23">
                  <c:v>-3.0556980421333328</c:v>
                </c:pt>
                <c:pt idx="24">
                  <c:v>-3.1429739957333349</c:v>
                </c:pt>
                <c:pt idx="25">
                  <c:v>-3.1668753386666668</c:v>
                </c:pt>
                <c:pt idx="26">
                  <c:v>-2.938638482</c:v>
                </c:pt>
                <c:pt idx="27">
                  <c:v>-2.711540994133335</c:v>
                </c:pt>
                <c:pt idx="28">
                  <c:v>-2.7845378932</c:v>
                </c:pt>
                <c:pt idx="29">
                  <c:v>-2.4890721730666678</c:v>
                </c:pt>
                <c:pt idx="30">
                  <c:v>-2.5147804948000001</c:v>
                </c:pt>
                <c:pt idx="31">
                  <c:v>-2.1501678538666682</c:v>
                </c:pt>
                <c:pt idx="32">
                  <c:v>-1.9045167239999981</c:v>
                </c:pt>
                <c:pt idx="33">
                  <c:v>-1.723909906266665</c:v>
                </c:pt>
                <c:pt idx="34">
                  <c:v>-1.3117757606666649</c:v>
                </c:pt>
                <c:pt idx="35">
                  <c:v>-1.1302181878666671</c:v>
                </c:pt>
                <c:pt idx="36">
                  <c:v>-0.61885903466666803</c:v>
                </c:pt>
                <c:pt idx="37">
                  <c:v>-0.45614072600000011</c:v>
                </c:pt>
                <c:pt idx="38">
                  <c:v>-0.22719308106666619</c:v>
                </c:pt>
                <c:pt idx="39">
                  <c:v>-2.7615066666986099E-5</c:v>
                </c:pt>
                <c:pt idx="40">
                  <c:v>-2.4244293333369751E-4</c:v>
                </c:pt>
                <c:pt idx="41">
                  <c:v>-1.20000000000009E-4</c:v>
                </c:pt>
                <c:pt idx="42">
                  <c:v>4.866666666670239E-4</c:v>
                </c:pt>
                <c:pt idx="43">
                  <c:v>4.1866666666712238E-4</c:v>
                </c:pt>
                <c:pt idx="44">
                  <c:v>1.033333333330111E-4</c:v>
                </c:pt>
                <c:pt idx="45">
                  <c:v>-2.1533333333330351E-4</c:v>
                </c:pt>
                <c:pt idx="46">
                  <c:v>-1.749999999999807E-4</c:v>
                </c:pt>
                <c:pt idx="47">
                  <c:v>-2.6399999999998652E-4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68F-45EB-BAD4-FCE58A6548F0}"/>
            </c:ext>
          </c:extLst>
        </c:ser>
        <c:ser>
          <c:idx val="53"/>
          <c:order val="53"/>
          <c:tx>
            <c:v>BES_TR2_six269_C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Net_kW!$BD$2:$BD$49</c:f>
              <c:numCache>
                <c:formatCode>#,##0.000</c:formatCode>
                <c:ptCount val="48"/>
                <c:pt idx="0">
                  <c:v>3.3866666666701462E-4</c:v>
                </c:pt>
                <c:pt idx="1">
                  <c:v>2.5199999999998829E-4</c:v>
                </c:pt>
                <c:pt idx="2">
                  <c:v>-1.4800000000000921E-4</c:v>
                </c:pt>
                <c:pt idx="3">
                  <c:v>-4.0933333333301181E-4</c:v>
                </c:pt>
                <c:pt idx="4">
                  <c:v>9.4666666666701205E-5</c:v>
                </c:pt>
                <c:pt idx="5">
                  <c:v>-2.4266666666701581E-4</c:v>
                </c:pt>
                <c:pt idx="6">
                  <c:v>-1.7266666666698741E-4</c:v>
                </c:pt>
                <c:pt idx="7">
                  <c:v>-3.9536970000035593E-4</c:v>
                </c:pt>
                <c:pt idx="8">
                  <c:v>-2.4101429999956461E-4</c:v>
                </c:pt>
                <c:pt idx="9">
                  <c:v>-3.3586254999999621E-4</c:v>
                </c:pt>
                <c:pt idx="10">
                  <c:v>-4.3608556666779869E-4</c:v>
                </c:pt>
                <c:pt idx="11">
                  <c:v>2.4560386666749873E-4</c:v>
                </c:pt>
                <c:pt idx="12">
                  <c:v>-9.4101916667810315E-5</c:v>
                </c:pt>
                <c:pt idx="13">
                  <c:v>-1.8885509999844169E-4</c:v>
                </c:pt>
                <c:pt idx="14">
                  <c:v>-1.065229499999099E-4</c:v>
                </c:pt>
                <c:pt idx="15">
                  <c:v>2.0217124999999389E-4</c:v>
                </c:pt>
                <c:pt idx="16">
                  <c:v>-0.54941422348333524</c:v>
                </c:pt>
                <c:pt idx="17">
                  <c:v>-1.7861483002333329</c:v>
                </c:pt>
                <c:pt idx="18">
                  <c:v>-2.1581211090000019</c:v>
                </c:pt>
                <c:pt idx="19">
                  <c:v>-2.2923654803666649</c:v>
                </c:pt>
                <c:pt idx="20">
                  <c:v>-2.4182004918500009</c:v>
                </c:pt>
                <c:pt idx="21">
                  <c:v>-1.79743904771667</c:v>
                </c:pt>
                <c:pt idx="22">
                  <c:v>-2.794764017416667</c:v>
                </c:pt>
                <c:pt idx="23">
                  <c:v>-1.8426728701999999</c:v>
                </c:pt>
                <c:pt idx="24">
                  <c:v>-0.84444449626666529</c:v>
                </c:pt>
                <c:pt idx="25">
                  <c:v>-1.3446727296666701</c:v>
                </c:pt>
                <c:pt idx="26">
                  <c:v>-2.7083064717499998</c:v>
                </c:pt>
                <c:pt idx="27">
                  <c:v>-2.5644157365333351</c:v>
                </c:pt>
                <c:pt idx="28">
                  <c:v>-2.5818248065499998</c:v>
                </c:pt>
                <c:pt idx="29">
                  <c:v>-2.202885868100001</c:v>
                </c:pt>
                <c:pt idx="30">
                  <c:v>-2.2506940996166671</c:v>
                </c:pt>
                <c:pt idx="31">
                  <c:v>-2.0333838721333342</c:v>
                </c:pt>
                <c:pt idx="32">
                  <c:v>-1.659526383499998</c:v>
                </c:pt>
                <c:pt idx="33">
                  <c:v>-1.5464203638166649</c:v>
                </c:pt>
                <c:pt idx="34">
                  <c:v>-1.097163594749998</c:v>
                </c:pt>
                <c:pt idx="35">
                  <c:v>-0.96990991855000008</c:v>
                </c:pt>
                <c:pt idx="36">
                  <c:v>-0.75255231783333443</c:v>
                </c:pt>
                <c:pt idx="37">
                  <c:v>-0.44506355191666702</c:v>
                </c:pt>
                <c:pt idx="38">
                  <c:v>-7.6681320933333519E-2</c:v>
                </c:pt>
                <c:pt idx="39">
                  <c:v>-3.8764954849999998E-2</c:v>
                </c:pt>
                <c:pt idx="40">
                  <c:v>-2.6797090000035828E-4</c:v>
                </c:pt>
                <c:pt idx="41">
                  <c:v>4.1733333333331119E-4</c:v>
                </c:pt>
                <c:pt idx="42">
                  <c:v>-4.6666666667027901E-5</c:v>
                </c:pt>
                <c:pt idx="43">
                  <c:v>4.8933333333300855E-4</c:v>
                </c:pt>
                <c:pt idx="44">
                  <c:v>0</c:v>
                </c:pt>
                <c:pt idx="45">
                  <c:v>1.6666666666997901E-5</c:v>
                </c:pt>
                <c:pt idx="46">
                  <c:v>4.2600000000010679E-4</c:v>
                </c:pt>
                <c:pt idx="47">
                  <c:v>1.3133333333301131E-4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C68F-45EB-BAD4-FCE58A6548F0}"/>
            </c:ext>
          </c:extLst>
        </c:ser>
        <c:ser>
          <c:idx val="54"/>
          <c:order val="54"/>
          <c:tx>
            <c:v>BES_TR2_six289_C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Net_kW!$BE$2:$BE$49</c:f>
              <c:numCache>
                <c:formatCode>#,##0.000</c:formatCode>
                <c:ptCount val="48"/>
                <c:pt idx="0">
                  <c:v>2.2666666666704141E-4</c:v>
                </c:pt>
                <c:pt idx="1">
                  <c:v>4.8233333333300149E-4</c:v>
                </c:pt>
                <c:pt idx="2">
                  <c:v>2.823333333330097E-4</c:v>
                </c:pt>
                <c:pt idx="3">
                  <c:v>4.186666666669836E-4</c:v>
                </c:pt>
                <c:pt idx="4">
                  <c:v>3.4599999999998521E-4</c:v>
                </c:pt>
                <c:pt idx="5">
                  <c:v>3.2000000000004247E-5</c:v>
                </c:pt>
                <c:pt idx="6">
                  <c:v>2.9466666666699842E-4</c:v>
                </c:pt>
                <c:pt idx="7">
                  <c:v>4.2729696666667089E-4</c:v>
                </c:pt>
                <c:pt idx="8">
                  <c:v>-3.7834763333352561E-4</c:v>
                </c:pt>
                <c:pt idx="9">
                  <c:v>1.234707833332738E-4</c:v>
                </c:pt>
                <c:pt idx="10">
                  <c:v>3.2724776666548378E-4</c:v>
                </c:pt>
                <c:pt idx="11">
                  <c:v>3.2493720000154053E-4</c:v>
                </c:pt>
                <c:pt idx="12">
                  <c:v>7.1231416665429315E-5</c:v>
                </c:pt>
                <c:pt idx="13">
                  <c:v>-1.6188433331842941E-5</c:v>
                </c:pt>
                <c:pt idx="14">
                  <c:v>4.2810383333202751E-5</c:v>
                </c:pt>
                <c:pt idx="15">
                  <c:v>2.9717124999995009E-4</c:v>
                </c:pt>
                <c:pt idx="16">
                  <c:v>4.9577651666510292E-4</c:v>
                </c:pt>
                <c:pt idx="17">
                  <c:v>-2.1956690000013429E-4</c:v>
                </c:pt>
                <c:pt idx="18">
                  <c:v>-0.89390344233333507</c:v>
                </c:pt>
                <c:pt idx="19">
                  <c:v>-1.905298480366665</c:v>
                </c:pt>
                <c:pt idx="20">
                  <c:v>-2.6112194918500009</c:v>
                </c:pt>
                <c:pt idx="21">
                  <c:v>-2.4815886477166669</c:v>
                </c:pt>
                <c:pt idx="22">
                  <c:v>-2.5777190174166682</c:v>
                </c:pt>
                <c:pt idx="23">
                  <c:v>-0.90834953686667008</c:v>
                </c:pt>
                <c:pt idx="24">
                  <c:v>-1.9210784962666649</c:v>
                </c:pt>
                <c:pt idx="25">
                  <c:v>-2.631201463</c:v>
                </c:pt>
                <c:pt idx="26">
                  <c:v>-2.5085103384166669</c:v>
                </c:pt>
                <c:pt idx="27">
                  <c:v>-2.323209536533335</c:v>
                </c:pt>
                <c:pt idx="28">
                  <c:v>-2.3291314065500002</c:v>
                </c:pt>
                <c:pt idx="29">
                  <c:v>-1.590862734766668</c:v>
                </c:pt>
                <c:pt idx="30">
                  <c:v>-1.1136284329499999</c:v>
                </c:pt>
                <c:pt idx="31">
                  <c:v>-6.4124205466663753E-2</c:v>
                </c:pt>
                <c:pt idx="32">
                  <c:v>-1.5510797168333319</c:v>
                </c:pt>
                <c:pt idx="33">
                  <c:v>-1.113347697149998</c:v>
                </c:pt>
                <c:pt idx="34">
                  <c:v>-0.31977626141666499</c:v>
                </c:pt>
                <c:pt idx="35">
                  <c:v>-0.28270725188333312</c:v>
                </c:pt>
                <c:pt idx="36">
                  <c:v>-0.36092498450000149</c:v>
                </c:pt>
                <c:pt idx="37">
                  <c:v>-0.36546121858333303</c:v>
                </c:pt>
                <c:pt idx="38">
                  <c:v>-4.7932093333352688E-4</c:v>
                </c:pt>
                <c:pt idx="39">
                  <c:v>2.604515000004248E-5</c:v>
                </c:pt>
                <c:pt idx="40">
                  <c:v>-3.7697090000365918E-4</c:v>
                </c:pt>
                <c:pt idx="41">
                  <c:v>1.8666666666966589E-4</c:v>
                </c:pt>
                <c:pt idx="42">
                  <c:v>7.1666666670022749E-5</c:v>
                </c:pt>
                <c:pt idx="43">
                  <c:v>1.52525333333333</c:v>
                </c:pt>
                <c:pt idx="44">
                  <c:v>1.1790273333333301</c:v>
                </c:pt>
                <c:pt idx="45">
                  <c:v>0.39536666666666698</c:v>
                </c:pt>
                <c:pt idx="46">
                  <c:v>0.12631400000000001</c:v>
                </c:pt>
                <c:pt idx="47">
                  <c:v>0.17909600000000001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68F-45EB-BAD4-FCE58A6548F0}"/>
            </c:ext>
          </c:extLst>
        </c:ser>
        <c:ser>
          <c:idx val="55"/>
          <c:order val="55"/>
          <c:tx>
            <c:v>BES_TR2_six317_C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Net_kW!$BF$2:$BF$49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2.655074666667988E-4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-4.5945480000009198E-4</c:v>
                </c:pt>
                <c:pt idx="15">
                  <c:v>-1.3080090900000001</c:v>
                </c:pt>
                <c:pt idx="16">
                  <c:v>-2.2163293982666681</c:v>
                </c:pt>
                <c:pt idx="17">
                  <c:v>-2.4886509335999998</c:v>
                </c:pt>
                <c:pt idx="18">
                  <c:v>-2.720575362666668</c:v>
                </c:pt>
                <c:pt idx="19">
                  <c:v>-2.9183834061333318</c:v>
                </c:pt>
                <c:pt idx="20">
                  <c:v>-2.8042527430666682</c:v>
                </c:pt>
                <c:pt idx="21">
                  <c:v>-0.25309178786667008</c:v>
                </c:pt>
                <c:pt idx="22">
                  <c:v>-1.0501179246666681</c:v>
                </c:pt>
                <c:pt idx="23">
                  <c:v>-2.7592585087999999</c:v>
                </c:pt>
                <c:pt idx="24">
                  <c:v>-3.3613393290666682</c:v>
                </c:pt>
                <c:pt idx="25">
                  <c:v>-3.3351797386666671</c:v>
                </c:pt>
                <c:pt idx="26">
                  <c:v>-3.0915284820000002</c:v>
                </c:pt>
                <c:pt idx="27">
                  <c:v>-3.1653343274666681</c:v>
                </c:pt>
                <c:pt idx="28">
                  <c:v>-3.0175078931999999</c:v>
                </c:pt>
                <c:pt idx="29">
                  <c:v>-2.736573173066668</c:v>
                </c:pt>
                <c:pt idx="30">
                  <c:v>-2.617453128133334</c:v>
                </c:pt>
                <c:pt idx="31">
                  <c:v>-2.2873477538666682</c:v>
                </c:pt>
                <c:pt idx="32">
                  <c:v>-2.0373915239999989</c:v>
                </c:pt>
                <c:pt idx="33">
                  <c:v>3.4686039999820562E-4</c:v>
                </c:pt>
                <c:pt idx="34">
                  <c:v>-0.98182762733333195</c:v>
                </c:pt>
                <c:pt idx="35">
                  <c:v>-1.122664254533333</c:v>
                </c:pt>
                <c:pt idx="36">
                  <c:v>-0.82718426800000133</c:v>
                </c:pt>
                <c:pt idx="37">
                  <c:v>-0.34512072599999999</c:v>
                </c:pt>
                <c:pt idx="38">
                  <c:v>-0.27228241439999978</c:v>
                </c:pt>
                <c:pt idx="39">
                  <c:v>-7.3615066667004347E-5</c:v>
                </c:pt>
                <c:pt idx="40">
                  <c:v>1.628904000003373E-4</c:v>
                </c:pt>
                <c:pt idx="41">
                  <c:v>-1.093333333299085E-5</c:v>
                </c:pt>
                <c:pt idx="42">
                  <c:v>4.2366666666701641E-4</c:v>
                </c:pt>
                <c:pt idx="43">
                  <c:v>4.426666666670076E-4</c:v>
                </c:pt>
                <c:pt idx="44">
                  <c:v>0</c:v>
                </c:pt>
                <c:pt idx="45">
                  <c:v>-4.129999999999967E-4</c:v>
                </c:pt>
                <c:pt idx="46">
                  <c:v>4.866666666670239E-4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C68F-45EB-BAD4-FCE58A6548F0}"/>
            </c:ext>
          </c:extLst>
        </c:ser>
        <c:ser>
          <c:idx val="56"/>
          <c:order val="56"/>
          <c:tx>
            <c:v>BES_TR2_six326_A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Net_kW!$BG$2:$BG$49</c:f>
              <c:numCache>
                <c:formatCode>#,##0.000</c:formatCode>
                <c:ptCount val="48"/>
                <c:pt idx="0">
                  <c:v>3.4400000000001102E-4</c:v>
                </c:pt>
                <c:pt idx="1">
                  <c:v>0</c:v>
                </c:pt>
                <c:pt idx="2">
                  <c:v>2.8799999999999659E-4</c:v>
                </c:pt>
                <c:pt idx="3">
                  <c:v>1.22000000000011E-4</c:v>
                </c:pt>
                <c:pt idx="4">
                  <c:v>2.319999999999961E-4</c:v>
                </c:pt>
                <c:pt idx="5">
                  <c:v>1.7800000000001151E-4</c:v>
                </c:pt>
                <c:pt idx="6">
                  <c:v>0</c:v>
                </c:pt>
                <c:pt idx="7">
                  <c:v>-4.8636970000034968E-4</c:v>
                </c:pt>
                <c:pt idx="8">
                  <c:v>3.6798570000043379E-4</c:v>
                </c:pt>
                <c:pt idx="9">
                  <c:v>4.9813745000001908E-4</c:v>
                </c:pt>
                <c:pt idx="10">
                  <c:v>3.2724776666548378E-4</c:v>
                </c:pt>
                <c:pt idx="11">
                  <c:v>4.1227053333459113E-4</c:v>
                </c:pt>
                <c:pt idx="12">
                  <c:v>-5.6768583334587668E-5</c:v>
                </c:pt>
                <c:pt idx="13">
                  <c:v>-2.3521766665091089E-5</c:v>
                </c:pt>
                <c:pt idx="14">
                  <c:v>-2.5052294999983182E-4</c:v>
                </c:pt>
                <c:pt idx="15">
                  <c:v>1.9950458333317661E-4</c:v>
                </c:pt>
                <c:pt idx="16">
                  <c:v>-1.206635556816668</c:v>
                </c:pt>
                <c:pt idx="17">
                  <c:v>-2.0794015669000001</c:v>
                </c:pt>
                <c:pt idx="18">
                  <c:v>-2.2859654423333349</c:v>
                </c:pt>
                <c:pt idx="19">
                  <c:v>-2.012222813699998</c:v>
                </c:pt>
                <c:pt idx="20">
                  <c:v>-1.7765444918500011</c:v>
                </c:pt>
                <c:pt idx="21">
                  <c:v>-2.8258919810499998</c:v>
                </c:pt>
                <c:pt idx="22">
                  <c:v>-2.806159684083334</c:v>
                </c:pt>
                <c:pt idx="23">
                  <c:v>-2.8591568702000001</c:v>
                </c:pt>
                <c:pt idx="24">
                  <c:v>-2.965171162933335</c:v>
                </c:pt>
                <c:pt idx="25">
                  <c:v>-2.808826129666667</c:v>
                </c:pt>
                <c:pt idx="26">
                  <c:v>-2.7434756717500002</c:v>
                </c:pt>
                <c:pt idx="27">
                  <c:v>-2.6945998698666682</c:v>
                </c:pt>
                <c:pt idx="28">
                  <c:v>-2.488643739883333</c:v>
                </c:pt>
                <c:pt idx="29">
                  <c:v>-2.4279164014333352</c:v>
                </c:pt>
                <c:pt idx="30">
                  <c:v>-2.1382194329500002</c:v>
                </c:pt>
                <c:pt idx="31">
                  <c:v>-1.9595078721333341</c:v>
                </c:pt>
                <c:pt idx="32">
                  <c:v>-1.767928816833332</c:v>
                </c:pt>
                <c:pt idx="33">
                  <c:v>-1.4860754304833319</c:v>
                </c:pt>
                <c:pt idx="34">
                  <c:v>-1.148626061416665</c:v>
                </c:pt>
                <c:pt idx="35">
                  <c:v>-0.95437271855000005</c:v>
                </c:pt>
                <c:pt idx="36">
                  <c:v>-0.53787131783333453</c:v>
                </c:pt>
                <c:pt idx="37">
                  <c:v>-0.18684755191666699</c:v>
                </c:pt>
                <c:pt idx="38">
                  <c:v>-6.6570654266666529E-2</c:v>
                </c:pt>
                <c:pt idx="39">
                  <c:v>4.1837848333298178E-4</c:v>
                </c:pt>
                <c:pt idx="40">
                  <c:v>3.0769576666678228E-4</c:v>
                </c:pt>
                <c:pt idx="41">
                  <c:v>3.1266666666696091E-4</c:v>
                </c:pt>
                <c:pt idx="42">
                  <c:v>0</c:v>
                </c:pt>
                <c:pt idx="43">
                  <c:v>4.639999999999922E-4</c:v>
                </c:pt>
                <c:pt idx="44">
                  <c:v>4.0800000000000558E-4</c:v>
                </c:pt>
                <c:pt idx="45">
                  <c:v>-7.7000000000000679E-5</c:v>
                </c:pt>
                <c:pt idx="46">
                  <c:v>4.870000000000152E-4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68F-45EB-BAD4-FCE58A6548F0}"/>
            </c:ext>
          </c:extLst>
        </c:ser>
        <c:ser>
          <c:idx val="57"/>
          <c:order val="57"/>
          <c:tx>
            <c:v>BES_TR2_six329_A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Net_kW!$BH$2:$BH$49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-4.4080346666666367E-4</c:v>
                </c:pt>
                <c:pt idx="8">
                  <c:v>2.6550746666679712E-4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8.1407333331728893E-5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-1.73362609</c:v>
                </c:pt>
                <c:pt idx="16">
                  <c:v>-2.2353293982666682</c:v>
                </c:pt>
                <c:pt idx="17">
                  <c:v>-2.5076509335999999</c:v>
                </c:pt>
                <c:pt idx="18">
                  <c:v>-2.7395753626666681</c:v>
                </c:pt>
                <c:pt idx="19">
                  <c:v>-2.9373834061333319</c:v>
                </c:pt>
                <c:pt idx="20">
                  <c:v>-3.1110089430666679</c:v>
                </c:pt>
                <c:pt idx="21">
                  <c:v>-3.2543051211999998</c:v>
                </c:pt>
                <c:pt idx="22">
                  <c:v>-3.3559779246666679</c:v>
                </c:pt>
                <c:pt idx="23">
                  <c:v>-3.4005667088</c:v>
                </c:pt>
                <c:pt idx="24">
                  <c:v>-3.4134813290666681</c:v>
                </c:pt>
                <c:pt idx="25">
                  <c:v>-2.739521672</c:v>
                </c:pt>
                <c:pt idx="26">
                  <c:v>-2.5456171486666661</c:v>
                </c:pt>
                <c:pt idx="27">
                  <c:v>-3.154201660800001</c:v>
                </c:pt>
                <c:pt idx="28">
                  <c:v>-3.0165078932</c:v>
                </c:pt>
                <c:pt idx="29">
                  <c:v>-2.8491901730666682</c:v>
                </c:pt>
                <c:pt idx="30">
                  <c:v>-2.6501284948000001</c:v>
                </c:pt>
                <c:pt idx="31">
                  <c:v>-2.410583853866668</c:v>
                </c:pt>
                <c:pt idx="32">
                  <c:v>-2.1408000573333319</c:v>
                </c:pt>
                <c:pt idx="33">
                  <c:v>-1.815071272933332</c:v>
                </c:pt>
                <c:pt idx="34">
                  <c:v>-1.510211727333332</c:v>
                </c:pt>
                <c:pt idx="35">
                  <c:v>-1.1969496211999999</c:v>
                </c:pt>
                <c:pt idx="36">
                  <c:v>-0.89391693466666799</c:v>
                </c:pt>
                <c:pt idx="37">
                  <c:v>-0.56275072599999998</c:v>
                </c:pt>
                <c:pt idx="38">
                  <c:v>-0.19617741440000019</c:v>
                </c:pt>
                <c:pt idx="39">
                  <c:v>-1.332817333301595E-4</c:v>
                </c:pt>
                <c:pt idx="40">
                  <c:v>-2.087762666666548E-4</c:v>
                </c:pt>
                <c:pt idx="41">
                  <c:v>-2.9033333333305927E-4</c:v>
                </c:pt>
                <c:pt idx="42">
                  <c:v>4.2333333333288698E-4</c:v>
                </c:pt>
                <c:pt idx="43">
                  <c:v>6.1333333333024598E-5</c:v>
                </c:pt>
                <c:pt idx="44">
                  <c:v>-9.3333333333001089E-5</c:v>
                </c:pt>
                <c:pt idx="45">
                  <c:v>-1.8166666666702411E-4</c:v>
                </c:pt>
                <c:pt idx="46">
                  <c:v>-2.066666666669936E-4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C68F-45EB-BAD4-FCE58A6548F0}"/>
            </c:ext>
          </c:extLst>
        </c:ser>
        <c:ser>
          <c:idx val="58"/>
          <c:order val="58"/>
          <c:tx>
            <c:v>BES_TR2_six342_A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Net_kW!$BI$2:$BI$49</c:f>
              <c:numCache>
                <c:formatCode>#,##0.000</c:formatCode>
                <c:ptCount val="48"/>
                <c:pt idx="0">
                  <c:v>2.093333333330061E-4</c:v>
                </c:pt>
                <c:pt idx="1">
                  <c:v>1.3533333333298761E-4</c:v>
                </c:pt>
                <c:pt idx="2">
                  <c:v>3.4133333333299931E-4</c:v>
                </c:pt>
                <c:pt idx="3">
                  <c:v>4.343333333329813E-4</c:v>
                </c:pt>
                <c:pt idx="4">
                  <c:v>2.436666666670029E-4</c:v>
                </c:pt>
                <c:pt idx="5">
                  <c:v>4.096666666669746E-4</c:v>
                </c:pt>
                <c:pt idx="6">
                  <c:v>0.22519366666666599</c:v>
                </c:pt>
                <c:pt idx="7">
                  <c:v>7.3473497833333332E-2</c:v>
                </c:pt>
                <c:pt idx="8">
                  <c:v>1.691594216666675E-2</c:v>
                </c:pt>
                <c:pt idx="9">
                  <c:v>-3.584732500000049E-4</c:v>
                </c:pt>
                <c:pt idx="10">
                  <c:v>-4.0568016666750473E-4</c:v>
                </c:pt>
                <c:pt idx="11">
                  <c:v>3.3876466666749039E-4</c:v>
                </c:pt>
                <c:pt idx="12">
                  <c:v>4.5287958333245498E-4</c:v>
                </c:pt>
                <c:pt idx="13">
                  <c:v>-5.822983333247933E-5</c:v>
                </c:pt>
                <c:pt idx="14">
                  <c:v>-2.5865925000012607E-4</c:v>
                </c:pt>
                <c:pt idx="15">
                  <c:v>-1.7530624999984029E-4</c:v>
                </c:pt>
                <c:pt idx="16">
                  <c:v>-2.0587391666793131E-4</c:v>
                </c:pt>
                <c:pt idx="17">
                  <c:v>1.2316649999988269E-4</c:v>
                </c:pt>
                <c:pt idx="18">
                  <c:v>-0.35095760166666801</c:v>
                </c:pt>
                <c:pt idx="19">
                  <c:v>-1.8059896288333319</c:v>
                </c:pt>
                <c:pt idx="20">
                  <c:v>-1.9145055894166669</c:v>
                </c:pt>
                <c:pt idx="21">
                  <c:v>-2.00406570075</c:v>
                </c:pt>
                <c:pt idx="22">
                  <c:v>-1.9156792029166669</c:v>
                </c:pt>
                <c:pt idx="23">
                  <c:v>-2.0954791930000001</c:v>
                </c:pt>
                <c:pt idx="24">
                  <c:v>-2.006866830666667</c:v>
                </c:pt>
                <c:pt idx="25">
                  <c:v>-2.033203045</c:v>
                </c:pt>
                <c:pt idx="26">
                  <c:v>-2.0377240512500001</c:v>
                </c:pt>
                <c:pt idx="27">
                  <c:v>-1.9188979546666669</c:v>
                </c:pt>
                <c:pt idx="28">
                  <c:v>-1.7574464332499999</c:v>
                </c:pt>
                <c:pt idx="29">
                  <c:v>-1.750868858166668</c:v>
                </c:pt>
                <c:pt idx="30">
                  <c:v>-1.62645530925</c:v>
                </c:pt>
                <c:pt idx="31">
                  <c:v>-1.324807908666668</c:v>
                </c:pt>
                <c:pt idx="32">
                  <c:v>-1.3081250358333321</c:v>
                </c:pt>
                <c:pt idx="33">
                  <c:v>-0.96642454558333291</c:v>
                </c:pt>
                <c:pt idx="34">
                  <c:v>-0.90019532958333248</c:v>
                </c:pt>
                <c:pt idx="35">
                  <c:v>-0.70744164658333331</c:v>
                </c:pt>
                <c:pt idx="36">
                  <c:v>-0.52882308416666746</c:v>
                </c:pt>
                <c:pt idx="37">
                  <c:v>-5.8870416667022862E-5</c:v>
                </c:pt>
                <c:pt idx="38">
                  <c:v>-7.2467333333183642E-5</c:v>
                </c:pt>
                <c:pt idx="39">
                  <c:v>4.1703225000000449E-4</c:v>
                </c:pt>
                <c:pt idx="40">
                  <c:v>-3.5026833333673402E-5</c:v>
                </c:pt>
                <c:pt idx="41">
                  <c:v>1.5999999999999351E-4</c:v>
                </c:pt>
                <c:pt idx="42">
                  <c:v>1.1533333333296759E-4</c:v>
                </c:pt>
                <c:pt idx="43">
                  <c:v>4.616666666670266E-4</c:v>
                </c:pt>
                <c:pt idx="44">
                  <c:v>-7.0000000000014495E-5</c:v>
                </c:pt>
                <c:pt idx="45">
                  <c:v>4.0666666666699941E-4</c:v>
                </c:pt>
                <c:pt idx="46">
                  <c:v>0</c:v>
                </c:pt>
                <c:pt idx="47">
                  <c:v>2.146666666669739E-4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68F-45EB-BAD4-FCE58A6548F0}"/>
            </c:ext>
          </c:extLst>
        </c:ser>
        <c:ser>
          <c:idx val="59"/>
          <c:order val="59"/>
          <c:tx>
            <c:v>BES_TR2_six349_A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Net_kW!$BJ$2:$BJ$49</c:f>
              <c:numCache>
                <c:formatCode>#,##0.000</c:formatCode>
                <c:ptCount val="48"/>
                <c:pt idx="0">
                  <c:v>-2.3200000000001E-4</c:v>
                </c:pt>
                <c:pt idx="1">
                  <c:v>1.2933333333298161E-4</c:v>
                </c:pt>
                <c:pt idx="2">
                  <c:v>0</c:v>
                </c:pt>
                <c:pt idx="3">
                  <c:v>-5.8000000000002487E-5</c:v>
                </c:pt>
                <c:pt idx="4">
                  <c:v>3.0533333333299112E-4</c:v>
                </c:pt>
                <c:pt idx="5">
                  <c:v>0</c:v>
                </c:pt>
                <c:pt idx="6">
                  <c:v>-4.1033333333301281E-4</c:v>
                </c:pt>
                <c:pt idx="7">
                  <c:v>-6.2735066667318762E-5</c:v>
                </c:pt>
                <c:pt idx="8">
                  <c:v>1.3275373333339861E-4</c:v>
                </c:pt>
                <c:pt idx="9">
                  <c:v>1.855473333299551E-5</c:v>
                </c:pt>
                <c:pt idx="10">
                  <c:v>2.7185586666600431E-4</c:v>
                </c:pt>
                <c:pt idx="11">
                  <c:v>7.1011733334014338E-5</c:v>
                </c:pt>
                <c:pt idx="12">
                  <c:v>-1.8296300000103521E-4</c:v>
                </c:pt>
                <c:pt idx="13">
                  <c:v>-3.9958386666594242E-4</c:v>
                </c:pt>
                <c:pt idx="14">
                  <c:v>2.89392666670274E-5</c:v>
                </c:pt>
                <c:pt idx="15">
                  <c:v>-7.4378333333013913E-5</c:v>
                </c:pt>
                <c:pt idx="16">
                  <c:v>1.6563419999937601E-4</c:v>
                </c:pt>
                <c:pt idx="17">
                  <c:v>-7.9466799999927673E-5</c:v>
                </c:pt>
                <c:pt idx="18">
                  <c:v>1.543186666659313E-4</c:v>
                </c:pt>
                <c:pt idx="19">
                  <c:v>-9.8169036399998966E-2</c:v>
                </c:pt>
                <c:pt idx="20">
                  <c:v>-1.3450571382000009</c:v>
                </c:pt>
                <c:pt idx="21">
                  <c:v>-1.3926325606000001</c:v>
                </c:pt>
                <c:pt idx="22">
                  <c:v>-1.5049789623333341</c:v>
                </c:pt>
                <c:pt idx="23">
                  <c:v>-1.1620676877333329</c:v>
                </c:pt>
                <c:pt idx="24">
                  <c:v>-1.533730664533334</c:v>
                </c:pt>
                <c:pt idx="25">
                  <c:v>-1.170810836</c:v>
                </c:pt>
                <c:pt idx="26">
                  <c:v>-1.414867574333333</c:v>
                </c:pt>
                <c:pt idx="27">
                  <c:v>-1.546489163733334</c:v>
                </c:pt>
                <c:pt idx="28">
                  <c:v>-1.2566846132666669</c:v>
                </c:pt>
                <c:pt idx="29">
                  <c:v>-1.4000950865333339</c:v>
                </c:pt>
                <c:pt idx="30">
                  <c:v>-1.1358502474000001</c:v>
                </c:pt>
                <c:pt idx="31">
                  <c:v>-1.087258593600001</c:v>
                </c:pt>
                <c:pt idx="32">
                  <c:v>-1.045900028666666</c:v>
                </c:pt>
                <c:pt idx="33">
                  <c:v>-0.653025636466666</c:v>
                </c:pt>
                <c:pt idx="34">
                  <c:v>-0.70236853033333269</c:v>
                </c:pt>
                <c:pt idx="35">
                  <c:v>-0.32858547726666698</c:v>
                </c:pt>
                <c:pt idx="36">
                  <c:v>-1.8186467333334011E-2</c:v>
                </c:pt>
                <c:pt idx="37">
                  <c:v>1.083036666700288E-4</c:v>
                </c:pt>
                <c:pt idx="38">
                  <c:v>3.4329280000036649E-4</c:v>
                </c:pt>
                <c:pt idx="39">
                  <c:v>-7.2307533333010321E-5</c:v>
                </c:pt>
                <c:pt idx="40">
                  <c:v>1.181118666666592E-4</c:v>
                </c:pt>
                <c:pt idx="41">
                  <c:v>-5.8000000000002487E-5</c:v>
                </c:pt>
                <c:pt idx="42">
                  <c:v>3.0533333333299112E-4</c:v>
                </c:pt>
                <c:pt idx="43">
                  <c:v>1.179999999999931E-4</c:v>
                </c:pt>
                <c:pt idx="44">
                  <c:v>1.999999999988122E-6</c:v>
                </c:pt>
                <c:pt idx="45">
                  <c:v>1.2733333333297961E-4</c:v>
                </c:pt>
                <c:pt idx="46">
                  <c:v>-5.8000000000002487E-5</c:v>
                </c:pt>
                <c:pt idx="47">
                  <c:v>-1.09999999999999E-4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C68F-45EB-BAD4-FCE58A6548F0}"/>
            </c:ext>
          </c:extLst>
        </c:ser>
        <c:ser>
          <c:idx val="60"/>
          <c:order val="60"/>
          <c:tx>
            <c:v>BES_TR2_six350_B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Net_kW!$BK$2:$BK$49</c:f>
              <c:numCache>
                <c:formatCode>#,##0.000</c:formatCode>
                <c:ptCount val="48"/>
                <c:pt idx="0">
                  <c:v>4.3233333333340262E-4</c:v>
                </c:pt>
                <c:pt idx="1">
                  <c:v>-1.2766666666699791E-4</c:v>
                </c:pt>
                <c:pt idx="2">
                  <c:v>0</c:v>
                </c:pt>
                <c:pt idx="3">
                  <c:v>4.766666666670138E-4</c:v>
                </c:pt>
                <c:pt idx="4">
                  <c:v>-1.7400000000000751E-4</c:v>
                </c:pt>
                <c:pt idx="5">
                  <c:v>0</c:v>
                </c:pt>
                <c:pt idx="6">
                  <c:v>4.573333333330043E-4</c:v>
                </c:pt>
                <c:pt idx="7">
                  <c:v>2.6473073333330149E-4</c:v>
                </c:pt>
                <c:pt idx="8">
                  <c:v>-3.2086939999992348E-4</c:v>
                </c:pt>
                <c:pt idx="9">
                  <c:v>6.6498766666714393E-5</c:v>
                </c:pt>
                <c:pt idx="10">
                  <c:v>-1.7921620000102559E-4</c:v>
                </c:pt>
                <c:pt idx="11">
                  <c:v>8.3184266668034912E-5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7.0755666667920991E-6</c:v>
                </c:pt>
                <c:pt idx="15">
                  <c:v>-1.4356750000010801E-4</c:v>
                </c:pt>
                <c:pt idx="16">
                  <c:v>-0.28024704870000111</c:v>
                </c:pt>
                <c:pt idx="17">
                  <c:v>-1.6861808668666669</c:v>
                </c:pt>
                <c:pt idx="18">
                  <c:v>-2.0384315220000011</c:v>
                </c:pt>
                <c:pt idx="19">
                  <c:v>-2.137297554599999</c:v>
                </c:pt>
                <c:pt idx="20">
                  <c:v>-2.2196070406333339</c:v>
                </c:pt>
                <c:pt idx="21">
                  <c:v>-2.3930658408999999</c:v>
                </c:pt>
                <c:pt idx="22">
                  <c:v>-2.3852567768333341</c:v>
                </c:pt>
                <c:pt idx="23">
                  <c:v>-2.5341750315999998</c:v>
                </c:pt>
                <c:pt idx="24">
                  <c:v>-2.4861226634666682</c:v>
                </c:pt>
                <c:pt idx="25">
                  <c:v>-2.4051769206666669</c:v>
                </c:pt>
                <c:pt idx="26">
                  <c:v>-2.4648688614999998</c:v>
                </c:pt>
                <c:pt idx="27">
                  <c:v>-2.2473190789333342</c:v>
                </c:pt>
                <c:pt idx="28">
                  <c:v>-2.2075079198999998</c:v>
                </c:pt>
                <c:pt idx="29">
                  <c:v>-2.0962102964666678</c:v>
                </c:pt>
                <c:pt idx="30">
                  <c:v>-1.858717704433333</c:v>
                </c:pt>
                <c:pt idx="31">
                  <c:v>-1.750446223733334</c:v>
                </c:pt>
                <c:pt idx="32">
                  <c:v>-1.557937042999999</c:v>
                </c:pt>
                <c:pt idx="33">
                  <c:v>-1.2888954546999991</c:v>
                </c:pt>
                <c:pt idx="34">
                  <c:v>-0.98379312883333214</c:v>
                </c:pt>
                <c:pt idx="35">
                  <c:v>-0.52777221590000012</c:v>
                </c:pt>
                <c:pt idx="36">
                  <c:v>-0.38720936766666803</c:v>
                </c:pt>
                <c:pt idx="37">
                  <c:v>-0.1967220445</c:v>
                </c:pt>
                <c:pt idx="38">
                  <c:v>-7.0795607999999399E-3</c:v>
                </c:pt>
                <c:pt idx="39">
                  <c:v>-4.7162796666599949E-4</c:v>
                </c:pt>
                <c:pt idx="40">
                  <c:v>1.468344666669674E-4</c:v>
                </c:pt>
                <c:pt idx="41">
                  <c:v>-1.749999999999807E-4</c:v>
                </c:pt>
                <c:pt idx="42">
                  <c:v>-6.066666666693088E-5</c:v>
                </c:pt>
                <c:pt idx="43">
                  <c:v>-1.0233333333298229E-4</c:v>
                </c:pt>
                <c:pt idx="44">
                  <c:v>-1.6599999999999951E-4</c:v>
                </c:pt>
                <c:pt idx="45">
                  <c:v>-1.140000000000585E-4</c:v>
                </c:pt>
                <c:pt idx="46">
                  <c:v>0</c:v>
                </c:pt>
                <c:pt idx="47">
                  <c:v>4.766666666670138E-4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68F-45EB-BAD4-FCE58A6548F0}"/>
            </c:ext>
          </c:extLst>
        </c:ser>
        <c:ser>
          <c:idx val="61"/>
          <c:order val="61"/>
          <c:tx>
            <c:v>BES_TR2_six362_C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Net_kW!$BL$2:$BL$49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-2.9030129999999682E-4</c:v>
                </c:pt>
                <c:pt idx="8">
                  <c:v>3.4956530000004871E-4</c:v>
                </c:pt>
                <c:pt idx="9">
                  <c:v>-2.150839499999932E-4</c:v>
                </c:pt>
                <c:pt idx="10">
                  <c:v>-2.6081000005229171E-6</c:v>
                </c:pt>
                <c:pt idx="11">
                  <c:v>-1.967411999994895E-4</c:v>
                </c:pt>
                <c:pt idx="12">
                  <c:v>3.0527749999398328E-5</c:v>
                </c:pt>
                <c:pt idx="13">
                  <c:v>-1.5293789999948351E-4</c:v>
                </c:pt>
                <c:pt idx="14">
                  <c:v>2.6520445000000059E-4</c:v>
                </c:pt>
                <c:pt idx="15">
                  <c:v>-1.3778374999984239E-4</c:v>
                </c:pt>
                <c:pt idx="16">
                  <c:v>-4.5002435000052188E-4</c:v>
                </c:pt>
                <c:pt idx="17">
                  <c:v>-2.4410009999997759E-4</c:v>
                </c:pt>
                <c:pt idx="18">
                  <c:v>-2.1576100000009199E-4</c:v>
                </c:pt>
                <c:pt idx="19">
                  <c:v>-0.45939377729999908</c:v>
                </c:pt>
                <c:pt idx="20">
                  <c:v>-1.13050335365</c:v>
                </c:pt>
                <c:pt idx="21">
                  <c:v>-1.17623942045</c:v>
                </c:pt>
                <c:pt idx="22">
                  <c:v>-1.1874007884166671</c:v>
                </c:pt>
                <c:pt idx="23">
                  <c:v>-1.2264345158000001</c:v>
                </c:pt>
                <c:pt idx="24">
                  <c:v>-1.2264606650666681</c:v>
                </c:pt>
                <c:pt idx="25">
                  <c:v>-1.2348706270000001</c:v>
                </c:pt>
                <c:pt idx="26">
                  <c:v>-1.1901344307499999</c:v>
                </c:pt>
                <c:pt idx="27">
                  <c:v>-1.137333706133334</c:v>
                </c:pt>
                <c:pt idx="28">
                  <c:v>-1.1025654599500001</c:v>
                </c:pt>
                <c:pt idx="29">
                  <c:v>-1.0323213148999999</c:v>
                </c:pt>
                <c:pt idx="30">
                  <c:v>-0.90617318554999993</c:v>
                </c:pt>
                <c:pt idx="31">
                  <c:v>-0.69949194520000046</c:v>
                </c:pt>
                <c:pt idx="32">
                  <c:v>-0.56231835483333248</c:v>
                </c:pt>
                <c:pt idx="33">
                  <c:v>-0.4388387273499994</c:v>
                </c:pt>
                <c:pt idx="34">
                  <c:v>-0.36585439774999939</c:v>
                </c:pt>
                <c:pt idx="35">
                  <c:v>-0.1737061079500001</c:v>
                </c:pt>
                <c:pt idx="36">
                  <c:v>-5.7493850500000498E-2</c:v>
                </c:pt>
                <c:pt idx="37">
                  <c:v>6.8477750000038584E-5</c:v>
                </c:pt>
                <c:pt idx="38">
                  <c:v>-2.702803999999337E-4</c:v>
                </c:pt>
                <c:pt idx="39">
                  <c:v>-4.2664731666697259E-4</c:v>
                </c:pt>
                <c:pt idx="40">
                  <c:v>3.8583899999999893E-5</c:v>
                </c:pt>
                <c:pt idx="41">
                  <c:v>-4.3500000000001871E-4</c:v>
                </c:pt>
                <c:pt idx="42">
                  <c:v>4.4666666666698379E-4</c:v>
                </c:pt>
                <c:pt idx="43">
                  <c:v>-3.649999999999487E-4</c:v>
                </c:pt>
                <c:pt idx="44">
                  <c:v>-4.9833333333298979E-4</c:v>
                </c:pt>
                <c:pt idx="45">
                  <c:v>4.333333333329803E-4</c:v>
                </c:pt>
                <c:pt idx="46">
                  <c:v>1.6666666666700911E-4</c:v>
                </c:pt>
                <c:pt idx="47">
                  <c:v>-2.1333333333295459E-4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C68F-45EB-BAD4-FCE58A6548F0}"/>
            </c:ext>
          </c:extLst>
        </c:ser>
        <c:ser>
          <c:idx val="62"/>
          <c:order val="62"/>
          <c:tx>
            <c:v>BES_TR2_six365_C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Net_kW!$BM$2:$BM$49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-1.6599999999999951E-4</c:v>
                </c:pt>
                <c:pt idx="3">
                  <c:v>-3.7700000000001621E-4</c:v>
                </c:pt>
                <c:pt idx="4">
                  <c:v>4.3466666666702741E-4</c:v>
                </c:pt>
                <c:pt idx="5">
                  <c:v>0.37447000000000008</c:v>
                </c:pt>
                <c:pt idx="6">
                  <c:v>1.7299</c:v>
                </c:pt>
                <c:pt idx="7">
                  <c:v>0.1828071965333333</c:v>
                </c:pt>
                <c:pt idx="8">
                  <c:v>2.655074666667988E-4</c:v>
                </c:pt>
                <c:pt idx="9">
                  <c:v>2.5444279999999042E-4</c:v>
                </c:pt>
                <c:pt idx="10">
                  <c:v>7.9711733331988555E-5</c:v>
                </c:pt>
                <c:pt idx="11">
                  <c:v>1.420234666680287E-4</c:v>
                </c:pt>
                <c:pt idx="12">
                  <c:v>5.7407333331926942E-5</c:v>
                </c:pt>
                <c:pt idx="13">
                  <c:v>-4.6916773333216533E-4</c:v>
                </c:pt>
                <c:pt idx="14">
                  <c:v>-3.3945480000019401E-4</c:v>
                </c:pt>
                <c:pt idx="15">
                  <c:v>3.7391000000019941E-4</c:v>
                </c:pt>
                <c:pt idx="16">
                  <c:v>-0.8641933982666683</c:v>
                </c:pt>
                <c:pt idx="17">
                  <c:v>-2.3755389336000001</c:v>
                </c:pt>
                <c:pt idx="18">
                  <c:v>-2.720575362666668</c:v>
                </c:pt>
                <c:pt idx="19">
                  <c:v>-2.750201406133332</c:v>
                </c:pt>
                <c:pt idx="20">
                  <c:v>-3.026071809733335</c:v>
                </c:pt>
                <c:pt idx="21">
                  <c:v>-2.2493604545333299</c:v>
                </c:pt>
                <c:pt idx="22">
                  <c:v>-2.5302652580000009</c:v>
                </c:pt>
                <c:pt idx="23">
                  <c:v>-1.98893337546667</c:v>
                </c:pt>
                <c:pt idx="24">
                  <c:v>-3.394481329066668</c:v>
                </c:pt>
                <c:pt idx="25">
                  <c:v>-3.217361672</c:v>
                </c:pt>
                <c:pt idx="26">
                  <c:v>-3.2021384820000001</c:v>
                </c:pt>
                <c:pt idx="27">
                  <c:v>-3.0514106608000011</c:v>
                </c:pt>
                <c:pt idx="28">
                  <c:v>-2.5973438932000001</c:v>
                </c:pt>
                <c:pt idx="29">
                  <c:v>-2.8301901730666681</c:v>
                </c:pt>
                <c:pt idx="30">
                  <c:v>-2.5305844947999998</c:v>
                </c:pt>
                <c:pt idx="31">
                  <c:v>-2.3538798538666681</c:v>
                </c:pt>
                <c:pt idx="32">
                  <c:v>-2.1218000573333322</c:v>
                </c:pt>
                <c:pt idx="33">
                  <c:v>-1.7646512729333319</c:v>
                </c:pt>
                <c:pt idx="34">
                  <c:v>-1.3843837273333319</c:v>
                </c:pt>
                <c:pt idx="35">
                  <c:v>-1.1779496212</c:v>
                </c:pt>
                <c:pt idx="36">
                  <c:v>-0.87491693466666798</c:v>
                </c:pt>
                <c:pt idx="37">
                  <c:v>-0.44450272600000013</c:v>
                </c:pt>
                <c:pt idx="38">
                  <c:v>-0.32032074773333319</c:v>
                </c:pt>
                <c:pt idx="39">
                  <c:v>-3.236150666698911E-4</c:v>
                </c:pt>
                <c:pt idx="40">
                  <c:v>1.3155706666623251E-4</c:v>
                </c:pt>
                <c:pt idx="41">
                  <c:v>-3.5066666666705443E-4</c:v>
                </c:pt>
                <c:pt idx="42">
                  <c:v>-4.3966666666706011E-4</c:v>
                </c:pt>
                <c:pt idx="43">
                  <c:v>1.936666666669806E-4</c:v>
                </c:pt>
                <c:pt idx="44">
                  <c:v>-4.4133333333296049E-4</c:v>
                </c:pt>
                <c:pt idx="45">
                  <c:v>3.1666666669982753E-5</c:v>
                </c:pt>
                <c:pt idx="46">
                  <c:v>-2.3400000000006749E-4</c:v>
                </c:pt>
                <c:pt idx="47">
                  <c:v>0.258755333333333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68F-45EB-BAD4-FCE58A6548F0}"/>
            </c:ext>
          </c:extLst>
        </c:ser>
        <c:ser>
          <c:idx val="63"/>
          <c:order val="63"/>
          <c:tx>
            <c:v>BES_TR2_six378_A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Net_kW!$BN$2:$BN$49</c:f>
              <c:numCache>
                <c:formatCode>#,##0.000</c:formatCode>
                <c:ptCount val="48"/>
                <c:pt idx="0">
                  <c:v>-4.9799999999999844E-4</c:v>
                </c:pt>
                <c:pt idx="1">
                  <c:v>-3.0399999999999872E-4</c:v>
                </c:pt>
                <c:pt idx="2">
                  <c:v>-1.1999999999998121E-4</c:v>
                </c:pt>
                <c:pt idx="3">
                  <c:v>-3.4666666666703649E-5</c:v>
                </c:pt>
                <c:pt idx="4">
                  <c:v>1.086666666670344E-4</c:v>
                </c:pt>
                <c:pt idx="5">
                  <c:v>-4.9799999999999844E-4</c:v>
                </c:pt>
                <c:pt idx="6">
                  <c:v>-3.2600000000002072E-4</c:v>
                </c:pt>
                <c:pt idx="7">
                  <c:v>-2.5060260000001061E-4</c:v>
                </c:pt>
                <c:pt idx="8">
                  <c:v>1.497972666670844E-4</c:v>
                </c:pt>
                <c:pt idx="9">
                  <c:v>-4.2383456666700292E-4</c:v>
                </c:pt>
                <c:pt idx="10">
                  <c:v>-3.8354953333402658E-4</c:v>
                </c:pt>
                <c:pt idx="11">
                  <c:v>3.6385093333396462E-4</c:v>
                </c:pt>
                <c:pt idx="12">
                  <c:v>7.0554999988536871E-6</c:v>
                </c:pt>
                <c:pt idx="13">
                  <c:v>3.2412420000094139E-4</c:v>
                </c:pt>
                <c:pt idx="14">
                  <c:v>9.74089000000955E-5</c:v>
                </c:pt>
                <c:pt idx="15">
                  <c:v>-4.9770083333017245E-4</c:v>
                </c:pt>
                <c:pt idx="16">
                  <c:v>3.8711796666612841E-4</c:v>
                </c:pt>
                <c:pt idx="17">
                  <c:v>-4.7453353333315462E-4</c:v>
                </c:pt>
                <c:pt idx="18">
                  <c:v>-1.3917821886666679</c:v>
                </c:pt>
                <c:pt idx="19">
                  <c:v>-2.0759709212666659</c:v>
                </c:pt>
                <c:pt idx="20">
                  <c:v>-1.916836040633334</c:v>
                </c:pt>
                <c:pt idx="21">
                  <c:v>-2.1990845742333329</c:v>
                </c:pt>
                <c:pt idx="22">
                  <c:v>-0.28045011016667099</c:v>
                </c:pt>
                <c:pt idx="23">
                  <c:v>1.949684000000784E-4</c:v>
                </c:pt>
                <c:pt idx="24">
                  <c:v>-1.084708996800001</c:v>
                </c:pt>
                <c:pt idx="25">
                  <c:v>-2.1777279206666669</c:v>
                </c:pt>
                <c:pt idx="26">
                  <c:v>-2.4528021948333341</c:v>
                </c:pt>
                <c:pt idx="27">
                  <c:v>-2.2519155122666681</c:v>
                </c:pt>
                <c:pt idx="28">
                  <c:v>-1.374868586566667</c:v>
                </c:pt>
                <c:pt idx="29">
                  <c:v>9.0703533328906349E-5</c:v>
                </c:pt>
                <c:pt idx="30">
                  <c:v>4.7696223332982512E-4</c:v>
                </c:pt>
                <c:pt idx="31">
                  <c:v>-0.10878522373333489</c:v>
                </c:pt>
                <c:pt idx="32">
                  <c:v>-1.522592709666666</c:v>
                </c:pt>
                <c:pt idx="33">
                  <c:v>-1.150984454699999</c:v>
                </c:pt>
                <c:pt idx="34">
                  <c:v>-0.92890179549999907</c:v>
                </c:pt>
                <c:pt idx="35">
                  <c:v>-0.80714821590000008</c:v>
                </c:pt>
                <c:pt idx="36">
                  <c:v>-0.34692570100000097</c:v>
                </c:pt>
                <c:pt idx="37">
                  <c:v>-0.42406304449999999</c:v>
                </c:pt>
                <c:pt idx="38">
                  <c:v>-2.8924560799999919E-2</c:v>
                </c:pt>
                <c:pt idx="39">
                  <c:v>-1.099612999999888E-4</c:v>
                </c:pt>
                <c:pt idx="40">
                  <c:v>1.771677999999888E-4</c:v>
                </c:pt>
                <c:pt idx="41">
                  <c:v>-2.5599999999997852E-4</c:v>
                </c:pt>
                <c:pt idx="42">
                  <c:v>-1.6800000000000151E-4</c:v>
                </c:pt>
                <c:pt idx="43">
                  <c:v>3.1500000000000972E-4</c:v>
                </c:pt>
                <c:pt idx="44">
                  <c:v>2.6100000000001122E-4</c:v>
                </c:pt>
                <c:pt idx="45">
                  <c:v>0</c:v>
                </c:pt>
                <c:pt idx="46">
                  <c:v>-2.9466666666699842E-4</c:v>
                </c:pt>
                <c:pt idx="47">
                  <c:v>3.6866666666698911E-4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C68F-45EB-BAD4-FCE58A6548F0}"/>
            </c:ext>
          </c:extLst>
        </c:ser>
        <c:ser>
          <c:idx val="64"/>
          <c:order val="64"/>
          <c:tx>
            <c:v>BES_TR2_six385_B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Net_kW!$BO$2:$BO$49</c:f>
              <c:numCache>
                <c:formatCode>#,##0.000</c:formatCode>
                <c:ptCount val="48"/>
                <c:pt idx="0">
                  <c:v>2.7333333333395832E-4</c:v>
                </c:pt>
                <c:pt idx="1">
                  <c:v>4.3000000000004151E-4</c:v>
                </c:pt>
                <c:pt idx="2">
                  <c:v>3.893333333329918E-4</c:v>
                </c:pt>
                <c:pt idx="3">
                  <c:v>0</c:v>
                </c:pt>
                <c:pt idx="4">
                  <c:v>1.03999999999993E-4</c:v>
                </c:pt>
                <c:pt idx="5">
                  <c:v>-3.1800000000001272E-4</c:v>
                </c:pt>
                <c:pt idx="6">
                  <c:v>0</c:v>
                </c:pt>
                <c:pt idx="7">
                  <c:v>-3.6450216666666918E-4</c:v>
                </c:pt>
                <c:pt idx="8">
                  <c:v>-8.4057833333251591E-5</c:v>
                </c:pt>
                <c:pt idx="9">
                  <c:v>-3.584732500000049E-4</c:v>
                </c:pt>
                <c:pt idx="10">
                  <c:v>-1.8168016666750281E-4</c:v>
                </c:pt>
                <c:pt idx="11">
                  <c:v>-3.1235333332435562E-5</c:v>
                </c:pt>
                <c:pt idx="12">
                  <c:v>5.0879583332497091E-5</c:v>
                </c:pt>
                <c:pt idx="13">
                  <c:v>1.9777016666755459E-4</c:v>
                </c:pt>
                <c:pt idx="14">
                  <c:v>-2.0132591667021421E-4</c:v>
                </c:pt>
                <c:pt idx="15">
                  <c:v>2.213604166701397E-4</c:v>
                </c:pt>
                <c:pt idx="16">
                  <c:v>-2.3654058333510969E-4</c:v>
                </c:pt>
                <c:pt idx="17">
                  <c:v>4.118331666667085E-4</c:v>
                </c:pt>
                <c:pt idx="18">
                  <c:v>3.9833333209671201E-7</c:v>
                </c:pt>
                <c:pt idx="19">
                  <c:v>-1.2262883333180599E-4</c:v>
                </c:pt>
                <c:pt idx="20">
                  <c:v>-0.27150558941666691</c:v>
                </c:pt>
                <c:pt idx="21">
                  <c:v>-1.8072797007500001</c:v>
                </c:pt>
                <c:pt idx="22">
                  <c:v>-1.8821712029166671</c:v>
                </c:pt>
                <c:pt idx="23">
                  <c:v>-1.941219193</c:v>
                </c:pt>
                <c:pt idx="24">
                  <c:v>-1.9000848306666669</c:v>
                </c:pt>
                <c:pt idx="25">
                  <c:v>-2.0700078450000001</c:v>
                </c:pt>
                <c:pt idx="26">
                  <c:v>-1.0161611179166701</c:v>
                </c:pt>
                <c:pt idx="27">
                  <c:v>-1.8562895546666669</c:v>
                </c:pt>
                <c:pt idx="28">
                  <c:v>-1.556744566583333</c:v>
                </c:pt>
                <c:pt idx="29">
                  <c:v>-1.620603524833335</c:v>
                </c:pt>
                <c:pt idx="30">
                  <c:v>-1.3973540425833331</c:v>
                </c:pt>
                <c:pt idx="31">
                  <c:v>-1.476524708666668</c:v>
                </c:pt>
                <c:pt idx="32">
                  <c:v>-1.204472702499999</c:v>
                </c:pt>
                <c:pt idx="33">
                  <c:v>-1.0356775455833329</c:v>
                </c:pt>
                <c:pt idx="34">
                  <c:v>-0.91500732958333242</c:v>
                </c:pt>
                <c:pt idx="35">
                  <c:v>-0.36199151325000001</c:v>
                </c:pt>
                <c:pt idx="36">
                  <c:v>-0.52141148416666749</c:v>
                </c:pt>
                <c:pt idx="37">
                  <c:v>-0.20377720375</c:v>
                </c:pt>
                <c:pt idx="38">
                  <c:v>-6.2371267333333168E-2</c:v>
                </c:pt>
                <c:pt idx="39">
                  <c:v>-6.9677500000309136E-6</c:v>
                </c:pt>
                <c:pt idx="40">
                  <c:v>-3.313601666665722E-4</c:v>
                </c:pt>
                <c:pt idx="41">
                  <c:v>3.6766666666698811E-4</c:v>
                </c:pt>
                <c:pt idx="42">
                  <c:v>-3.8199999999999351E-4</c:v>
                </c:pt>
                <c:pt idx="43">
                  <c:v>-2.8799999999995501E-4</c:v>
                </c:pt>
                <c:pt idx="44">
                  <c:v>1.113333333330191E-4</c:v>
                </c:pt>
                <c:pt idx="45">
                  <c:v>1.2633333333300631E-4</c:v>
                </c:pt>
                <c:pt idx="46">
                  <c:v>3.9300000000000451E-4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68F-45EB-BAD4-FCE58A6548F0}"/>
            </c:ext>
          </c:extLst>
        </c:ser>
        <c:ser>
          <c:idx val="65"/>
          <c:order val="65"/>
          <c:tx>
            <c:v>BES_TR2_six387_A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Net_kW!$BP$2:$BP$49</c:f>
              <c:numCache>
                <c:formatCode>#,##0.000</c:formatCode>
                <c:ptCount val="48"/>
                <c:pt idx="0">
                  <c:v>3.7399999999998551E-4</c:v>
                </c:pt>
                <c:pt idx="1">
                  <c:v>-4.6466666666700179E-4</c:v>
                </c:pt>
                <c:pt idx="2">
                  <c:v>0.23455333333333311</c:v>
                </c:pt>
                <c:pt idx="3">
                  <c:v>0.13014400000000001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0.1183538632000003</c:v>
                </c:pt>
                <c:pt idx="8">
                  <c:v>1.36148408000001E-2</c:v>
                </c:pt>
                <c:pt idx="9">
                  <c:v>-4.295571999999998E-4</c:v>
                </c:pt>
                <c:pt idx="10">
                  <c:v>-3.4028826666798739E-4</c:v>
                </c:pt>
                <c:pt idx="11">
                  <c:v>2.8602346666806172E-4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3.8987853333294348E-4</c:v>
                </c:pt>
                <c:pt idx="15">
                  <c:v>-3.4242333333289737E-4</c:v>
                </c:pt>
                <c:pt idx="16">
                  <c:v>-0.14317939826666801</c:v>
                </c:pt>
                <c:pt idx="17">
                  <c:v>-2.4816509336000001</c:v>
                </c:pt>
                <c:pt idx="18">
                  <c:v>-2.4780256960000009</c:v>
                </c:pt>
                <c:pt idx="19">
                  <c:v>-2.7646134061333321</c:v>
                </c:pt>
                <c:pt idx="20">
                  <c:v>-2.9385076097333349</c:v>
                </c:pt>
                <c:pt idx="21">
                  <c:v>-3.0210711211999999</c:v>
                </c:pt>
                <c:pt idx="22">
                  <c:v>-3.2237763580000012</c:v>
                </c:pt>
                <c:pt idx="23">
                  <c:v>-2.8909791754666672</c:v>
                </c:pt>
                <c:pt idx="24">
                  <c:v>-3.379337429066668</c:v>
                </c:pt>
                <c:pt idx="25">
                  <c:v>-3.0837496720000002</c:v>
                </c:pt>
                <c:pt idx="26">
                  <c:v>-3.0048418153333332</c:v>
                </c:pt>
                <c:pt idx="27">
                  <c:v>-3.046139460800001</c:v>
                </c:pt>
                <c:pt idx="28">
                  <c:v>-2.7040897598666671</c:v>
                </c:pt>
                <c:pt idx="29">
                  <c:v>-2.7899515064000009</c:v>
                </c:pt>
                <c:pt idx="30">
                  <c:v>-2.3251351614666671</c:v>
                </c:pt>
                <c:pt idx="31">
                  <c:v>-1.863055187200001</c:v>
                </c:pt>
                <c:pt idx="32">
                  <c:v>-1.6964850573333321</c:v>
                </c:pt>
                <c:pt idx="33">
                  <c:v>-1.683608739599999</c:v>
                </c:pt>
                <c:pt idx="34">
                  <c:v>-1.3728700606666651</c:v>
                </c:pt>
                <c:pt idx="35">
                  <c:v>-0.94223495453333306</c:v>
                </c:pt>
                <c:pt idx="36">
                  <c:v>-0.86791693466666797</c:v>
                </c:pt>
                <c:pt idx="37">
                  <c:v>-0.50767605933333304</c:v>
                </c:pt>
                <c:pt idx="38">
                  <c:v>2.7191893333383682E-4</c:v>
                </c:pt>
                <c:pt idx="39">
                  <c:v>2.1138493333305861E-4</c:v>
                </c:pt>
                <c:pt idx="40">
                  <c:v>7.7557066667344188E-5</c:v>
                </c:pt>
                <c:pt idx="41">
                  <c:v>-1.1733333333296959E-4</c:v>
                </c:pt>
                <c:pt idx="42">
                  <c:v>-1.260000000000705E-4</c:v>
                </c:pt>
                <c:pt idx="43">
                  <c:v>-1.403333333329648E-4</c:v>
                </c:pt>
                <c:pt idx="44">
                  <c:v>-1.2999999999996351E-4</c:v>
                </c:pt>
                <c:pt idx="45">
                  <c:v>-4.0333333333086863E-5</c:v>
                </c:pt>
                <c:pt idx="46">
                  <c:v>-1.569999999999627E-4</c:v>
                </c:pt>
                <c:pt idx="47">
                  <c:v>3.4933333333329869E-4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C68F-45EB-BAD4-FCE58A6548F0}"/>
            </c:ext>
          </c:extLst>
        </c:ser>
        <c:ser>
          <c:idx val="66"/>
          <c:order val="66"/>
          <c:tx>
            <c:v>BES_TR2_six392_C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Net_kW!$BQ$2:$BQ$49</c:f>
              <c:numCache>
                <c:formatCode>#,##0.000</c:formatCode>
                <c:ptCount val="48"/>
                <c:pt idx="0">
                  <c:v>4.3199999999998789E-4</c:v>
                </c:pt>
                <c:pt idx="1">
                  <c:v>0</c:v>
                </c:pt>
                <c:pt idx="2">
                  <c:v>-4.7400000000003001E-4</c:v>
                </c:pt>
                <c:pt idx="3">
                  <c:v>-1.2400000000001299E-4</c:v>
                </c:pt>
                <c:pt idx="4">
                  <c:v>4.200000000000037E-4</c:v>
                </c:pt>
                <c:pt idx="5">
                  <c:v>-1.20000000000009E-4</c:v>
                </c:pt>
                <c:pt idx="6">
                  <c:v>1.3333333333004351E-5</c:v>
                </c:pt>
                <c:pt idx="7">
                  <c:v>3.9729696666668263E-4</c:v>
                </c:pt>
                <c:pt idx="8">
                  <c:v>2.9298570000044211E-4</c:v>
                </c:pt>
                <c:pt idx="9">
                  <c:v>4.9813745000001908E-4</c:v>
                </c:pt>
                <c:pt idx="10">
                  <c:v>-7.5418900001483768E-5</c:v>
                </c:pt>
                <c:pt idx="11">
                  <c:v>2.5293720000119091E-4</c:v>
                </c:pt>
                <c:pt idx="12">
                  <c:v>3.3456474999882252E-4</c:v>
                </c:pt>
                <c:pt idx="13">
                  <c:v>-2.018843333195797E-5</c:v>
                </c:pt>
                <c:pt idx="14">
                  <c:v>1.788103833328947E-4</c:v>
                </c:pt>
                <c:pt idx="15">
                  <c:v>-2.5916208333298663E-4</c:v>
                </c:pt>
                <c:pt idx="16">
                  <c:v>-3.6653223483335003E-2</c:v>
                </c:pt>
                <c:pt idx="17">
                  <c:v>-1.957406900233333</c:v>
                </c:pt>
                <c:pt idx="18">
                  <c:v>-2.2224801090000019</c:v>
                </c:pt>
                <c:pt idx="19">
                  <c:v>-2.2900894803666652</c:v>
                </c:pt>
                <c:pt idx="20">
                  <c:v>-2.317722491850001</c:v>
                </c:pt>
                <c:pt idx="21">
                  <c:v>-2.5039173143833331</c:v>
                </c:pt>
                <c:pt idx="22">
                  <c:v>-2.499285684083334</c:v>
                </c:pt>
                <c:pt idx="23">
                  <c:v>-2.7243468702000002</c:v>
                </c:pt>
                <c:pt idx="24">
                  <c:v>-2.7194878296000011</c:v>
                </c:pt>
                <c:pt idx="25">
                  <c:v>-2.6900521296666668</c:v>
                </c:pt>
                <c:pt idx="26">
                  <c:v>-2.7412570050833329</c:v>
                </c:pt>
                <c:pt idx="27">
                  <c:v>-2.7113422032000019</c:v>
                </c:pt>
                <c:pt idx="28">
                  <c:v>-2.4529314065499999</c:v>
                </c:pt>
                <c:pt idx="29">
                  <c:v>-2.403330401433335</c:v>
                </c:pt>
                <c:pt idx="30">
                  <c:v>-2.0879420996166669</c:v>
                </c:pt>
                <c:pt idx="31">
                  <c:v>-1.7197918721333341</c:v>
                </c:pt>
                <c:pt idx="32">
                  <c:v>-1.689241050166665</c:v>
                </c:pt>
                <c:pt idx="33">
                  <c:v>-1.190191363816665</c:v>
                </c:pt>
                <c:pt idx="34">
                  <c:v>-1.0841162614166651</c:v>
                </c:pt>
                <c:pt idx="35">
                  <c:v>-0.77463225188333307</c:v>
                </c:pt>
                <c:pt idx="36">
                  <c:v>-0.29822065116666752</c:v>
                </c:pt>
                <c:pt idx="37">
                  <c:v>-0.37175855191666701</c:v>
                </c:pt>
                <c:pt idx="38">
                  <c:v>-4.5496320933333501E-2</c:v>
                </c:pt>
                <c:pt idx="39">
                  <c:v>2.1371181666701711E-4</c:v>
                </c:pt>
                <c:pt idx="40">
                  <c:v>3.6669576666667481E-4</c:v>
                </c:pt>
                <c:pt idx="41">
                  <c:v>-2.6733333333295311E-4</c:v>
                </c:pt>
                <c:pt idx="42">
                  <c:v>9.133333333399829E-5</c:v>
                </c:pt>
                <c:pt idx="43">
                  <c:v>-2.090000000000147E-4</c:v>
                </c:pt>
                <c:pt idx="44">
                  <c:v>3.6500000000017069E-4</c:v>
                </c:pt>
                <c:pt idx="45">
                  <c:v>4.8499999999995769E-4</c:v>
                </c:pt>
                <c:pt idx="46">
                  <c:v>-2.8600000000000852E-4</c:v>
                </c:pt>
                <c:pt idx="47">
                  <c:v>2.6333333333340009E-4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68F-45EB-BAD4-FCE58A6548F0}"/>
            </c:ext>
          </c:extLst>
        </c:ser>
        <c:ser>
          <c:idx val="67"/>
          <c:order val="67"/>
          <c:tx>
            <c:v>BES_TR2_six410_A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Net_kW!$BR$2:$BR$49</c:f>
              <c:numCache>
                <c:formatCode>#,##0.000</c:formatCode>
                <c:ptCount val="48"/>
                <c:pt idx="0">
                  <c:v>-1.546666666669694E-4</c:v>
                </c:pt>
                <c:pt idx="1">
                  <c:v>0.1140433333333299</c:v>
                </c:pt>
                <c:pt idx="2">
                  <c:v>0.25795600000000002</c:v>
                </c:pt>
                <c:pt idx="3">
                  <c:v>0.52382166666666696</c:v>
                </c:pt>
                <c:pt idx="4">
                  <c:v>0.30180499999999999</c:v>
                </c:pt>
                <c:pt idx="5">
                  <c:v>0.155168</c:v>
                </c:pt>
                <c:pt idx="6">
                  <c:v>5.7037333333333301E-2</c:v>
                </c:pt>
                <c:pt idx="7">
                  <c:v>2.5559196533333339E-2</c:v>
                </c:pt>
                <c:pt idx="8">
                  <c:v>0.12646150746666679</c:v>
                </c:pt>
                <c:pt idx="9">
                  <c:v>4.3577613333328769E-4</c:v>
                </c:pt>
                <c:pt idx="10">
                  <c:v>-2.6562160000132012E-4</c:v>
                </c:pt>
                <c:pt idx="11">
                  <c:v>2.72690133334974E-4</c:v>
                </c:pt>
                <c:pt idx="12">
                  <c:v>8.1407333331728893E-5</c:v>
                </c:pt>
                <c:pt idx="13">
                  <c:v>4.6416560000106521E-4</c:v>
                </c:pt>
                <c:pt idx="14">
                  <c:v>4.0545199999852948E-5</c:v>
                </c:pt>
                <c:pt idx="15">
                  <c:v>4.11243333333422E-4</c:v>
                </c:pt>
                <c:pt idx="16">
                  <c:v>-1.076161398266668</c:v>
                </c:pt>
                <c:pt idx="17">
                  <c:v>-2.5076509335999999</c:v>
                </c:pt>
                <c:pt idx="18">
                  <c:v>-2.7395753626666681</c:v>
                </c:pt>
                <c:pt idx="19">
                  <c:v>-2.888318072799998</c:v>
                </c:pt>
                <c:pt idx="20">
                  <c:v>-3.0058689430666679</c:v>
                </c:pt>
                <c:pt idx="21">
                  <c:v>-3.2543051211999998</c:v>
                </c:pt>
                <c:pt idx="22">
                  <c:v>-3.0440805913333349</c:v>
                </c:pt>
                <c:pt idx="23">
                  <c:v>-3.1241597088000002</c:v>
                </c:pt>
                <c:pt idx="24">
                  <c:v>-3.4064719957333351</c:v>
                </c:pt>
                <c:pt idx="25">
                  <c:v>-3.2421256719999998</c:v>
                </c:pt>
                <c:pt idx="26">
                  <c:v>-3.3081584820000001</c:v>
                </c:pt>
                <c:pt idx="27">
                  <c:v>-3.051156994133335</c:v>
                </c:pt>
                <c:pt idx="28">
                  <c:v>-2.763563226533333</c:v>
                </c:pt>
                <c:pt idx="29">
                  <c:v>-2.6222441730666679</c:v>
                </c:pt>
                <c:pt idx="30">
                  <c:v>-2.4915424948</c:v>
                </c:pt>
                <c:pt idx="31">
                  <c:v>-2.1277011872000009</c:v>
                </c:pt>
                <c:pt idx="32">
                  <c:v>-1.7744633906666649</c:v>
                </c:pt>
                <c:pt idx="33">
                  <c:v>-1.6010982729333321</c:v>
                </c:pt>
                <c:pt idx="34">
                  <c:v>-1.3558455273333321</c:v>
                </c:pt>
                <c:pt idx="35">
                  <c:v>-1.1124946212</c:v>
                </c:pt>
                <c:pt idx="36">
                  <c:v>-0.16872293466666799</c:v>
                </c:pt>
                <c:pt idx="37">
                  <c:v>-4.0724059333333007E-2</c:v>
                </c:pt>
                <c:pt idx="38">
                  <c:v>-3.4774773333316739E-4</c:v>
                </c:pt>
                <c:pt idx="39">
                  <c:v>-3.1028173332980907E-4</c:v>
                </c:pt>
                <c:pt idx="40">
                  <c:v>-4.5910959999972972E-4</c:v>
                </c:pt>
                <c:pt idx="41">
                  <c:v>-3.5366666666702962E-4</c:v>
                </c:pt>
                <c:pt idx="42">
                  <c:v>2.6399999999998652E-4</c:v>
                </c:pt>
                <c:pt idx="43">
                  <c:v>4.5000000000000601E-4</c:v>
                </c:pt>
                <c:pt idx="44">
                  <c:v>6.5333333334027799E-5</c:v>
                </c:pt>
                <c:pt idx="45">
                  <c:v>-4.06666666670219E-5</c:v>
                </c:pt>
                <c:pt idx="46">
                  <c:v>-1.5300000000001421E-4</c:v>
                </c:pt>
                <c:pt idx="47">
                  <c:v>2.8466666666668311E-4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C68F-45EB-BAD4-FCE58A6548F0}"/>
            </c:ext>
          </c:extLst>
        </c:ser>
        <c:ser>
          <c:idx val="68"/>
          <c:order val="68"/>
          <c:tx>
            <c:v>BES_TR2_six431_C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Net_kW!$BS$2:$BS$49</c:f>
              <c:numCache>
                <c:formatCode>#,##0.000</c:formatCode>
                <c:ptCount val="48"/>
                <c:pt idx="0">
                  <c:v>-2.03999999999982E-4</c:v>
                </c:pt>
                <c:pt idx="1">
                  <c:v>0</c:v>
                </c:pt>
                <c:pt idx="2">
                  <c:v>-2.4933333333299062E-4</c:v>
                </c:pt>
                <c:pt idx="3">
                  <c:v>0</c:v>
                </c:pt>
                <c:pt idx="4">
                  <c:v>-9.0666666667002516E-5</c:v>
                </c:pt>
                <c:pt idx="5">
                  <c:v>-1.5866666666700111E-4</c:v>
                </c:pt>
                <c:pt idx="6">
                  <c:v>0</c:v>
                </c:pt>
                <c:pt idx="7">
                  <c:v>-4.4080346666667408E-4</c:v>
                </c:pt>
                <c:pt idx="8">
                  <c:v>1.521741333337934E-4</c:v>
                </c:pt>
                <c:pt idx="9">
                  <c:v>2.9044280000001249E-4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-1.6792600000115071E-4</c:v>
                </c:pt>
                <c:pt idx="13">
                  <c:v>-4.7950106666187759E-4</c:v>
                </c:pt>
                <c:pt idx="14">
                  <c:v>-3.3245480000010369E-4</c:v>
                </c:pt>
                <c:pt idx="15">
                  <c:v>4.0576666667124783E-5</c:v>
                </c:pt>
                <c:pt idx="16">
                  <c:v>-3.473982666679643E-4</c:v>
                </c:pt>
                <c:pt idx="17">
                  <c:v>-1.8301202669333341</c:v>
                </c:pt>
                <c:pt idx="18">
                  <c:v>-2.5166853626666681</c:v>
                </c:pt>
                <c:pt idx="19">
                  <c:v>-2.5967427394666651</c:v>
                </c:pt>
                <c:pt idx="20">
                  <c:v>-1.645273609733338</c:v>
                </c:pt>
                <c:pt idx="21">
                  <c:v>-3.0644151212000001</c:v>
                </c:pt>
                <c:pt idx="22">
                  <c:v>-2.684619258000001</c:v>
                </c:pt>
                <c:pt idx="23">
                  <c:v>-1.5485600421333301</c:v>
                </c:pt>
                <c:pt idx="24">
                  <c:v>-3.362526662400001</c:v>
                </c:pt>
                <c:pt idx="25">
                  <c:v>-3.0525043386666662</c:v>
                </c:pt>
                <c:pt idx="26">
                  <c:v>-3.2784918153333331</c:v>
                </c:pt>
                <c:pt idx="27">
                  <c:v>-2.668806327466668</c:v>
                </c:pt>
                <c:pt idx="28">
                  <c:v>-2.9546892265333331</c:v>
                </c:pt>
                <c:pt idx="29">
                  <c:v>-2.4878161730666681</c:v>
                </c:pt>
                <c:pt idx="30">
                  <c:v>-1.2792744948000001</c:v>
                </c:pt>
                <c:pt idx="31">
                  <c:v>-1.652464187200001</c:v>
                </c:pt>
                <c:pt idx="32">
                  <c:v>-1.6066207239999979</c:v>
                </c:pt>
                <c:pt idx="33">
                  <c:v>-1.4011106062666649</c:v>
                </c:pt>
                <c:pt idx="34">
                  <c:v>-0.85148072733333191</c:v>
                </c:pt>
                <c:pt idx="35">
                  <c:v>-0.79582428786666704</c:v>
                </c:pt>
                <c:pt idx="36">
                  <c:v>-0.28297660133333502</c:v>
                </c:pt>
                <c:pt idx="37">
                  <c:v>-4.4392666670223242E-5</c:v>
                </c:pt>
                <c:pt idx="38">
                  <c:v>-2.8741440000290552E-4</c:v>
                </c:pt>
                <c:pt idx="39">
                  <c:v>2.1805159999988E-4</c:v>
                </c:pt>
                <c:pt idx="40">
                  <c:v>1.3290223733333269E-2</c:v>
                </c:pt>
                <c:pt idx="41">
                  <c:v>0.50479333333333298</c:v>
                </c:pt>
                <c:pt idx="42">
                  <c:v>1.6946383333333299</c:v>
                </c:pt>
                <c:pt idx="43">
                  <c:v>0.88264866666666697</c:v>
                </c:pt>
                <c:pt idx="44">
                  <c:v>0.87443666666666697</c:v>
                </c:pt>
                <c:pt idx="45">
                  <c:v>0.170231666666666</c:v>
                </c:pt>
                <c:pt idx="46">
                  <c:v>5.1999999999999998E-2</c:v>
                </c:pt>
                <c:pt idx="47">
                  <c:v>0.205750666666667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68F-45EB-BAD4-FCE58A6548F0}"/>
            </c:ext>
          </c:extLst>
        </c:ser>
        <c:ser>
          <c:idx val="69"/>
          <c:order val="69"/>
          <c:tx>
            <c:v>BES_TR2_six484_B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Net_kW!$BT$2:$BT$49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-4.099999999999937E-4</c:v>
                </c:pt>
                <c:pt idx="3">
                  <c:v>0</c:v>
                </c:pt>
                <c:pt idx="4">
                  <c:v>0</c:v>
                </c:pt>
                <c:pt idx="5">
                  <c:v>-4.099999999999937E-4</c:v>
                </c:pt>
                <c:pt idx="6">
                  <c:v>0</c:v>
                </c:pt>
                <c:pt idx="7">
                  <c:v>-1.505021666666703E-4</c:v>
                </c:pt>
                <c:pt idx="8">
                  <c:v>-4.940578333332557E-4</c:v>
                </c:pt>
                <c:pt idx="9">
                  <c:v>-3.584732500000049E-4</c:v>
                </c:pt>
                <c:pt idx="10">
                  <c:v>-3.3768016666751999E-4</c:v>
                </c:pt>
                <c:pt idx="11">
                  <c:v>-7.1235333332475559E-5</c:v>
                </c:pt>
                <c:pt idx="12">
                  <c:v>5.0879583332497091E-5</c:v>
                </c:pt>
                <c:pt idx="13">
                  <c:v>4.1177016666749111E-4</c:v>
                </c:pt>
                <c:pt idx="14">
                  <c:v>3.6534074999994282E-4</c:v>
                </c:pt>
                <c:pt idx="15">
                  <c:v>-1.413062499999729E-4</c:v>
                </c:pt>
                <c:pt idx="16">
                  <c:v>2.3732608333204561E-4</c:v>
                </c:pt>
                <c:pt idx="17">
                  <c:v>-1.9643349999995399E-4</c:v>
                </c:pt>
                <c:pt idx="18">
                  <c:v>-0.71015960166666814</c:v>
                </c:pt>
                <c:pt idx="19">
                  <c:v>-1.376922962166665</c:v>
                </c:pt>
                <c:pt idx="20">
                  <c:v>4.944105833329937E-4</c:v>
                </c:pt>
                <c:pt idx="21">
                  <c:v>-4.990340833301854E-4</c:v>
                </c:pt>
                <c:pt idx="22">
                  <c:v>-0.37211120291666711</c:v>
                </c:pt>
                <c:pt idx="23">
                  <c:v>-2.1054791929999999</c:v>
                </c:pt>
                <c:pt idx="24">
                  <c:v>-2.113550830666667</c:v>
                </c:pt>
                <c:pt idx="25">
                  <c:v>-1.9978610450000001</c:v>
                </c:pt>
                <c:pt idx="26">
                  <c:v>-2.0477240512499999</c:v>
                </c:pt>
                <c:pt idx="27">
                  <c:v>-1.905668954666667</c:v>
                </c:pt>
                <c:pt idx="28">
                  <c:v>-1.8420174332499999</c:v>
                </c:pt>
                <c:pt idx="29">
                  <c:v>-1.760868858166668</c:v>
                </c:pt>
                <c:pt idx="30">
                  <c:v>-1.5358653092500001</c:v>
                </c:pt>
                <c:pt idx="31">
                  <c:v>-1.4867399086666679</c:v>
                </c:pt>
                <c:pt idx="32">
                  <c:v>-1.2893850358333321</c:v>
                </c:pt>
                <c:pt idx="33">
                  <c:v>-1.042694545583333</c:v>
                </c:pt>
                <c:pt idx="34">
                  <c:v>-0.92400732958333243</c:v>
                </c:pt>
                <c:pt idx="35">
                  <c:v>-0.62762851325000002</c:v>
                </c:pt>
                <c:pt idx="36">
                  <c:v>-0.53882308416666747</c:v>
                </c:pt>
                <c:pt idx="37">
                  <c:v>-0.30070587041666669</c:v>
                </c:pt>
                <c:pt idx="38">
                  <c:v>3.0753266666682521E-4</c:v>
                </c:pt>
                <c:pt idx="39">
                  <c:v>-3.4163441666695832E-4</c:v>
                </c:pt>
                <c:pt idx="40">
                  <c:v>4.0973166666291583E-5</c:v>
                </c:pt>
                <c:pt idx="41">
                  <c:v>3.0766666666703912E-4</c:v>
                </c:pt>
                <c:pt idx="42">
                  <c:v>7.2666666666998392E-5</c:v>
                </c:pt>
                <c:pt idx="43">
                  <c:v>2.8600000000000852E-4</c:v>
                </c:pt>
                <c:pt idx="44">
                  <c:v>4.049999999999887E-4</c:v>
                </c:pt>
                <c:pt idx="45">
                  <c:v>0</c:v>
                </c:pt>
                <c:pt idx="46">
                  <c:v>-4.099999999999937E-4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C68F-45EB-BAD4-FCE58A6548F0}"/>
            </c:ext>
          </c:extLst>
        </c:ser>
        <c:ser>
          <c:idx val="70"/>
          <c:order val="70"/>
          <c:tx>
            <c:v>BES_TR2_six512_B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Net_kW!$BU$2:$BU$49</c:f>
              <c:numCache>
                <c:formatCode>#,##0.000</c:formatCode>
                <c:ptCount val="48"/>
                <c:pt idx="0">
                  <c:v>1.973333333339933E-4</c:v>
                </c:pt>
                <c:pt idx="1">
                  <c:v>-2.5900000000000922E-4</c:v>
                </c:pt>
                <c:pt idx="2">
                  <c:v>4.46000000000002E-4</c:v>
                </c:pt>
                <c:pt idx="3">
                  <c:v>1.466666666669891E-4</c:v>
                </c:pt>
                <c:pt idx="4">
                  <c:v>3.5266666666700092E-4</c:v>
                </c:pt>
                <c:pt idx="5">
                  <c:v>8.8000000000032497E-5</c:v>
                </c:pt>
                <c:pt idx="6">
                  <c:v>4.1133333333298611E-4</c:v>
                </c:pt>
                <c:pt idx="7">
                  <c:v>-4.4080346666666709E-4</c:v>
                </c:pt>
                <c:pt idx="8">
                  <c:v>-2.3515920000019561E-4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1.5669013333474699E-4</c:v>
                </c:pt>
                <c:pt idx="12">
                  <c:v>2.2807399999891231E-4</c:v>
                </c:pt>
                <c:pt idx="13">
                  <c:v>1.5083226666812169E-4</c:v>
                </c:pt>
                <c:pt idx="14">
                  <c:v>-4.9878813333359417E-4</c:v>
                </c:pt>
                <c:pt idx="15">
                  <c:v>-4.7942333333295117E-4</c:v>
                </c:pt>
                <c:pt idx="16">
                  <c:v>-1.7489233982666681</c:v>
                </c:pt>
                <c:pt idx="17">
                  <c:v>-2.330008800266667</c:v>
                </c:pt>
                <c:pt idx="18">
                  <c:v>-2.6800910293333349</c:v>
                </c:pt>
                <c:pt idx="19">
                  <c:v>-2.8054417394666649</c:v>
                </c:pt>
                <c:pt idx="20">
                  <c:v>-3.0102709430666681</c:v>
                </c:pt>
                <c:pt idx="21">
                  <c:v>-2.5252003545333328</c:v>
                </c:pt>
                <c:pt idx="22">
                  <c:v>-0.86206459133333802</c:v>
                </c:pt>
                <c:pt idx="23">
                  <c:v>-1.6443528087999999</c:v>
                </c:pt>
                <c:pt idx="24">
                  <c:v>-3.2805190624000011</c:v>
                </c:pt>
                <c:pt idx="25">
                  <c:v>-3.126907272</c:v>
                </c:pt>
                <c:pt idx="26">
                  <c:v>-3.2856447819999999</c:v>
                </c:pt>
                <c:pt idx="27">
                  <c:v>-3.0382023274666681</c:v>
                </c:pt>
                <c:pt idx="28">
                  <c:v>-2.9954785598666671</c:v>
                </c:pt>
                <c:pt idx="29">
                  <c:v>-2.7556095064000008</c:v>
                </c:pt>
                <c:pt idx="30">
                  <c:v>-2.5433248281333332</c:v>
                </c:pt>
                <c:pt idx="31">
                  <c:v>-2.3334688538666679</c:v>
                </c:pt>
                <c:pt idx="32">
                  <c:v>-1.9796533906666649</c:v>
                </c:pt>
                <c:pt idx="33">
                  <c:v>-1.755681006266665</c:v>
                </c:pt>
                <c:pt idx="34">
                  <c:v>-1.3518083273333319</c:v>
                </c:pt>
                <c:pt idx="35">
                  <c:v>-0.90224595453333301</c:v>
                </c:pt>
                <c:pt idx="36">
                  <c:v>-1.389346666680891E-4</c:v>
                </c:pt>
                <c:pt idx="37">
                  <c:v>-0.21109475933333299</c:v>
                </c:pt>
                <c:pt idx="38">
                  <c:v>-0.1803787144000002</c:v>
                </c:pt>
                <c:pt idx="39">
                  <c:v>3.2471826666702341E-4</c:v>
                </c:pt>
                <c:pt idx="40">
                  <c:v>3.4089040000034881E-4</c:v>
                </c:pt>
                <c:pt idx="41">
                  <c:v>8.3599999999989238E-5</c:v>
                </c:pt>
                <c:pt idx="42">
                  <c:v>-3.8319999999997251E-4</c:v>
                </c:pt>
                <c:pt idx="43">
                  <c:v>4.359999999999919E-4</c:v>
                </c:pt>
                <c:pt idx="44">
                  <c:v>-8.6000000000030496E-5</c:v>
                </c:pt>
                <c:pt idx="45">
                  <c:v>9.1666666666045948E-5</c:v>
                </c:pt>
                <c:pt idx="46">
                  <c:v>2.8066666666703988E-4</c:v>
                </c:pt>
                <c:pt idx="47">
                  <c:v>-3.5666666666700492E-4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68F-45EB-BAD4-FCE58A6548F0}"/>
            </c:ext>
          </c:extLst>
        </c:ser>
        <c:ser>
          <c:idx val="71"/>
          <c:order val="71"/>
          <c:tx>
            <c:v>BES_TR2_six518_B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Net_kW!$BV$2:$BV$49</c:f>
              <c:numCache>
                <c:formatCode>#,##0.000</c:formatCode>
                <c:ptCount val="48"/>
                <c:pt idx="0">
                  <c:v>-2.0000000000006121E-5</c:v>
                </c:pt>
                <c:pt idx="1">
                  <c:v>-4.733333333330203E-4</c:v>
                </c:pt>
                <c:pt idx="2">
                  <c:v>0</c:v>
                </c:pt>
                <c:pt idx="3">
                  <c:v>2.9999999999999472E-4</c:v>
                </c:pt>
                <c:pt idx="4">
                  <c:v>2.066666666670075E-4</c:v>
                </c:pt>
                <c:pt idx="5">
                  <c:v>0</c:v>
                </c:pt>
                <c:pt idx="6">
                  <c:v>0</c:v>
                </c:pt>
                <c:pt idx="7">
                  <c:v>2.5959826666666069E-4</c:v>
                </c:pt>
                <c:pt idx="8">
                  <c:v>-3.4057959999961312E-4</c:v>
                </c:pt>
                <c:pt idx="9">
                  <c:v>-2.8677860000000249E-4</c:v>
                </c:pt>
                <c:pt idx="10">
                  <c:v>-1.0144133334000219E-5</c:v>
                </c:pt>
                <c:pt idx="11">
                  <c:v>-8.2321599998991246E-5</c:v>
                </c:pt>
                <c:pt idx="12">
                  <c:v>4.0703666665919958E-5</c:v>
                </c:pt>
                <c:pt idx="13">
                  <c:v>-1.3725053333296661E-4</c:v>
                </c:pt>
                <c:pt idx="14">
                  <c:v>-2.0639406666678181E-4</c:v>
                </c:pt>
                <c:pt idx="15">
                  <c:v>-3.1304499999984531E-4</c:v>
                </c:pt>
                <c:pt idx="16">
                  <c:v>-1.646991333339454E-4</c:v>
                </c:pt>
                <c:pt idx="17">
                  <c:v>2.011998666671122E-4</c:v>
                </c:pt>
                <c:pt idx="18">
                  <c:v>1.649853333357543E-4</c:v>
                </c:pt>
                <c:pt idx="19">
                  <c:v>-4.819697333338091E-4</c:v>
                </c:pt>
                <c:pt idx="20">
                  <c:v>-0.49000900486666682</c:v>
                </c:pt>
                <c:pt idx="21">
                  <c:v>-1.3870558939333331</c:v>
                </c:pt>
                <c:pt idx="22">
                  <c:v>-1.504534295666667</c:v>
                </c:pt>
                <c:pt idx="23">
                  <c:v>-1.3793683543999999</c:v>
                </c:pt>
                <c:pt idx="24">
                  <c:v>-1.3082762978666671</c:v>
                </c:pt>
                <c:pt idx="25">
                  <c:v>-1.6551608360000001</c:v>
                </c:pt>
                <c:pt idx="26">
                  <c:v>-1.5043925743333331</c:v>
                </c:pt>
                <c:pt idx="27">
                  <c:v>-1.511347163733334</c:v>
                </c:pt>
                <c:pt idx="28">
                  <c:v>-1.4787539465999999</c:v>
                </c:pt>
                <c:pt idx="29">
                  <c:v>-1.2335884198666669</c:v>
                </c:pt>
                <c:pt idx="30">
                  <c:v>-1.2855642474</c:v>
                </c:pt>
                <c:pt idx="31">
                  <c:v>-1.1657919269333341</c:v>
                </c:pt>
                <c:pt idx="32">
                  <c:v>-0.86885416199999888</c:v>
                </c:pt>
                <c:pt idx="33">
                  <c:v>-0.81808636979999894</c:v>
                </c:pt>
                <c:pt idx="34">
                  <c:v>-0.46552953033333289</c:v>
                </c:pt>
                <c:pt idx="35">
                  <c:v>-0.55897481059999998</c:v>
                </c:pt>
                <c:pt idx="36">
                  <c:v>-0.338591800666667</c:v>
                </c:pt>
                <c:pt idx="37">
                  <c:v>2.7497033333295778E-4</c:v>
                </c:pt>
                <c:pt idx="38">
                  <c:v>2.9594666664523039E-6</c:v>
                </c:pt>
                <c:pt idx="39">
                  <c:v>-2.7640866667066891E-5</c:v>
                </c:pt>
                <c:pt idx="40">
                  <c:v>-1.188881333333835E-4</c:v>
                </c:pt>
                <c:pt idx="41">
                  <c:v>-1.753333333298634E-4</c:v>
                </c:pt>
                <c:pt idx="42">
                  <c:v>-4.183333333329653E-4</c:v>
                </c:pt>
                <c:pt idx="43">
                  <c:v>-2.186666666669779E-4</c:v>
                </c:pt>
                <c:pt idx="44">
                  <c:v>-2.7399999999988539E-4</c:v>
                </c:pt>
                <c:pt idx="45">
                  <c:v>-1.0000000000009999E-5</c:v>
                </c:pt>
                <c:pt idx="46">
                  <c:v>4.1566666666703611E-4</c:v>
                </c:pt>
                <c:pt idx="47">
                  <c:v>4.7133333333299049E-4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C68F-45EB-BAD4-FCE58A6548F0}"/>
            </c:ext>
          </c:extLst>
        </c:ser>
        <c:ser>
          <c:idx val="72"/>
          <c:order val="72"/>
          <c:tx>
            <c:v>BES_TR2_six523_C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Net_kW!$BW$2:$BW$49</c:f>
              <c:numCache>
                <c:formatCode>#,##0.000</c:formatCode>
                <c:ptCount val="48"/>
                <c:pt idx="0">
                  <c:v>0</c:v>
                </c:pt>
                <c:pt idx="1">
                  <c:v>4.7999999999999432E-4</c:v>
                </c:pt>
                <c:pt idx="2">
                  <c:v>-3.2533333333301112E-4</c:v>
                </c:pt>
                <c:pt idx="3">
                  <c:v>-6.7999999999998617E-5</c:v>
                </c:pt>
                <c:pt idx="4">
                  <c:v>3.2999999999999702E-4</c:v>
                </c:pt>
                <c:pt idx="5">
                  <c:v>2.3333333333042109E-5</c:v>
                </c:pt>
                <c:pt idx="6">
                  <c:v>1.993333333329961E-4</c:v>
                </c:pt>
                <c:pt idx="7">
                  <c:v>-2.9973506666633448E-4</c:v>
                </c:pt>
                <c:pt idx="8">
                  <c:v>3.327537333333852E-4</c:v>
                </c:pt>
                <c:pt idx="9">
                  <c:v>-2.8677859999999561E-4</c:v>
                </c:pt>
                <c:pt idx="10">
                  <c:v>4.5552253333297488E-4</c:v>
                </c:pt>
                <c:pt idx="11">
                  <c:v>4.3701173333403689E-4</c:v>
                </c:pt>
                <c:pt idx="12">
                  <c:v>1.273703333329324E-4</c:v>
                </c:pt>
                <c:pt idx="13">
                  <c:v>-2.9025053333608941E-4</c:v>
                </c:pt>
                <c:pt idx="14">
                  <c:v>4.5893926666695778E-4</c:v>
                </c:pt>
                <c:pt idx="15">
                  <c:v>-2.090449999999078E-4</c:v>
                </c:pt>
                <c:pt idx="16">
                  <c:v>2.4930086666585799E-4</c:v>
                </c:pt>
                <c:pt idx="17">
                  <c:v>-5.3466799999957182E-5</c:v>
                </c:pt>
                <c:pt idx="18">
                  <c:v>-5.3681333333943648E-5</c:v>
                </c:pt>
                <c:pt idx="19">
                  <c:v>3.1663026666706168E-4</c:v>
                </c:pt>
                <c:pt idx="20">
                  <c:v>3.0552846666620498E-4</c:v>
                </c:pt>
                <c:pt idx="21">
                  <c:v>-0.66828162726666607</c:v>
                </c:pt>
                <c:pt idx="22">
                  <c:v>-3.1962900000048761E-4</c:v>
                </c:pt>
                <c:pt idx="23">
                  <c:v>-1.0207833544</c:v>
                </c:pt>
                <c:pt idx="24">
                  <c:v>-1.4065267312000009</c:v>
                </c:pt>
                <c:pt idx="25">
                  <c:v>-1.1967281693333329</c:v>
                </c:pt>
                <c:pt idx="26">
                  <c:v>-1.6205792409999999</c:v>
                </c:pt>
                <c:pt idx="27">
                  <c:v>-1.322842497066667</c:v>
                </c:pt>
                <c:pt idx="28">
                  <c:v>-1.3834919466</c:v>
                </c:pt>
                <c:pt idx="29">
                  <c:v>-1.391095086533334</c:v>
                </c:pt>
                <c:pt idx="30">
                  <c:v>-0.97617658073333302</c:v>
                </c:pt>
                <c:pt idx="31">
                  <c:v>-1.150092926933334</c:v>
                </c:pt>
                <c:pt idx="32">
                  <c:v>-1.0369000286666661</c:v>
                </c:pt>
                <c:pt idx="33">
                  <c:v>-0.76050363646666597</c:v>
                </c:pt>
                <c:pt idx="34">
                  <c:v>-0.45020569699999902</c:v>
                </c:pt>
                <c:pt idx="35">
                  <c:v>-0.51869981060000003</c:v>
                </c:pt>
                <c:pt idx="36">
                  <c:v>-2.9134000003927522E-5</c:v>
                </c:pt>
                <c:pt idx="37">
                  <c:v>-4.320296666670137E-4</c:v>
                </c:pt>
                <c:pt idx="38">
                  <c:v>9.7892800000415336E-5</c:v>
                </c:pt>
                <c:pt idx="39">
                  <c:v>-5.730753333299532E-5</c:v>
                </c:pt>
                <c:pt idx="40">
                  <c:v>-1.935548000003284E-4</c:v>
                </c:pt>
                <c:pt idx="41">
                  <c:v>3.2499999999996421E-4</c:v>
                </c:pt>
                <c:pt idx="42">
                  <c:v>-2.4733333333304408E-4</c:v>
                </c:pt>
                <c:pt idx="43">
                  <c:v>-3.41333333330196E-4</c:v>
                </c:pt>
                <c:pt idx="44">
                  <c:v>-4.2433333333391499E-4</c:v>
                </c:pt>
                <c:pt idx="45">
                  <c:v>-1.4866666666701889E-4</c:v>
                </c:pt>
                <c:pt idx="46">
                  <c:v>4.7766666666693158E-4</c:v>
                </c:pt>
                <c:pt idx="47">
                  <c:v>-4.7299999999994569E-4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68F-45EB-BAD4-FCE58A6548F0}"/>
            </c:ext>
          </c:extLst>
        </c:ser>
        <c:ser>
          <c:idx val="73"/>
          <c:order val="73"/>
          <c:tx>
            <c:v>BES_TR2_six571_C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Net_kW!$BX$2:$BX$49</c:f>
              <c:numCache>
                <c:formatCode>#,##0.000</c:formatCode>
                <c:ptCount val="48"/>
                <c:pt idx="0">
                  <c:v>-2.5333333332988591E-5</c:v>
                </c:pt>
                <c:pt idx="1">
                  <c:v>0</c:v>
                </c:pt>
                <c:pt idx="2">
                  <c:v>1.2799999999996151E-4</c:v>
                </c:pt>
                <c:pt idx="3">
                  <c:v>-7.8333333333291399E-5</c:v>
                </c:pt>
                <c:pt idx="4">
                  <c:v>4.996666666670091E-4</c:v>
                </c:pt>
                <c:pt idx="5">
                  <c:v>4.089999999999927E-4</c:v>
                </c:pt>
                <c:pt idx="6">
                  <c:v>7.299999999998974E-5</c:v>
                </c:pt>
                <c:pt idx="7">
                  <c:v>1.140640666669746E-4</c:v>
                </c:pt>
                <c:pt idx="8">
                  <c:v>-9.2202733332907849E-5</c:v>
                </c:pt>
                <c:pt idx="9">
                  <c:v>3.3049876666700791E-4</c:v>
                </c:pt>
                <c:pt idx="10">
                  <c:v>-2.5388286666701287E-4</c:v>
                </c:pt>
                <c:pt idx="11">
                  <c:v>3.7851760000107149E-4</c:v>
                </c:pt>
                <c:pt idx="12">
                  <c:v>2.6038883333190382E-4</c:v>
                </c:pt>
                <c:pt idx="13">
                  <c:v>-3.9887579999897671E-4</c:v>
                </c:pt>
                <c:pt idx="14">
                  <c:v>-4.3659109999993889E-4</c:v>
                </c:pt>
                <c:pt idx="15">
                  <c:v>2.4509916666715093E-4</c:v>
                </c:pt>
                <c:pt idx="16">
                  <c:v>2.4295129999885029E-4</c:v>
                </c:pt>
                <c:pt idx="17">
                  <c:v>-3.8286686666699771E-4</c:v>
                </c:pt>
                <c:pt idx="18">
                  <c:v>-1.6262975220000011</c:v>
                </c:pt>
                <c:pt idx="19">
                  <c:v>-1.863497554599999</c:v>
                </c:pt>
                <c:pt idx="20">
                  <c:v>-1.9080313739666681</c:v>
                </c:pt>
                <c:pt idx="21">
                  <c:v>-0.25302450756666989</c:v>
                </c:pt>
                <c:pt idx="22">
                  <c:v>6.6556499999141649E-5</c:v>
                </c:pt>
                <c:pt idx="23">
                  <c:v>-0.55619203160000019</c:v>
                </c:pt>
                <c:pt idx="24">
                  <c:v>-2.3728633301333342</c:v>
                </c:pt>
                <c:pt idx="25">
                  <c:v>-2.2998415873333329</c:v>
                </c:pt>
                <c:pt idx="26">
                  <c:v>-2.2630228615000001</c:v>
                </c:pt>
                <c:pt idx="27">
                  <c:v>-1.2764984122666709</c:v>
                </c:pt>
                <c:pt idx="28">
                  <c:v>-1.693492586566667</c:v>
                </c:pt>
                <c:pt idx="29">
                  <c:v>-1.759022296466668</c:v>
                </c:pt>
                <c:pt idx="30">
                  <c:v>-1.763365037766667</c:v>
                </c:pt>
                <c:pt idx="31">
                  <c:v>-1.6870205570666681</c:v>
                </c:pt>
                <c:pt idx="32">
                  <c:v>-1.485510709666666</c:v>
                </c:pt>
                <c:pt idx="33">
                  <c:v>-0.67486345469999909</c:v>
                </c:pt>
                <c:pt idx="34">
                  <c:v>-0.44843379549999912</c:v>
                </c:pt>
                <c:pt idx="35">
                  <c:v>-0.20027821590000011</c:v>
                </c:pt>
                <c:pt idx="36">
                  <c:v>8.163233333194353E-5</c:v>
                </c:pt>
                <c:pt idx="37">
                  <c:v>2.0695550000001531E-4</c:v>
                </c:pt>
                <c:pt idx="38">
                  <c:v>-3.7689413333291682E-4</c:v>
                </c:pt>
                <c:pt idx="39">
                  <c:v>-2.6862796666704552E-4</c:v>
                </c:pt>
                <c:pt idx="40">
                  <c:v>2.4450113333396312E-4</c:v>
                </c:pt>
                <c:pt idx="41">
                  <c:v>3.0266666666697861E-4</c:v>
                </c:pt>
                <c:pt idx="42">
                  <c:v>-2.6866666666697242E-4</c:v>
                </c:pt>
                <c:pt idx="43">
                  <c:v>-7.2666666666609814E-5</c:v>
                </c:pt>
                <c:pt idx="44">
                  <c:v>-4.1600000000002751E-4</c:v>
                </c:pt>
                <c:pt idx="45">
                  <c:v>0</c:v>
                </c:pt>
                <c:pt idx="46">
                  <c:v>-1.070000000000237E-4</c:v>
                </c:pt>
                <c:pt idx="47">
                  <c:v>-4.7000000000005371E-5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C68F-45EB-BAD4-FCE58A6548F0}"/>
            </c:ext>
          </c:extLst>
        </c:ser>
        <c:ser>
          <c:idx val="74"/>
          <c:order val="74"/>
          <c:tx>
            <c:v>BES_TR2_six583_A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Net_kW!$BY$2:$BY$49</c:f>
              <c:numCache>
                <c:formatCode>#,##0.000</c:formatCode>
                <c:ptCount val="48"/>
                <c:pt idx="0">
                  <c:v>0</c:v>
                </c:pt>
                <c:pt idx="1">
                  <c:v>4.7233333333299149E-4</c:v>
                </c:pt>
                <c:pt idx="2">
                  <c:v>3.0299999999999772E-4</c:v>
                </c:pt>
                <c:pt idx="3">
                  <c:v>0</c:v>
                </c:pt>
                <c:pt idx="4">
                  <c:v>4.539999999999822E-4</c:v>
                </c:pt>
                <c:pt idx="5">
                  <c:v>3.1666666666699261E-4</c:v>
                </c:pt>
                <c:pt idx="6">
                  <c:v>0</c:v>
                </c:pt>
                <c:pt idx="7">
                  <c:v>-1.0703033333329949E-5</c:v>
                </c:pt>
                <c:pt idx="8">
                  <c:v>-2.0101429999953849E-4</c:v>
                </c:pt>
                <c:pt idx="9">
                  <c:v>4.3137450000008133E-5</c:v>
                </c:pt>
                <c:pt idx="10">
                  <c:v>-2.2208556666780679E-4</c:v>
                </c:pt>
                <c:pt idx="11">
                  <c:v>1.6427053333456509E-4</c:v>
                </c:pt>
                <c:pt idx="12">
                  <c:v>1.023141666534055E-5</c:v>
                </c:pt>
                <c:pt idx="13">
                  <c:v>-2.3521766664869052E-5</c:v>
                </c:pt>
                <c:pt idx="14">
                  <c:v>-3.9785628333288692E-4</c:v>
                </c:pt>
                <c:pt idx="15">
                  <c:v>2.0217124999999389E-4</c:v>
                </c:pt>
                <c:pt idx="16">
                  <c:v>-1.419834223483335</c:v>
                </c:pt>
                <c:pt idx="17">
                  <c:v>-2.0254163669</c:v>
                </c:pt>
                <c:pt idx="18">
                  <c:v>-0.7565998423333351</c:v>
                </c:pt>
                <c:pt idx="19">
                  <c:v>-1.1414571803666651</c:v>
                </c:pt>
                <c:pt idx="20">
                  <c:v>-1.6041734918500039</c:v>
                </c:pt>
                <c:pt idx="21">
                  <c:v>-2.6755266477166662</c:v>
                </c:pt>
                <c:pt idx="22">
                  <c:v>-2.7271116840833338</c:v>
                </c:pt>
                <c:pt idx="23">
                  <c:v>-2.3813532035333331</c:v>
                </c:pt>
                <c:pt idx="24">
                  <c:v>-2.457325829600002</c:v>
                </c:pt>
                <c:pt idx="25">
                  <c:v>-2.2636581296666658</c:v>
                </c:pt>
                <c:pt idx="26">
                  <c:v>-2.5191156717499998</c:v>
                </c:pt>
                <c:pt idx="27">
                  <c:v>-2.7027715365333349</c:v>
                </c:pt>
                <c:pt idx="28">
                  <c:v>-2.5170324065499998</c:v>
                </c:pt>
                <c:pt idx="29">
                  <c:v>-2.4162764014333349</c:v>
                </c:pt>
                <c:pt idx="30">
                  <c:v>-2.042200766283333</c:v>
                </c:pt>
                <c:pt idx="31">
                  <c:v>-1.4153405388000011</c:v>
                </c:pt>
                <c:pt idx="32">
                  <c:v>-1.741666050166665</c:v>
                </c:pt>
                <c:pt idx="33">
                  <c:v>-1.4695623638166651</c:v>
                </c:pt>
                <c:pt idx="34">
                  <c:v>-1.097037261416665</c:v>
                </c:pt>
                <c:pt idx="35">
                  <c:v>-1.01870591855</c:v>
                </c:pt>
                <c:pt idx="36">
                  <c:v>-0.52206965116666748</c:v>
                </c:pt>
                <c:pt idx="37">
                  <c:v>-0.49790688524999999</c:v>
                </c:pt>
                <c:pt idx="38">
                  <c:v>-0.17996398759999949</c:v>
                </c:pt>
                <c:pt idx="39">
                  <c:v>-3.1095485000001011E-4</c:v>
                </c:pt>
                <c:pt idx="40">
                  <c:v>-3.6830423333333862E-4</c:v>
                </c:pt>
                <c:pt idx="41">
                  <c:v>-1.5166666666702189E-4</c:v>
                </c:pt>
                <c:pt idx="42">
                  <c:v>3.0299999999999772E-4</c:v>
                </c:pt>
                <c:pt idx="43">
                  <c:v>3.869999999999707E-4</c:v>
                </c:pt>
                <c:pt idx="44">
                  <c:v>4.556666666670206E-4</c:v>
                </c:pt>
                <c:pt idx="45">
                  <c:v>-2.600000000008151E-5</c:v>
                </c:pt>
                <c:pt idx="46">
                  <c:v>-3.7900000000001821E-4</c:v>
                </c:pt>
                <c:pt idx="47">
                  <c:v>-2.8833333333300182E-4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68F-45EB-BAD4-FCE58A6548F0}"/>
            </c:ext>
          </c:extLst>
        </c:ser>
        <c:ser>
          <c:idx val="75"/>
          <c:order val="75"/>
          <c:tx>
            <c:v>BES_TR2_six625_A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Net_kW!$BZ$2:$BZ$49</c:f>
              <c:numCache>
                <c:formatCode>#,##0.000</c:formatCode>
                <c:ptCount val="48"/>
                <c:pt idx="0">
                  <c:v>-3.1199999999997902E-4</c:v>
                </c:pt>
                <c:pt idx="1">
                  <c:v>4.6133333333298049E-4</c:v>
                </c:pt>
                <c:pt idx="2">
                  <c:v>-8.2333333333073355E-5</c:v>
                </c:pt>
                <c:pt idx="3">
                  <c:v>0</c:v>
                </c:pt>
                <c:pt idx="4">
                  <c:v>-4.5033333333305281E-4</c:v>
                </c:pt>
                <c:pt idx="5">
                  <c:v>2.775557561562891E-17</c:v>
                </c:pt>
                <c:pt idx="6">
                  <c:v>2.8299999999999159E-4</c:v>
                </c:pt>
                <c:pt idx="7">
                  <c:v>0.23468973073333299</c:v>
                </c:pt>
                <c:pt idx="8">
                  <c:v>2.0699130600000101E-2</c:v>
                </c:pt>
                <c:pt idx="9">
                  <c:v>3.5569832099999997E-2</c:v>
                </c:pt>
                <c:pt idx="10">
                  <c:v>-4.5854953333401838E-4</c:v>
                </c:pt>
                <c:pt idx="11">
                  <c:v>-3.9348239999897888E-4</c:v>
                </c:pt>
                <c:pt idx="12">
                  <c:v>1.9772216666591461E-4</c:v>
                </c:pt>
                <c:pt idx="13">
                  <c:v>1.0412420000094349E-4</c:v>
                </c:pt>
                <c:pt idx="14">
                  <c:v>-4.6959109999988868E-4</c:v>
                </c:pt>
                <c:pt idx="15">
                  <c:v>-4.1790083333292932E-4</c:v>
                </c:pt>
                <c:pt idx="16">
                  <c:v>1.6461796666897291E-4</c:v>
                </c:pt>
                <c:pt idx="17">
                  <c:v>-2.722002000001833E-4</c:v>
                </c:pt>
                <c:pt idx="18">
                  <c:v>4.8914466666616363E-4</c:v>
                </c:pt>
                <c:pt idx="19">
                  <c:v>-1.442740221266666</c:v>
                </c:pt>
                <c:pt idx="20">
                  <c:v>-2.2890067073000009</c:v>
                </c:pt>
                <c:pt idx="21">
                  <c:v>-2.1079255075666672</c:v>
                </c:pt>
                <c:pt idx="22">
                  <c:v>-2.480733443500001</c:v>
                </c:pt>
                <c:pt idx="23">
                  <c:v>-2.4371823649333328</c:v>
                </c:pt>
                <c:pt idx="24">
                  <c:v>-2.2963013301333342</c:v>
                </c:pt>
                <c:pt idx="25">
                  <c:v>-2.5057412540000001</c:v>
                </c:pt>
                <c:pt idx="26">
                  <c:v>-2.1611708615</c:v>
                </c:pt>
                <c:pt idx="27">
                  <c:v>-2.286409078933334</c:v>
                </c:pt>
                <c:pt idx="28">
                  <c:v>-2.0079649199</c:v>
                </c:pt>
                <c:pt idx="29">
                  <c:v>-1.7900326298000011</c:v>
                </c:pt>
                <c:pt idx="30">
                  <c:v>-1.8130003711</c:v>
                </c:pt>
                <c:pt idx="31">
                  <c:v>-1.4245338904000009</c:v>
                </c:pt>
                <c:pt idx="32">
                  <c:v>-1.366980042999999</c:v>
                </c:pt>
                <c:pt idx="33">
                  <c:v>-0.98885612136666601</c:v>
                </c:pt>
                <c:pt idx="34">
                  <c:v>-0.87727579549999901</c:v>
                </c:pt>
                <c:pt idx="35">
                  <c:v>-0.71929221590000014</c:v>
                </c:pt>
                <c:pt idx="36">
                  <c:v>-0.55418770100000103</c:v>
                </c:pt>
                <c:pt idx="37">
                  <c:v>6.2622166667081203E-5</c:v>
                </c:pt>
                <c:pt idx="38">
                  <c:v>-3.1894133329712908E-5</c:v>
                </c:pt>
                <c:pt idx="39">
                  <c:v>3.6463869999997511E-4</c:v>
                </c:pt>
                <c:pt idx="40">
                  <c:v>-1.788321999999232E-4</c:v>
                </c:pt>
                <c:pt idx="41">
                  <c:v>3.603333333329628E-4</c:v>
                </c:pt>
                <c:pt idx="42">
                  <c:v>-2.8733333333297312E-4</c:v>
                </c:pt>
                <c:pt idx="43">
                  <c:v>0</c:v>
                </c:pt>
                <c:pt idx="44">
                  <c:v>0</c:v>
                </c:pt>
                <c:pt idx="45">
                  <c:v>-4.3600000000004751E-4</c:v>
                </c:pt>
                <c:pt idx="46">
                  <c:v>-1.733333333298059E-5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C68F-45EB-BAD4-FCE58A6548F0}"/>
            </c:ext>
          </c:extLst>
        </c:ser>
        <c:ser>
          <c:idx val="76"/>
          <c:order val="76"/>
          <c:tx>
            <c:v>BES_TR2_six646_B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Net_kW!$CA$2:$CA$49</c:f>
              <c:numCache>
                <c:formatCode>#,##0.000</c:formatCode>
                <c:ptCount val="48"/>
                <c:pt idx="0">
                  <c:v>8.6666666670176529E-6</c:v>
                </c:pt>
                <c:pt idx="1">
                  <c:v>0</c:v>
                </c:pt>
                <c:pt idx="2">
                  <c:v>3.5933333333298961E-4</c:v>
                </c:pt>
                <c:pt idx="3">
                  <c:v>4.2333333333330342E-4</c:v>
                </c:pt>
                <c:pt idx="4">
                  <c:v>4.2333333333340051E-4</c:v>
                </c:pt>
                <c:pt idx="5">
                  <c:v>8.7333333332995089E-5</c:v>
                </c:pt>
                <c:pt idx="6">
                  <c:v>2.7199999999999452E-4</c:v>
                </c:pt>
                <c:pt idx="7">
                  <c:v>-4.7936970000031498E-4</c:v>
                </c:pt>
                <c:pt idx="8">
                  <c:v>1.365236666645009E-5</c:v>
                </c:pt>
                <c:pt idx="9">
                  <c:v>4.9813745000001908E-4</c:v>
                </c:pt>
                <c:pt idx="10">
                  <c:v>-2.2475223333448541E-4</c:v>
                </c:pt>
                <c:pt idx="11">
                  <c:v>2.0893720000159099E-4</c:v>
                </c:pt>
                <c:pt idx="12">
                  <c:v>7.1231416665429315E-5</c:v>
                </c:pt>
                <c:pt idx="13">
                  <c:v>3.1114490000194728E-4</c:v>
                </c:pt>
                <c:pt idx="14">
                  <c:v>-2.6652294999984782E-4</c:v>
                </c:pt>
                <c:pt idx="15">
                  <c:v>4.1817124999998789E-4</c:v>
                </c:pt>
                <c:pt idx="16">
                  <c:v>-0.45994555681666821</c:v>
                </c:pt>
                <c:pt idx="17">
                  <c:v>-2.1028615669000001</c:v>
                </c:pt>
                <c:pt idx="18">
                  <c:v>-2.1779361090000018</c:v>
                </c:pt>
                <c:pt idx="19">
                  <c:v>-2.380820513699998</c:v>
                </c:pt>
                <c:pt idx="20">
                  <c:v>-1.613849025183334</c:v>
                </c:pt>
                <c:pt idx="21">
                  <c:v>-1.9564686477166671</c:v>
                </c:pt>
                <c:pt idx="22">
                  <c:v>-2.7482023507500011</c:v>
                </c:pt>
                <c:pt idx="23">
                  <c:v>-1.9863775368666701</c:v>
                </c:pt>
                <c:pt idx="24">
                  <c:v>-1.650863162933335</c:v>
                </c:pt>
                <c:pt idx="25">
                  <c:v>-2.5838621296666671</c:v>
                </c:pt>
                <c:pt idx="26">
                  <c:v>-2.5903030050833329</c:v>
                </c:pt>
                <c:pt idx="27">
                  <c:v>-2.2559905365333361</c:v>
                </c:pt>
                <c:pt idx="28">
                  <c:v>-2.5004172065499999</c:v>
                </c:pt>
                <c:pt idx="29">
                  <c:v>-2.3222534347666679</c:v>
                </c:pt>
                <c:pt idx="30">
                  <c:v>-2.0294980996166658</c:v>
                </c:pt>
                <c:pt idx="31">
                  <c:v>-0.83573053880000381</c:v>
                </c:pt>
                <c:pt idx="32">
                  <c:v>-1.457256383499999</c:v>
                </c:pt>
                <c:pt idx="33">
                  <c:v>-1.3735523638166649</c:v>
                </c:pt>
                <c:pt idx="34">
                  <c:v>-0.93742026141666512</c:v>
                </c:pt>
                <c:pt idx="35">
                  <c:v>-0.80107125188333306</c:v>
                </c:pt>
                <c:pt idx="36">
                  <c:v>-2.5698450000455342E-4</c:v>
                </c:pt>
                <c:pt idx="37">
                  <c:v>-7.4218583332952281E-5</c:v>
                </c:pt>
                <c:pt idx="38">
                  <c:v>-4.6465426666650322E-4</c:v>
                </c:pt>
                <c:pt idx="39">
                  <c:v>2.350451500000017E-4</c:v>
                </c:pt>
                <c:pt idx="40">
                  <c:v>-2.306375666663307E-4</c:v>
                </c:pt>
                <c:pt idx="41">
                  <c:v>4.0800000000000558E-4</c:v>
                </c:pt>
                <c:pt idx="42">
                  <c:v>4.1999999999997589E-4</c:v>
                </c:pt>
                <c:pt idx="43">
                  <c:v>3.6266666666698311E-4</c:v>
                </c:pt>
                <c:pt idx="44">
                  <c:v>3.1200000000000672E-4</c:v>
                </c:pt>
                <c:pt idx="45">
                  <c:v>5.3999999999998487E-5</c:v>
                </c:pt>
                <c:pt idx="46">
                  <c:v>-2.7133333333395632E-4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68F-45EB-BAD4-FCE58A6548F0}"/>
            </c:ext>
          </c:extLst>
        </c:ser>
        <c:ser>
          <c:idx val="77"/>
          <c:order val="77"/>
          <c:tx>
            <c:v>BES_TR2_six87_A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Net_kW!$CB$2:$CB$49</c:f>
              <c:numCache>
                <c:formatCode>#,##0.000</c:formatCode>
                <c:ptCount val="48"/>
                <c:pt idx="0">
                  <c:v>9.3333333330003487E-6</c:v>
                </c:pt>
                <c:pt idx="1">
                  <c:v>2.5200000000002998E-4</c:v>
                </c:pt>
                <c:pt idx="2">
                  <c:v>2.599999999999825E-5</c:v>
                </c:pt>
                <c:pt idx="3">
                  <c:v>2.1466666666702941E-4</c:v>
                </c:pt>
                <c:pt idx="4">
                  <c:v>3.0800000000000272E-4</c:v>
                </c:pt>
                <c:pt idx="5">
                  <c:v>1.1133333333299129E-4</c:v>
                </c:pt>
                <c:pt idx="6">
                  <c:v>-1.7866666666599421E-4</c:v>
                </c:pt>
                <c:pt idx="7">
                  <c:v>-1.2450216666665129E-4</c:v>
                </c:pt>
                <c:pt idx="8">
                  <c:v>-1.073911666662763E-4</c:v>
                </c:pt>
                <c:pt idx="9">
                  <c:v>-1.204732500000236E-4</c:v>
                </c:pt>
                <c:pt idx="10">
                  <c:v>-3.0034683333452367E-4</c:v>
                </c:pt>
                <c:pt idx="11">
                  <c:v>2.3409800000095959E-4</c:v>
                </c:pt>
                <c:pt idx="12">
                  <c:v>-1.017870833345258E-4</c:v>
                </c:pt>
                <c:pt idx="13">
                  <c:v>-1.9489649999859801E-4</c:v>
                </c:pt>
                <c:pt idx="14">
                  <c:v>-1.944592500000564E-4</c:v>
                </c:pt>
                <c:pt idx="15">
                  <c:v>3.2282708332997961E-4</c:v>
                </c:pt>
                <c:pt idx="16">
                  <c:v>-5.8072500019878959E-6</c:v>
                </c:pt>
                <c:pt idx="17">
                  <c:v>1.6683316666710191E-4</c:v>
                </c:pt>
                <c:pt idx="18">
                  <c:v>8.3398333331929919E-5</c:v>
                </c:pt>
                <c:pt idx="19">
                  <c:v>2.7037833334908609E-5</c:v>
                </c:pt>
                <c:pt idx="20">
                  <c:v>-0.2154729227500001</c:v>
                </c:pt>
                <c:pt idx="21">
                  <c:v>-1.95072020075</c:v>
                </c:pt>
                <c:pt idx="22">
                  <c:v>-1.749156702916667</c:v>
                </c:pt>
                <c:pt idx="23">
                  <c:v>-1.961648359666667</c:v>
                </c:pt>
                <c:pt idx="24">
                  <c:v>-1.793042830666667</c:v>
                </c:pt>
                <c:pt idx="25">
                  <c:v>-0.74527971166666984</c:v>
                </c:pt>
                <c:pt idx="26">
                  <c:v>-1.9997473845833329</c:v>
                </c:pt>
                <c:pt idx="27">
                  <c:v>-0.88303235466666696</c:v>
                </c:pt>
                <c:pt idx="28">
                  <c:v>-0.73852843324999995</c:v>
                </c:pt>
                <c:pt idx="29">
                  <c:v>-0.1142478581666682</c:v>
                </c:pt>
                <c:pt idx="30">
                  <c:v>-1.2014996425833331</c:v>
                </c:pt>
                <c:pt idx="31">
                  <c:v>-1.167331908666668</c:v>
                </c:pt>
                <c:pt idx="32">
                  <c:v>1.795641666677561E-4</c:v>
                </c:pt>
                <c:pt idx="33">
                  <c:v>-4.3477891666598989E-4</c:v>
                </c:pt>
                <c:pt idx="34">
                  <c:v>-0.19651199624999841</c:v>
                </c:pt>
                <c:pt idx="35">
                  <c:v>3.9082008333002349E-4</c:v>
                </c:pt>
                <c:pt idx="36">
                  <c:v>1.367158333324126E-4</c:v>
                </c:pt>
                <c:pt idx="37">
                  <c:v>3.776291666990339E-5</c:v>
                </c:pt>
                <c:pt idx="38">
                  <c:v>3.2153266666679059E-4</c:v>
                </c:pt>
                <c:pt idx="39">
                  <c:v>-1.056344166669998E-4</c:v>
                </c:pt>
                <c:pt idx="40">
                  <c:v>-7.2026833333682649E-5</c:v>
                </c:pt>
                <c:pt idx="41">
                  <c:v>-6.466666666693488E-5</c:v>
                </c:pt>
                <c:pt idx="42">
                  <c:v>9.7333333333060601E-5</c:v>
                </c:pt>
                <c:pt idx="43">
                  <c:v>0.13292733333333309</c:v>
                </c:pt>
                <c:pt idx="44">
                  <c:v>1.0649153333333301</c:v>
                </c:pt>
                <c:pt idx="45">
                  <c:v>0.93361666666666598</c:v>
                </c:pt>
                <c:pt idx="46">
                  <c:v>0.22395200000000001</c:v>
                </c:pt>
                <c:pt idx="47">
                  <c:v>0.29528866666666698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C68F-45EB-BAD4-FCE58A6548F0}"/>
            </c:ext>
          </c:extLst>
        </c:ser>
        <c:ser>
          <c:idx val="78"/>
          <c:order val="78"/>
          <c:tx>
            <c:v>BES_TR2_six652_A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Net_kW!$CC$2:$CC$49</c:f>
              <c:numCache>
                <c:formatCode>#,##0.000</c:formatCode>
                <c:ptCount val="48"/>
                <c:pt idx="0">
                  <c:v>3.5666666666989137E-5</c:v>
                </c:pt>
                <c:pt idx="1">
                  <c:v>3.5966666666698011E-4</c:v>
                </c:pt>
                <c:pt idx="2">
                  <c:v>2.046666666670055E-4</c:v>
                </c:pt>
                <c:pt idx="3">
                  <c:v>2.3399999999998419E-4</c:v>
                </c:pt>
                <c:pt idx="4">
                  <c:v>-1.5700000000000441E-4</c:v>
                </c:pt>
                <c:pt idx="5">
                  <c:v>-2.9799999999996501E-4</c:v>
                </c:pt>
                <c:pt idx="6">
                  <c:v>2.4600000000002398E-4</c:v>
                </c:pt>
                <c:pt idx="7">
                  <c:v>3.3019653333335452E-4</c:v>
                </c:pt>
                <c:pt idx="8">
                  <c:v>-9.4825866666203851E-5</c:v>
                </c:pt>
                <c:pt idx="9">
                  <c:v>-3.6455720000000408E-4</c:v>
                </c:pt>
                <c:pt idx="10">
                  <c:v>-1.8362160000101599E-4</c:v>
                </c:pt>
                <c:pt idx="11">
                  <c:v>3.0969013333503881E-4</c:v>
                </c:pt>
                <c:pt idx="12">
                  <c:v>3.2507399999859299E-4</c:v>
                </c:pt>
                <c:pt idx="13">
                  <c:v>1.4083226666783411E-4</c:v>
                </c:pt>
                <c:pt idx="14">
                  <c:v>-2.734548000000725E-4</c:v>
                </c:pt>
                <c:pt idx="15">
                  <c:v>3.1157666666703498E-4</c:v>
                </c:pt>
                <c:pt idx="16">
                  <c:v>-1.209598398266668</c:v>
                </c:pt>
                <c:pt idx="17">
                  <c:v>-2.1923016002666671</c:v>
                </c:pt>
                <c:pt idx="18">
                  <c:v>-2.6716096960000009</c:v>
                </c:pt>
                <c:pt idx="19">
                  <c:v>-2.8139720727999991</c:v>
                </c:pt>
                <c:pt idx="20">
                  <c:v>-2.8201359430666679</c:v>
                </c:pt>
                <c:pt idx="21">
                  <c:v>-3.1339574545333329</c:v>
                </c:pt>
                <c:pt idx="22">
                  <c:v>-3.2905159246666682</c:v>
                </c:pt>
                <c:pt idx="23">
                  <c:v>-3.3624073754666668</c:v>
                </c:pt>
                <c:pt idx="24">
                  <c:v>-3.0875373290666679</c:v>
                </c:pt>
                <c:pt idx="25">
                  <c:v>-3.326380672</c:v>
                </c:pt>
                <c:pt idx="26">
                  <c:v>-3.1154671486666672</c:v>
                </c:pt>
                <c:pt idx="27">
                  <c:v>-3.0226853274666681</c:v>
                </c:pt>
                <c:pt idx="28">
                  <c:v>-2.9638022265333328</c:v>
                </c:pt>
                <c:pt idx="29">
                  <c:v>-1.344845173066668</c:v>
                </c:pt>
                <c:pt idx="30">
                  <c:v>-1.7082884947999999</c:v>
                </c:pt>
                <c:pt idx="31">
                  <c:v>-0.78386852053333778</c:v>
                </c:pt>
                <c:pt idx="32">
                  <c:v>-1.8437800573333321</c:v>
                </c:pt>
                <c:pt idx="33">
                  <c:v>-1.709784772933332</c:v>
                </c:pt>
                <c:pt idx="34">
                  <c:v>-1.1308667273333319</c:v>
                </c:pt>
                <c:pt idx="35">
                  <c:v>-0.85257695453333304</c:v>
                </c:pt>
                <c:pt idx="36">
                  <c:v>-0.59720793466666799</c:v>
                </c:pt>
                <c:pt idx="37">
                  <c:v>-0.35300105933333298</c:v>
                </c:pt>
                <c:pt idx="38">
                  <c:v>-3.9474773333308949E-4</c:v>
                </c:pt>
                <c:pt idx="39">
                  <c:v>4.3384933334000841E-5</c:v>
                </c:pt>
                <c:pt idx="40">
                  <c:v>4.8155706666630488E-4</c:v>
                </c:pt>
                <c:pt idx="41">
                  <c:v>-4.056666666669706E-4</c:v>
                </c:pt>
                <c:pt idx="42">
                  <c:v>3.0433333333301782E-4</c:v>
                </c:pt>
                <c:pt idx="43">
                  <c:v>-5.8999999999892472E-5</c:v>
                </c:pt>
                <c:pt idx="44">
                  <c:v>-7.599999999999274E-5</c:v>
                </c:pt>
                <c:pt idx="45">
                  <c:v>-4.770000000000052E-4</c:v>
                </c:pt>
                <c:pt idx="46">
                  <c:v>-4.009999999999847E-4</c:v>
                </c:pt>
                <c:pt idx="47">
                  <c:v>-1.903333333330148E-4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68F-45EB-BAD4-FCE58A6548F0}"/>
            </c:ext>
          </c:extLst>
        </c:ser>
        <c:ser>
          <c:idx val="79"/>
          <c:order val="79"/>
          <c:tx>
            <c:v>BES_TR2_six665_B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Net_kW!$CD$2:$CD$49</c:f>
              <c:numCache>
                <c:formatCode>#,##0.000</c:formatCode>
                <c:ptCount val="48"/>
                <c:pt idx="0">
                  <c:v>0</c:v>
                </c:pt>
                <c:pt idx="1">
                  <c:v>2.006666666667031E-4</c:v>
                </c:pt>
                <c:pt idx="2">
                  <c:v>-3.9466666666701511E-4</c:v>
                </c:pt>
                <c:pt idx="3">
                  <c:v>2.006666666667031E-4</c:v>
                </c:pt>
                <c:pt idx="4">
                  <c:v>-3.9466666666701511E-4</c:v>
                </c:pt>
                <c:pt idx="5">
                  <c:v>0</c:v>
                </c:pt>
                <c:pt idx="6">
                  <c:v>-1.9733333333331329E-4</c:v>
                </c:pt>
                <c:pt idx="7">
                  <c:v>-4.3747013333336748E-4</c:v>
                </c:pt>
                <c:pt idx="8">
                  <c:v>2.6550746666679619E-4</c:v>
                </c:pt>
                <c:pt idx="9">
                  <c:v>2.324427999999962E-4</c:v>
                </c:pt>
                <c:pt idx="10">
                  <c:v>-3.402882666680429E-4</c:v>
                </c:pt>
                <c:pt idx="11">
                  <c:v>-5.1976533331998809E-5</c:v>
                </c:pt>
                <c:pt idx="12">
                  <c:v>8.1407333331950937E-5</c:v>
                </c:pt>
                <c:pt idx="13">
                  <c:v>6.4832266668091165E-5</c:v>
                </c:pt>
                <c:pt idx="14">
                  <c:v>4.0545199999852948E-5</c:v>
                </c:pt>
                <c:pt idx="15">
                  <c:v>-0.8032214233333328</c:v>
                </c:pt>
                <c:pt idx="16">
                  <c:v>-1.644861398266668</c:v>
                </c:pt>
                <c:pt idx="17">
                  <c:v>-1.797134266933333</c:v>
                </c:pt>
                <c:pt idx="18">
                  <c:v>-2.453108696000001</c:v>
                </c:pt>
                <c:pt idx="19">
                  <c:v>-2.6819134061333321</c:v>
                </c:pt>
                <c:pt idx="20">
                  <c:v>-3.0542062764000009</c:v>
                </c:pt>
                <c:pt idx="21">
                  <c:v>-3.5999037878666669</c:v>
                </c:pt>
                <c:pt idx="22">
                  <c:v>-3.2045732580000008</c:v>
                </c:pt>
                <c:pt idx="23">
                  <c:v>-3.0185667087999999</c:v>
                </c:pt>
                <c:pt idx="24">
                  <c:v>-3.8374813290666681</c:v>
                </c:pt>
                <c:pt idx="25">
                  <c:v>-2.9195156720000002</c:v>
                </c:pt>
                <c:pt idx="26">
                  <c:v>-3.234891815333333</c:v>
                </c:pt>
                <c:pt idx="27">
                  <c:v>-2.8740643274666682</c:v>
                </c:pt>
                <c:pt idx="28">
                  <c:v>-1.6458345598666699</c:v>
                </c:pt>
                <c:pt idx="29">
                  <c:v>-0.46570183973333812</c:v>
                </c:pt>
                <c:pt idx="30">
                  <c:v>-2.3883731614666668</c:v>
                </c:pt>
                <c:pt idx="31">
                  <c:v>-1.123537853866668</c:v>
                </c:pt>
                <c:pt idx="32">
                  <c:v>-2.1168000573333319</c:v>
                </c:pt>
                <c:pt idx="33">
                  <c:v>-1.699909939599999</c:v>
                </c:pt>
                <c:pt idx="34">
                  <c:v>-1.1935083939999991</c:v>
                </c:pt>
                <c:pt idx="35">
                  <c:v>-0.5568056212000001</c:v>
                </c:pt>
                <c:pt idx="36">
                  <c:v>-0.81571293466666805</c:v>
                </c:pt>
                <c:pt idx="37">
                  <c:v>-0.55016482600000005</c:v>
                </c:pt>
                <c:pt idx="38">
                  <c:v>-0.2484682477333332</c:v>
                </c:pt>
                <c:pt idx="39">
                  <c:v>4.6838493333306591E-4</c:v>
                </c:pt>
                <c:pt idx="40">
                  <c:v>-6.5442933333659248E-5</c:v>
                </c:pt>
                <c:pt idx="41">
                  <c:v>-2.5666666666601667E-4</c:v>
                </c:pt>
                <c:pt idx="42">
                  <c:v>5.5666666667064657E-5</c:v>
                </c:pt>
                <c:pt idx="43">
                  <c:v>-1.4900000000001021E-4</c:v>
                </c:pt>
                <c:pt idx="44">
                  <c:v>-2.0233333333297129E-4</c:v>
                </c:pt>
                <c:pt idx="45">
                  <c:v>-2.8500000000003523E-4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C68F-45EB-BAD4-FCE58A6548F0}"/>
            </c:ext>
          </c:extLst>
        </c:ser>
        <c:ser>
          <c:idx val="80"/>
          <c:order val="80"/>
          <c:tx>
            <c:v>BES_TR2_six667_A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Net_kW!$CE$2:$CE$49</c:f>
              <c:numCache>
                <c:formatCode>#,##0.000</c:formatCode>
                <c:ptCount val="48"/>
                <c:pt idx="0">
                  <c:v>0</c:v>
                </c:pt>
                <c:pt idx="1">
                  <c:v>-3.3199999999999902E-4</c:v>
                </c:pt>
                <c:pt idx="2">
                  <c:v>0</c:v>
                </c:pt>
                <c:pt idx="3">
                  <c:v>-4.5400000000001001E-4</c:v>
                </c:pt>
                <c:pt idx="4">
                  <c:v>1.2199999999998321E-4</c:v>
                </c:pt>
                <c:pt idx="5">
                  <c:v>0</c:v>
                </c:pt>
                <c:pt idx="6">
                  <c:v>-2.7199999999999452E-4</c:v>
                </c:pt>
                <c:pt idx="7">
                  <c:v>-2.10502166666654E-4</c:v>
                </c:pt>
                <c:pt idx="8">
                  <c:v>-8.4057833333251591E-5</c:v>
                </c:pt>
                <c:pt idx="9">
                  <c:v>1.2752675000000929E-4</c:v>
                </c:pt>
                <c:pt idx="10">
                  <c:v>-1.5568016666742121E-4</c:v>
                </c:pt>
                <c:pt idx="11">
                  <c:v>3.3876466666749039E-4</c:v>
                </c:pt>
                <c:pt idx="12">
                  <c:v>4.9221291666545763E-4</c:v>
                </c:pt>
                <c:pt idx="13">
                  <c:v>8.177016666754966E-5</c:v>
                </c:pt>
                <c:pt idx="14">
                  <c:v>-1.3259166670165361E-6</c:v>
                </c:pt>
                <c:pt idx="15">
                  <c:v>-1.413062499999729E-4</c:v>
                </c:pt>
                <c:pt idx="16">
                  <c:v>-8.5540583334875464E-5</c:v>
                </c:pt>
                <c:pt idx="17">
                  <c:v>-1.6483349999996119E-4</c:v>
                </c:pt>
                <c:pt idx="18">
                  <c:v>-0.58901760166666806</c:v>
                </c:pt>
                <c:pt idx="19">
                  <c:v>-1.663009628833332</c:v>
                </c:pt>
                <c:pt idx="20">
                  <c:v>-1.298142922750001</c:v>
                </c:pt>
                <c:pt idx="21">
                  <c:v>-1.5290557007500001</c:v>
                </c:pt>
                <c:pt idx="22">
                  <c:v>-1.632547536250001</c:v>
                </c:pt>
                <c:pt idx="23">
                  <c:v>-1.3251538596666661</c:v>
                </c:pt>
                <c:pt idx="24">
                  <c:v>-1.738859164</c:v>
                </c:pt>
                <c:pt idx="25">
                  <c:v>-1.7313340450000001</c:v>
                </c:pt>
                <c:pt idx="26">
                  <c:v>-1.91835005125</c:v>
                </c:pt>
                <c:pt idx="27">
                  <c:v>-1.418034621333333</c:v>
                </c:pt>
                <c:pt idx="28">
                  <c:v>-0.73163056658332981</c:v>
                </c:pt>
                <c:pt idx="29">
                  <c:v>-1.1119291248333349</c:v>
                </c:pt>
                <c:pt idx="30">
                  <c:v>-1.2817785759166671</c:v>
                </c:pt>
                <c:pt idx="31">
                  <c:v>-1.281268508666668</c:v>
                </c:pt>
                <c:pt idx="32">
                  <c:v>-1.110643635833332</c:v>
                </c:pt>
                <c:pt idx="33">
                  <c:v>-0.49054007891666601</c:v>
                </c:pt>
                <c:pt idx="34">
                  <c:v>-0.40786712958333249</c:v>
                </c:pt>
                <c:pt idx="35">
                  <c:v>-0.42842184658333299</c:v>
                </c:pt>
                <c:pt idx="36">
                  <c:v>-0.24322541750000051</c:v>
                </c:pt>
                <c:pt idx="37">
                  <c:v>-0.12942053708333301</c:v>
                </c:pt>
                <c:pt idx="38">
                  <c:v>4.5486599999700061E-4</c:v>
                </c:pt>
                <c:pt idx="39">
                  <c:v>2.176989166700061E-4</c:v>
                </c:pt>
                <c:pt idx="40">
                  <c:v>2.7763983333328751E-4</c:v>
                </c:pt>
                <c:pt idx="41">
                  <c:v>-1.210000000000377E-4</c:v>
                </c:pt>
                <c:pt idx="42">
                  <c:v>2.7499999999980318E-4</c:v>
                </c:pt>
                <c:pt idx="43">
                  <c:v>0.49279233333333311</c:v>
                </c:pt>
                <c:pt idx="44">
                  <c:v>0.70525633333333304</c:v>
                </c:pt>
                <c:pt idx="45">
                  <c:v>0.81346399999999996</c:v>
                </c:pt>
                <c:pt idx="46">
                  <c:v>0.55689866666666699</c:v>
                </c:pt>
                <c:pt idx="47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68F-45EB-BAD4-FCE58A6548F0}"/>
            </c:ext>
          </c:extLst>
        </c:ser>
        <c:ser>
          <c:idx val="81"/>
          <c:order val="81"/>
          <c:tx>
            <c:v>BES_TR2_six721_A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Net_kW!$CF$2:$CF$49</c:f>
              <c:numCache>
                <c:formatCode>#,##0.000</c:formatCode>
                <c:ptCount val="48"/>
                <c:pt idx="0">
                  <c:v>-4.1066666666611518E-4</c:v>
                </c:pt>
                <c:pt idx="1">
                  <c:v>-1.993333333329961E-4</c:v>
                </c:pt>
                <c:pt idx="2">
                  <c:v>-4.1066666666700341E-4</c:v>
                </c:pt>
                <c:pt idx="3">
                  <c:v>4.8733333333300649E-4</c:v>
                </c:pt>
                <c:pt idx="4">
                  <c:v>-1.333333333297659E-5</c:v>
                </c:pt>
                <c:pt idx="5">
                  <c:v>0</c:v>
                </c:pt>
                <c:pt idx="6">
                  <c:v>1.4699999999998051E-4</c:v>
                </c:pt>
                <c:pt idx="7">
                  <c:v>4.6259826666666948E-4</c:v>
                </c:pt>
                <c:pt idx="8">
                  <c:v>4.1420400000435897E-5</c:v>
                </c:pt>
                <c:pt idx="9">
                  <c:v>1.8255473333299131E-4</c:v>
                </c:pt>
                <c:pt idx="10">
                  <c:v>-4.3014413333400392E-4</c:v>
                </c:pt>
                <c:pt idx="11">
                  <c:v>-9.2321599999001247E-5</c:v>
                </c:pt>
                <c:pt idx="12">
                  <c:v>-3.219630000010909E-4</c:v>
                </c:pt>
                <c:pt idx="13">
                  <c:v>1.294161333340593E-4</c:v>
                </c:pt>
                <c:pt idx="14">
                  <c:v>6.227259999991297E-5</c:v>
                </c:pt>
                <c:pt idx="15">
                  <c:v>-3.0114500000000271E-4</c:v>
                </c:pt>
                <c:pt idx="16">
                  <c:v>-4.2476580000105901E-4</c:v>
                </c:pt>
                <c:pt idx="17">
                  <c:v>-4.4263346666695291E-4</c:v>
                </c:pt>
                <c:pt idx="18">
                  <c:v>-1.166813333342009E-4</c:v>
                </c:pt>
                <c:pt idx="19">
                  <c:v>4.8296933333968888E-5</c:v>
                </c:pt>
                <c:pt idx="20">
                  <c:v>-1.1817704715333339</c:v>
                </c:pt>
                <c:pt idx="21">
                  <c:v>-1.5946525605999999</c:v>
                </c:pt>
                <c:pt idx="22">
                  <c:v>-1.5884259623333341</c:v>
                </c:pt>
                <c:pt idx="23">
                  <c:v>-1.4238993544</c:v>
                </c:pt>
                <c:pt idx="24">
                  <c:v>-1.4590659312000009</c:v>
                </c:pt>
                <c:pt idx="25">
                  <c:v>-1.205017502666667</c:v>
                </c:pt>
                <c:pt idx="26">
                  <c:v>-1.6215792410000001</c:v>
                </c:pt>
                <c:pt idx="27">
                  <c:v>-1.542527563733334</c:v>
                </c:pt>
                <c:pt idx="28">
                  <c:v>-1.0350297466</c:v>
                </c:pt>
                <c:pt idx="29">
                  <c:v>-0.73396175320000012</c:v>
                </c:pt>
                <c:pt idx="30">
                  <c:v>-1.0686442474</c:v>
                </c:pt>
                <c:pt idx="31">
                  <c:v>-1.1242585936</c:v>
                </c:pt>
                <c:pt idx="32">
                  <c:v>-0.77142602866666588</c:v>
                </c:pt>
                <c:pt idx="33">
                  <c:v>-0.87503563646666593</c:v>
                </c:pt>
                <c:pt idx="34">
                  <c:v>-0.69720853033333263</c:v>
                </c:pt>
                <c:pt idx="35">
                  <c:v>-0.39464181059999998</c:v>
                </c:pt>
                <c:pt idx="36">
                  <c:v>-0.34471480066666699</c:v>
                </c:pt>
                <c:pt idx="37">
                  <c:v>-0.22393002966666661</c:v>
                </c:pt>
                <c:pt idx="38">
                  <c:v>-4.9304053333357883E-4</c:v>
                </c:pt>
                <c:pt idx="39">
                  <c:v>-2.1864086666669241E-4</c:v>
                </c:pt>
                <c:pt idx="40">
                  <c:v>1.0477853333365481E-4</c:v>
                </c:pt>
                <c:pt idx="41">
                  <c:v>4.8733333333300649E-4</c:v>
                </c:pt>
                <c:pt idx="42">
                  <c:v>-1.333333333297659E-5</c:v>
                </c:pt>
                <c:pt idx="43">
                  <c:v>4.2433333333299911E-4</c:v>
                </c:pt>
                <c:pt idx="44">
                  <c:v>-1.903333333330148E-4</c:v>
                </c:pt>
                <c:pt idx="45">
                  <c:v>2.3999999999999019E-4</c:v>
                </c:pt>
                <c:pt idx="46">
                  <c:v>1.04999999999994E-4</c:v>
                </c:pt>
                <c:pt idx="47">
                  <c:v>3.6899999999998051E-4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C68F-45EB-BAD4-FCE58A6548F0}"/>
            </c:ext>
          </c:extLst>
        </c:ser>
        <c:ser>
          <c:idx val="82"/>
          <c:order val="82"/>
          <c:tx>
            <c:v>BES_TR2_six740_A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Net_kW!$CG$2:$CG$49</c:f>
              <c:numCache>
                <c:formatCode>#,##0.000</c:formatCode>
                <c:ptCount val="48"/>
                <c:pt idx="0">
                  <c:v>1.3033333333298261E-4</c:v>
                </c:pt>
                <c:pt idx="1">
                  <c:v>4.383333333329853E-4</c:v>
                </c:pt>
                <c:pt idx="2">
                  <c:v>-4.4333333333330249E-4</c:v>
                </c:pt>
                <c:pt idx="3">
                  <c:v>4.7333333333399168E-5</c:v>
                </c:pt>
                <c:pt idx="4">
                  <c:v>7.9666666666686203E-5</c:v>
                </c:pt>
                <c:pt idx="5">
                  <c:v>-1.3366666666700391E-4</c:v>
                </c:pt>
                <c:pt idx="6">
                  <c:v>-3.7733333333329899E-4</c:v>
                </c:pt>
                <c:pt idx="7">
                  <c:v>-1.1203636666631819E-4</c:v>
                </c:pt>
                <c:pt idx="8">
                  <c:v>1.523190333334451E-4</c:v>
                </c:pt>
                <c:pt idx="9">
                  <c:v>4.9813745000001908E-4</c:v>
                </c:pt>
                <c:pt idx="10">
                  <c:v>-4.1608556666777868E-4</c:v>
                </c:pt>
                <c:pt idx="11">
                  <c:v>3.8427053333456312E-4</c:v>
                </c:pt>
                <c:pt idx="12">
                  <c:v>-1.267685833346022E-4</c:v>
                </c:pt>
                <c:pt idx="13">
                  <c:v>-2.3521766665091089E-5</c:v>
                </c:pt>
                <c:pt idx="14">
                  <c:v>3.2314371666708469E-4</c:v>
                </c:pt>
                <c:pt idx="15">
                  <c:v>8.4837916666691271E-5</c:v>
                </c:pt>
                <c:pt idx="16">
                  <c:v>-1.3169740568166679</c:v>
                </c:pt>
                <c:pt idx="17">
                  <c:v>-1.8679195668999999</c:v>
                </c:pt>
                <c:pt idx="18">
                  <c:v>-2.2119727756666681</c:v>
                </c:pt>
                <c:pt idx="19">
                  <c:v>-2.3874598136999978</c:v>
                </c:pt>
                <c:pt idx="20">
                  <c:v>-2.6773898251833339</c:v>
                </c:pt>
                <c:pt idx="21">
                  <c:v>-2.6617086477166669</c:v>
                </c:pt>
                <c:pt idx="22">
                  <c:v>-0.1351650174166639</c:v>
                </c:pt>
                <c:pt idx="23">
                  <c:v>-2.7598289368666671</c:v>
                </c:pt>
                <c:pt idx="24">
                  <c:v>-1.494014862933335</c:v>
                </c:pt>
                <c:pt idx="25">
                  <c:v>-2.360188763</c:v>
                </c:pt>
                <c:pt idx="26">
                  <c:v>-2.7481114050833328</c:v>
                </c:pt>
                <c:pt idx="27">
                  <c:v>-2.6937051365333349</c:v>
                </c:pt>
                <c:pt idx="28">
                  <c:v>-2.54359740655</c:v>
                </c:pt>
                <c:pt idx="29">
                  <c:v>-2.2755764014333351</c:v>
                </c:pt>
                <c:pt idx="30">
                  <c:v>-1.8893784329500001</c:v>
                </c:pt>
                <c:pt idx="31">
                  <c:v>-2.0091665388000011</c:v>
                </c:pt>
                <c:pt idx="32">
                  <c:v>-1.7876392501666649</c:v>
                </c:pt>
                <c:pt idx="33">
                  <c:v>-1.1040094304833321</c:v>
                </c:pt>
                <c:pt idx="34">
                  <c:v>-1.075687928083332</c:v>
                </c:pt>
                <c:pt idx="35">
                  <c:v>-0.81124391855</c:v>
                </c:pt>
                <c:pt idx="36">
                  <c:v>-0.64407131783333449</c:v>
                </c:pt>
                <c:pt idx="37">
                  <c:v>-0.34668221858333298</c:v>
                </c:pt>
                <c:pt idx="38">
                  <c:v>-0.19197665426666649</c:v>
                </c:pt>
                <c:pt idx="39">
                  <c:v>-4.7828818333300882E-4</c:v>
                </c:pt>
                <c:pt idx="40">
                  <c:v>-2.7163756666637168E-4</c:v>
                </c:pt>
                <c:pt idx="41">
                  <c:v>-3.6799999999992389E-4</c:v>
                </c:pt>
                <c:pt idx="42">
                  <c:v>-2.3233333332983719E-4</c:v>
                </c:pt>
                <c:pt idx="43">
                  <c:v>-3.219999999999335E-4</c:v>
                </c:pt>
                <c:pt idx="44">
                  <c:v>3.4800000000001502E-4</c:v>
                </c:pt>
                <c:pt idx="45">
                  <c:v>8.1999999999998741E-5</c:v>
                </c:pt>
                <c:pt idx="46">
                  <c:v>4.2466666666669822E-4</c:v>
                </c:pt>
                <c:pt idx="47">
                  <c:v>-4.5533333333297449E-4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68F-45EB-BAD4-FCE58A6548F0}"/>
            </c:ext>
          </c:extLst>
        </c:ser>
        <c:ser>
          <c:idx val="83"/>
          <c:order val="83"/>
          <c:tx>
            <c:v>BES_TR2_six758_B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Net_kW!$CH$2:$CH$49</c:f>
              <c:numCache>
                <c:formatCode>#,##0.000</c:formatCode>
                <c:ptCount val="48"/>
                <c:pt idx="0">
                  <c:v>0</c:v>
                </c:pt>
                <c:pt idx="1">
                  <c:v>3.5533333333298561E-4</c:v>
                </c:pt>
                <c:pt idx="2">
                  <c:v>0</c:v>
                </c:pt>
                <c:pt idx="3">
                  <c:v>-3.1933333333300512E-4</c:v>
                </c:pt>
                <c:pt idx="4">
                  <c:v>-3.2533333333298331E-4</c:v>
                </c:pt>
                <c:pt idx="5">
                  <c:v>-4.9699999999999744E-4</c:v>
                </c:pt>
                <c:pt idx="6">
                  <c:v>-1.4766666666701789E-4</c:v>
                </c:pt>
                <c:pt idx="7">
                  <c:v>-1.5050216666666341E-4</c:v>
                </c:pt>
                <c:pt idx="8">
                  <c:v>-8.4057833333248122E-5</c:v>
                </c:pt>
                <c:pt idx="9">
                  <c:v>-3.404732500000146E-4</c:v>
                </c:pt>
                <c:pt idx="10">
                  <c:v>-3.4683333419160972E-7</c:v>
                </c:pt>
                <c:pt idx="11">
                  <c:v>1.7309800000092629E-4</c:v>
                </c:pt>
                <c:pt idx="12">
                  <c:v>-4.2812041666756562E-4</c:v>
                </c:pt>
                <c:pt idx="13">
                  <c:v>4.1177016666760208E-4</c:v>
                </c:pt>
                <c:pt idx="14">
                  <c:v>2.8434074999994507E-4</c:v>
                </c:pt>
                <c:pt idx="15">
                  <c:v>-2.9497291666680248E-4</c:v>
                </c:pt>
                <c:pt idx="16">
                  <c:v>-2.0587391666793131E-4</c:v>
                </c:pt>
                <c:pt idx="17">
                  <c:v>-0.18205150016666691</c:v>
                </c:pt>
                <c:pt idx="18">
                  <c:v>-1.680359601666668</c:v>
                </c:pt>
                <c:pt idx="19">
                  <c:v>-1.7021432954999991</c:v>
                </c:pt>
                <c:pt idx="20">
                  <c:v>-1.841996589416667</c:v>
                </c:pt>
                <c:pt idx="21">
                  <c:v>-1.68880770075</c:v>
                </c:pt>
                <c:pt idx="22">
                  <c:v>-0.31418520291666702</c:v>
                </c:pt>
                <c:pt idx="23">
                  <c:v>-2.0778105263333329</c:v>
                </c:pt>
                <c:pt idx="24">
                  <c:v>-2.0232074973333338</c:v>
                </c:pt>
                <c:pt idx="25">
                  <c:v>-1.992439045</c:v>
                </c:pt>
                <c:pt idx="26">
                  <c:v>-2.0357240512499999</c:v>
                </c:pt>
                <c:pt idx="27">
                  <c:v>-1.953468954666667</c:v>
                </c:pt>
                <c:pt idx="28">
                  <c:v>-1.418193266583333</c:v>
                </c:pt>
                <c:pt idx="29">
                  <c:v>-0.78761069149999807</c:v>
                </c:pt>
                <c:pt idx="30">
                  <c:v>-1.4048966425833329</c:v>
                </c:pt>
                <c:pt idx="31">
                  <c:v>-1.412308908666668</c:v>
                </c:pt>
                <c:pt idx="32">
                  <c:v>-1.251531702499999</c:v>
                </c:pt>
                <c:pt idx="33">
                  <c:v>-0.90343671225</c:v>
                </c:pt>
                <c:pt idx="34">
                  <c:v>-0.50974066291666542</c:v>
                </c:pt>
                <c:pt idx="35">
                  <c:v>-1.6551325000001461E-4</c:v>
                </c:pt>
                <c:pt idx="36">
                  <c:v>-0.32375658416666753</c:v>
                </c:pt>
                <c:pt idx="37">
                  <c:v>-0.110380870416667</c:v>
                </c:pt>
                <c:pt idx="38">
                  <c:v>1.113659999998316E-4</c:v>
                </c:pt>
                <c:pt idx="39">
                  <c:v>2.8503224999998361E-4</c:v>
                </c:pt>
                <c:pt idx="40">
                  <c:v>-4.3602683333354708E-4</c:v>
                </c:pt>
                <c:pt idx="41">
                  <c:v>3.7133333333405632E-4</c:v>
                </c:pt>
                <c:pt idx="42">
                  <c:v>-4.056666666659714E-4</c:v>
                </c:pt>
                <c:pt idx="43">
                  <c:v>1.883333333330128E-4</c:v>
                </c:pt>
                <c:pt idx="44">
                  <c:v>-4.7333333333010603E-5</c:v>
                </c:pt>
                <c:pt idx="45">
                  <c:v>-4.9699999999999744E-4</c:v>
                </c:pt>
                <c:pt idx="46">
                  <c:v>-1.4766666666701789E-4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C68F-45EB-BAD4-FCE58A6548F0}"/>
            </c:ext>
          </c:extLst>
        </c:ser>
        <c:ser>
          <c:idx val="84"/>
          <c:order val="84"/>
          <c:tx>
            <c:v>BES_TR2_six784_B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Net_kW!$CI$2:$CI$49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3.2985586666600669E-4</c:v>
                </c:pt>
                <c:pt idx="11">
                  <c:v>1.9921173333398159E-4</c:v>
                </c:pt>
                <c:pt idx="12">
                  <c:v>4.0703666665975469E-5</c:v>
                </c:pt>
                <c:pt idx="13">
                  <c:v>1.294161333339483E-4</c:v>
                </c:pt>
                <c:pt idx="14">
                  <c:v>-2.2972740000004599E-4</c:v>
                </c:pt>
                <c:pt idx="15">
                  <c:v>-3.1304499999984531E-4</c:v>
                </c:pt>
                <c:pt idx="16">
                  <c:v>2.9530086666595961E-4</c:v>
                </c:pt>
                <c:pt idx="17">
                  <c:v>-3.2546679999989608E-4</c:v>
                </c:pt>
                <c:pt idx="18">
                  <c:v>-0.81528768133333407</c:v>
                </c:pt>
                <c:pt idx="19">
                  <c:v>-0.39985836973333599</c:v>
                </c:pt>
                <c:pt idx="20">
                  <c:v>-0.8108044715333339</c:v>
                </c:pt>
                <c:pt idx="21">
                  <c:v>-0.29175256059999999</c:v>
                </c:pt>
                <c:pt idx="22">
                  <c:v>-1.639288962333334</c:v>
                </c:pt>
                <c:pt idx="23">
                  <c:v>-1.6657833544</c:v>
                </c:pt>
                <c:pt idx="24">
                  <c:v>-1.6569073312000011</c:v>
                </c:pt>
                <c:pt idx="25">
                  <c:v>-1.625544102666667</c:v>
                </c:pt>
                <c:pt idx="26">
                  <c:v>-1.2960701743333329</c:v>
                </c:pt>
                <c:pt idx="27">
                  <c:v>-1.352687163733334</c:v>
                </c:pt>
                <c:pt idx="28">
                  <c:v>-1.214443279933334</c:v>
                </c:pt>
                <c:pt idx="29">
                  <c:v>-1.3900950865333339</c:v>
                </c:pt>
                <c:pt idx="30">
                  <c:v>-1.2905642474000001</c:v>
                </c:pt>
                <c:pt idx="31">
                  <c:v>-1.170791926933334</c:v>
                </c:pt>
                <c:pt idx="32">
                  <c:v>-0.88286002866666591</c:v>
                </c:pt>
                <c:pt idx="33">
                  <c:v>-0.67724163646666602</c:v>
                </c:pt>
                <c:pt idx="34">
                  <c:v>-0.26338853033333298</c:v>
                </c:pt>
                <c:pt idx="35">
                  <c:v>-2.614772666702514E-4</c:v>
                </c:pt>
                <c:pt idx="36">
                  <c:v>-7.1134000000999675E-5</c:v>
                </c:pt>
                <c:pt idx="37">
                  <c:v>-3.3336300000002048E-4</c:v>
                </c:pt>
                <c:pt idx="38">
                  <c:v>2.989594666633622E-4</c:v>
                </c:pt>
                <c:pt idx="39">
                  <c:v>2.8869246666984871E-4</c:v>
                </c:pt>
                <c:pt idx="40">
                  <c:v>-4.7221466666358403E-5</c:v>
                </c:pt>
                <c:pt idx="41">
                  <c:v>-2.7933333333302063E-4</c:v>
                </c:pt>
                <c:pt idx="42">
                  <c:v>-3.6300000000000221E-4</c:v>
                </c:pt>
                <c:pt idx="43">
                  <c:v>-9.3333333330836155E-6</c:v>
                </c:pt>
                <c:pt idx="44">
                  <c:v>-1.893333333329861E-4</c:v>
                </c:pt>
                <c:pt idx="45">
                  <c:v>-1.6499999999999851E-4</c:v>
                </c:pt>
                <c:pt idx="46">
                  <c:v>3.3266666666698091E-4</c:v>
                </c:pt>
                <c:pt idx="47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68F-45EB-BAD4-FCE58A6548F0}"/>
            </c:ext>
          </c:extLst>
        </c:ser>
        <c:ser>
          <c:idx val="85"/>
          <c:order val="85"/>
          <c:tx>
            <c:v>BES_TR2_six799_B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Net_kW!$CJ$2:$CJ$49</c:f>
              <c:numCache>
                <c:formatCode>#,##0.000</c:formatCode>
                <c:ptCount val="48"/>
                <c:pt idx="0">
                  <c:v>-4.9866666666997794E-4</c:v>
                </c:pt>
                <c:pt idx="1">
                  <c:v>3.1666666669760701E-5</c:v>
                </c:pt>
                <c:pt idx="2">
                  <c:v>3.8566666666669391E-4</c:v>
                </c:pt>
                <c:pt idx="3">
                  <c:v>1.006433333333301E-2</c:v>
                </c:pt>
                <c:pt idx="4">
                  <c:v>0.11711199999999999</c:v>
                </c:pt>
                <c:pt idx="5">
                  <c:v>0.14139933333333299</c:v>
                </c:pt>
                <c:pt idx="6">
                  <c:v>0.211162666666667</c:v>
                </c:pt>
                <c:pt idx="7">
                  <c:v>5.0279598266666663E-2</c:v>
                </c:pt>
                <c:pt idx="8">
                  <c:v>0.24675608706666741</c:v>
                </c:pt>
                <c:pt idx="9">
                  <c:v>-3.4811193333330459E-4</c:v>
                </c:pt>
                <c:pt idx="10">
                  <c:v>3.2985586666597899E-4</c:v>
                </c:pt>
                <c:pt idx="11">
                  <c:v>-3.6698826666599349E-4</c:v>
                </c:pt>
                <c:pt idx="12">
                  <c:v>4.0703666665919958E-5</c:v>
                </c:pt>
                <c:pt idx="13">
                  <c:v>-1.5058386666594309E-4</c:v>
                </c:pt>
                <c:pt idx="14">
                  <c:v>-9.7274000000480143E-6</c:v>
                </c:pt>
                <c:pt idx="15">
                  <c:v>-3.1304499999995627E-4</c:v>
                </c:pt>
                <c:pt idx="16">
                  <c:v>2.0596753333301801E-4</c:v>
                </c:pt>
                <c:pt idx="17">
                  <c:v>3.702332000000419E-4</c:v>
                </c:pt>
                <c:pt idx="18">
                  <c:v>-3.1351466666729172E-4</c:v>
                </c:pt>
                <c:pt idx="19">
                  <c:v>1.8263026666409671E-4</c:v>
                </c:pt>
                <c:pt idx="20">
                  <c:v>2.9552846666608401E-4</c:v>
                </c:pt>
                <c:pt idx="21">
                  <c:v>-2.5122726666726441E-4</c:v>
                </c:pt>
                <c:pt idx="22">
                  <c:v>-0.19579629566666679</c:v>
                </c:pt>
                <c:pt idx="23">
                  <c:v>-0.38955468773333002</c:v>
                </c:pt>
                <c:pt idx="24">
                  <c:v>-1.192312064533334</c:v>
                </c:pt>
                <c:pt idx="25">
                  <c:v>-1.3292168360000001</c:v>
                </c:pt>
                <c:pt idx="26">
                  <c:v>-1.4727192410000001</c:v>
                </c:pt>
                <c:pt idx="27">
                  <c:v>-1.421334497066667</c:v>
                </c:pt>
                <c:pt idx="28">
                  <c:v>-1.1744759466000001</c:v>
                </c:pt>
                <c:pt idx="29">
                  <c:v>-1.3551788865333341</c:v>
                </c:pt>
                <c:pt idx="30">
                  <c:v>-1.0564076473999999</c:v>
                </c:pt>
                <c:pt idx="31">
                  <c:v>-0.95879326026666689</c:v>
                </c:pt>
                <c:pt idx="32">
                  <c:v>-0.86375736199999897</c:v>
                </c:pt>
                <c:pt idx="33">
                  <c:v>-0.59157196979999904</c:v>
                </c:pt>
                <c:pt idx="34">
                  <c:v>-0.10159186366666589</c:v>
                </c:pt>
                <c:pt idx="35">
                  <c:v>2.0818940000000291E-4</c:v>
                </c:pt>
                <c:pt idx="36">
                  <c:v>9.0865999998995806E-5</c:v>
                </c:pt>
                <c:pt idx="37">
                  <c:v>-2.029666670066987E-6</c:v>
                </c:pt>
                <c:pt idx="38">
                  <c:v>-4.7604053333366592E-4</c:v>
                </c:pt>
                <c:pt idx="39">
                  <c:v>-1.9430753333330149E-4</c:v>
                </c:pt>
                <c:pt idx="40">
                  <c:v>-4.5622146666346453E-4</c:v>
                </c:pt>
                <c:pt idx="41">
                  <c:v>-4.033333333297584E-5</c:v>
                </c:pt>
                <c:pt idx="42">
                  <c:v>4.7133333332993738E-4</c:v>
                </c:pt>
                <c:pt idx="43">
                  <c:v>-3.9000000000000151E-4</c:v>
                </c:pt>
                <c:pt idx="44">
                  <c:v>0.29474400000000012</c:v>
                </c:pt>
                <c:pt idx="45">
                  <c:v>0.78822499999999995</c:v>
                </c:pt>
                <c:pt idx="46">
                  <c:v>0.81100933333333403</c:v>
                </c:pt>
                <c:pt idx="47">
                  <c:v>0.22821533333333299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C68F-45EB-BAD4-FCE58A6548F0}"/>
            </c:ext>
          </c:extLst>
        </c:ser>
        <c:ser>
          <c:idx val="86"/>
          <c:order val="86"/>
          <c:tx>
            <c:v>BES_TR2_six807_A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Net_kW!$CK$2:$CK$49</c:f>
              <c:numCache>
                <c:formatCode>#,##0.000</c:formatCode>
                <c:ptCount val="48"/>
                <c:pt idx="0">
                  <c:v>3.1866666666702242E-4</c:v>
                </c:pt>
                <c:pt idx="1">
                  <c:v>-4.5333333333297249E-4</c:v>
                </c:pt>
                <c:pt idx="2">
                  <c:v>-3.2400000000000479E-4</c:v>
                </c:pt>
                <c:pt idx="3">
                  <c:v>-2.4000000000023999E-5</c:v>
                </c:pt>
                <c:pt idx="4">
                  <c:v>3.4199999999998121E-4</c:v>
                </c:pt>
                <c:pt idx="5">
                  <c:v>0</c:v>
                </c:pt>
                <c:pt idx="6">
                  <c:v>3.1799999999998502E-4</c:v>
                </c:pt>
                <c:pt idx="7">
                  <c:v>-1.070303333333689E-5</c:v>
                </c:pt>
                <c:pt idx="8">
                  <c:v>7.4319033333436479E-5</c:v>
                </c:pt>
                <c:pt idx="9">
                  <c:v>2.241374500000087E-4</c:v>
                </c:pt>
                <c:pt idx="10">
                  <c:v>3.2724776666548378E-4</c:v>
                </c:pt>
                <c:pt idx="11">
                  <c:v>-3.0972946666540929E-4</c:v>
                </c:pt>
                <c:pt idx="12">
                  <c:v>-4.4076858333463859E-4</c:v>
                </c:pt>
                <c:pt idx="13">
                  <c:v>3.0447823333501489E-4</c:v>
                </c:pt>
                <c:pt idx="14">
                  <c:v>3.8347704999996962E-4</c:v>
                </c:pt>
                <c:pt idx="15">
                  <c:v>9.4171249999996931E-5</c:v>
                </c:pt>
                <c:pt idx="16">
                  <c:v>1.957765166646919E-4</c:v>
                </c:pt>
                <c:pt idx="17">
                  <c:v>-1.9037355669</c:v>
                </c:pt>
                <c:pt idx="18">
                  <c:v>-2.3745034423333351</c:v>
                </c:pt>
                <c:pt idx="19">
                  <c:v>-2.3302674803666652</c:v>
                </c:pt>
                <c:pt idx="20">
                  <c:v>-2.6995078251833342</c:v>
                </c:pt>
                <c:pt idx="21">
                  <c:v>-2.70813398105</c:v>
                </c:pt>
                <c:pt idx="22">
                  <c:v>-2.8132956840833341</c:v>
                </c:pt>
                <c:pt idx="23">
                  <c:v>-2.9106508702</c:v>
                </c:pt>
                <c:pt idx="24">
                  <c:v>-2.7392331629333349</c:v>
                </c:pt>
                <c:pt idx="25">
                  <c:v>-2.7642087963333331</c:v>
                </c:pt>
                <c:pt idx="26">
                  <c:v>-2.7739096717499998</c:v>
                </c:pt>
                <c:pt idx="27">
                  <c:v>-2.6593455365333352</c:v>
                </c:pt>
                <c:pt idx="28">
                  <c:v>-2.58964340655</c:v>
                </c:pt>
                <c:pt idx="29">
                  <c:v>-2.244091734766668</c:v>
                </c:pt>
                <c:pt idx="30">
                  <c:v>-2.0802974329500001</c:v>
                </c:pt>
                <c:pt idx="31">
                  <c:v>-1.7768965388000011</c:v>
                </c:pt>
                <c:pt idx="32">
                  <c:v>3.2194983333500021E-4</c:v>
                </c:pt>
                <c:pt idx="33">
                  <c:v>-0.62585336381666501</c:v>
                </c:pt>
                <c:pt idx="34">
                  <c:v>-0.93900526141666507</c:v>
                </c:pt>
                <c:pt idx="35">
                  <c:v>-0.88227291855000012</c:v>
                </c:pt>
                <c:pt idx="36">
                  <c:v>-0.47501631783333448</c:v>
                </c:pt>
                <c:pt idx="37">
                  <c:v>-0.32545521858333298</c:v>
                </c:pt>
                <c:pt idx="38">
                  <c:v>-0.13211465426666649</c:v>
                </c:pt>
                <c:pt idx="39">
                  <c:v>3.8704514999999759E-4</c:v>
                </c:pt>
                <c:pt idx="40">
                  <c:v>-2.7930423333333287E-4</c:v>
                </c:pt>
                <c:pt idx="41">
                  <c:v>3.0400000000002653E-4</c:v>
                </c:pt>
                <c:pt idx="42">
                  <c:v>-4.976666666670071E-4</c:v>
                </c:pt>
                <c:pt idx="43">
                  <c:v>-4.41999999999998E-4</c:v>
                </c:pt>
                <c:pt idx="44">
                  <c:v>1.8299999999993319E-4</c:v>
                </c:pt>
                <c:pt idx="45">
                  <c:v>-4.399999999999959E-4</c:v>
                </c:pt>
                <c:pt idx="46">
                  <c:v>-6.7333333332975087E-5</c:v>
                </c:pt>
                <c:pt idx="47">
                  <c:v>3.2800000000000879E-4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68F-45EB-BAD4-FCE58A6548F0}"/>
            </c:ext>
          </c:extLst>
        </c:ser>
        <c:ser>
          <c:idx val="87"/>
          <c:order val="87"/>
          <c:tx>
            <c:v>BES_TR2_six885_A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Net_kW!$CL$2:$CL$49</c:f>
              <c:numCache>
                <c:formatCode>#,##0.000</c:formatCode>
                <c:ptCount val="48"/>
                <c:pt idx="0">
                  <c:v>0</c:v>
                </c:pt>
                <c:pt idx="1">
                  <c:v>-1.5333333333300561E-4</c:v>
                </c:pt>
                <c:pt idx="2">
                  <c:v>3.1266666666698861E-4</c:v>
                </c:pt>
                <c:pt idx="3">
                  <c:v>-8.4666666667010393E-5</c:v>
                </c:pt>
                <c:pt idx="4">
                  <c:v>2.8466666666669688E-4</c:v>
                </c:pt>
                <c:pt idx="5">
                  <c:v>0</c:v>
                </c:pt>
                <c:pt idx="6">
                  <c:v>-3.5366666666700192E-4</c:v>
                </c:pt>
                <c:pt idx="7">
                  <c:v>-1.443697000003408E-4</c:v>
                </c:pt>
                <c:pt idx="8">
                  <c:v>1.931903333345086E-5</c:v>
                </c:pt>
                <c:pt idx="9">
                  <c:v>-4.1219588333329948E-4</c:v>
                </c:pt>
                <c:pt idx="10">
                  <c:v>-4.4608556666747567E-4</c:v>
                </c:pt>
                <c:pt idx="11">
                  <c:v>-4.190627999984819E-4</c:v>
                </c:pt>
                <c:pt idx="12">
                  <c:v>-1.5776858333460539E-4</c:v>
                </c:pt>
                <c:pt idx="13">
                  <c:v>4.7414490000197151E-4</c:v>
                </c:pt>
                <c:pt idx="14">
                  <c:v>-3.318562833327654E-4</c:v>
                </c:pt>
                <c:pt idx="15">
                  <c:v>-8.9828750000187085E-5</c:v>
                </c:pt>
                <c:pt idx="16">
                  <c:v>-0.63128822348333502</c:v>
                </c:pt>
                <c:pt idx="17">
                  <c:v>-2.0224979002333332</c:v>
                </c:pt>
                <c:pt idx="18">
                  <c:v>-2.2010664423333348</c:v>
                </c:pt>
                <c:pt idx="19">
                  <c:v>-2.515462147033332</c:v>
                </c:pt>
                <c:pt idx="20">
                  <c:v>-2.4156818251833339</c:v>
                </c:pt>
                <c:pt idx="21">
                  <c:v>-2.8203309810500001</c:v>
                </c:pt>
                <c:pt idx="22">
                  <c:v>-2.6943203507500009</c:v>
                </c:pt>
                <c:pt idx="23">
                  <c:v>-2.8498948702</c:v>
                </c:pt>
                <c:pt idx="24">
                  <c:v>-2.784000496266668</c:v>
                </c:pt>
                <c:pt idx="25">
                  <c:v>-2.8006894629999999</c:v>
                </c:pt>
                <c:pt idx="26">
                  <c:v>-2.8401596717499999</c:v>
                </c:pt>
                <c:pt idx="27">
                  <c:v>-2.5578755365333352</c:v>
                </c:pt>
                <c:pt idx="28">
                  <c:v>-2.5413910732166669</c:v>
                </c:pt>
                <c:pt idx="29">
                  <c:v>-2.1334632347666691</c:v>
                </c:pt>
                <c:pt idx="30">
                  <c:v>-2.058802599616667</c:v>
                </c:pt>
                <c:pt idx="31">
                  <c:v>-2.0231632054666671</c:v>
                </c:pt>
                <c:pt idx="32">
                  <c:v>-1.848723716833331</c:v>
                </c:pt>
                <c:pt idx="33">
                  <c:v>-1.515969430483332</c:v>
                </c:pt>
                <c:pt idx="34">
                  <c:v>-1.0665639947499981</c:v>
                </c:pt>
                <c:pt idx="35">
                  <c:v>-0.82933991855000011</c:v>
                </c:pt>
                <c:pt idx="36">
                  <c:v>-0.41508331783333452</c:v>
                </c:pt>
                <c:pt idx="37">
                  <c:v>-0.31303568524999997</c:v>
                </c:pt>
                <c:pt idx="38">
                  <c:v>-0.1381641209333335</c:v>
                </c:pt>
                <c:pt idx="39">
                  <c:v>-1.19954849999937E-4</c:v>
                </c:pt>
                <c:pt idx="40">
                  <c:v>4.5769576666665479E-4</c:v>
                </c:pt>
                <c:pt idx="41">
                  <c:v>3.2300000000001772E-4</c:v>
                </c:pt>
                <c:pt idx="42">
                  <c:v>-3.8400000000005102E-4</c:v>
                </c:pt>
                <c:pt idx="43">
                  <c:v>4.2533333333305562E-4</c:v>
                </c:pt>
                <c:pt idx="44">
                  <c:v>-2.6666666670394079E-6</c:v>
                </c:pt>
                <c:pt idx="45">
                  <c:v>4.536666666670186E-4</c:v>
                </c:pt>
                <c:pt idx="46">
                  <c:v>-4.6066666666699779E-4</c:v>
                </c:pt>
                <c:pt idx="47">
                  <c:v>4.386666666670036E-4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C68F-45EB-BAD4-FCE58A6548F0}"/>
            </c:ext>
          </c:extLst>
        </c:ser>
        <c:ser>
          <c:idx val="88"/>
          <c:order val="88"/>
          <c:tx>
            <c:v>BES_TR2_six894_B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Net_kW!$CM$2:$CM$49</c:f>
              <c:numCache>
                <c:formatCode>#,##0.000</c:formatCode>
                <c:ptCount val="48"/>
                <c:pt idx="0">
                  <c:v>-3.999999999999837E-5</c:v>
                </c:pt>
                <c:pt idx="1">
                  <c:v>3.2000000000000079E-4</c:v>
                </c:pt>
                <c:pt idx="2">
                  <c:v>4.4000000000000977E-4</c:v>
                </c:pt>
                <c:pt idx="3">
                  <c:v>0</c:v>
                </c:pt>
                <c:pt idx="4">
                  <c:v>-2.3999999999999019E-4</c:v>
                </c:pt>
                <c:pt idx="5">
                  <c:v>3.2000000000000079E-4</c:v>
                </c:pt>
                <c:pt idx="6">
                  <c:v>4.4000000000000977E-4</c:v>
                </c:pt>
                <c:pt idx="7">
                  <c:v>2.9698700000004019E-5</c:v>
                </c:pt>
                <c:pt idx="8">
                  <c:v>-2.1043469999994241E-4</c:v>
                </c:pt>
                <c:pt idx="9">
                  <c:v>-2.150839499999932E-4</c:v>
                </c:pt>
                <c:pt idx="10">
                  <c:v>-2.4260810000049929E-4</c:v>
                </c:pt>
                <c:pt idx="11">
                  <c:v>-1.967411999994895E-4</c:v>
                </c:pt>
                <c:pt idx="12">
                  <c:v>-9.4722500005861576E-6</c:v>
                </c:pt>
                <c:pt idx="13">
                  <c:v>-3.5293789999951702E-4</c:v>
                </c:pt>
                <c:pt idx="14">
                  <c:v>1.4520444999988061E-4</c:v>
                </c:pt>
                <c:pt idx="15">
                  <c:v>3.952162499999412E-4</c:v>
                </c:pt>
                <c:pt idx="16">
                  <c:v>-4.8352435000065253E-4</c:v>
                </c:pt>
                <c:pt idx="17">
                  <c:v>-1.241000999999686E-4</c:v>
                </c:pt>
                <c:pt idx="18">
                  <c:v>-2.15760999999981E-4</c:v>
                </c:pt>
                <c:pt idx="19">
                  <c:v>-3.9377729999889871E-4</c:v>
                </c:pt>
                <c:pt idx="20">
                  <c:v>-0.91650335364999991</c:v>
                </c:pt>
                <c:pt idx="21">
                  <c:v>-1.12275942045</c:v>
                </c:pt>
                <c:pt idx="22">
                  <c:v>-1.20408672175</c:v>
                </c:pt>
                <c:pt idx="23">
                  <c:v>-1.2251275157999999</c:v>
                </c:pt>
                <c:pt idx="24">
                  <c:v>-1.1781304984000009</c:v>
                </c:pt>
                <c:pt idx="25">
                  <c:v>-1.2338706269999999</c:v>
                </c:pt>
                <c:pt idx="26">
                  <c:v>-1.1904744307499999</c:v>
                </c:pt>
                <c:pt idx="27">
                  <c:v>-1.0922003728</c:v>
                </c:pt>
                <c:pt idx="28">
                  <c:v>-1.0713254599499999</c:v>
                </c:pt>
                <c:pt idx="29">
                  <c:v>-0.93853731490000003</c:v>
                </c:pt>
                <c:pt idx="30">
                  <c:v>-0.95667318554999992</c:v>
                </c:pt>
                <c:pt idx="31">
                  <c:v>-0.76581654520000042</c:v>
                </c:pt>
                <c:pt idx="32">
                  <c:v>-0.71629685483333283</c:v>
                </c:pt>
                <c:pt idx="33">
                  <c:v>-0.5192687273499994</c:v>
                </c:pt>
                <c:pt idx="34">
                  <c:v>-0.51491373108333272</c:v>
                </c:pt>
                <c:pt idx="35">
                  <c:v>-0.41173110795000012</c:v>
                </c:pt>
                <c:pt idx="36">
                  <c:v>-0.2452811838333335</c:v>
                </c:pt>
                <c:pt idx="37">
                  <c:v>-0.11077152225</c:v>
                </c:pt>
                <c:pt idx="38">
                  <c:v>-8.0908613733333204E-2</c:v>
                </c:pt>
                <c:pt idx="39">
                  <c:v>2.8835268333299302E-4</c:v>
                </c:pt>
                <c:pt idx="40">
                  <c:v>3.6583899999942382E-5</c:v>
                </c:pt>
                <c:pt idx="41">
                  <c:v>4.0000000000001151E-4</c:v>
                </c:pt>
                <c:pt idx="42">
                  <c:v>1.100000000000545E-4</c:v>
                </c:pt>
                <c:pt idx="43">
                  <c:v>1.6000000000000741E-4</c:v>
                </c:pt>
                <c:pt idx="44">
                  <c:v>0</c:v>
                </c:pt>
                <c:pt idx="45">
                  <c:v>2.8000000000001629E-4</c:v>
                </c:pt>
                <c:pt idx="46">
                  <c:v>4.7999999999999432E-4</c:v>
                </c:pt>
                <c:pt idx="47">
                  <c:v>2.400000000000041E-4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68F-45EB-BAD4-FCE58A6548F0}"/>
            </c:ext>
          </c:extLst>
        </c:ser>
        <c:ser>
          <c:idx val="89"/>
          <c:order val="89"/>
          <c:tx>
            <c:v>BES_TR2_six914_A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Net_kW!$CN$2:$CN$49</c:f>
              <c:numCache>
                <c:formatCode>#,##0.000</c:formatCode>
                <c:ptCount val="48"/>
                <c:pt idx="0">
                  <c:v>2.399999999999625E-5</c:v>
                </c:pt>
                <c:pt idx="1">
                  <c:v>6.4000000000008495E-5</c:v>
                </c:pt>
                <c:pt idx="2">
                  <c:v>0</c:v>
                </c:pt>
                <c:pt idx="3">
                  <c:v>8.8000000000004741E-5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-2.9030130000000381E-4</c:v>
                </c:pt>
                <c:pt idx="8">
                  <c:v>3.4956530000004518E-4</c:v>
                </c:pt>
                <c:pt idx="9">
                  <c:v>-1.5108394999997779E-4</c:v>
                </c:pt>
                <c:pt idx="10">
                  <c:v>2.1391899999487211E-5</c:v>
                </c:pt>
                <c:pt idx="11">
                  <c:v>-1.967411999995172E-4</c:v>
                </c:pt>
                <c:pt idx="12">
                  <c:v>1.145277499993991E-4</c:v>
                </c:pt>
                <c:pt idx="13">
                  <c:v>-1.4893789999947951E-4</c:v>
                </c:pt>
                <c:pt idx="14">
                  <c:v>4.6620445000000732E-4</c:v>
                </c:pt>
                <c:pt idx="15">
                  <c:v>1.9121625000007031E-4</c:v>
                </c:pt>
                <c:pt idx="16">
                  <c:v>-3.5524350000537552E-5</c:v>
                </c:pt>
                <c:pt idx="17">
                  <c:v>-2.4410009999986659E-4</c:v>
                </c:pt>
                <c:pt idx="18">
                  <c:v>2.9623900000008701E-4</c:v>
                </c:pt>
                <c:pt idx="19">
                  <c:v>-2.977729999886769E-5</c:v>
                </c:pt>
                <c:pt idx="20">
                  <c:v>-1.260335365000009E-2</c:v>
                </c:pt>
                <c:pt idx="21">
                  <c:v>-1.028540087116667</c:v>
                </c:pt>
                <c:pt idx="22">
                  <c:v>-1.2113587217499999</c:v>
                </c:pt>
                <c:pt idx="23">
                  <c:v>-1.2420875158</c:v>
                </c:pt>
                <c:pt idx="24">
                  <c:v>-1.069721165066668</c:v>
                </c:pt>
                <c:pt idx="25">
                  <c:v>-0.989777293666666</c:v>
                </c:pt>
                <c:pt idx="26">
                  <c:v>-1.20743443075</c:v>
                </c:pt>
                <c:pt idx="27">
                  <c:v>-1.1381950394666669</c:v>
                </c:pt>
                <c:pt idx="28">
                  <c:v>-1.0660087266166669</c:v>
                </c:pt>
                <c:pt idx="29">
                  <c:v>-0.95890484823333311</c:v>
                </c:pt>
                <c:pt idx="30">
                  <c:v>-0.48038618555000001</c:v>
                </c:pt>
                <c:pt idx="31">
                  <c:v>-0.64278081186666747</c:v>
                </c:pt>
                <c:pt idx="32">
                  <c:v>-0.50714548816666549</c:v>
                </c:pt>
                <c:pt idx="33">
                  <c:v>-0.32310239401666641</c:v>
                </c:pt>
                <c:pt idx="34">
                  <c:v>-0.4595543977499994</c:v>
                </c:pt>
                <c:pt idx="35">
                  <c:v>2.568920499997907E-4</c:v>
                </c:pt>
                <c:pt idx="36">
                  <c:v>-5.0317166667535052E-5</c:v>
                </c:pt>
                <c:pt idx="37">
                  <c:v>-8.6588916666990867E-5</c:v>
                </c:pt>
                <c:pt idx="38">
                  <c:v>4.7971960000003921E-4</c:v>
                </c:pt>
                <c:pt idx="39">
                  <c:v>-2.9806500000117971E-6</c:v>
                </c:pt>
                <c:pt idx="40">
                  <c:v>-2.1508276666593049E-4</c:v>
                </c:pt>
                <c:pt idx="41">
                  <c:v>-8.1999999999915474E-5</c:v>
                </c:pt>
                <c:pt idx="42">
                  <c:v>-2.146666666669739E-4</c:v>
                </c:pt>
                <c:pt idx="43">
                  <c:v>4.7533333333305011E-4</c:v>
                </c:pt>
                <c:pt idx="44">
                  <c:v>-8.2666666667008393E-5</c:v>
                </c:pt>
                <c:pt idx="45">
                  <c:v>-5.0999999999912227E-5</c:v>
                </c:pt>
                <c:pt idx="46">
                  <c:v>-4.7399999999997439E-4</c:v>
                </c:pt>
                <c:pt idx="47">
                  <c:v>1.5999999999988249E-5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C68F-45EB-BAD4-FCE58A6548F0}"/>
            </c:ext>
          </c:extLst>
        </c:ser>
        <c:ser>
          <c:idx val="90"/>
          <c:order val="90"/>
          <c:tx>
            <c:v>BES_TR2_six921_B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Net_kW!$CO$2:$CO$49</c:f>
              <c:numCache>
                <c:formatCode>#,##0.000</c:formatCode>
                <c:ptCount val="48"/>
                <c:pt idx="0">
                  <c:v>2.279999999999921E-4</c:v>
                </c:pt>
                <c:pt idx="1">
                  <c:v>1.9866666666701341E-4</c:v>
                </c:pt>
                <c:pt idx="2">
                  <c:v>3.7133333333339708E-4</c:v>
                </c:pt>
                <c:pt idx="3">
                  <c:v>5.5333333332990842E-5</c:v>
                </c:pt>
                <c:pt idx="4">
                  <c:v>0</c:v>
                </c:pt>
                <c:pt idx="5">
                  <c:v>-3.1599999999998302E-4</c:v>
                </c:pt>
                <c:pt idx="6">
                  <c:v>-2.5733333333329689E-4</c:v>
                </c:pt>
                <c:pt idx="7">
                  <c:v>-1.0703033333329949E-5</c:v>
                </c:pt>
                <c:pt idx="8">
                  <c:v>-9.1014299999567227E-5</c:v>
                </c:pt>
                <c:pt idx="9">
                  <c:v>4.9813745000001908E-4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-1.1896166669522761E-6</c:v>
                </c:pt>
                <c:pt idx="15">
                  <c:v>-8.4495416666774403E-5</c:v>
                </c:pt>
                <c:pt idx="16">
                  <c:v>-1.782288223483335</c:v>
                </c:pt>
                <c:pt idx="17">
                  <c:v>-2.002432900233333</c:v>
                </c:pt>
                <c:pt idx="18">
                  <c:v>-2.1613734423333351</c:v>
                </c:pt>
                <c:pt idx="19">
                  <c:v>-2.2402388136999982</c:v>
                </c:pt>
                <c:pt idx="20">
                  <c:v>-2.4488994918500011</c:v>
                </c:pt>
                <c:pt idx="21">
                  <c:v>-2.5941086477166668</c:v>
                </c:pt>
                <c:pt idx="22">
                  <c:v>-2.497349017416667</c:v>
                </c:pt>
                <c:pt idx="23">
                  <c:v>-2.6777835368666669</c:v>
                </c:pt>
                <c:pt idx="24">
                  <c:v>-2.5979974962666681</c:v>
                </c:pt>
                <c:pt idx="25">
                  <c:v>-2.6247941296666659</c:v>
                </c:pt>
                <c:pt idx="26">
                  <c:v>-2.80574567175</c:v>
                </c:pt>
                <c:pt idx="27">
                  <c:v>-2.5655509365333349</c:v>
                </c:pt>
                <c:pt idx="28">
                  <c:v>-2.6115520065500002</c:v>
                </c:pt>
                <c:pt idx="29">
                  <c:v>-2.091611068100002</c:v>
                </c:pt>
                <c:pt idx="30">
                  <c:v>-1.862633766283333</c:v>
                </c:pt>
                <c:pt idx="31">
                  <c:v>-1.7960212054666671</c:v>
                </c:pt>
                <c:pt idx="32">
                  <c:v>-1.6345950501666651</c:v>
                </c:pt>
                <c:pt idx="33">
                  <c:v>-0.93735736381666501</c:v>
                </c:pt>
                <c:pt idx="34">
                  <c:v>-1.0521049280833319</c:v>
                </c:pt>
                <c:pt idx="35">
                  <c:v>-0.82576291855000006</c:v>
                </c:pt>
                <c:pt idx="36">
                  <c:v>-0.24592865116666751</c:v>
                </c:pt>
                <c:pt idx="37">
                  <c:v>-3.6099218583332982E-2</c:v>
                </c:pt>
                <c:pt idx="38">
                  <c:v>-2.871532093333351E-2</c:v>
                </c:pt>
                <c:pt idx="39">
                  <c:v>3.9037848333300929E-4</c:v>
                </c:pt>
                <c:pt idx="40">
                  <c:v>-1.497090000035506E-5</c:v>
                </c:pt>
                <c:pt idx="41">
                  <c:v>-4.379999999999939E-4</c:v>
                </c:pt>
                <c:pt idx="42">
                  <c:v>-2.5599999999992301E-4</c:v>
                </c:pt>
                <c:pt idx="43">
                  <c:v>-3.1733333333305858E-4</c:v>
                </c:pt>
                <c:pt idx="44">
                  <c:v>4.846666666670219E-4</c:v>
                </c:pt>
                <c:pt idx="45">
                  <c:v>3.7799999999998951E-4</c:v>
                </c:pt>
                <c:pt idx="46">
                  <c:v>0</c:v>
                </c:pt>
                <c:pt idx="47">
                  <c:v>-4.0066666666668799E-4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68F-45EB-BAD4-FCE58A6548F0}"/>
            </c:ext>
          </c:extLst>
        </c:ser>
        <c:ser>
          <c:idx val="91"/>
          <c:order val="91"/>
          <c:tx>
            <c:v>BES_TR2_six929_A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Net_kW!$CP$2:$CP$49</c:f>
              <c:numCache>
                <c:formatCode>#,##0.000</c:formatCode>
                <c:ptCount val="48"/>
                <c:pt idx="0">
                  <c:v>-4.0600000000001751E-4</c:v>
                </c:pt>
                <c:pt idx="1">
                  <c:v>-9.8999999999960231E-5</c:v>
                </c:pt>
                <c:pt idx="2">
                  <c:v>-4.3066666666702341E-4</c:v>
                </c:pt>
                <c:pt idx="3">
                  <c:v>0</c:v>
                </c:pt>
                <c:pt idx="4">
                  <c:v>-4.766666666670138E-4</c:v>
                </c:pt>
                <c:pt idx="5">
                  <c:v>0</c:v>
                </c:pt>
                <c:pt idx="6">
                  <c:v>0</c:v>
                </c:pt>
                <c:pt idx="7">
                  <c:v>3.2033333013936627E-8</c:v>
                </c:pt>
                <c:pt idx="8">
                  <c:v>-4.2110136666665549E-4</c:v>
                </c:pt>
                <c:pt idx="9">
                  <c:v>-3.8575061666699939E-4</c:v>
                </c:pt>
                <c:pt idx="10">
                  <c:v>-3.0894143333351059E-4</c:v>
                </c:pt>
                <c:pt idx="11">
                  <c:v>-1.967411999994895E-4</c:v>
                </c:pt>
                <c:pt idx="12">
                  <c:v>4.2019441666638069E-4</c:v>
                </c:pt>
                <c:pt idx="13">
                  <c:v>-1.993789999948925E-5</c:v>
                </c:pt>
                <c:pt idx="14">
                  <c:v>2.6520445000000059E-4</c:v>
                </c:pt>
                <c:pt idx="15">
                  <c:v>-2.9045041666586607E-4</c:v>
                </c:pt>
                <c:pt idx="16">
                  <c:v>-1.4319101666715459E-4</c:v>
                </c:pt>
                <c:pt idx="17">
                  <c:v>3.6256656666711068E-4</c:v>
                </c:pt>
                <c:pt idx="18">
                  <c:v>3.6323900000001519E-4</c:v>
                </c:pt>
                <c:pt idx="19">
                  <c:v>-1.8511063332896091E-4</c:v>
                </c:pt>
                <c:pt idx="20">
                  <c:v>-3.8772031666700618E-4</c:v>
                </c:pt>
                <c:pt idx="21">
                  <c:v>4.6857955000012552E-4</c:v>
                </c:pt>
                <c:pt idx="22">
                  <c:v>-3.2338841666701418E-4</c:v>
                </c:pt>
                <c:pt idx="23">
                  <c:v>9.7717533329877426E-5</c:v>
                </c:pt>
                <c:pt idx="24">
                  <c:v>-4.9498400001013472E-5</c:v>
                </c:pt>
                <c:pt idx="25">
                  <c:v>4.4403966667005967E-4</c:v>
                </c:pt>
                <c:pt idx="26">
                  <c:v>-2.9843075000002273E-4</c:v>
                </c:pt>
                <c:pt idx="27">
                  <c:v>-4.5370613333306498E-4</c:v>
                </c:pt>
                <c:pt idx="28">
                  <c:v>-0.24100012661666681</c:v>
                </c:pt>
                <c:pt idx="29">
                  <c:v>-1.0088706482333329</c:v>
                </c:pt>
                <c:pt idx="30">
                  <c:v>-0.80461451888333291</c:v>
                </c:pt>
                <c:pt idx="31">
                  <c:v>-0.80138527853333341</c:v>
                </c:pt>
                <c:pt idx="32">
                  <c:v>-0.51723502149999945</c:v>
                </c:pt>
                <c:pt idx="33">
                  <c:v>-0.36047706068333241</c:v>
                </c:pt>
                <c:pt idx="34">
                  <c:v>-0.38381553108333238</c:v>
                </c:pt>
                <c:pt idx="35">
                  <c:v>-0.39504117461666682</c:v>
                </c:pt>
                <c:pt idx="36">
                  <c:v>1.8248283332944479E-4</c:v>
                </c:pt>
                <c:pt idx="37">
                  <c:v>-7.1522249999997345E-5</c:v>
                </c:pt>
                <c:pt idx="38">
                  <c:v>2.5838626666709053E-4</c:v>
                </c:pt>
                <c:pt idx="39">
                  <c:v>1.8568601666701931E-4</c:v>
                </c:pt>
                <c:pt idx="40">
                  <c:v>3.2505666670012978E-6</c:v>
                </c:pt>
                <c:pt idx="41">
                  <c:v>-3.3999999999978492E-5</c:v>
                </c:pt>
                <c:pt idx="42">
                  <c:v>-1.506666666670764E-4</c:v>
                </c:pt>
                <c:pt idx="43">
                  <c:v>-7.9666666666977637E-5</c:v>
                </c:pt>
                <c:pt idx="44">
                  <c:v>-2.1466666666702941E-4</c:v>
                </c:pt>
                <c:pt idx="45">
                  <c:v>-1.076666666669501E-4</c:v>
                </c:pt>
                <c:pt idx="46">
                  <c:v>4.9666666666697834E-4</c:v>
                </c:pt>
                <c:pt idx="47">
                  <c:v>4.133333333297684E-5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C68F-45EB-BAD4-FCE58A6548F0}"/>
            </c:ext>
          </c:extLst>
        </c:ser>
        <c:ser>
          <c:idx val="92"/>
          <c:order val="92"/>
          <c:tx>
            <c:v>BES_TR2_six938_A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Net_kW!$CQ$2:$CQ$49</c:f>
              <c:numCache>
                <c:formatCode>#,##0.000</c:formatCode>
                <c:ptCount val="48"/>
                <c:pt idx="0">
                  <c:v>4.6366666666700079E-4</c:v>
                </c:pt>
                <c:pt idx="1">
                  <c:v>0</c:v>
                </c:pt>
                <c:pt idx="2">
                  <c:v>-3.7033333333300061E-4</c:v>
                </c:pt>
                <c:pt idx="3">
                  <c:v>-2.6899999999999152E-4</c:v>
                </c:pt>
                <c:pt idx="4">
                  <c:v>0</c:v>
                </c:pt>
                <c:pt idx="5">
                  <c:v>-5.0666666666990268E-5</c:v>
                </c:pt>
                <c:pt idx="6">
                  <c:v>4.1133333333298611E-4</c:v>
                </c:pt>
                <c:pt idx="7">
                  <c:v>-4.4080346666667408E-4</c:v>
                </c:pt>
                <c:pt idx="8">
                  <c:v>2.6550746666679451E-4</c:v>
                </c:pt>
                <c:pt idx="9">
                  <c:v>4.2644279999998203E-4</c:v>
                </c:pt>
                <c:pt idx="10">
                  <c:v>2.0378399998993709E-5</c:v>
                </c:pt>
                <c:pt idx="11">
                  <c:v>1.420234666680287E-4</c:v>
                </c:pt>
                <c:pt idx="12">
                  <c:v>8.140733333206196E-5</c:v>
                </c:pt>
                <c:pt idx="13">
                  <c:v>-8.616773333192107E-5</c:v>
                </c:pt>
                <c:pt idx="14">
                  <c:v>-2.5378813333309941E-4</c:v>
                </c:pt>
                <c:pt idx="15">
                  <c:v>-0.42862608999999979</c:v>
                </c:pt>
                <c:pt idx="16">
                  <c:v>-2.1308927316000008</c:v>
                </c:pt>
                <c:pt idx="17">
                  <c:v>-2.3867269335999999</c:v>
                </c:pt>
                <c:pt idx="18">
                  <c:v>-2.6079383626666681</c:v>
                </c:pt>
                <c:pt idx="19">
                  <c:v>-2.7381590727999989</c:v>
                </c:pt>
                <c:pt idx="20">
                  <c:v>-1.9647909430666679</c:v>
                </c:pt>
                <c:pt idx="21">
                  <c:v>-2.4145921212000001</c:v>
                </c:pt>
                <c:pt idx="22">
                  <c:v>-2.1846129246666681</c:v>
                </c:pt>
                <c:pt idx="23">
                  <c:v>-2.3584887087999999</c:v>
                </c:pt>
                <c:pt idx="24">
                  <c:v>-2.5182893290666679</c:v>
                </c:pt>
                <c:pt idx="25">
                  <c:v>2.5832799999997441E-4</c:v>
                </c:pt>
                <c:pt idx="26">
                  <c:v>-0.37665848200000002</c:v>
                </c:pt>
                <c:pt idx="27">
                  <c:v>-2.744167660800001</c:v>
                </c:pt>
                <c:pt idx="28">
                  <c:v>-2.8331472265333328</c:v>
                </c:pt>
                <c:pt idx="29">
                  <c:v>-2.827190173066668</c:v>
                </c:pt>
                <c:pt idx="30">
                  <c:v>-2.6116411614666668</c:v>
                </c:pt>
                <c:pt idx="31">
                  <c:v>-2.2237105205333352</c:v>
                </c:pt>
                <c:pt idx="32">
                  <c:v>-2.1188000573333321</c:v>
                </c:pt>
                <c:pt idx="33">
                  <c:v>-1.685903606266665</c:v>
                </c:pt>
                <c:pt idx="34">
                  <c:v>-1.414018727333332</c:v>
                </c:pt>
                <c:pt idx="35">
                  <c:v>-1.133731287866667</c:v>
                </c:pt>
                <c:pt idx="36">
                  <c:v>-0.73177460133333505</c:v>
                </c:pt>
                <c:pt idx="37">
                  <c:v>-0.57975072599999999</c:v>
                </c:pt>
                <c:pt idx="38">
                  <c:v>-0.13596008106666621</c:v>
                </c:pt>
                <c:pt idx="39">
                  <c:v>-5.61599484E-2</c:v>
                </c:pt>
                <c:pt idx="40">
                  <c:v>-8.3442933333677249E-5</c:v>
                </c:pt>
                <c:pt idx="41">
                  <c:v>-3.1966666666702342E-4</c:v>
                </c:pt>
                <c:pt idx="42">
                  <c:v>0</c:v>
                </c:pt>
                <c:pt idx="43">
                  <c:v>1.4233333333299461E-4</c:v>
                </c:pt>
                <c:pt idx="44">
                  <c:v>2.1833333333340371E-4</c:v>
                </c:pt>
                <c:pt idx="45">
                  <c:v>0</c:v>
                </c:pt>
                <c:pt idx="46">
                  <c:v>4.1133333333298611E-4</c:v>
                </c:pt>
                <c:pt idx="47">
                  <c:v>-5.0666666666990268E-5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68F-45EB-BAD4-FCE58A6548F0}"/>
            </c:ext>
          </c:extLst>
        </c:ser>
        <c:ser>
          <c:idx val="93"/>
          <c:order val="93"/>
          <c:tx>
            <c:v>BES_TR2_six990_B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Net_kW!$CR$2:$CR$49</c:f>
              <c:numCache>
                <c:formatCode>#,##0.000</c:formatCode>
                <c:ptCount val="48"/>
                <c:pt idx="0">
                  <c:v>1.950000000000007E-4</c:v>
                </c:pt>
                <c:pt idx="1">
                  <c:v>0</c:v>
                </c:pt>
                <c:pt idx="2">
                  <c:v>-1.586666666669734E-4</c:v>
                </c:pt>
                <c:pt idx="3">
                  <c:v>-4.9499999999999544E-4</c:v>
                </c:pt>
                <c:pt idx="4">
                  <c:v>0</c:v>
                </c:pt>
                <c:pt idx="5">
                  <c:v>3.2433333333301012E-4</c:v>
                </c:pt>
                <c:pt idx="6">
                  <c:v>2.0000000000019998E-5</c:v>
                </c:pt>
                <c:pt idx="7">
                  <c:v>4.1939739999999342E-4</c:v>
                </c:pt>
                <c:pt idx="8">
                  <c:v>3.7879726666717461E-4</c:v>
                </c:pt>
                <c:pt idx="9">
                  <c:v>2.3983210000000371E-4</c:v>
                </c:pt>
                <c:pt idx="10">
                  <c:v>1.8945046666568599E-4</c:v>
                </c:pt>
                <c:pt idx="11">
                  <c:v>8.7184266667983401E-5</c:v>
                </c:pt>
                <c:pt idx="12">
                  <c:v>-2.6894450000103381E-4</c:v>
                </c:pt>
                <c:pt idx="13">
                  <c:v>-4.5087579999913968E-4</c:v>
                </c:pt>
                <c:pt idx="14">
                  <c:v>-3.0859110000003298E-4</c:v>
                </c:pt>
                <c:pt idx="15">
                  <c:v>3.5776583333291262E-4</c:v>
                </c:pt>
                <c:pt idx="16">
                  <c:v>1.2295129999895241E-4</c:v>
                </c:pt>
                <c:pt idx="17">
                  <c:v>-1.2534882002000001</c:v>
                </c:pt>
                <c:pt idx="18">
                  <c:v>-1.912236522000001</c:v>
                </c:pt>
                <c:pt idx="19">
                  <c:v>-2.0116392212666661</c:v>
                </c:pt>
                <c:pt idx="20">
                  <c:v>-2.3070067073000011</c:v>
                </c:pt>
                <c:pt idx="21">
                  <c:v>-2.2823588409000002</c:v>
                </c:pt>
                <c:pt idx="22">
                  <c:v>-2.3415074435000012</c:v>
                </c:pt>
                <c:pt idx="23">
                  <c:v>-2.5176263649333328</c:v>
                </c:pt>
                <c:pt idx="24">
                  <c:v>-2.2727333301333341</c:v>
                </c:pt>
                <c:pt idx="25">
                  <c:v>-2.5020712540000001</c:v>
                </c:pt>
                <c:pt idx="26">
                  <c:v>-2.2282028614999998</c:v>
                </c:pt>
                <c:pt idx="27">
                  <c:v>-2.2932432122666682</c:v>
                </c:pt>
                <c:pt idx="28">
                  <c:v>-1.9680751198999999</c:v>
                </c:pt>
                <c:pt idx="29">
                  <c:v>-1.8886634631333341</c:v>
                </c:pt>
                <c:pt idx="30">
                  <c:v>-1.9242513711</c:v>
                </c:pt>
                <c:pt idx="31">
                  <c:v>-1.674434057066668</c:v>
                </c:pt>
                <c:pt idx="32">
                  <c:v>-1.3712457096666659</c:v>
                </c:pt>
                <c:pt idx="33">
                  <c:v>-0.94078012136666511</c:v>
                </c:pt>
                <c:pt idx="34">
                  <c:v>-0.69761479549999916</c:v>
                </c:pt>
                <c:pt idx="35">
                  <c:v>-0.8293668825666668</c:v>
                </c:pt>
                <c:pt idx="36">
                  <c:v>-0.39229786766666802</c:v>
                </c:pt>
                <c:pt idx="37">
                  <c:v>-0.14642204449999999</c:v>
                </c:pt>
                <c:pt idx="38">
                  <c:v>-0.1202078941333329</c:v>
                </c:pt>
                <c:pt idx="39">
                  <c:v>-1.716279666670317E-4</c:v>
                </c:pt>
                <c:pt idx="40">
                  <c:v>-4.0926553333302251E-4</c:v>
                </c:pt>
                <c:pt idx="41">
                  <c:v>-3.7339999999999601E-4</c:v>
                </c:pt>
                <c:pt idx="42">
                  <c:v>-2.5133333333299262E-4</c:v>
                </c:pt>
                <c:pt idx="43">
                  <c:v>2.8599999999989739E-4</c:v>
                </c:pt>
                <c:pt idx="44">
                  <c:v>4.8333333333300249E-4</c:v>
                </c:pt>
                <c:pt idx="45">
                  <c:v>-4.1333333333298811E-4</c:v>
                </c:pt>
                <c:pt idx="46">
                  <c:v>1.4450000000001961E-4</c:v>
                </c:pt>
                <c:pt idx="47">
                  <c:v>-4.3533333333301011E-4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C68F-45EB-BAD4-FCE58A6548F0}"/>
            </c:ext>
          </c:extLst>
        </c:ser>
        <c:ser>
          <c:idx val="94"/>
          <c:order val="94"/>
          <c:tx>
            <c:v>BES_TR2_six1020_A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Net_kW!$CS$2:$CS$49</c:f>
              <c:numCache>
                <c:formatCode>#,##0.000</c:formatCode>
                <c:ptCount val="48"/>
                <c:pt idx="0">
                  <c:v>-3.2666666666958388E-5</c:v>
                </c:pt>
                <c:pt idx="1">
                  <c:v>3.0733333333299312E-4</c:v>
                </c:pt>
                <c:pt idx="2">
                  <c:v>-1.5600000000001721E-4</c:v>
                </c:pt>
                <c:pt idx="3">
                  <c:v>-3.2400000000000479E-4</c:v>
                </c:pt>
                <c:pt idx="4">
                  <c:v>2.24000000000002E-4</c:v>
                </c:pt>
                <c:pt idx="5">
                  <c:v>2.800000000000025E-5</c:v>
                </c:pt>
                <c:pt idx="6">
                  <c:v>4.0733333333328742E-4</c:v>
                </c:pt>
                <c:pt idx="7">
                  <c:v>1.2393159999968259E-4</c:v>
                </c:pt>
                <c:pt idx="8">
                  <c:v>1.3275373333339341E-4</c:v>
                </c:pt>
                <c:pt idx="9">
                  <c:v>9.8221400000000902E-5</c:v>
                </c:pt>
                <c:pt idx="10">
                  <c:v>4.6952253333298888E-4</c:v>
                </c:pt>
                <c:pt idx="11">
                  <c:v>-3.8365493333297751E-4</c:v>
                </c:pt>
                <c:pt idx="12">
                  <c:v>-3.5963000001082428E-5</c:v>
                </c:pt>
                <c:pt idx="13">
                  <c:v>1.294161333340593E-4</c:v>
                </c:pt>
                <c:pt idx="14">
                  <c:v>-1.637273999999245E-4</c:v>
                </c:pt>
                <c:pt idx="15">
                  <c:v>1.276216666670216E-4</c:v>
                </c:pt>
                <c:pt idx="16">
                  <c:v>-8.0699133334194428E-5</c:v>
                </c:pt>
                <c:pt idx="17">
                  <c:v>3.3866533333926092E-5</c:v>
                </c:pt>
                <c:pt idx="18">
                  <c:v>-4.7434800000090149E-4</c:v>
                </c:pt>
                <c:pt idx="19">
                  <c:v>-8.3862363999991363E-3</c:v>
                </c:pt>
                <c:pt idx="20">
                  <c:v>-0.53417813820000393</c:v>
                </c:pt>
                <c:pt idx="21">
                  <c:v>-1.5587725606</c:v>
                </c:pt>
                <c:pt idx="22">
                  <c:v>-1.539848962333334</c:v>
                </c:pt>
                <c:pt idx="23">
                  <c:v>-1.5334536877333329</c:v>
                </c:pt>
                <c:pt idx="24">
                  <c:v>-0.16128266453333409</c:v>
                </c:pt>
                <c:pt idx="25">
                  <c:v>-0.8261608360000009</c:v>
                </c:pt>
                <c:pt idx="26">
                  <c:v>4.0075899999991732E-4</c:v>
                </c:pt>
                <c:pt idx="27">
                  <c:v>-0.92643049706666725</c:v>
                </c:pt>
                <c:pt idx="28">
                  <c:v>3.5386733330367022E-5</c:v>
                </c:pt>
                <c:pt idx="29">
                  <c:v>3.1824679999603589E-4</c:v>
                </c:pt>
                <c:pt idx="30">
                  <c:v>-4.4558073333400561E-4</c:v>
                </c:pt>
                <c:pt idx="31">
                  <c:v>-5.5260266666801172E-5</c:v>
                </c:pt>
                <c:pt idx="32">
                  <c:v>-4.9802866666592838E-4</c:v>
                </c:pt>
                <c:pt idx="33">
                  <c:v>-0.56003563646666588</c:v>
                </c:pt>
                <c:pt idx="34">
                  <c:v>-0.59308586366666594</c:v>
                </c:pt>
                <c:pt idx="35">
                  <c:v>-0.34214521060000003</c:v>
                </c:pt>
                <c:pt idx="36">
                  <c:v>-0.38648806733333402</c:v>
                </c:pt>
                <c:pt idx="37">
                  <c:v>-0.109600829666667</c:v>
                </c:pt>
                <c:pt idx="38">
                  <c:v>-1.329999958391915E-8</c:v>
                </c:pt>
                <c:pt idx="39">
                  <c:v>-3.5764086666700828E-4</c:v>
                </c:pt>
                <c:pt idx="40">
                  <c:v>-4.1155480000037992E-4</c:v>
                </c:pt>
                <c:pt idx="41">
                  <c:v>-4.5133333333302611E-4</c:v>
                </c:pt>
                <c:pt idx="42">
                  <c:v>-2.1333333332984591E-5</c:v>
                </c:pt>
                <c:pt idx="43">
                  <c:v>4.750000000000032E-4</c:v>
                </c:pt>
                <c:pt idx="44">
                  <c:v>-1.6033333333304031E-4</c:v>
                </c:pt>
                <c:pt idx="45">
                  <c:v>-2.1666666666975139E-5</c:v>
                </c:pt>
                <c:pt idx="46">
                  <c:v>1.6800000000000151E-4</c:v>
                </c:pt>
                <c:pt idx="47">
                  <c:v>8.8666666666986638E-5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68F-45EB-BAD4-FCE58A6548F0}"/>
            </c:ext>
          </c:extLst>
        </c:ser>
        <c:ser>
          <c:idx val="95"/>
          <c:order val="95"/>
          <c:tx>
            <c:v>self-consumption target (net = 0)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C68F-45EB-BAD4-FCE58A6548F0}"/>
            </c:ext>
          </c:extLst>
        </c:ser>
        <c:ser>
          <c:idx val="96"/>
          <c:order val="96"/>
          <c:tx>
            <c:v>fleet average net</c:v>
          </c:tx>
          <c:spPr>
            <a:ln w="28575">
              <a:solidFill>
                <a:srgbClr val="111827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ChartData!$AC$2:$AC$49</c:f>
              <c:numCache>
                <c:formatCode>#,##0.000</c:formatCode>
                <c:ptCount val="48"/>
                <c:pt idx="0">
                  <c:v>9.2912280701684669E-6</c:v>
                </c:pt>
                <c:pt idx="1">
                  <c:v>1.2323578947369407E-3</c:v>
                </c:pt>
                <c:pt idx="2">
                  <c:v>5.2052284210527544E-3</c:v>
                </c:pt>
                <c:pt idx="3">
                  <c:v>1.0122361403508751E-2</c:v>
                </c:pt>
                <c:pt idx="4">
                  <c:v>1.0331677192982558E-2</c:v>
                </c:pt>
                <c:pt idx="5">
                  <c:v>1.293604210526314E-2</c:v>
                </c:pt>
                <c:pt idx="6">
                  <c:v>3.0149354385964847E-2</c:v>
                </c:pt>
                <c:pt idx="7">
                  <c:v>9.695842585613984E-3</c:v>
                </c:pt>
                <c:pt idx="8">
                  <c:v>9.7156501382457544E-3</c:v>
                </c:pt>
                <c:pt idx="9">
                  <c:v>2.4643972678946875E-3</c:v>
                </c:pt>
                <c:pt idx="10">
                  <c:v>-7.4582297194015395E-5</c:v>
                </c:pt>
                <c:pt idx="11">
                  <c:v>5.0037949474557308E-5</c:v>
                </c:pt>
                <c:pt idx="12">
                  <c:v>8.0904885954025119E-6</c:v>
                </c:pt>
                <c:pt idx="13">
                  <c:v>6.5650971936004332E-6</c:v>
                </c:pt>
                <c:pt idx="14">
                  <c:v>-1.2157501228085565E-5</c:v>
                </c:pt>
                <c:pt idx="15">
                  <c:v>-0.13194082337280569</c:v>
                </c:pt>
                <c:pt idx="16">
                  <c:v>-0.6971556813805293</c:v>
                </c:pt>
                <c:pt idx="17">
                  <c:v>-1.221929014591929</c:v>
                </c:pt>
                <c:pt idx="18">
                  <c:v>-1.5346661961649135</c:v>
                </c:pt>
                <c:pt idx="19">
                  <c:v>-1.7083532451757855</c:v>
                </c:pt>
                <c:pt idx="20">
                  <c:v>-1.8802640624300015</c:v>
                </c:pt>
                <c:pt idx="21">
                  <c:v>-2.0921631063303501</c:v>
                </c:pt>
                <c:pt idx="22">
                  <c:v>-2.1270924300605261</c:v>
                </c:pt>
                <c:pt idx="23">
                  <c:v>-2.1907329571038598</c:v>
                </c:pt>
                <c:pt idx="24">
                  <c:v>-2.2611177030203526</c:v>
                </c:pt>
                <c:pt idx="25">
                  <c:v>-2.218265062978948</c:v>
                </c:pt>
                <c:pt idx="26">
                  <c:v>-2.27054491877281</c:v>
                </c:pt>
                <c:pt idx="27">
                  <c:v>-2.182460971345964</c:v>
                </c:pt>
                <c:pt idx="28">
                  <c:v>-2.0335206624233311</c:v>
                </c:pt>
                <c:pt idx="29">
                  <c:v>-1.8987395054256144</c:v>
                </c:pt>
                <c:pt idx="30">
                  <c:v>-1.7475624284836839</c:v>
                </c:pt>
                <c:pt idx="31">
                  <c:v>-1.5310415766049155</c:v>
                </c:pt>
                <c:pt idx="32">
                  <c:v>-1.4112038267385951</c:v>
                </c:pt>
                <c:pt idx="33">
                  <c:v>-1.1233693482612281</c:v>
                </c:pt>
                <c:pt idx="34">
                  <c:v>-0.87862331361140289</c:v>
                </c:pt>
                <c:pt idx="35">
                  <c:v>-0.6388086240935088</c:v>
                </c:pt>
                <c:pt idx="36">
                  <c:v>-0.41016795032807124</c:v>
                </c:pt>
                <c:pt idx="37">
                  <c:v>-0.22378072898508766</c:v>
                </c:pt>
                <c:pt idx="38">
                  <c:v>-6.8174170572280507E-2</c:v>
                </c:pt>
                <c:pt idx="39">
                  <c:v>-3.2651141808775486E-3</c:v>
                </c:pt>
                <c:pt idx="40">
                  <c:v>1.2526122561390407E-4</c:v>
                </c:pt>
                <c:pt idx="41">
                  <c:v>5.3239677192983836E-3</c:v>
                </c:pt>
                <c:pt idx="42">
                  <c:v>1.7877645964912481E-2</c:v>
                </c:pt>
                <c:pt idx="43">
                  <c:v>3.6852327368421034E-2</c:v>
                </c:pt>
                <c:pt idx="44">
                  <c:v>5.4804642105263202E-2</c:v>
                </c:pt>
                <c:pt idx="45">
                  <c:v>5.3238761403508805E-2</c:v>
                </c:pt>
                <c:pt idx="46">
                  <c:v>3.9759337192982358E-2</c:v>
                </c:pt>
                <c:pt idx="47">
                  <c:v>3.5562698245614033E-2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68F-45EB-BAD4-FCE58A654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"/>
          <c:min val="-5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Net grid exchange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BES_TR2_three312_A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SOC_pct!$C$2:$C$49</c:f>
              <c:numCache>
                <c:formatCode>0.0</c:formatCode>
                <c:ptCount val="48"/>
                <c:pt idx="0">
                  <c:v>40</c:v>
                </c:pt>
                <c:pt idx="1">
                  <c:v>36.593899999999998</c:v>
                </c:pt>
                <c:pt idx="2">
                  <c:v>35.544400000000003</c:v>
                </c:pt>
                <c:pt idx="3">
                  <c:v>33.237200000000001</c:v>
                </c:pt>
                <c:pt idx="4">
                  <c:v>32.5471</c:v>
                </c:pt>
                <c:pt idx="5">
                  <c:v>30.7789</c:v>
                </c:pt>
                <c:pt idx="6">
                  <c:v>29.1904</c:v>
                </c:pt>
                <c:pt idx="7">
                  <c:v>28.5002</c:v>
                </c:pt>
                <c:pt idx="8">
                  <c:v>26.854199999999999</c:v>
                </c:pt>
                <c:pt idx="9">
                  <c:v>25.643999999999998</c:v>
                </c:pt>
                <c:pt idx="10">
                  <c:v>26.992799999999999</c:v>
                </c:pt>
                <c:pt idx="11">
                  <c:v>28.904900000000001</c:v>
                </c:pt>
                <c:pt idx="12">
                  <c:v>34.163400000000003</c:v>
                </c:pt>
                <c:pt idx="13">
                  <c:v>42.418700000000001</c:v>
                </c:pt>
                <c:pt idx="14">
                  <c:v>52.085500000000003</c:v>
                </c:pt>
                <c:pt idx="15">
                  <c:v>65.009900000000002</c:v>
                </c:pt>
                <c:pt idx="16">
                  <c:v>80.596999999999994</c:v>
                </c:pt>
                <c:pt idx="17">
                  <c:v>86.472899999999996</c:v>
                </c:pt>
                <c:pt idx="18">
                  <c:v>100</c:v>
                </c:pt>
                <c:pt idx="19">
                  <c:v>100</c:v>
                </c:pt>
                <c:pt idx="20">
                  <c:v>91.155500000000004</c:v>
                </c:pt>
                <c:pt idx="21">
                  <c:v>96.3977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98.174399999999991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96.505399999999995</c:v>
                </c:pt>
                <c:pt idx="37">
                  <c:v>91.968800000000002</c:v>
                </c:pt>
                <c:pt idx="38">
                  <c:v>94.621399999999994</c:v>
                </c:pt>
                <c:pt idx="39">
                  <c:v>95.473600000000005</c:v>
                </c:pt>
                <c:pt idx="40">
                  <c:v>94.354600000000005</c:v>
                </c:pt>
                <c:pt idx="41">
                  <c:v>93.850400000000008</c:v>
                </c:pt>
                <c:pt idx="42">
                  <c:v>91.183899999999994</c:v>
                </c:pt>
                <c:pt idx="43">
                  <c:v>90.493700000000004</c:v>
                </c:pt>
                <c:pt idx="44">
                  <c:v>89.8035</c:v>
                </c:pt>
                <c:pt idx="45">
                  <c:v>86.721499999999992</c:v>
                </c:pt>
                <c:pt idx="46">
                  <c:v>81.551900000000003</c:v>
                </c:pt>
                <c:pt idx="47">
                  <c:v>78.529700000000005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71-42C1-B65B-C9D9F8A1F28E}"/>
            </c:ext>
          </c:extLst>
        </c:ser>
        <c:ser>
          <c:idx val="1"/>
          <c:order val="1"/>
          <c:tx>
            <c:v>BES_TR2_three321_B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SOC_pct!$D$2:$D$49</c:f>
              <c:numCache>
                <c:formatCode>0.0</c:formatCode>
                <c:ptCount val="48"/>
                <c:pt idx="0">
                  <c:v>40</c:v>
                </c:pt>
                <c:pt idx="1">
                  <c:v>39.4604</c:v>
                </c:pt>
                <c:pt idx="2">
                  <c:v>36.807000000000002</c:v>
                </c:pt>
                <c:pt idx="3">
                  <c:v>36.267400000000002</c:v>
                </c:pt>
                <c:pt idx="4">
                  <c:v>34.1905</c:v>
                </c:pt>
                <c:pt idx="5">
                  <c:v>33.074399999999997</c:v>
                </c:pt>
                <c:pt idx="6">
                  <c:v>32.342599999999997</c:v>
                </c:pt>
                <c:pt idx="7">
                  <c:v>29.881399999999999</c:v>
                </c:pt>
                <c:pt idx="8">
                  <c:v>29.385000000000002</c:v>
                </c:pt>
                <c:pt idx="9">
                  <c:v>27.355599999999999</c:v>
                </c:pt>
                <c:pt idx="10">
                  <c:v>29.496700000000001</c:v>
                </c:pt>
                <c:pt idx="11">
                  <c:v>33.183700000000002</c:v>
                </c:pt>
                <c:pt idx="12">
                  <c:v>40.211799999999997</c:v>
                </c:pt>
                <c:pt idx="13">
                  <c:v>51.475000000000001</c:v>
                </c:pt>
                <c:pt idx="14">
                  <c:v>64.5077</c:v>
                </c:pt>
                <c:pt idx="15">
                  <c:v>82.724199999999996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98.277499999999989</c:v>
                </c:pt>
                <c:pt idx="40">
                  <c:v>91.414199999999994</c:v>
                </c:pt>
                <c:pt idx="41">
                  <c:v>78.230400000000003</c:v>
                </c:pt>
                <c:pt idx="42">
                  <c:v>75.704800000000006</c:v>
                </c:pt>
                <c:pt idx="43">
                  <c:v>71.342600000000004</c:v>
                </c:pt>
                <c:pt idx="44">
                  <c:v>68.577799999999996</c:v>
                </c:pt>
                <c:pt idx="45">
                  <c:v>63.262599999999999</c:v>
                </c:pt>
                <c:pt idx="46">
                  <c:v>59.962499999999999</c:v>
                </c:pt>
                <c:pt idx="47">
                  <c:v>55.990299999999998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71-42C1-B65B-C9D9F8A1F28E}"/>
            </c:ext>
          </c:extLst>
        </c:ser>
        <c:ser>
          <c:idx val="2"/>
          <c:order val="2"/>
          <c:tx>
            <c:v>BES_TR2_three368_A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SOC_pct!$E$2:$E$49</c:f>
              <c:numCache>
                <c:formatCode>0.0</c:formatCode>
                <c:ptCount val="48"/>
                <c:pt idx="0">
                  <c:v>40</c:v>
                </c:pt>
                <c:pt idx="1">
                  <c:v>37.415300000000002</c:v>
                </c:pt>
                <c:pt idx="2">
                  <c:v>36.712600000000002</c:v>
                </c:pt>
                <c:pt idx="3">
                  <c:v>34.255099999999999</c:v>
                </c:pt>
                <c:pt idx="4">
                  <c:v>31.670400000000001</c:v>
                </c:pt>
                <c:pt idx="5">
                  <c:v>30.967700000000001</c:v>
                </c:pt>
                <c:pt idx="6">
                  <c:v>26.6282</c:v>
                </c:pt>
                <c:pt idx="7">
                  <c:v>25.9255</c:v>
                </c:pt>
                <c:pt idx="8">
                  <c:v>23.461500000000001</c:v>
                </c:pt>
                <c:pt idx="9">
                  <c:v>21.216899999999999</c:v>
                </c:pt>
                <c:pt idx="10">
                  <c:v>21.8978</c:v>
                </c:pt>
                <c:pt idx="11">
                  <c:v>21.4941</c:v>
                </c:pt>
                <c:pt idx="12">
                  <c:v>24.113800000000001</c:v>
                </c:pt>
                <c:pt idx="13">
                  <c:v>28.418299999999999</c:v>
                </c:pt>
                <c:pt idx="14">
                  <c:v>33.295000000000002</c:v>
                </c:pt>
                <c:pt idx="15">
                  <c:v>39.333200000000012</c:v>
                </c:pt>
                <c:pt idx="16">
                  <c:v>47.483699999999999</c:v>
                </c:pt>
                <c:pt idx="17">
                  <c:v>58.888300000000001</c:v>
                </c:pt>
                <c:pt idx="18">
                  <c:v>70.41340000000001</c:v>
                </c:pt>
                <c:pt idx="19">
                  <c:v>68.973700000000008</c:v>
                </c:pt>
                <c:pt idx="20">
                  <c:v>78.859800000000007</c:v>
                </c:pt>
                <c:pt idx="21">
                  <c:v>70.743800000000007</c:v>
                </c:pt>
                <c:pt idx="22">
                  <c:v>84.193899999999999</c:v>
                </c:pt>
                <c:pt idx="23">
                  <c:v>88.141899999999993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94.704399999999993</c:v>
                </c:pt>
                <c:pt idx="37">
                  <c:v>95.373400000000004</c:v>
                </c:pt>
                <c:pt idx="38">
                  <c:v>85.833700000000007</c:v>
                </c:pt>
                <c:pt idx="39">
                  <c:v>86.158999999999992</c:v>
                </c:pt>
                <c:pt idx="40">
                  <c:v>80.921800000000005</c:v>
                </c:pt>
                <c:pt idx="41">
                  <c:v>78.243099999999998</c:v>
                </c:pt>
                <c:pt idx="42">
                  <c:v>72.655900000000003</c:v>
                </c:pt>
                <c:pt idx="43">
                  <c:v>66.293999999999997</c:v>
                </c:pt>
                <c:pt idx="44">
                  <c:v>61.206099999999999</c:v>
                </c:pt>
                <c:pt idx="45">
                  <c:v>54.3125</c:v>
                </c:pt>
                <c:pt idx="46">
                  <c:v>50.915999999999997</c:v>
                </c:pt>
                <c:pt idx="47">
                  <c:v>48.748399999999997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71-42C1-B65B-C9D9F8A1F28E}"/>
            </c:ext>
          </c:extLst>
        </c:ser>
        <c:ser>
          <c:idx val="3"/>
          <c:order val="3"/>
          <c:tx>
            <c:v>BES_TR2_three388_A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SOC_pct!$F$2:$F$49</c:f>
              <c:numCache>
                <c:formatCode>0.0</c:formatCode>
                <c:ptCount val="48"/>
                <c:pt idx="0">
                  <c:v>40</c:v>
                </c:pt>
                <c:pt idx="1">
                  <c:v>39.284700000000001</c:v>
                </c:pt>
                <c:pt idx="2">
                  <c:v>38.569499999999998</c:v>
                </c:pt>
                <c:pt idx="3">
                  <c:v>37.854199999999999</c:v>
                </c:pt>
                <c:pt idx="4">
                  <c:v>37.1389</c:v>
                </c:pt>
                <c:pt idx="5">
                  <c:v>36.423699999999997</c:v>
                </c:pt>
                <c:pt idx="6">
                  <c:v>35.708399999999997</c:v>
                </c:pt>
                <c:pt idx="7">
                  <c:v>34.993099999999998</c:v>
                </c:pt>
                <c:pt idx="8">
                  <c:v>34.321100000000001</c:v>
                </c:pt>
                <c:pt idx="9">
                  <c:v>34.229900000000001</c:v>
                </c:pt>
                <c:pt idx="10">
                  <c:v>36.212800000000001</c:v>
                </c:pt>
                <c:pt idx="11">
                  <c:v>40.779499999999999</c:v>
                </c:pt>
                <c:pt idx="12">
                  <c:v>48.514299999999999</c:v>
                </c:pt>
                <c:pt idx="13">
                  <c:v>59.705800000000004</c:v>
                </c:pt>
                <c:pt idx="14">
                  <c:v>74.248099999999994</c:v>
                </c:pt>
                <c:pt idx="15">
                  <c:v>91.217700000000008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96.110900000000001</c:v>
                </c:pt>
                <c:pt idx="41">
                  <c:v>93.200299999999999</c:v>
                </c:pt>
                <c:pt idx="42">
                  <c:v>90.850399999999993</c:v>
                </c:pt>
                <c:pt idx="43">
                  <c:v>87.056399999999996</c:v>
                </c:pt>
                <c:pt idx="44">
                  <c:v>82.728999999999999</c:v>
                </c:pt>
                <c:pt idx="45">
                  <c:v>78.971499999999992</c:v>
                </c:pt>
                <c:pt idx="46">
                  <c:v>74.942399999999992</c:v>
                </c:pt>
                <c:pt idx="47">
                  <c:v>74.227200000000011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71-42C1-B65B-C9D9F8A1F28E}"/>
            </c:ext>
          </c:extLst>
        </c:ser>
        <c:ser>
          <c:idx val="4"/>
          <c:order val="4"/>
          <c:tx>
            <c:v>BES_TR2_three409_C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SOC_pct!$G$2:$G$49</c:f>
              <c:numCache>
                <c:formatCode>0.0</c:formatCode>
                <c:ptCount val="48"/>
                <c:pt idx="0">
                  <c:v>40</c:v>
                </c:pt>
                <c:pt idx="1">
                  <c:v>39.322400000000002</c:v>
                </c:pt>
                <c:pt idx="2">
                  <c:v>37.166200000000003</c:v>
                </c:pt>
                <c:pt idx="3">
                  <c:v>34.491500000000002</c:v>
                </c:pt>
                <c:pt idx="4">
                  <c:v>33.813899999999997</c:v>
                </c:pt>
                <c:pt idx="5">
                  <c:v>31.8765</c:v>
                </c:pt>
                <c:pt idx="6">
                  <c:v>28.9831</c:v>
                </c:pt>
                <c:pt idx="7">
                  <c:v>27.675599999999999</c:v>
                </c:pt>
                <c:pt idx="8">
                  <c:v>24.598299999999998</c:v>
                </c:pt>
                <c:pt idx="9">
                  <c:v>24.1419</c:v>
                </c:pt>
                <c:pt idx="10">
                  <c:v>25.024899999999999</c:v>
                </c:pt>
                <c:pt idx="11">
                  <c:v>27.241099999999999</c:v>
                </c:pt>
                <c:pt idx="12">
                  <c:v>34.118899999999996</c:v>
                </c:pt>
                <c:pt idx="13">
                  <c:v>44.557400000000001</c:v>
                </c:pt>
                <c:pt idx="14">
                  <c:v>57.754899999999999</c:v>
                </c:pt>
                <c:pt idx="15">
                  <c:v>75.960399999999993</c:v>
                </c:pt>
                <c:pt idx="16">
                  <c:v>96.518199999999993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95.230699999999999</c:v>
                </c:pt>
                <c:pt idx="40">
                  <c:v>72.850999999999999</c:v>
                </c:pt>
                <c:pt idx="41">
                  <c:v>70.809899999999999</c:v>
                </c:pt>
                <c:pt idx="42">
                  <c:v>70.132199999999997</c:v>
                </c:pt>
                <c:pt idx="43">
                  <c:v>67.30319999999999</c:v>
                </c:pt>
                <c:pt idx="44">
                  <c:v>65.301400000000001</c:v>
                </c:pt>
                <c:pt idx="45">
                  <c:v>64.623800000000003</c:v>
                </c:pt>
                <c:pt idx="46">
                  <c:v>60.830500000000001</c:v>
                </c:pt>
                <c:pt idx="47">
                  <c:v>59.792900000000003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71-42C1-B65B-C9D9F8A1F28E}"/>
            </c:ext>
          </c:extLst>
        </c:ser>
        <c:ser>
          <c:idx val="5"/>
          <c:order val="5"/>
          <c:tx>
            <c:v>BES_TR2_three478_B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SOC_pct!$H$2:$H$49</c:f>
              <c:numCache>
                <c:formatCode>0.0</c:formatCode>
                <c:ptCount val="48"/>
                <c:pt idx="0">
                  <c:v>40</c:v>
                </c:pt>
                <c:pt idx="1">
                  <c:v>37.973300000000002</c:v>
                </c:pt>
                <c:pt idx="2">
                  <c:v>36.221800000000002</c:v>
                </c:pt>
                <c:pt idx="3">
                  <c:v>33.797400000000003</c:v>
                </c:pt>
                <c:pt idx="4">
                  <c:v>31.843900000000001</c:v>
                </c:pt>
                <c:pt idx="5">
                  <c:v>30.276299999999999</c:v>
                </c:pt>
                <c:pt idx="6">
                  <c:v>28.071999999999999</c:v>
                </c:pt>
                <c:pt idx="7">
                  <c:v>26.755099999999999</c:v>
                </c:pt>
                <c:pt idx="8">
                  <c:v>24.534400000000002</c:v>
                </c:pt>
                <c:pt idx="9">
                  <c:v>24.1599</c:v>
                </c:pt>
                <c:pt idx="10">
                  <c:v>22.813400000000001</c:v>
                </c:pt>
                <c:pt idx="11">
                  <c:v>26.235600000000002</c:v>
                </c:pt>
                <c:pt idx="12">
                  <c:v>29.758900000000001</c:v>
                </c:pt>
                <c:pt idx="13">
                  <c:v>37.4557</c:v>
                </c:pt>
                <c:pt idx="14">
                  <c:v>48.4709</c:v>
                </c:pt>
                <c:pt idx="15">
                  <c:v>60.185400000000001</c:v>
                </c:pt>
                <c:pt idx="16">
                  <c:v>75.368300000000005</c:v>
                </c:pt>
                <c:pt idx="17">
                  <c:v>94.062799999999996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95.342100000000002</c:v>
                </c:pt>
                <c:pt idx="40">
                  <c:v>83.402100000000004</c:v>
                </c:pt>
                <c:pt idx="41">
                  <c:v>79.777200000000008</c:v>
                </c:pt>
                <c:pt idx="42">
                  <c:v>73.203600000000009</c:v>
                </c:pt>
                <c:pt idx="43">
                  <c:v>54.429600000000001</c:v>
                </c:pt>
                <c:pt idx="44">
                  <c:v>51.951400000000007</c:v>
                </c:pt>
                <c:pt idx="45">
                  <c:v>49.527000000000001</c:v>
                </c:pt>
                <c:pt idx="46">
                  <c:v>47.573500000000003</c:v>
                </c:pt>
                <c:pt idx="47">
                  <c:v>46.9482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871-42C1-B65B-C9D9F8A1F28E}"/>
            </c:ext>
          </c:extLst>
        </c:ser>
        <c:ser>
          <c:idx val="6"/>
          <c:order val="6"/>
          <c:tx>
            <c:v>BES_TR2_three97_B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SOC_pct!$I$2:$I$49</c:f>
              <c:numCache>
                <c:formatCode>0.0</c:formatCode>
                <c:ptCount val="48"/>
                <c:pt idx="0">
                  <c:v>40</c:v>
                </c:pt>
                <c:pt idx="1">
                  <c:v>39.422800000000002</c:v>
                </c:pt>
                <c:pt idx="2">
                  <c:v>38.845500000000001</c:v>
                </c:pt>
                <c:pt idx="3">
                  <c:v>38.268300000000004</c:v>
                </c:pt>
                <c:pt idx="4">
                  <c:v>37.691099999999999</c:v>
                </c:pt>
                <c:pt idx="5">
                  <c:v>37.113799999999998</c:v>
                </c:pt>
                <c:pt idx="6">
                  <c:v>36.5366</c:v>
                </c:pt>
                <c:pt idx="7">
                  <c:v>35.959400000000002</c:v>
                </c:pt>
                <c:pt idx="8">
                  <c:v>35.4253</c:v>
                </c:pt>
                <c:pt idx="9">
                  <c:v>35.467500000000001</c:v>
                </c:pt>
                <c:pt idx="10">
                  <c:v>37.5747</c:v>
                </c:pt>
                <c:pt idx="11">
                  <c:v>42.265500000000003</c:v>
                </c:pt>
                <c:pt idx="12">
                  <c:v>50.124599999999987</c:v>
                </c:pt>
                <c:pt idx="13">
                  <c:v>61.440300000000001</c:v>
                </c:pt>
                <c:pt idx="14">
                  <c:v>76.255200000000002</c:v>
                </c:pt>
                <c:pt idx="15">
                  <c:v>92.915400000000005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99.6708</c:v>
                </c:pt>
                <c:pt idx="42">
                  <c:v>99.093500000000006</c:v>
                </c:pt>
                <c:pt idx="43">
                  <c:v>98.516300000000001</c:v>
                </c:pt>
                <c:pt idx="44">
                  <c:v>97.253100000000003</c:v>
                </c:pt>
                <c:pt idx="45">
                  <c:v>94.314499999999995</c:v>
                </c:pt>
                <c:pt idx="46">
                  <c:v>89.90209999999999</c:v>
                </c:pt>
                <c:pt idx="47">
                  <c:v>88.255399999999995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71-42C1-B65B-C9D9F8A1F28E}"/>
            </c:ext>
          </c:extLst>
        </c:ser>
        <c:ser>
          <c:idx val="7"/>
          <c:order val="7"/>
          <c:tx>
            <c:v>BES_TR2_three133_C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SOC_pct!$J$2:$J$49</c:f>
              <c:numCache>
                <c:formatCode>0.0</c:formatCode>
                <c:ptCount val="48"/>
                <c:pt idx="0">
                  <c:v>40</c:v>
                </c:pt>
                <c:pt idx="1">
                  <c:v>39.304499999999997</c:v>
                </c:pt>
                <c:pt idx="2">
                  <c:v>37.8551</c:v>
                </c:pt>
                <c:pt idx="3">
                  <c:v>36.2151</c:v>
                </c:pt>
                <c:pt idx="4">
                  <c:v>35.575200000000002</c:v>
                </c:pt>
                <c:pt idx="5">
                  <c:v>34.101799999999997</c:v>
                </c:pt>
                <c:pt idx="6">
                  <c:v>33.295200000000001</c:v>
                </c:pt>
                <c:pt idx="7">
                  <c:v>31.933</c:v>
                </c:pt>
                <c:pt idx="8">
                  <c:v>31.047599999999999</c:v>
                </c:pt>
                <c:pt idx="9">
                  <c:v>29.9313</c:v>
                </c:pt>
                <c:pt idx="10">
                  <c:v>31.275300000000001</c:v>
                </c:pt>
                <c:pt idx="11">
                  <c:v>34.457099999999997</c:v>
                </c:pt>
                <c:pt idx="12">
                  <c:v>39.414999999999999</c:v>
                </c:pt>
                <c:pt idx="13">
                  <c:v>47.715400000000002</c:v>
                </c:pt>
                <c:pt idx="14">
                  <c:v>57.740199999999987</c:v>
                </c:pt>
                <c:pt idx="15">
                  <c:v>71.275700000000001</c:v>
                </c:pt>
                <c:pt idx="16">
                  <c:v>87.425899999999999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94.515000000000001</c:v>
                </c:pt>
                <c:pt idx="38">
                  <c:v>79.105699999999999</c:v>
                </c:pt>
                <c:pt idx="39">
                  <c:v>78.316600000000008</c:v>
                </c:pt>
                <c:pt idx="40">
                  <c:v>74.127600000000001</c:v>
                </c:pt>
                <c:pt idx="41">
                  <c:v>69.879599999999996</c:v>
                </c:pt>
                <c:pt idx="42">
                  <c:v>68.628500000000003</c:v>
                </c:pt>
                <c:pt idx="43">
                  <c:v>67.377399999999994</c:v>
                </c:pt>
                <c:pt idx="44">
                  <c:v>66.348600000000005</c:v>
                </c:pt>
                <c:pt idx="45">
                  <c:v>65.70859999999999</c:v>
                </c:pt>
                <c:pt idx="46">
                  <c:v>63.135699999999993</c:v>
                </c:pt>
                <c:pt idx="47">
                  <c:v>61.840400000000002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871-42C1-B65B-C9D9F8A1F28E}"/>
            </c:ext>
          </c:extLst>
        </c:ser>
        <c:ser>
          <c:idx val="8"/>
          <c:order val="8"/>
          <c:tx>
            <c:v>BES_TR2_three160_C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SOC_pct!$K$2:$K$49</c:f>
              <c:numCache>
                <c:formatCode>0.0</c:formatCode>
                <c:ptCount val="48"/>
                <c:pt idx="0">
                  <c:v>40</c:v>
                </c:pt>
                <c:pt idx="1">
                  <c:v>31.4953</c:v>
                </c:pt>
                <c:pt idx="2">
                  <c:v>27.7624</c:v>
                </c:pt>
                <c:pt idx="3">
                  <c:v>26.0916</c:v>
                </c:pt>
                <c:pt idx="4">
                  <c:v>23.539000000000001</c:v>
                </c:pt>
                <c:pt idx="5">
                  <c:v>23.049700000000001</c:v>
                </c:pt>
                <c:pt idx="6">
                  <c:v>21.146000000000001</c:v>
                </c:pt>
                <c:pt idx="7">
                  <c:v>20.656600000000001</c:v>
                </c:pt>
                <c:pt idx="8">
                  <c:v>18.4633</c:v>
                </c:pt>
                <c:pt idx="9">
                  <c:v>17.171199999999999</c:v>
                </c:pt>
                <c:pt idx="10">
                  <c:v>19.069199999999999</c:v>
                </c:pt>
                <c:pt idx="11">
                  <c:v>22.352799999999998</c:v>
                </c:pt>
                <c:pt idx="12">
                  <c:v>29.081700000000001</c:v>
                </c:pt>
                <c:pt idx="13">
                  <c:v>38.765500000000003</c:v>
                </c:pt>
                <c:pt idx="14">
                  <c:v>52.450200000000002</c:v>
                </c:pt>
                <c:pt idx="15">
                  <c:v>67.985399999999998</c:v>
                </c:pt>
                <c:pt idx="16">
                  <c:v>86.633099999999999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93.963999999999999</c:v>
                </c:pt>
                <c:pt idx="37">
                  <c:v>97.4726</c:v>
                </c:pt>
                <c:pt idx="38">
                  <c:v>92.827800000000011</c:v>
                </c:pt>
                <c:pt idx="39">
                  <c:v>62.278399999999998</c:v>
                </c:pt>
                <c:pt idx="40">
                  <c:v>38.211500000000001</c:v>
                </c:pt>
                <c:pt idx="41">
                  <c:v>32.491</c:v>
                </c:pt>
                <c:pt idx="42">
                  <c:v>14.3438</c:v>
                </c:pt>
                <c:pt idx="43">
                  <c:v>13.1473</c:v>
                </c:pt>
                <c:pt idx="44">
                  <c:v>10.5364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871-42C1-B65B-C9D9F8A1F28E}"/>
            </c:ext>
          </c:extLst>
        </c:ser>
        <c:ser>
          <c:idx val="9"/>
          <c:order val="9"/>
          <c:tx>
            <c:v>BES_TR2_five58_C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SOC_pct!$L$2:$L$49</c:f>
              <c:numCache>
                <c:formatCode>0.0</c:formatCode>
                <c:ptCount val="48"/>
                <c:pt idx="0">
                  <c:v>40</c:v>
                </c:pt>
                <c:pt idx="1">
                  <c:v>37.330500000000001</c:v>
                </c:pt>
                <c:pt idx="2">
                  <c:v>33.765799999999999</c:v>
                </c:pt>
                <c:pt idx="3">
                  <c:v>32.074599999999997</c:v>
                </c:pt>
                <c:pt idx="4">
                  <c:v>31.560099999999998</c:v>
                </c:pt>
                <c:pt idx="5">
                  <c:v>28.306799999999999</c:v>
                </c:pt>
                <c:pt idx="6">
                  <c:v>27.792400000000001</c:v>
                </c:pt>
                <c:pt idx="7">
                  <c:v>27.277899999999999</c:v>
                </c:pt>
                <c:pt idx="8">
                  <c:v>26.8066</c:v>
                </c:pt>
                <c:pt idx="9">
                  <c:v>25.7394</c:v>
                </c:pt>
                <c:pt idx="10">
                  <c:v>27.902999999999999</c:v>
                </c:pt>
                <c:pt idx="11">
                  <c:v>32.650399999999998</c:v>
                </c:pt>
                <c:pt idx="12">
                  <c:v>40.4146</c:v>
                </c:pt>
                <c:pt idx="13">
                  <c:v>50.878999999999998</c:v>
                </c:pt>
                <c:pt idx="14">
                  <c:v>65.750299999999996</c:v>
                </c:pt>
                <c:pt idx="15">
                  <c:v>84.102699999999999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98.664400000000001</c:v>
                </c:pt>
                <c:pt idx="40">
                  <c:v>96.009900000000002</c:v>
                </c:pt>
                <c:pt idx="41">
                  <c:v>94.690799999999996</c:v>
                </c:pt>
                <c:pt idx="42">
                  <c:v>91.000399999999999</c:v>
                </c:pt>
                <c:pt idx="43">
                  <c:v>88.806799999999996</c:v>
                </c:pt>
                <c:pt idx="44">
                  <c:v>81.849000000000004</c:v>
                </c:pt>
                <c:pt idx="45">
                  <c:v>78.787999999999997</c:v>
                </c:pt>
                <c:pt idx="46">
                  <c:v>72.147999999999996</c:v>
                </c:pt>
                <c:pt idx="47">
                  <c:v>68.059200000000004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871-42C1-B65B-C9D9F8A1F28E}"/>
            </c:ext>
          </c:extLst>
        </c:ser>
        <c:ser>
          <c:idx val="10"/>
          <c:order val="10"/>
          <c:tx>
            <c:v>BES_TR2_five147_C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SOC_pct!$M$2:$M$49</c:f>
              <c:numCache>
                <c:formatCode>0.0</c:formatCode>
                <c:ptCount val="48"/>
                <c:pt idx="0">
                  <c:v>40</c:v>
                </c:pt>
                <c:pt idx="1">
                  <c:v>38.214799999999997</c:v>
                </c:pt>
                <c:pt idx="2">
                  <c:v>37.1218</c:v>
                </c:pt>
                <c:pt idx="3">
                  <c:v>36.236499999999999</c:v>
                </c:pt>
                <c:pt idx="4">
                  <c:v>34.243600000000001</c:v>
                </c:pt>
                <c:pt idx="5">
                  <c:v>33.566000000000003</c:v>
                </c:pt>
                <c:pt idx="6">
                  <c:v>32.126900000000013</c:v>
                </c:pt>
                <c:pt idx="7">
                  <c:v>30.687799999999999</c:v>
                </c:pt>
                <c:pt idx="8">
                  <c:v>29.7072</c:v>
                </c:pt>
                <c:pt idx="9">
                  <c:v>28.476800000000001</c:v>
                </c:pt>
                <c:pt idx="10">
                  <c:v>30.493600000000001</c:v>
                </c:pt>
                <c:pt idx="11">
                  <c:v>33.723399999999998</c:v>
                </c:pt>
                <c:pt idx="12">
                  <c:v>41.492100000000001</c:v>
                </c:pt>
                <c:pt idx="13">
                  <c:v>52.5929</c:v>
                </c:pt>
                <c:pt idx="14">
                  <c:v>66.071299999999994</c:v>
                </c:pt>
                <c:pt idx="15">
                  <c:v>84.276799999999994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97.265000000000001</c:v>
                </c:pt>
                <c:pt idx="41">
                  <c:v>92.315299999999993</c:v>
                </c:pt>
                <c:pt idx="42">
                  <c:v>84.290900000000008</c:v>
                </c:pt>
                <c:pt idx="43">
                  <c:v>75.732200000000006</c:v>
                </c:pt>
                <c:pt idx="44">
                  <c:v>71.063100000000006</c:v>
                </c:pt>
                <c:pt idx="45">
                  <c:v>63.69</c:v>
                </c:pt>
                <c:pt idx="46">
                  <c:v>56.969900000000003</c:v>
                </c:pt>
                <c:pt idx="47">
                  <c:v>52.689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871-42C1-B65B-C9D9F8A1F28E}"/>
            </c:ext>
          </c:extLst>
        </c:ser>
        <c:ser>
          <c:idx val="11"/>
          <c:order val="11"/>
          <c:tx>
            <c:v>BES_TR2_five149_A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SOC_pct!$N$2:$N$49</c:f>
              <c:numCache>
                <c:formatCode>0.0</c:formatCode>
                <c:ptCount val="48"/>
                <c:pt idx="0">
                  <c:v>40</c:v>
                </c:pt>
                <c:pt idx="1">
                  <c:v>38.505899999999997</c:v>
                </c:pt>
                <c:pt idx="2">
                  <c:v>37.249499999999998</c:v>
                </c:pt>
                <c:pt idx="3">
                  <c:v>34.762599999999999</c:v>
                </c:pt>
                <c:pt idx="4">
                  <c:v>33.355699999999999</c:v>
                </c:pt>
                <c:pt idx="5">
                  <c:v>30.589400000000001</c:v>
                </c:pt>
                <c:pt idx="6">
                  <c:v>29.254100000000001</c:v>
                </c:pt>
                <c:pt idx="7">
                  <c:v>26.601299999999998</c:v>
                </c:pt>
                <c:pt idx="8">
                  <c:v>25.482399999999998</c:v>
                </c:pt>
                <c:pt idx="9">
                  <c:v>23.3748</c:v>
                </c:pt>
                <c:pt idx="10">
                  <c:v>24.418199999999999</c:v>
                </c:pt>
                <c:pt idx="11">
                  <c:v>28.6677</c:v>
                </c:pt>
                <c:pt idx="12">
                  <c:v>33.993099999999998</c:v>
                </c:pt>
                <c:pt idx="13">
                  <c:v>45.2072</c:v>
                </c:pt>
                <c:pt idx="14">
                  <c:v>58.422700000000013</c:v>
                </c:pt>
                <c:pt idx="15">
                  <c:v>75.3429</c:v>
                </c:pt>
                <c:pt idx="16">
                  <c:v>97.023200000000003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97.490700000000004</c:v>
                </c:pt>
                <c:pt idx="41">
                  <c:v>91.517099999999999</c:v>
                </c:pt>
                <c:pt idx="42">
                  <c:v>85.6798</c:v>
                </c:pt>
                <c:pt idx="43">
                  <c:v>76.127499999999998</c:v>
                </c:pt>
                <c:pt idx="44">
                  <c:v>68.425899999999999</c:v>
                </c:pt>
                <c:pt idx="45">
                  <c:v>63.2834</c:v>
                </c:pt>
                <c:pt idx="46">
                  <c:v>54.902399999999993</c:v>
                </c:pt>
                <c:pt idx="47">
                  <c:v>50.058899999999987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871-42C1-B65B-C9D9F8A1F28E}"/>
            </c:ext>
          </c:extLst>
        </c:ser>
        <c:ser>
          <c:idx val="12"/>
          <c:order val="12"/>
          <c:tx>
            <c:v>BES_TR2_five160_C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SOC_pct!$O$2:$O$49</c:f>
              <c:numCache>
                <c:formatCode>0.0</c:formatCode>
                <c:ptCount val="48"/>
                <c:pt idx="0">
                  <c:v>40</c:v>
                </c:pt>
                <c:pt idx="1">
                  <c:v>38.260300000000001</c:v>
                </c:pt>
                <c:pt idx="2">
                  <c:v>37.582599999999999</c:v>
                </c:pt>
                <c:pt idx="3">
                  <c:v>36.314900000000002</c:v>
                </c:pt>
                <c:pt idx="4">
                  <c:v>35.165300000000002</c:v>
                </c:pt>
                <c:pt idx="5">
                  <c:v>33.8386</c:v>
                </c:pt>
                <c:pt idx="6">
                  <c:v>32.747900000000001</c:v>
                </c:pt>
                <c:pt idx="7">
                  <c:v>31.8933</c:v>
                </c:pt>
                <c:pt idx="8">
                  <c:v>30.3521</c:v>
                </c:pt>
                <c:pt idx="9">
                  <c:v>29.986499999999999</c:v>
                </c:pt>
                <c:pt idx="10">
                  <c:v>29.706</c:v>
                </c:pt>
                <c:pt idx="11">
                  <c:v>31.7013</c:v>
                </c:pt>
                <c:pt idx="12">
                  <c:v>35.280700000000003</c:v>
                </c:pt>
                <c:pt idx="13">
                  <c:v>39.898099999999999</c:v>
                </c:pt>
                <c:pt idx="14">
                  <c:v>46.689900000000002</c:v>
                </c:pt>
                <c:pt idx="15">
                  <c:v>54.744199999999999</c:v>
                </c:pt>
                <c:pt idx="16">
                  <c:v>65.072600000000008</c:v>
                </c:pt>
                <c:pt idx="17">
                  <c:v>76.293500000000009</c:v>
                </c:pt>
                <c:pt idx="18">
                  <c:v>88.981399999999994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96.926500000000004</c:v>
                </c:pt>
                <c:pt idx="40">
                  <c:v>92.360699999999994</c:v>
                </c:pt>
                <c:pt idx="41">
                  <c:v>87.092700000000008</c:v>
                </c:pt>
                <c:pt idx="42">
                  <c:v>83.513800000000003</c:v>
                </c:pt>
                <c:pt idx="43">
                  <c:v>82.069099999999992</c:v>
                </c:pt>
                <c:pt idx="44">
                  <c:v>80.860399999999998</c:v>
                </c:pt>
                <c:pt idx="45">
                  <c:v>79.651799999999994</c:v>
                </c:pt>
                <c:pt idx="46">
                  <c:v>76.989900000000006</c:v>
                </c:pt>
                <c:pt idx="47">
                  <c:v>72.399100000000004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871-42C1-B65B-C9D9F8A1F28E}"/>
            </c:ext>
          </c:extLst>
        </c:ser>
        <c:ser>
          <c:idx val="13"/>
          <c:order val="13"/>
          <c:tx>
            <c:v>BES_TR2_five170_A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SOC_pct!$P$2:$P$49</c:f>
              <c:numCache>
                <c:formatCode>0.0</c:formatCode>
                <c:ptCount val="48"/>
                <c:pt idx="0">
                  <c:v>40</c:v>
                </c:pt>
                <c:pt idx="1">
                  <c:v>37.612099999999998</c:v>
                </c:pt>
                <c:pt idx="2">
                  <c:v>37.022300000000001</c:v>
                </c:pt>
                <c:pt idx="3">
                  <c:v>34.797899999999998</c:v>
                </c:pt>
                <c:pt idx="4">
                  <c:v>34.044600000000003</c:v>
                </c:pt>
                <c:pt idx="5">
                  <c:v>32.310600000000001</c:v>
                </c:pt>
                <c:pt idx="6">
                  <c:v>31.067</c:v>
                </c:pt>
                <c:pt idx="7">
                  <c:v>30.4772</c:v>
                </c:pt>
                <c:pt idx="8">
                  <c:v>28.121700000000001</c:v>
                </c:pt>
                <c:pt idx="9">
                  <c:v>28</c:v>
                </c:pt>
                <c:pt idx="10">
                  <c:v>29.1449</c:v>
                </c:pt>
                <c:pt idx="11">
                  <c:v>31.197800000000001</c:v>
                </c:pt>
                <c:pt idx="12">
                  <c:v>36.950899999999997</c:v>
                </c:pt>
                <c:pt idx="13">
                  <c:v>43.7517</c:v>
                </c:pt>
                <c:pt idx="14">
                  <c:v>52.039099999999998</c:v>
                </c:pt>
                <c:pt idx="15">
                  <c:v>65.619900000000001</c:v>
                </c:pt>
                <c:pt idx="16">
                  <c:v>81.586199999999991</c:v>
                </c:pt>
                <c:pt idx="17">
                  <c:v>98.764200000000002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99.3536</c:v>
                </c:pt>
                <c:pt idx="40">
                  <c:v>95.679000000000002</c:v>
                </c:pt>
                <c:pt idx="41">
                  <c:v>89.090400000000002</c:v>
                </c:pt>
                <c:pt idx="42">
                  <c:v>83.090800000000002</c:v>
                </c:pt>
                <c:pt idx="43">
                  <c:v>79.814099999999996</c:v>
                </c:pt>
                <c:pt idx="44">
                  <c:v>79.224399999999989</c:v>
                </c:pt>
                <c:pt idx="45">
                  <c:v>78.0625</c:v>
                </c:pt>
                <c:pt idx="46">
                  <c:v>76.246700000000004</c:v>
                </c:pt>
                <c:pt idx="47">
                  <c:v>75.656900000000007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871-42C1-B65B-C9D9F8A1F28E}"/>
            </c:ext>
          </c:extLst>
        </c:ser>
        <c:ser>
          <c:idx val="14"/>
          <c:order val="14"/>
          <c:tx>
            <c:v>BES_TR2_five177_A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SOC_pct!$Q$2:$Q$49</c:f>
              <c:numCache>
                <c:formatCode>0.0</c:formatCode>
                <c:ptCount val="48"/>
                <c:pt idx="0">
                  <c:v>40</c:v>
                </c:pt>
                <c:pt idx="1">
                  <c:v>39.322400000000002</c:v>
                </c:pt>
                <c:pt idx="2">
                  <c:v>37.666600000000003</c:v>
                </c:pt>
                <c:pt idx="3">
                  <c:v>36.988999999999997</c:v>
                </c:pt>
                <c:pt idx="4">
                  <c:v>35.441800000000001</c:v>
                </c:pt>
                <c:pt idx="5">
                  <c:v>34.655500000000004</c:v>
                </c:pt>
                <c:pt idx="6">
                  <c:v>33.271500000000003</c:v>
                </c:pt>
                <c:pt idx="7">
                  <c:v>32.322099999999999</c:v>
                </c:pt>
                <c:pt idx="8">
                  <c:v>31.2803</c:v>
                </c:pt>
                <c:pt idx="9">
                  <c:v>30.238900000000001</c:v>
                </c:pt>
                <c:pt idx="10">
                  <c:v>30.614100000000001</c:v>
                </c:pt>
                <c:pt idx="11">
                  <c:v>31.0777</c:v>
                </c:pt>
                <c:pt idx="12">
                  <c:v>33.6098</c:v>
                </c:pt>
                <c:pt idx="13">
                  <c:v>37.438099999999999</c:v>
                </c:pt>
                <c:pt idx="14">
                  <c:v>42.578600000000002</c:v>
                </c:pt>
                <c:pt idx="15">
                  <c:v>48.437600000000003</c:v>
                </c:pt>
                <c:pt idx="16">
                  <c:v>55.897300000000008</c:v>
                </c:pt>
                <c:pt idx="17">
                  <c:v>64.877499999999998</c:v>
                </c:pt>
                <c:pt idx="18">
                  <c:v>74.619699999999995</c:v>
                </c:pt>
                <c:pt idx="19">
                  <c:v>85.246399999999994</c:v>
                </c:pt>
                <c:pt idx="20">
                  <c:v>96.784400000000005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98.411000000000001</c:v>
                </c:pt>
                <c:pt idx="40">
                  <c:v>95.446100000000001</c:v>
                </c:pt>
                <c:pt idx="41">
                  <c:v>91.667400000000001</c:v>
                </c:pt>
                <c:pt idx="42">
                  <c:v>86.747900000000001</c:v>
                </c:pt>
                <c:pt idx="43">
                  <c:v>81.289199999999994</c:v>
                </c:pt>
                <c:pt idx="44">
                  <c:v>76.746600000000001</c:v>
                </c:pt>
                <c:pt idx="45">
                  <c:v>73.539400000000001</c:v>
                </c:pt>
                <c:pt idx="46">
                  <c:v>69.056100000000001</c:v>
                </c:pt>
                <c:pt idx="47">
                  <c:v>66.338399999999993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871-42C1-B65B-C9D9F8A1F28E}"/>
            </c:ext>
          </c:extLst>
        </c:ser>
        <c:ser>
          <c:idx val="15"/>
          <c:order val="15"/>
          <c:tx>
            <c:v>BES_TR2_five67_C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SOC_pct!$R$2:$R$49</c:f>
              <c:numCache>
                <c:formatCode>0.0</c:formatCode>
                <c:ptCount val="48"/>
                <c:pt idx="0">
                  <c:v>40</c:v>
                </c:pt>
                <c:pt idx="1">
                  <c:v>38.816000000000003</c:v>
                </c:pt>
                <c:pt idx="2">
                  <c:v>36.939</c:v>
                </c:pt>
                <c:pt idx="3">
                  <c:v>34.514099999999999</c:v>
                </c:pt>
                <c:pt idx="4">
                  <c:v>32.226399999999998</c:v>
                </c:pt>
                <c:pt idx="5">
                  <c:v>30.719000000000001</c:v>
                </c:pt>
                <c:pt idx="6">
                  <c:v>29.028099999999998</c:v>
                </c:pt>
                <c:pt idx="7">
                  <c:v>27.334700000000002</c:v>
                </c:pt>
                <c:pt idx="8">
                  <c:v>24.1752</c:v>
                </c:pt>
                <c:pt idx="9">
                  <c:v>23.869900000000001</c:v>
                </c:pt>
                <c:pt idx="10">
                  <c:v>23.7392</c:v>
                </c:pt>
                <c:pt idx="11">
                  <c:v>27.5929</c:v>
                </c:pt>
                <c:pt idx="12">
                  <c:v>35.440600000000003</c:v>
                </c:pt>
                <c:pt idx="13">
                  <c:v>44.928199999999997</c:v>
                </c:pt>
                <c:pt idx="14">
                  <c:v>59.731699999999996</c:v>
                </c:pt>
                <c:pt idx="15">
                  <c:v>75.600500000000011</c:v>
                </c:pt>
                <c:pt idx="16">
                  <c:v>96.442000000000007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98.361800000000002</c:v>
                </c:pt>
                <c:pt idx="40">
                  <c:v>93.935699999999997</c:v>
                </c:pt>
                <c:pt idx="41">
                  <c:v>90.08420000000001</c:v>
                </c:pt>
                <c:pt idx="42">
                  <c:v>86.770200000000003</c:v>
                </c:pt>
                <c:pt idx="43">
                  <c:v>86.180400000000006</c:v>
                </c:pt>
                <c:pt idx="44">
                  <c:v>83.372199999999992</c:v>
                </c:pt>
                <c:pt idx="45">
                  <c:v>81.284300000000002</c:v>
                </c:pt>
                <c:pt idx="46">
                  <c:v>80.694500000000005</c:v>
                </c:pt>
                <c:pt idx="47">
                  <c:v>80.104699999999994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871-42C1-B65B-C9D9F8A1F28E}"/>
            </c:ext>
          </c:extLst>
        </c:ser>
        <c:ser>
          <c:idx val="16"/>
          <c:order val="16"/>
          <c:tx>
            <c:v>BES_TR2_five243_B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SOC_pct!$S$2:$S$49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38.745100000000001</c:v>
                </c:pt>
                <c:pt idx="3">
                  <c:v>38.117699999999999</c:v>
                </c:pt>
                <c:pt idx="4">
                  <c:v>37.490299999999998</c:v>
                </c:pt>
                <c:pt idx="5">
                  <c:v>36.862900000000003</c:v>
                </c:pt>
                <c:pt idx="6">
                  <c:v>36.235399999999998</c:v>
                </c:pt>
                <c:pt idx="7">
                  <c:v>35.607999999999997</c:v>
                </c:pt>
                <c:pt idx="8">
                  <c:v>35.023800000000001</c:v>
                </c:pt>
                <c:pt idx="9">
                  <c:v>35.020400000000002</c:v>
                </c:pt>
                <c:pt idx="10">
                  <c:v>37.0824</c:v>
                </c:pt>
                <c:pt idx="11">
                  <c:v>41.728099999999998</c:v>
                </c:pt>
                <c:pt idx="12">
                  <c:v>49.542000000000002</c:v>
                </c:pt>
                <c:pt idx="13">
                  <c:v>60.812600000000003</c:v>
                </c:pt>
                <c:pt idx="14">
                  <c:v>75.5822</c:v>
                </c:pt>
                <c:pt idx="15">
                  <c:v>93.832999999999998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99.288799999999995</c:v>
                </c:pt>
                <c:pt idx="41">
                  <c:v>98.909400000000005</c:v>
                </c:pt>
                <c:pt idx="42">
                  <c:v>98.281999999999996</c:v>
                </c:pt>
                <c:pt idx="43">
                  <c:v>97.654499999999999</c:v>
                </c:pt>
                <c:pt idx="44">
                  <c:v>97.027100000000004</c:v>
                </c:pt>
                <c:pt idx="45">
                  <c:v>96.399699999999996</c:v>
                </c:pt>
                <c:pt idx="46">
                  <c:v>95.772300000000001</c:v>
                </c:pt>
                <c:pt idx="47">
                  <c:v>95.144799999999989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871-42C1-B65B-C9D9F8A1F28E}"/>
            </c:ext>
          </c:extLst>
        </c:ser>
        <c:ser>
          <c:idx val="17"/>
          <c:order val="17"/>
          <c:tx>
            <c:v>BES_TR2_five284_C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SOC_pct!$T$2:$T$49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37.753799999999998</c:v>
                </c:pt>
                <c:pt idx="3">
                  <c:v>35.305799999999998</c:v>
                </c:pt>
                <c:pt idx="4">
                  <c:v>33.9998</c:v>
                </c:pt>
                <c:pt idx="5">
                  <c:v>32.769300000000001</c:v>
                </c:pt>
                <c:pt idx="6">
                  <c:v>29.2545</c:v>
                </c:pt>
                <c:pt idx="7">
                  <c:v>28.627099999999999</c:v>
                </c:pt>
                <c:pt idx="8">
                  <c:v>26.202400000000001</c:v>
                </c:pt>
                <c:pt idx="9">
                  <c:v>24.215399999999999</c:v>
                </c:pt>
                <c:pt idx="10">
                  <c:v>24.3963</c:v>
                </c:pt>
                <c:pt idx="11">
                  <c:v>23.803799999999999</c:v>
                </c:pt>
                <c:pt idx="12">
                  <c:v>27.347300000000001</c:v>
                </c:pt>
                <c:pt idx="13">
                  <c:v>30.9968</c:v>
                </c:pt>
                <c:pt idx="14">
                  <c:v>38.099299999999999</c:v>
                </c:pt>
                <c:pt idx="15">
                  <c:v>43.800800000000002</c:v>
                </c:pt>
                <c:pt idx="16">
                  <c:v>53.831699999999998</c:v>
                </c:pt>
                <c:pt idx="17">
                  <c:v>60.978700000000003</c:v>
                </c:pt>
                <c:pt idx="18">
                  <c:v>59.785499999999999</c:v>
                </c:pt>
                <c:pt idx="19">
                  <c:v>72.229399999999998</c:v>
                </c:pt>
                <c:pt idx="20">
                  <c:v>87.671800000000005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95.235600000000005</c:v>
                </c:pt>
                <c:pt idx="41">
                  <c:v>89.024000000000001</c:v>
                </c:pt>
                <c:pt idx="42">
                  <c:v>82.994799999999998</c:v>
                </c:pt>
                <c:pt idx="43">
                  <c:v>75.423700000000011</c:v>
                </c:pt>
                <c:pt idx="44">
                  <c:v>68.194400000000002</c:v>
                </c:pt>
                <c:pt idx="45">
                  <c:v>61.992199999999997</c:v>
                </c:pt>
                <c:pt idx="46">
                  <c:v>54.633899999999997</c:v>
                </c:pt>
                <c:pt idx="47">
                  <c:v>48.418199999999999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871-42C1-B65B-C9D9F8A1F28E}"/>
            </c:ext>
          </c:extLst>
        </c:ser>
        <c:ser>
          <c:idx val="18"/>
          <c:order val="18"/>
          <c:tx>
            <c:v>BES_TR2_five285_B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SOC_pct!$U$2:$U$49</c:f>
              <c:numCache>
                <c:formatCode>0.0</c:formatCode>
                <c:ptCount val="48"/>
                <c:pt idx="0">
                  <c:v>40</c:v>
                </c:pt>
                <c:pt idx="1">
                  <c:v>34.857100000000003</c:v>
                </c:pt>
                <c:pt idx="2">
                  <c:v>28.759399999999999</c:v>
                </c:pt>
                <c:pt idx="3">
                  <c:v>21.438099999999999</c:v>
                </c:pt>
                <c:pt idx="4">
                  <c:v>13.4262</c:v>
                </c:pt>
                <c:pt idx="5">
                  <c:v>11.2606</c:v>
                </c:pt>
                <c:pt idx="6">
                  <c:v>10.5579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11.994199999999999</c:v>
                </c:pt>
                <c:pt idx="11">
                  <c:v>16.572199999999999</c:v>
                </c:pt>
                <c:pt idx="12">
                  <c:v>24.318300000000001</c:v>
                </c:pt>
                <c:pt idx="13">
                  <c:v>35.521099999999997</c:v>
                </c:pt>
                <c:pt idx="14">
                  <c:v>50.222999999999999</c:v>
                </c:pt>
                <c:pt idx="15">
                  <c:v>68.405900000000003</c:v>
                </c:pt>
                <c:pt idx="16">
                  <c:v>90.075000000000003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99.545299999999997</c:v>
                </c:pt>
                <c:pt idx="42">
                  <c:v>98.842600000000004</c:v>
                </c:pt>
                <c:pt idx="43">
                  <c:v>98.139899999999997</c:v>
                </c:pt>
                <c:pt idx="44">
                  <c:v>97.437100000000001</c:v>
                </c:pt>
                <c:pt idx="45">
                  <c:v>91.442900000000009</c:v>
                </c:pt>
                <c:pt idx="46">
                  <c:v>86.546199999999999</c:v>
                </c:pt>
                <c:pt idx="47">
                  <c:v>61.035899999999998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871-42C1-B65B-C9D9F8A1F28E}"/>
            </c:ext>
          </c:extLst>
        </c:ser>
        <c:ser>
          <c:idx val="19"/>
          <c:order val="19"/>
          <c:tx>
            <c:v>BES_TR2_five303_B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SOC_pct!$V$2:$V$49</c:f>
              <c:numCache>
                <c:formatCode>0.0</c:formatCode>
                <c:ptCount val="48"/>
                <c:pt idx="0">
                  <c:v>40</c:v>
                </c:pt>
                <c:pt idx="1">
                  <c:v>38.133800000000001</c:v>
                </c:pt>
                <c:pt idx="2">
                  <c:v>36.338099999999997</c:v>
                </c:pt>
                <c:pt idx="3">
                  <c:v>35.823599999999999</c:v>
                </c:pt>
                <c:pt idx="4">
                  <c:v>34.796700000000001</c:v>
                </c:pt>
                <c:pt idx="5">
                  <c:v>32.915599999999998</c:v>
                </c:pt>
                <c:pt idx="6">
                  <c:v>32.4011</c:v>
                </c:pt>
                <c:pt idx="7">
                  <c:v>30.0075</c:v>
                </c:pt>
                <c:pt idx="8">
                  <c:v>29.536200000000001</c:v>
                </c:pt>
                <c:pt idx="9">
                  <c:v>28.0229</c:v>
                </c:pt>
                <c:pt idx="10">
                  <c:v>29.956</c:v>
                </c:pt>
                <c:pt idx="11">
                  <c:v>34.703299999999999</c:v>
                </c:pt>
                <c:pt idx="12">
                  <c:v>42.6188</c:v>
                </c:pt>
                <c:pt idx="13">
                  <c:v>52.761000000000003</c:v>
                </c:pt>
                <c:pt idx="14">
                  <c:v>67.171099999999996</c:v>
                </c:pt>
                <c:pt idx="15">
                  <c:v>85.408900000000003</c:v>
                </c:pt>
                <c:pt idx="16">
                  <c:v>94.108099999999993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95.734099999999998</c:v>
                </c:pt>
                <c:pt idx="41">
                  <c:v>87.875699999999995</c:v>
                </c:pt>
                <c:pt idx="42">
                  <c:v>78.539299999999997</c:v>
                </c:pt>
                <c:pt idx="43">
                  <c:v>71.194100000000006</c:v>
                </c:pt>
                <c:pt idx="44">
                  <c:v>62.733800000000002</c:v>
                </c:pt>
                <c:pt idx="45">
                  <c:v>56.421399999999998</c:v>
                </c:pt>
                <c:pt idx="46">
                  <c:v>32.769100000000002</c:v>
                </c:pt>
                <c:pt idx="47">
                  <c:v>30.460899999999999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871-42C1-B65B-C9D9F8A1F28E}"/>
            </c:ext>
          </c:extLst>
        </c:ser>
        <c:ser>
          <c:idx val="20"/>
          <c:order val="20"/>
          <c:tx>
            <c:v>BES_TR2_five324_B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SOC_pct!$W$2:$W$49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38.005299999999998</c:v>
                </c:pt>
                <c:pt idx="3">
                  <c:v>37.3904</c:v>
                </c:pt>
                <c:pt idx="4">
                  <c:v>36.010599999999997</c:v>
                </c:pt>
                <c:pt idx="5">
                  <c:v>35.395700000000012</c:v>
                </c:pt>
                <c:pt idx="6">
                  <c:v>34.313400000000001</c:v>
                </c:pt>
                <c:pt idx="7">
                  <c:v>33.401000000000003</c:v>
                </c:pt>
                <c:pt idx="8">
                  <c:v>32.829300000000003</c:v>
                </c:pt>
                <c:pt idx="9">
                  <c:v>32.837600000000002</c:v>
                </c:pt>
                <c:pt idx="10">
                  <c:v>34.2224</c:v>
                </c:pt>
                <c:pt idx="11">
                  <c:v>38.879399999999997</c:v>
                </c:pt>
                <c:pt idx="12">
                  <c:v>46.704599999999999</c:v>
                </c:pt>
                <c:pt idx="13">
                  <c:v>57.871399999999987</c:v>
                </c:pt>
                <c:pt idx="14">
                  <c:v>72.6524</c:v>
                </c:pt>
                <c:pt idx="15">
                  <c:v>90.22590000000001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96.042199999999994</c:v>
                </c:pt>
                <c:pt idx="41">
                  <c:v>86.768900000000002</c:v>
                </c:pt>
                <c:pt idx="42">
                  <c:v>52.516500000000001</c:v>
                </c:pt>
                <c:pt idx="43">
                  <c:v>15.4253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871-42C1-B65B-C9D9F8A1F28E}"/>
            </c:ext>
          </c:extLst>
        </c:ser>
        <c:ser>
          <c:idx val="21"/>
          <c:order val="21"/>
          <c:tx>
            <c:v>BES_TR2_five355_A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SOC_pct!$X$2:$X$49</c:f>
              <c:numCache>
                <c:formatCode>0.0</c:formatCode>
                <c:ptCount val="48"/>
                <c:pt idx="0">
                  <c:v>40</c:v>
                </c:pt>
                <c:pt idx="1">
                  <c:v>37.679699999999997</c:v>
                </c:pt>
                <c:pt idx="2">
                  <c:v>36.072899999999997</c:v>
                </c:pt>
                <c:pt idx="3">
                  <c:v>32.617899999999999</c:v>
                </c:pt>
                <c:pt idx="4">
                  <c:v>31.569800000000001</c:v>
                </c:pt>
                <c:pt idx="5">
                  <c:v>28.471599999999999</c:v>
                </c:pt>
                <c:pt idx="6">
                  <c:v>27.066800000000001</c:v>
                </c:pt>
                <c:pt idx="7">
                  <c:v>26.577400000000001</c:v>
                </c:pt>
                <c:pt idx="8">
                  <c:v>24.723600000000001</c:v>
                </c:pt>
                <c:pt idx="9">
                  <c:v>22.016100000000002</c:v>
                </c:pt>
                <c:pt idx="10">
                  <c:v>23.0428</c:v>
                </c:pt>
                <c:pt idx="11">
                  <c:v>25.1692</c:v>
                </c:pt>
                <c:pt idx="12">
                  <c:v>31.012699999999999</c:v>
                </c:pt>
                <c:pt idx="13">
                  <c:v>38.191499999999998</c:v>
                </c:pt>
                <c:pt idx="14">
                  <c:v>46.925699999999999</c:v>
                </c:pt>
                <c:pt idx="15">
                  <c:v>60.086199999999998</c:v>
                </c:pt>
                <c:pt idx="16">
                  <c:v>73.573900000000009</c:v>
                </c:pt>
                <c:pt idx="17">
                  <c:v>91.150400000000005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99.775100000000009</c:v>
                </c:pt>
                <c:pt idx="40">
                  <c:v>100</c:v>
                </c:pt>
                <c:pt idx="41">
                  <c:v>97.070800000000006</c:v>
                </c:pt>
                <c:pt idx="42">
                  <c:v>90.694600000000008</c:v>
                </c:pt>
                <c:pt idx="43">
                  <c:v>84.767800000000008</c:v>
                </c:pt>
                <c:pt idx="44">
                  <c:v>81.238399999999999</c:v>
                </c:pt>
                <c:pt idx="45">
                  <c:v>78.150700000000001</c:v>
                </c:pt>
                <c:pt idx="46">
                  <c:v>76.357699999999994</c:v>
                </c:pt>
                <c:pt idx="47">
                  <c:v>74.444200000000009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871-42C1-B65B-C9D9F8A1F28E}"/>
            </c:ext>
          </c:extLst>
        </c:ser>
        <c:ser>
          <c:idx val="22"/>
          <c:order val="22"/>
          <c:tx>
            <c:v>BES_TR2_five394_C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SOC_pct!$Y$2:$Y$49</c:f>
              <c:numCache>
                <c:formatCode>0.0</c:formatCode>
                <c:ptCount val="48"/>
                <c:pt idx="0">
                  <c:v>40</c:v>
                </c:pt>
                <c:pt idx="1">
                  <c:v>20.358899999999998</c:v>
                </c:pt>
                <c:pt idx="2">
                  <c:v>19.6311</c:v>
                </c:pt>
                <c:pt idx="3">
                  <c:v>18.360099999999999</c:v>
                </c:pt>
                <c:pt idx="4">
                  <c:v>16.184100000000001</c:v>
                </c:pt>
                <c:pt idx="5">
                  <c:v>15.456300000000001</c:v>
                </c:pt>
                <c:pt idx="6">
                  <c:v>12.7371</c:v>
                </c:pt>
                <c:pt idx="7">
                  <c:v>12.0093</c:v>
                </c:pt>
                <c:pt idx="8">
                  <c:v>10</c:v>
                </c:pt>
                <c:pt idx="9">
                  <c:v>10</c:v>
                </c:pt>
                <c:pt idx="10">
                  <c:v>11.6433</c:v>
                </c:pt>
                <c:pt idx="11">
                  <c:v>13.755100000000001</c:v>
                </c:pt>
                <c:pt idx="12">
                  <c:v>20.4313</c:v>
                </c:pt>
                <c:pt idx="13">
                  <c:v>28.584199999999999</c:v>
                </c:pt>
                <c:pt idx="14">
                  <c:v>41.1023</c:v>
                </c:pt>
                <c:pt idx="15">
                  <c:v>56.910700000000013</c:v>
                </c:pt>
                <c:pt idx="16">
                  <c:v>75.769499999999994</c:v>
                </c:pt>
                <c:pt idx="17">
                  <c:v>96.106300000000005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99.114199999999997</c:v>
                </c:pt>
                <c:pt idx="40">
                  <c:v>92.02470000000001</c:v>
                </c:pt>
                <c:pt idx="41">
                  <c:v>85.260599999999997</c:v>
                </c:pt>
                <c:pt idx="42">
                  <c:v>76.065400000000011</c:v>
                </c:pt>
                <c:pt idx="43">
                  <c:v>69.397900000000007</c:v>
                </c:pt>
                <c:pt idx="44">
                  <c:v>61.590699999999998</c:v>
                </c:pt>
                <c:pt idx="45">
                  <c:v>56.156300000000002</c:v>
                </c:pt>
                <c:pt idx="46">
                  <c:v>54.348799999999997</c:v>
                </c:pt>
                <c:pt idx="47">
                  <c:v>51.629600000000003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871-42C1-B65B-C9D9F8A1F28E}"/>
            </c:ext>
          </c:extLst>
        </c:ser>
        <c:ser>
          <c:idx val="23"/>
          <c:order val="23"/>
          <c:tx>
            <c:v>BES_TR2_five451_A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SOC_pct!$Z$2:$Z$49</c:f>
              <c:numCache>
                <c:formatCode>0.0</c:formatCode>
                <c:ptCount val="48"/>
                <c:pt idx="0">
                  <c:v>40</c:v>
                </c:pt>
                <c:pt idx="1">
                  <c:v>37.717099999999988</c:v>
                </c:pt>
                <c:pt idx="2">
                  <c:v>35.695599999999999</c:v>
                </c:pt>
                <c:pt idx="3">
                  <c:v>35.105800000000002</c:v>
                </c:pt>
                <c:pt idx="4">
                  <c:v>33.491100000000003</c:v>
                </c:pt>
                <c:pt idx="5">
                  <c:v>32.137700000000002</c:v>
                </c:pt>
                <c:pt idx="6">
                  <c:v>30.2117</c:v>
                </c:pt>
                <c:pt idx="7">
                  <c:v>28.816600000000001</c:v>
                </c:pt>
                <c:pt idx="8">
                  <c:v>27.8432</c:v>
                </c:pt>
                <c:pt idx="9">
                  <c:v>25.734500000000001</c:v>
                </c:pt>
                <c:pt idx="10">
                  <c:v>25.922899999999998</c:v>
                </c:pt>
                <c:pt idx="11">
                  <c:v>28.648599999999998</c:v>
                </c:pt>
                <c:pt idx="12">
                  <c:v>31.200900000000001</c:v>
                </c:pt>
                <c:pt idx="13">
                  <c:v>37.408200000000001</c:v>
                </c:pt>
                <c:pt idx="14">
                  <c:v>45.430500000000002</c:v>
                </c:pt>
                <c:pt idx="15">
                  <c:v>54.775399999999998</c:v>
                </c:pt>
                <c:pt idx="16">
                  <c:v>68.183000000000007</c:v>
                </c:pt>
                <c:pt idx="17">
                  <c:v>83.034300000000002</c:v>
                </c:pt>
                <c:pt idx="18">
                  <c:v>98.198099999999997</c:v>
                </c:pt>
                <c:pt idx="19">
                  <c:v>100</c:v>
                </c:pt>
                <c:pt idx="20">
                  <c:v>95.700800000000001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99.704899999999995</c:v>
                </c:pt>
                <c:pt idx="39">
                  <c:v>100</c:v>
                </c:pt>
                <c:pt idx="40">
                  <c:v>100</c:v>
                </c:pt>
                <c:pt idx="41">
                  <c:v>96.586799999999997</c:v>
                </c:pt>
                <c:pt idx="42">
                  <c:v>95.997100000000003</c:v>
                </c:pt>
                <c:pt idx="43">
                  <c:v>93.609499999999997</c:v>
                </c:pt>
                <c:pt idx="44">
                  <c:v>91.692700000000002</c:v>
                </c:pt>
                <c:pt idx="45">
                  <c:v>90.43480000000001</c:v>
                </c:pt>
                <c:pt idx="46">
                  <c:v>87.97399999999999</c:v>
                </c:pt>
                <c:pt idx="47">
                  <c:v>83.253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871-42C1-B65B-C9D9F8A1F28E}"/>
            </c:ext>
          </c:extLst>
        </c:ser>
        <c:ser>
          <c:idx val="24"/>
          <c:order val="24"/>
          <c:tx>
            <c:v>BES_TR2_five466_A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SOC_pct!$AA$2:$AA$49</c:f>
              <c:numCache>
                <c:formatCode>0.0</c:formatCode>
                <c:ptCount val="48"/>
                <c:pt idx="0">
                  <c:v>40</c:v>
                </c:pt>
                <c:pt idx="1">
                  <c:v>39.322400000000002</c:v>
                </c:pt>
                <c:pt idx="2">
                  <c:v>36.9831</c:v>
                </c:pt>
                <c:pt idx="3">
                  <c:v>36.226399999999998</c:v>
                </c:pt>
                <c:pt idx="4">
                  <c:v>35.548699999999997</c:v>
                </c:pt>
                <c:pt idx="5">
                  <c:v>33.209499999999998</c:v>
                </c:pt>
                <c:pt idx="6">
                  <c:v>32.4527</c:v>
                </c:pt>
                <c:pt idx="7">
                  <c:v>31.616800000000001</c:v>
                </c:pt>
                <c:pt idx="8">
                  <c:v>29.372900000000001</c:v>
                </c:pt>
                <c:pt idx="9">
                  <c:v>28.929300000000001</c:v>
                </c:pt>
                <c:pt idx="10">
                  <c:v>27.7636</c:v>
                </c:pt>
                <c:pt idx="11">
                  <c:v>28.9651</c:v>
                </c:pt>
                <c:pt idx="12">
                  <c:v>31.497199999999999</c:v>
                </c:pt>
                <c:pt idx="13">
                  <c:v>33.758800000000001</c:v>
                </c:pt>
                <c:pt idx="14">
                  <c:v>38.899299999999997</c:v>
                </c:pt>
                <c:pt idx="15">
                  <c:v>45.345200000000013</c:v>
                </c:pt>
                <c:pt idx="16">
                  <c:v>51.531700000000001</c:v>
                </c:pt>
                <c:pt idx="17">
                  <c:v>55.53</c:v>
                </c:pt>
                <c:pt idx="18">
                  <c:v>64.010999999999996</c:v>
                </c:pt>
                <c:pt idx="19">
                  <c:v>73.289299999999997</c:v>
                </c:pt>
                <c:pt idx="20">
                  <c:v>80.144499999999994</c:v>
                </c:pt>
                <c:pt idx="21">
                  <c:v>90.6995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97.600899999999996</c:v>
                </c:pt>
                <c:pt idx="35">
                  <c:v>92.078699999999998</c:v>
                </c:pt>
                <c:pt idx="36">
                  <c:v>96.661100000000005</c:v>
                </c:pt>
                <c:pt idx="37">
                  <c:v>99.81750000000001</c:v>
                </c:pt>
                <c:pt idx="38">
                  <c:v>100</c:v>
                </c:pt>
                <c:pt idx="39">
                  <c:v>100</c:v>
                </c:pt>
                <c:pt idx="40">
                  <c:v>98.085900000000009</c:v>
                </c:pt>
                <c:pt idx="41">
                  <c:v>97.501199999999997</c:v>
                </c:pt>
                <c:pt idx="42">
                  <c:v>96.823599999999999</c:v>
                </c:pt>
                <c:pt idx="43">
                  <c:v>95.275600000000011</c:v>
                </c:pt>
                <c:pt idx="44">
                  <c:v>93.727599999999995</c:v>
                </c:pt>
                <c:pt idx="45">
                  <c:v>92.024500000000003</c:v>
                </c:pt>
                <c:pt idx="46">
                  <c:v>85.729500000000002</c:v>
                </c:pt>
                <c:pt idx="47">
                  <c:v>85.051900000000003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871-42C1-B65B-C9D9F8A1F28E}"/>
            </c:ext>
          </c:extLst>
        </c:ser>
        <c:ser>
          <c:idx val="25"/>
          <c:order val="25"/>
          <c:tx>
            <c:v>BES_TR2_five494_B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SOC_pct!$AB$2:$AB$49</c:f>
              <c:numCache>
                <c:formatCode>0.0</c:formatCode>
                <c:ptCount val="48"/>
                <c:pt idx="0">
                  <c:v>40</c:v>
                </c:pt>
                <c:pt idx="1">
                  <c:v>39.322400000000002</c:v>
                </c:pt>
                <c:pt idx="2">
                  <c:v>36.9587</c:v>
                </c:pt>
                <c:pt idx="3">
                  <c:v>36.281100000000002</c:v>
                </c:pt>
                <c:pt idx="4">
                  <c:v>33.917499999999997</c:v>
                </c:pt>
                <c:pt idx="5">
                  <c:v>33.239899999999999</c:v>
                </c:pt>
                <c:pt idx="6">
                  <c:v>31.297699999999999</c:v>
                </c:pt>
                <c:pt idx="7">
                  <c:v>30.198599999999999</c:v>
                </c:pt>
                <c:pt idx="8">
                  <c:v>28.8628</c:v>
                </c:pt>
                <c:pt idx="9">
                  <c:v>27.407599999999999</c:v>
                </c:pt>
                <c:pt idx="10">
                  <c:v>27.782699999999998</c:v>
                </c:pt>
                <c:pt idx="11">
                  <c:v>29.1267</c:v>
                </c:pt>
                <c:pt idx="12">
                  <c:v>31.658799999999999</c:v>
                </c:pt>
                <c:pt idx="13">
                  <c:v>33.969700000000003</c:v>
                </c:pt>
                <c:pt idx="14">
                  <c:v>39.110199999999999</c:v>
                </c:pt>
                <c:pt idx="15">
                  <c:v>45.1768</c:v>
                </c:pt>
                <c:pt idx="16">
                  <c:v>51.016500000000001</c:v>
                </c:pt>
                <c:pt idx="17">
                  <c:v>59.996699999999997</c:v>
                </c:pt>
                <c:pt idx="18">
                  <c:v>68.764499999999998</c:v>
                </c:pt>
                <c:pt idx="19">
                  <c:v>79.728499999999997</c:v>
                </c:pt>
                <c:pt idx="20">
                  <c:v>89.759199999999993</c:v>
                </c:pt>
                <c:pt idx="21">
                  <c:v>99.50139999999999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95.679899999999989</c:v>
                </c:pt>
                <c:pt idx="32">
                  <c:v>97.4739</c:v>
                </c:pt>
                <c:pt idx="33">
                  <c:v>88.794200000000004</c:v>
                </c:pt>
                <c:pt idx="34">
                  <c:v>76.192300000000003</c:v>
                </c:pt>
                <c:pt idx="35">
                  <c:v>79.111400000000003</c:v>
                </c:pt>
                <c:pt idx="36">
                  <c:v>80.843400000000003</c:v>
                </c:pt>
                <c:pt idx="37">
                  <c:v>82.809200000000004</c:v>
                </c:pt>
                <c:pt idx="38">
                  <c:v>83.629900000000006</c:v>
                </c:pt>
                <c:pt idx="39">
                  <c:v>84.215599999999995</c:v>
                </c:pt>
                <c:pt idx="40">
                  <c:v>80.169299999999993</c:v>
                </c:pt>
                <c:pt idx="41">
                  <c:v>76.706299999999999</c:v>
                </c:pt>
                <c:pt idx="42">
                  <c:v>72.2851</c:v>
                </c:pt>
                <c:pt idx="43">
                  <c:v>65.999600000000001</c:v>
                </c:pt>
                <c:pt idx="44">
                  <c:v>58.651499999999999</c:v>
                </c:pt>
                <c:pt idx="45">
                  <c:v>49.919199999999996</c:v>
                </c:pt>
                <c:pt idx="46">
                  <c:v>44.135800000000003</c:v>
                </c:pt>
                <c:pt idx="47">
                  <c:v>39.489999999999988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871-42C1-B65B-C9D9F8A1F28E}"/>
            </c:ext>
          </c:extLst>
        </c:ser>
        <c:ser>
          <c:idx val="26"/>
          <c:order val="26"/>
          <c:tx>
            <c:v>BES_TR2_five512_A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SOC_pct!$AC$2:$AC$49</c:f>
              <c:numCache>
                <c:formatCode>0.0</c:formatCode>
                <c:ptCount val="48"/>
                <c:pt idx="0">
                  <c:v>40</c:v>
                </c:pt>
                <c:pt idx="1">
                  <c:v>36.774000000000001</c:v>
                </c:pt>
                <c:pt idx="2">
                  <c:v>36.071300000000001</c:v>
                </c:pt>
                <c:pt idx="3">
                  <c:v>35.368600000000001</c:v>
                </c:pt>
                <c:pt idx="4">
                  <c:v>34.665900000000001</c:v>
                </c:pt>
                <c:pt idx="5">
                  <c:v>33.504399999999997</c:v>
                </c:pt>
                <c:pt idx="6">
                  <c:v>30.737200000000001</c:v>
                </c:pt>
                <c:pt idx="7">
                  <c:v>30.034500000000001</c:v>
                </c:pt>
                <c:pt idx="8">
                  <c:v>26.830100000000002</c:v>
                </c:pt>
                <c:pt idx="9">
                  <c:v>26.439399999999999</c:v>
                </c:pt>
                <c:pt idx="10">
                  <c:v>27.1203</c:v>
                </c:pt>
                <c:pt idx="11">
                  <c:v>27.854299999999999</c:v>
                </c:pt>
                <c:pt idx="12">
                  <c:v>30.378900000000002</c:v>
                </c:pt>
                <c:pt idx="13">
                  <c:v>35.664000000000001</c:v>
                </c:pt>
                <c:pt idx="14">
                  <c:v>42.2607</c:v>
                </c:pt>
                <c:pt idx="15">
                  <c:v>49.074599999999997</c:v>
                </c:pt>
                <c:pt idx="16">
                  <c:v>59.592900000000007</c:v>
                </c:pt>
                <c:pt idx="17">
                  <c:v>69.889099999999999</c:v>
                </c:pt>
                <c:pt idx="18">
                  <c:v>83.168199999999999</c:v>
                </c:pt>
                <c:pt idx="19">
                  <c:v>97.240899999999996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95.151399999999995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91.164599999999993</c:v>
                </c:pt>
                <c:pt idx="41">
                  <c:v>76.361900000000006</c:v>
                </c:pt>
                <c:pt idx="42">
                  <c:v>61.931399999999996</c:v>
                </c:pt>
                <c:pt idx="43">
                  <c:v>53.628699999999988</c:v>
                </c:pt>
                <c:pt idx="44">
                  <c:v>46.007300000000001</c:v>
                </c:pt>
                <c:pt idx="45">
                  <c:v>40.236800000000002</c:v>
                </c:pt>
                <c:pt idx="46">
                  <c:v>39.534100000000002</c:v>
                </c:pt>
                <c:pt idx="47">
                  <c:v>38.831400000000002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871-42C1-B65B-C9D9F8A1F28E}"/>
            </c:ext>
          </c:extLst>
        </c:ser>
        <c:ser>
          <c:idx val="27"/>
          <c:order val="27"/>
          <c:tx>
            <c:v>BES_TR2_five520_C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SOC_pct!$AD$2:$AD$49</c:f>
              <c:numCache>
                <c:formatCode>0.0</c:formatCode>
                <c:ptCount val="48"/>
                <c:pt idx="0">
                  <c:v>40</c:v>
                </c:pt>
                <c:pt idx="1">
                  <c:v>38.915100000000002</c:v>
                </c:pt>
                <c:pt idx="2">
                  <c:v>36.963099999999997</c:v>
                </c:pt>
                <c:pt idx="3">
                  <c:v>36.398400000000002</c:v>
                </c:pt>
                <c:pt idx="4">
                  <c:v>33.926200000000001</c:v>
                </c:pt>
                <c:pt idx="5">
                  <c:v>33.361499999999999</c:v>
                </c:pt>
                <c:pt idx="6">
                  <c:v>32.796799999999998</c:v>
                </c:pt>
                <c:pt idx="7">
                  <c:v>30.3246</c:v>
                </c:pt>
                <c:pt idx="8">
                  <c:v>29.7761</c:v>
                </c:pt>
                <c:pt idx="9">
                  <c:v>28.578399999999998</c:v>
                </c:pt>
                <c:pt idx="10">
                  <c:v>28.067699999999999</c:v>
                </c:pt>
                <c:pt idx="11">
                  <c:v>29.513400000000001</c:v>
                </c:pt>
                <c:pt idx="12">
                  <c:v>30.430299999999999</c:v>
                </c:pt>
                <c:pt idx="13">
                  <c:v>34.360199999999999</c:v>
                </c:pt>
                <c:pt idx="14">
                  <c:v>39.310600000000001</c:v>
                </c:pt>
                <c:pt idx="15">
                  <c:v>45.235599999999998</c:v>
                </c:pt>
                <c:pt idx="16">
                  <c:v>51.841800000000013</c:v>
                </c:pt>
                <c:pt idx="17">
                  <c:v>60.515099999999997</c:v>
                </c:pt>
                <c:pt idx="18">
                  <c:v>68.851600000000005</c:v>
                </c:pt>
                <c:pt idx="19">
                  <c:v>73.698599999999999</c:v>
                </c:pt>
                <c:pt idx="20">
                  <c:v>60.314599999999999</c:v>
                </c:pt>
                <c:pt idx="21">
                  <c:v>73.105100000000007</c:v>
                </c:pt>
                <c:pt idx="22">
                  <c:v>86.502600000000001</c:v>
                </c:pt>
                <c:pt idx="23">
                  <c:v>98.613799999999998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81.413600000000002</c:v>
                </c:pt>
                <c:pt idx="35">
                  <c:v>78.5334</c:v>
                </c:pt>
                <c:pt idx="36">
                  <c:v>81.204900000000009</c:v>
                </c:pt>
                <c:pt idx="37">
                  <c:v>84.372699999999995</c:v>
                </c:pt>
                <c:pt idx="38">
                  <c:v>84.192800000000005</c:v>
                </c:pt>
                <c:pt idx="39">
                  <c:v>84.897199999999998</c:v>
                </c:pt>
                <c:pt idx="40">
                  <c:v>81.322499999999991</c:v>
                </c:pt>
                <c:pt idx="41">
                  <c:v>76.239599999999996</c:v>
                </c:pt>
                <c:pt idx="42">
                  <c:v>72.408500000000004</c:v>
                </c:pt>
                <c:pt idx="43">
                  <c:v>65.870599999999996</c:v>
                </c:pt>
                <c:pt idx="44">
                  <c:v>56.59</c:v>
                </c:pt>
                <c:pt idx="45">
                  <c:v>46.247999999999998</c:v>
                </c:pt>
                <c:pt idx="46">
                  <c:v>39.985399999999998</c:v>
                </c:pt>
                <c:pt idx="47">
                  <c:v>34.527700000000003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871-42C1-B65B-C9D9F8A1F28E}"/>
            </c:ext>
          </c:extLst>
        </c:ser>
        <c:ser>
          <c:idx val="28"/>
          <c:order val="28"/>
          <c:tx>
            <c:v>BES_TR2_five540_A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SOC_pct!$AE$2:$AE$49</c:f>
              <c:numCache>
                <c:formatCode>0.0</c:formatCode>
                <c:ptCount val="48"/>
                <c:pt idx="0">
                  <c:v>40</c:v>
                </c:pt>
                <c:pt idx="1">
                  <c:v>38.439500000000002</c:v>
                </c:pt>
                <c:pt idx="2">
                  <c:v>37.158499999999997</c:v>
                </c:pt>
                <c:pt idx="3">
                  <c:v>36.505899999999997</c:v>
                </c:pt>
                <c:pt idx="4">
                  <c:v>35.3645</c:v>
                </c:pt>
                <c:pt idx="5">
                  <c:v>33.664400000000001</c:v>
                </c:pt>
                <c:pt idx="6">
                  <c:v>33.011899999999997</c:v>
                </c:pt>
                <c:pt idx="7">
                  <c:v>32.359400000000001</c:v>
                </c:pt>
                <c:pt idx="8">
                  <c:v>30.911899999999999</c:v>
                </c:pt>
                <c:pt idx="9">
                  <c:v>30.185099999999998</c:v>
                </c:pt>
                <c:pt idx="10">
                  <c:v>31.847300000000001</c:v>
                </c:pt>
                <c:pt idx="11">
                  <c:v>35.464700000000001</c:v>
                </c:pt>
                <c:pt idx="12">
                  <c:v>43.256</c:v>
                </c:pt>
                <c:pt idx="13">
                  <c:v>52.764099999999999</c:v>
                </c:pt>
                <c:pt idx="14">
                  <c:v>67.511200000000002</c:v>
                </c:pt>
                <c:pt idx="15">
                  <c:v>85.110699999999994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94.834199999999996</c:v>
                </c:pt>
                <c:pt idx="36">
                  <c:v>85.457899999999995</c:v>
                </c:pt>
                <c:pt idx="37">
                  <c:v>90.877099999999999</c:v>
                </c:pt>
                <c:pt idx="38">
                  <c:v>96.328000000000003</c:v>
                </c:pt>
                <c:pt idx="39">
                  <c:v>98.426100000000005</c:v>
                </c:pt>
                <c:pt idx="40">
                  <c:v>99.049099999999996</c:v>
                </c:pt>
                <c:pt idx="41">
                  <c:v>97.317599999999999</c:v>
                </c:pt>
                <c:pt idx="42">
                  <c:v>96.455500000000001</c:v>
                </c:pt>
                <c:pt idx="43">
                  <c:v>95.803000000000011</c:v>
                </c:pt>
                <c:pt idx="44">
                  <c:v>94.903999999999996</c:v>
                </c:pt>
                <c:pt idx="45">
                  <c:v>90.291899999999998</c:v>
                </c:pt>
                <c:pt idx="46">
                  <c:v>85.6006</c:v>
                </c:pt>
                <c:pt idx="47">
                  <c:v>80.200299999999999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871-42C1-B65B-C9D9F8A1F28E}"/>
            </c:ext>
          </c:extLst>
        </c:ser>
        <c:ser>
          <c:idx val="29"/>
          <c:order val="29"/>
          <c:tx>
            <c:v>BES_TR2_five588_A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SOC_pct!$AF$2:$AF$49</c:f>
              <c:numCache>
                <c:formatCode>0.0</c:formatCode>
                <c:ptCount val="48"/>
                <c:pt idx="0">
                  <c:v>40</c:v>
                </c:pt>
                <c:pt idx="1">
                  <c:v>36.466099999999997</c:v>
                </c:pt>
                <c:pt idx="2">
                  <c:v>33.9148</c:v>
                </c:pt>
                <c:pt idx="3">
                  <c:v>32.2941</c:v>
                </c:pt>
                <c:pt idx="4">
                  <c:v>30.9983</c:v>
                </c:pt>
                <c:pt idx="5">
                  <c:v>28.3658</c:v>
                </c:pt>
                <c:pt idx="6">
                  <c:v>26.207999999999998</c:v>
                </c:pt>
                <c:pt idx="7">
                  <c:v>25.249300000000002</c:v>
                </c:pt>
                <c:pt idx="8">
                  <c:v>21.582100000000001</c:v>
                </c:pt>
                <c:pt idx="9">
                  <c:v>21.1572</c:v>
                </c:pt>
                <c:pt idx="10">
                  <c:v>20.2425</c:v>
                </c:pt>
                <c:pt idx="11">
                  <c:v>21.6526</c:v>
                </c:pt>
                <c:pt idx="12">
                  <c:v>26.026299999999999</c:v>
                </c:pt>
                <c:pt idx="13">
                  <c:v>30.283999999999999</c:v>
                </c:pt>
                <c:pt idx="14">
                  <c:v>38.948899999999988</c:v>
                </c:pt>
                <c:pt idx="15">
                  <c:v>50.098699999999987</c:v>
                </c:pt>
                <c:pt idx="16">
                  <c:v>61.178900000000013</c:v>
                </c:pt>
                <c:pt idx="17">
                  <c:v>75.709199999999996</c:v>
                </c:pt>
                <c:pt idx="18">
                  <c:v>92.667699999999996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92.663899999999998</c:v>
                </c:pt>
                <c:pt idx="37">
                  <c:v>52.8964</c:v>
                </c:pt>
                <c:pt idx="38">
                  <c:v>56.173799999999993</c:v>
                </c:pt>
                <c:pt idx="39">
                  <c:v>57.995199999999997</c:v>
                </c:pt>
                <c:pt idx="40">
                  <c:v>54.910400000000003</c:v>
                </c:pt>
                <c:pt idx="41">
                  <c:v>54.387700000000002</c:v>
                </c:pt>
                <c:pt idx="42">
                  <c:v>53.710099999999997</c:v>
                </c:pt>
                <c:pt idx="43">
                  <c:v>50.971400000000003</c:v>
                </c:pt>
                <c:pt idx="44">
                  <c:v>48.919899999999998</c:v>
                </c:pt>
                <c:pt idx="45">
                  <c:v>48.054900000000004</c:v>
                </c:pt>
                <c:pt idx="46">
                  <c:v>44.129600000000003</c:v>
                </c:pt>
                <c:pt idx="47">
                  <c:v>43.451999999999998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871-42C1-B65B-C9D9F8A1F28E}"/>
            </c:ext>
          </c:extLst>
        </c:ser>
        <c:ser>
          <c:idx val="30"/>
          <c:order val="30"/>
          <c:tx>
            <c:v>BES_TR2_five649_A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SOC_pct!$AG$2:$AG$49</c:f>
              <c:numCache>
                <c:formatCode>0.0</c:formatCode>
                <c:ptCount val="48"/>
                <c:pt idx="0">
                  <c:v>40</c:v>
                </c:pt>
                <c:pt idx="1">
                  <c:v>39.548299999999998</c:v>
                </c:pt>
                <c:pt idx="2">
                  <c:v>37.632300000000001</c:v>
                </c:pt>
                <c:pt idx="3">
                  <c:v>37.180500000000002</c:v>
                </c:pt>
                <c:pt idx="4">
                  <c:v>36.7288</c:v>
                </c:pt>
                <c:pt idx="5">
                  <c:v>35.325299999999999</c:v>
                </c:pt>
                <c:pt idx="6">
                  <c:v>34.360999999999997</c:v>
                </c:pt>
                <c:pt idx="7">
                  <c:v>33.762900000000002</c:v>
                </c:pt>
                <c:pt idx="8">
                  <c:v>32.036499999999997</c:v>
                </c:pt>
                <c:pt idx="9">
                  <c:v>32.191600000000001</c:v>
                </c:pt>
                <c:pt idx="10">
                  <c:v>33.093800000000002</c:v>
                </c:pt>
                <c:pt idx="11">
                  <c:v>37.8977</c:v>
                </c:pt>
                <c:pt idx="12">
                  <c:v>45.078899999999997</c:v>
                </c:pt>
                <c:pt idx="13">
                  <c:v>55.980400000000003</c:v>
                </c:pt>
                <c:pt idx="14">
                  <c:v>70.447000000000003</c:v>
                </c:pt>
                <c:pt idx="15">
                  <c:v>87.999200000000002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98.169200000000004</c:v>
                </c:pt>
                <c:pt idx="41">
                  <c:v>94.834199999999996</c:v>
                </c:pt>
                <c:pt idx="42">
                  <c:v>90.192799999999991</c:v>
                </c:pt>
                <c:pt idx="43">
                  <c:v>83.884099999999989</c:v>
                </c:pt>
                <c:pt idx="44">
                  <c:v>76.211500000000001</c:v>
                </c:pt>
                <c:pt idx="45">
                  <c:v>73.497299999999996</c:v>
                </c:pt>
                <c:pt idx="46">
                  <c:v>71.581299999999999</c:v>
                </c:pt>
                <c:pt idx="47">
                  <c:v>71.129500000000007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871-42C1-B65B-C9D9F8A1F28E}"/>
            </c:ext>
          </c:extLst>
        </c:ser>
        <c:ser>
          <c:idx val="31"/>
          <c:order val="31"/>
          <c:tx>
            <c:v>BES_TR2_five663_C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SOC_pct!$AH$2:$AH$49</c:f>
              <c:numCache>
                <c:formatCode>0.0</c:formatCode>
                <c:ptCount val="48"/>
                <c:pt idx="0">
                  <c:v>40</c:v>
                </c:pt>
                <c:pt idx="1">
                  <c:v>37.375100000000003</c:v>
                </c:pt>
                <c:pt idx="2">
                  <c:v>36.077100000000002</c:v>
                </c:pt>
                <c:pt idx="3">
                  <c:v>33.287199999999999</c:v>
                </c:pt>
                <c:pt idx="4">
                  <c:v>31.993099999999998</c:v>
                </c:pt>
                <c:pt idx="5">
                  <c:v>30.0623</c:v>
                </c:pt>
                <c:pt idx="6">
                  <c:v>27.346</c:v>
                </c:pt>
                <c:pt idx="7">
                  <c:v>26.249400000000001</c:v>
                </c:pt>
                <c:pt idx="8">
                  <c:v>23.973199999999999</c:v>
                </c:pt>
                <c:pt idx="9">
                  <c:v>23.542200000000001</c:v>
                </c:pt>
                <c:pt idx="10">
                  <c:v>21.982500000000002</c:v>
                </c:pt>
                <c:pt idx="11">
                  <c:v>22.079799999999999</c:v>
                </c:pt>
                <c:pt idx="12">
                  <c:v>23.728100000000001</c:v>
                </c:pt>
                <c:pt idx="13">
                  <c:v>25.4146</c:v>
                </c:pt>
                <c:pt idx="14">
                  <c:v>30.566400000000002</c:v>
                </c:pt>
                <c:pt idx="15">
                  <c:v>35.340200000000003</c:v>
                </c:pt>
                <c:pt idx="16">
                  <c:v>41.739899999999999</c:v>
                </c:pt>
                <c:pt idx="17">
                  <c:v>50.731299999999997</c:v>
                </c:pt>
                <c:pt idx="18">
                  <c:v>56.4084</c:v>
                </c:pt>
                <c:pt idx="19">
                  <c:v>66.2774</c:v>
                </c:pt>
                <c:pt idx="20">
                  <c:v>77.428600000000003</c:v>
                </c:pt>
                <c:pt idx="21">
                  <c:v>87.894199999999998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97.940600000000003</c:v>
                </c:pt>
                <c:pt idx="41">
                  <c:v>95.880299999999991</c:v>
                </c:pt>
                <c:pt idx="42">
                  <c:v>94.672799999999995</c:v>
                </c:pt>
                <c:pt idx="43">
                  <c:v>92.561199999999999</c:v>
                </c:pt>
                <c:pt idx="44">
                  <c:v>91.896100000000004</c:v>
                </c:pt>
                <c:pt idx="45">
                  <c:v>88.962500000000006</c:v>
                </c:pt>
                <c:pt idx="46">
                  <c:v>87.179199999999994</c:v>
                </c:pt>
                <c:pt idx="47">
                  <c:v>84.706000000000003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871-42C1-B65B-C9D9F8A1F28E}"/>
            </c:ext>
          </c:extLst>
        </c:ser>
        <c:ser>
          <c:idx val="32"/>
          <c:order val="32"/>
          <c:tx>
            <c:v>BES_TR2_five685_B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SOC_pct!$AI$2:$AI$49</c:f>
              <c:numCache>
                <c:formatCode>0.0</c:formatCode>
                <c:ptCount val="48"/>
                <c:pt idx="0">
                  <c:v>40</c:v>
                </c:pt>
                <c:pt idx="1">
                  <c:v>36.588200000000001</c:v>
                </c:pt>
                <c:pt idx="2">
                  <c:v>35.935600000000001</c:v>
                </c:pt>
                <c:pt idx="3">
                  <c:v>33.686399999999999</c:v>
                </c:pt>
                <c:pt idx="4">
                  <c:v>32.182499999999997</c:v>
                </c:pt>
                <c:pt idx="5">
                  <c:v>30.909199999999998</c:v>
                </c:pt>
                <c:pt idx="6">
                  <c:v>28.305199999999999</c:v>
                </c:pt>
                <c:pt idx="7">
                  <c:v>27.094000000000001</c:v>
                </c:pt>
                <c:pt idx="8">
                  <c:v>25.837299999999999</c:v>
                </c:pt>
                <c:pt idx="9">
                  <c:v>23.946100000000001</c:v>
                </c:pt>
                <c:pt idx="10">
                  <c:v>25.985499999999998</c:v>
                </c:pt>
                <c:pt idx="11">
                  <c:v>29.115600000000001</c:v>
                </c:pt>
                <c:pt idx="12">
                  <c:v>35.637799999999999</c:v>
                </c:pt>
                <c:pt idx="13">
                  <c:v>46.087400000000002</c:v>
                </c:pt>
                <c:pt idx="14">
                  <c:v>59.876399999999997</c:v>
                </c:pt>
                <c:pt idx="15">
                  <c:v>78.104600000000005</c:v>
                </c:pt>
                <c:pt idx="16">
                  <c:v>99.499400000000009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99.858400000000003</c:v>
                </c:pt>
                <c:pt idx="41">
                  <c:v>98.460700000000003</c:v>
                </c:pt>
                <c:pt idx="42">
                  <c:v>96.211500000000001</c:v>
                </c:pt>
                <c:pt idx="43">
                  <c:v>95.204099999999997</c:v>
                </c:pt>
                <c:pt idx="44">
                  <c:v>85.511200000000002</c:v>
                </c:pt>
                <c:pt idx="45">
                  <c:v>81.7898</c:v>
                </c:pt>
                <c:pt idx="46">
                  <c:v>81.075299999999999</c:v>
                </c:pt>
                <c:pt idx="47">
                  <c:v>78.657799999999995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871-42C1-B65B-C9D9F8A1F28E}"/>
            </c:ext>
          </c:extLst>
        </c:ser>
        <c:ser>
          <c:idx val="33"/>
          <c:order val="33"/>
          <c:tx>
            <c:v>BES_TR2_five695_A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SOC_pct!$AJ$2:$AJ$49</c:f>
              <c:numCache>
                <c:formatCode>0.0</c:formatCode>
                <c:ptCount val="48"/>
                <c:pt idx="0">
                  <c:v>40</c:v>
                </c:pt>
                <c:pt idx="1">
                  <c:v>38.023400000000002</c:v>
                </c:pt>
                <c:pt idx="2">
                  <c:v>37.408499999999997</c:v>
                </c:pt>
                <c:pt idx="3">
                  <c:v>34.588000000000001</c:v>
                </c:pt>
                <c:pt idx="4">
                  <c:v>33.572699999999998</c:v>
                </c:pt>
                <c:pt idx="5">
                  <c:v>31.393000000000001</c:v>
                </c:pt>
                <c:pt idx="6">
                  <c:v>29.736799999999999</c:v>
                </c:pt>
                <c:pt idx="7">
                  <c:v>28.278099999999998</c:v>
                </c:pt>
                <c:pt idx="8">
                  <c:v>25.944199999999999</c:v>
                </c:pt>
                <c:pt idx="9">
                  <c:v>25.952400000000001</c:v>
                </c:pt>
                <c:pt idx="10">
                  <c:v>28.025700000000001</c:v>
                </c:pt>
                <c:pt idx="11">
                  <c:v>30.3371</c:v>
                </c:pt>
                <c:pt idx="12">
                  <c:v>38.162300000000002</c:v>
                </c:pt>
                <c:pt idx="13">
                  <c:v>48.218499999999999</c:v>
                </c:pt>
                <c:pt idx="14">
                  <c:v>60.6066</c:v>
                </c:pt>
                <c:pt idx="15">
                  <c:v>76.835899999999995</c:v>
                </c:pt>
                <c:pt idx="16">
                  <c:v>97.372199999999992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77.963400000000007</c:v>
                </c:pt>
                <c:pt idx="41">
                  <c:v>71.407600000000002</c:v>
                </c:pt>
                <c:pt idx="42">
                  <c:v>68.509799999999998</c:v>
                </c:pt>
                <c:pt idx="43">
                  <c:v>64.375299999999996</c:v>
                </c:pt>
                <c:pt idx="44">
                  <c:v>60.852400000000003</c:v>
                </c:pt>
                <c:pt idx="45">
                  <c:v>57.005200000000002</c:v>
                </c:pt>
                <c:pt idx="46">
                  <c:v>51.7012</c:v>
                </c:pt>
                <c:pt idx="47">
                  <c:v>40.945799999999998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871-42C1-B65B-C9D9F8A1F28E}"/>
            </c:ext>
          </c:extLst>
        </c:ser>
        <c:ser>
          <c:idx val="34"/>
          <c:order val="34"/>
          <c:tx>
            <c:v>BES_TR2_five704_A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SOC_pct!$AK$2:$AK$49</c:f>
              <c:numCache>
                <c:formatCode>0.0</c:formatCode>
                <c:ptCount val="48"/>
                <c:pt idx="0">
                  <c:v>40</c:v>
                </c:pt>
                <c:pt idx="1">
                  <c:v>31.109300000000001</c:v>
                </c:pt>
                <c:pt idx="2">
                  <c:v>20.366299999999999</c:v>
                </c:pt>
                <c:pt idx="3">
                  <c:v>11.8444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13.110099999999999</c:v>
                </c:pt>
                <c:pt idx="12">
                  <c:v>17.743200000000002</c:v>
                </c:pt>
                <c:pt idx="13">
                  <c:v>24.128399999999999</c:v>
                </c:pt>
                <c:pt idx="14">
                  <c:v>34.026600000000002</c:v>
                </c:pt>
                <c:pt idx="15">
                  <c:v>45.3996</c:v>
                </c:pt>
                <c:pt idx="16">
                  <c:v>61.253300000000003</c:v>
                </c:pt>
                <c:pt idx="17">
                  <c:v>77.061000000000007</c:v>
                </c:pt>
                <c:pt idx="18">
                  <c:v>94.794199999999989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95.105399999999989</c:v>
                </c:pt>
                <c:pt idx="26">
                  <c:v>95.6374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80.848299999999995</c:v>
                </c:pt>
                <c:pt idx="40">
                  <c:v>63.929100000000012</c:v>
                </c:pt>
                <c:pt idx="41">
                  <c:v>56.355999999999987</c:v>
                </c:pt>
                <c:pt idx="42">
                  <c:v>44.626199999999997</c:v>
                </c:pt>
                <c:pt idx="43">
                  <c:v>35.297499999999999</c:v>
                </c:pt>
                <c:pt idx="44">
                  <c:v>21.868400000000001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871-42C1-B65B-C9D9F8A1F28E}"/>
            </c:ext>
          </c:extLst>
        </c:ser>
        <c:ser>
          <c:idx val="35"/>
          <c:order val="35"/>
          <c:tx>
            <c:v>BES_TR2_five733_C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SOC_pct!$AL$2:$AL$49</c:f>
              <c:numCache>
                <c:formatCode>0.0</c:formatCode>
                <c:ptCount val="48"/>
                <c:pt idx="0">
                  <c:v>40</c:v>
                </c:pt>
                <c:pt idx="1">
                  <c:v>39.347499999999997</c:v>
                </c:pt>
                <c:pt idx="2">
                  <c:v>38.695</c:v>
                </c:pt>
                <c:pt idx="3">
                  <c:v>38.042400000000001</c:v>
                </c:pt>
                <c:pt idx="4">
                  <c:v>37.389899999999997</c:v>
                </c:pt>
                <c:pt idx="5">
                  <c:v>36.737400000000001</c:v>
                </c:pt>
                <c:pt idx="6">
                  <c:v>36.084899999999998</c:v>
                </c:pt>
                <c:pt idx="7">
                  <c:v>35.432299999999998</c:v>
                </c:pt>
                <c:pt idx="8">
                  <c:v>34.801400000000001</c:v>
                </c:pt>
                <c:pt idx="9">
                  <c:v>34.460900000000002</c:v>
                </c:pt>
                <c:pt idx="10">
                  <c:v>35.186999999999998</c:v>
                </c:pt>
                <c:pt idx="11">
                  <c:v>37.204900000000002</c:v>
                </c:pt>
                <c:pt idx="12">
                  <c:v>40.806899999999999</c:v>
                </c:pt>
                <c:pt idx="13">
                  <c:v>46.1372</c:v>
                </c:pt>
                <c:pt idx="14">
                  <c:v>53.217099999999988</c:v>
                </c:pt>
                <c:pt idx="15">
                  <c:v>62.037599999999998</c:v>
                </c:pt>
                <c:pt idx="16">
                  <c:v>72.600999999999999</c:v>
                </c:pt>
                <c:pt idx="17">
                  <c:v>84.8005</c:v>
                </c:pt>
                <c:pt idx="18">
                  <c:v>98.537700000000001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99.471500000000006</c:v>
                </c:pt>
                <c:pt idx="42">
                  <c:v>98.819000000000003</c:v>
                </c:pt>
                <c:pt idx="43">
                  <c:v>98.166399999999996</c:v>
                </c:pt>
                <c:pt idx="44">
                  <c:v>95.380499999999998</c:v>
                </c:pt>
                <c:pt idx="45">
                  <c:v>90.028900000000007</c:v>
                </c:pt>
                <c:pt idx="46">
                  <c:v>82.994199999999992</c:v>
                </c:pt>
                <c:pt idx="47">
                  <c:v>76.519599999999997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4871-42C1-B65B-C9D9F8A1F28E}"/>
            </c:ext>
          </c:extLst>
        </c:ser>
        <c:ser>
          <c:idx val="36"/>
          <c:order val="36"/>
          <c:tx>
            <c:v>BES_TR2_five117_B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SOC_pct!$AM$2:$AM$49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36.546799999999998</c:v>
                </c:pt>
                <c:pt idx="3">
                  <c:v>35.944400000000002</c:v>
                </c:pt>
                <c:pt idx="4">
                  <c:v>35.342100000000002</c:v>
                </c:pt>
                <c:pt idx="5">
                  <c:v>32.491199999999999</c:v>
                </c:pt>
                <c:pt idx="6">
                  <c:v>31.8889</c:v>
                </c:pt>
                <c:pt idx="7">
                  <c:v>29.957899999999999</c:v>
                </c:pt>
                <c:pt idx="8">
                  <c:v>28.478899999999999</c:v>
                </c:pt>
                <c:pt idx="9">
                  <c:v>28.4984</c:v>
                </c:pt>
                <c:pt idx="10">
                  <c:v>28.559200000000001</c:v>
                </c:pt>
                <c:pt idx="11">
                  <c:v>33.227499999999999</c:v>
                </c:pt>
                <c:pt idx="12">
                  <c:v>39.040200000000013</c:v>
                </c:pt>
                <c:pt idx="13">
                  <c:v>50.333300000000001</c:v>
                </c:pt>
                <c:pt idx="14">
                  <c:v>64.573700000000002</c:v>
                </c:pt>
                <c:pt idx="15">
                  <c:v>81.375200000000007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97.936000000000007</c:v>
                </c:pt>
                <c:pt idx="41">
                  <c:v>97.177899999999994</c:v>
                </c:pt>
                <c:pt idx="42">
                  <c:v>93.557299999999998</c:v>
                </c:pt>
                <c:pt idx="43">
                  <c:v>90.432999999999993</c:v>
                </c:pt>
                <c:pt idx="44">
                  <c:v>84.988</c:v>
                </c:pt>
                <c:pt idx="45">
                  <c:v>66.824100000000001</c:v>
                </c:pt>
                <c:pt idx="46">
                  <c:v>59.384500000000003</c:v>
                </c:pt>
                <c:pt idx="47">
                  <c:v>56.581800000000001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871-42C1-B65B-C9D9F8A1F28E}"/>
            </c:ext>
          </c:extLst>
        </c:ser>
        <c:ser>
          <c:idx val="37"/>
          <c:order val="37"/>
          <c:tx>
            <c:v>BES_TR2_five778_B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SOC_pct!$AN$2:$AN$49</c:f>
              <c:numCache>
                <c:formatCode>0.0</c:formatCode>
                <c:ptCount val="48"/>
                <c:pt idx="0">
                  <c:v>40</c:v>
                </c:pt>
                <c:pt idx="1">
                  <c:v>37.317699999999988</c:v>
                </c:pt>
                <c:pt idx="2">
                  <c:v>36.740400000000001</c:v>
                </c:pt>
                <c:pt idx="3">
                  <c:v>34.440800000000003</c:v>
                </c:pt>
                <c:pt idx="4">
                  <c:v>33.480900000000013</c:v>
                </c:pt>
                <c:pt idx="5">
                  <c:v>32.042499999999997</c:v>
                </c:pt>
                <c:pt idx="6">
                  <c:v>30.221299999999999</c:v>
                </c:pt>
                <c:pt idx="7">
                  <c:v>29.644100000000002</c:v>
                </c:pt>
                <c:pt idx="8">
                  <c:v>27.004899999999999</c:v>
                </c:pt>
                <c:pt idx="9">
                  <c:v>27.0471</c:v>
                </c:pt>
                <c:pt idx="10">
                  <c:v>27.862500000000001</c:v>
                </c:pt>
                <c:pt idx="11">
                  <c:v>31.950500000000002</c:v>
                </c:pt>
                <c:pt idx="12">
                  <c:v>39.8095</c:v>
                </c:pt>
                <c:pt idx="13">
                  <c:v>51.125200000000007</c:v>
                </c:pt>
                <c:pt idx="14">
                  <c:v>64.906700000000001</c:v>
                </c:pt>
                <c:pt idx="15">
                  <c:v>80.777299999999997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97.565699999999993</c:v>
                </c:pt>
                <c:pt idx="42">
                  <c:v>96.988399999999999</c:v>
                </c:pt>
                <c:pt idx="43">
                  <c:v>95.167299999999997</c:v>
                </c:pt>
                <c:pt idx="44">
                  <c:v>93.72890000000001</c:v>
                </c:pt>
                <c:pt idx="45">
                  <c:v>93.151600000000002</c:v>
                </c:pt>
                <c:pt idx="46">
                  <c:v>92.574399999999997</c:v>
                </c:pt>
                <c:pt idx="47">
                  <c:v>90.160499999999999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871-42C1-B65B-C9D9F8A1F28E}"/>
            </c:ext>
          </c:extLst>
        </c:ser>
        <c:ser>
          <c:idx val="38"/>
          <c:order val="38"/>
          <c:tx>
            <c:v>BES_TR2_five799_C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SOC_pct!$AO$2:$AO$49</c:f>
              <c:numCache>
                <c:formatCode>0.0</c:formatCode>
                <c:ptCount val="48"/>
                <c:pt idx="0">
                  <c:v>40</c:v>
                </c:pt>
                <c:pt idx="1">
                  <c:v>29.208400000000001</c:v>
                </c:pt>
                <c:pt idx="2">
                  <c:v>21.186399999999999</c:v>
                </c:pt>
                <c:pt idx="3">
                  <c:v>16.328399999999998</c:v>
                </c:pt>
                <c:pt idx="4">
                  <c:v>13.92</c:v>
                </c:pt>
                <c:pt idx="5">
                  <c:v>11.667299999999999</c:v>
                </c:pt>
                <c:pt idx="6">
                  <c:v>10.866300000000001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12.0959</c:v>
                </c:pt>
                <c:pt idx="11">
                  <c:v>15.7971</c:v>
                </c:pt>
                <c:pt idx="12">
                  <c:v>21.417100000000001</c:v>
                </c:pt>
                <c:pt idx="13">
                  <c:v>32.358499999999999</c:v>
                </c:pt>
                <c:pt idx="14">
                  <c:v>45.520600000000002</c:v>
                </c:pt>
                <c:pt idx="15">
                  <c:v>62.458499999999987</c:v>
                </c:pt>
                <c:pt idx="16">
                  <c:v>83.141900000000007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96.383799999999994</c:v>
                </c:pt>
                <c:pt idx="21">
                  <c:v>92.327100000000002</c:v>
                </c:pt>
                <c:pt idx="22">
                  <c:v>88.673299999999998</c:v>
                </c:pt>
                <c:pt idx="23">
                  <c:v>100</c:v>
                </c:pt>
                <c:pt idx="24">
                  <c:v>100</c:v>
                </c:pt>
                <c:pt idx="25">
                  <c:v>93.937200000000004</c:v>
                </c:pt>
                <c:pt idx="26">
                  <c:v>90.497299999999996</c:v>
                </c:pt>
                <c:pt idx="27">
                  <c:v>97.256200000000007</c:v>
                </c:pt>
                <c:pt idx="28">
                  <c:v>98.444200000000009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95.085699999999989</c:v>
                </c:pt>
                <c:pt idx="41">
                  <c:v>89.5886</c:v>
                </c:pt>
                <c:pt idx="42">
                  <c:v>82.847000000000008</c:v>
                </c:pt>
                <c:pt idx="43">
                  <c:v>75.289900000000003</c:v>
                </c:pt>
                <c:pt idx="44">
                  <c:v>69.457400000000007</c:v>
                </c:pt>
                <c:pt idx="45">
                  <c:v>68.706299999999999</c:v>
                </c:pt>
                <c:pt idx="46">
                  <c:v>67.3155</c:v>
                </c:pt>
                <c:pt idx="47">
                  <c:v>63.964599999999997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871-42C1-B65B-C9D9F8A1F28E}"/>
            </c:ext>
          </c:extLst>
        </c:ser>
        <c:ser>
          <c:idx val="39"/>
          <c:order val="39"/>
          <c:tx>
            <c:v>BES_TR2_five801_C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SOC_pct!$AP$2:$AP$49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37.817999999999998</c:v>
                </c:pt>
                <c:pt idx="3">
                  <c:v>37.152900000000002</c:v>
                </c:pt>
                <c:pt idx="4">
                  <c:v>36.109299999999998</c:v>
                </c:pt>
                <c:pt idx="5">
                  <c:v>34.970999999999997</c:v>
                </c:pt>
                <c:pt idx="6">
                  <c:v>34.305900000000001</c:v>
                </c:pt>
                <c:pt idx="7">
                  <c:v>32.789000000000001</c:v>
                </c:pt>
                <c:pt idx="8">
                  <c:v>32.167099999999998</c:v>
                </c:pt>
                <c:pt idx="9">
                  <c:v>32.126100000000001</c:v>
                </c:pt>
                <c:pt idx="10">
                  <c:v>33.728299999999997</c:v>
                </c:pt>
                <c:pt idx="11">
                  <c:v>37.999300000000012</c:v>
                </c:pt>
                <c:pt idx="12">
                  <c:v>44.4617</c:v>
                </c:pt>
                <c:pt idx="13">
                  <c:v>52.524900000000002</c:v>
                </c:pt>
                <c:pt idx="14">
                  <c:v>66.494</c:v>
                </c:pt>
                <c:pt idx="15">
                  <c:v>84.710899999999995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95.649799999999999</c:v>
                </c:pt>
                <c:pt idx="41">
                  <c:v>86.102100000000007</c:v>
                </c:pt>
                <c:pt idx="42">
                  <c:v>77.105599999999995</c:v>
                </c:pt>
                <c:pt idx="43">
                  <c:v>70.613199999999992</c:v>
                </c:pt>
                <c:pt idx="44">
                  <c:v>62.849500000000013</c:v>
                </c:pt>
                <c:pt idx="45">
                  <c:v>52.579000000000001</c:v>
                </c:pt>
                <c:pt idx="46">
                  <c:v>43.3264</c:v>
                </c:pt>
                <c:pt idx="47">
                  <c:v>34.514899999999997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4871-42C1-B65B-C9D9F8A1F28E}"/>
            </c:ext>
          </c:extLst>
        </c:ser>
        <c:ser>
          <c:idx val="40"/>
          <c:order val="40"/>
          <c:tx>
            <c:v>BES_TR2_five831_C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SOC_pct!$AQ$2:$AQ$49</c:f>
              <c:numCache>
                <c:formatCode>0.0</c:formatCode>
                <c:ptCount val="48"/>
                <c:pt idx="0">
                  <c:v>40</c:v>
                </c:pt>
                <c:pt idx="1">
                  <c:v>39.272199999999998</c:v>
                </c:pt>
                <c:pt idx="2">
                  <c:v>38.544400000000003</c:v>
                </c:pt>
                <c:pt idx="3">
                  <c:v>36.527500000000003</c:v>
                </c:pt>
                <c:pt idx="4">
                  <c:v>35.198099999999997</c:v>
                </c:pt>
                <c:pt idx="5">
                  <c:v>34.040700000000001</c:v>
                </c:pt>
                <c:pt idx="6">
                  <c:v>31.851900000000001</c:v>
                </c:pt>
                <c:pt idx="7">
                  <c:v>31.124099999999999</c:v>
                </c:pt>
                <c:pt idx="8">
                  <c:v>28.618600000000001</c:v>
                </c:pt>
                <c:pt idx="9">
                  <c:v>28.194900000000001</c:v>
                </c:pt>
                <c:pt idx="10">
                  <c:v>28.173999999999999</c:v>
                </c:pt>
                <c:pt idx="11">
                  <c:v>30.0793</c:v>
                </c:pt>
                <c:pt idx="12">
                  <c:v>34.660899999999998</c:v>
                </c:pt>
                <c:pt idx="13">
                  <c:v>40.552</c:v>
                </c:pt>
                <c:pt idx="14">
                  <c:v>48.630200000000002</c:v>
                </c:pt>
                <c:pt idx="15">
                  <c:v>59.7348</c:v>
                </c:pt>
                <c:pt idx="16">
                  <c:v>71.703299999999999</c:v>
                </c:pt>
                <c:pt idx="17">
                  <c:v>86.644900000000007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73.804299999999998</c:v>
                </c:pt>
                <c:pt idx="25">
                  <c:v>60.356400000000001</c:v>
                </c:pt>
                <c:pt idx="26">
                  <c:v>77.037700000000001</c:v>
                </c:pt>
                <c:pt idx="27">
                  <c:v>96.827500000000001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99.253</c:v>
                </c:pt>
                <c:pt idx="39">
                  <c:v>100</c:v>
                </c:pt>
                <c:pt idx="40">
                  <c:v>100</c:v>
                </c:pt>
                <c:pt idx="41">
                  <c:v>98.138099999999994</c:v>
                </c:pt>
                <c:pt idx="42">
                  <c:v>96.808799999999991</c:v>
                </c:pt>
                <c:pt idx="43">
                  <c:v>84.146600000000007</c:v>
                </c:pt>
                <c:pt idx="44">
                  <c:v>70.8232</c:v>
                </c:pt>
                <c:pt idx="45">
                  <c:v>70.095399999999998</c:v>
                </c:pt>
                <c:pt idx="46">
                  <c:v>67.734799999999993</c:v>
                </c:pt>
                <c:pt idx="47">
                  <c:v>66.749200000000002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871-42C1-B65B-C9D9F8A1F28E}"/>
            </c:ext>
          </c:extLst>
        </c:ser>
        <c:ser>
          <c:idx val="41"/>
          <c:order val="41"/>
          <c:tx>
            <c:v>BES_TR2_five881_C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SOC_pct!$AR$2:$AR$49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38.770200000000003</c:v>
                </c:pt>
                <c:pt idx="3">
                  <c:v>36.9146</c:v>
                </c:pt>
                <c:pt idx="4">
                  <c:v>35.989600000000003</c:v>
                </c:pt>
                <c:pt idx="5">
                  <c:v>35.374699999999997</c:v>
                </c:pt>
                <c:pt idx="6">
                  <c:v>34.759799999999998</c:v>
                </c:pt>
                <c:pt idx="7">
                  <c:v>32.594000000000001</c:v>
                </c:pt>
                <c:pt idx="8">
                  <c:v>32.000799999999998</c:v>
                </c:pt>
                <c:pt idx="9">
                  <c:v>31.697900000000001</c:v>
                </c:pt>
                <c:pt idx="10">
                  <c:v>31.224</c:v>
                </c:pt>
                <c:pt idx="11">
                  <c:v>33.066400000000002</c:v>
                </c:pt>
                <c:pt idx="12">
                  <c:v>36.702300000000001</c:v>
                </c:pt>
                <c:pt idx="13">
                  <c:v>40.6706</c:v>
                </c:pt>
                <c:pt idx="14">
                  <c:v>47.784399999999998</c:v>
                </c:pt>
                <c:pt idx="15">
                  <c:v>56.6387</c:v>
                </c:pt>
                <c:pt idx="16">
                  <c:v>67.117499999999993</c:v>
                </c:pt>
                <c:pt idx="17">
                  <c:v>64.257400000000004</c:v>
                </c:pt>
                <c:pt idx="18">
                  <c:v>68.236900000000006</c:v>
                </c:pt>
                <c:pt idx="19">
                  <c:v>70.643199999999993</c:v>
                </c:pt>
                <c:pt idx="20">
                  <c:v>86.841100000000012</c:v>
                </c:pt>
                <c:pt idx="21">
                  <c:v>91.107900000000001</c:v>
                </c:pt>
                <c:pt idx="22">
                  <c:v>90.779200000000003</c:v>
                </c:pt>
                <c:pt idx="23">
                  <c:v>95.207799999999992</c:v>
                </c:pt>
                <c:pt idx="24">
                  <c:v>93.770899999999997</c:v>
                </c:pt>
                <c:pt idx="25">
                  <c:v>91.954999999999998</c:v>
                </c:pt>
                <c:pt idx="26">
                  <c:v>91.069800000000001</c:v>
                </c:pt>
                <c:pt idx="27">
                  <c:v>92.451300000000003</c:v>
                </c:pt>
                <c:pt idx="28">
                  <c:v>95.167199999999994</c:v>
                </c:pt>
                <c:pt idx="29">
                  <c:v>95.556399999999996</c:v>
                </c:pt>
                <c:pt idx="30">
                  <c:v>98.012100000000004</c:v>
                </c:pt>
                <c:pt idx="31">
                  <c:v>100</c:v>
                </c:pt>
                <c:pt idx="32">
                  <c:v>91.681600000000003</c:v>
                </c:pt>
                <c:pt idx="33">
                  <c:v>72.555700000000002</c:v>
                </c:pt>
                <c:pt idx="34">
                  <c:v>48.052700000000002</c:v>
                </c:pt>
                <c:pt idx="35">
                  <c:v>52.289700000000003</c:v>
                </c:pt>
                <c:pt idx="36">
                  <c:v>58.080299999999987</c:v>
                </c:pt>
                <c:pt idx="37">
                  <c:v>59.219900000000003</c:v>
                </c:pt>
                <c:pt idx="38">
                  <c:v>62.228299999999997</c:v>
                </c:pt>
                <c:pt idx="39">
                  <c:v>63.754800000000003</c:v>
                </c:pt>
                <c:pt idx="40">
                  <c:v>62.416499999999999</c:v>
                </c:pt>
                <c:pt idx="41">
                  <c:v>61.770499999999998</c:v>
                </c:pt>
                <c:pt idx="42">
                  <c:v>61.078099999999999</c:v>
                </c:pt>
                <c:pt idx="43">
                  <c:v>58.989800000000002</c:v>
                </c:pt>
                <c:pt idx="44">
                  <c:v>58.297400000000003</c:v>
                </c:pt>
                <c:pt idx="45">
                  <c:v>56.209200000000003</c:v>
                </c:pt>
                <c:pt idx="46">
                  <c:v>55.594299999999997</c:v>
                </c:pt>
                <c:pt idx="47">
                  <c:v>54.979399999999998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871-42C1-B65B-C9D9F8A1F28E}"/>
            </c:ext>
          </c:extLst>
        </c:ser>
        <c:ser>
          <c:idx val="42"/>
          <c:order val="42"/>
          <c:tx>
            <c:v>BES_TR2_five118_B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SOC_pct!$AS$2:$AS$49</c:f>
              <c:numCache>
                <c:formatCode>0.0</c:formatCode>
                <c:ptCount val="48"/>
                <c:pt idx="0">
                  <c:v>40</c:v>
                </c:pt>
                <c:pt idx="1">
                  <c:v>37.052100000000003</c:v>
                </c:pt>
                <c:pt idx="2">
                  <c:v>34.508200000000002</c:v>
                </c:pt>
                <c:pt idx="3">
                  <c:v>33.257599999999996</c:v>
                </c:pt>
                <c:pt idx="4">
                  <c:v>30.715</c:v>
                </c:pt>
                <c:pt idx="5">
                  <c:v>27.318100000000001</c:v>
                </c:pt>
                <c:pt idx="6">
                  <c:v>24.205300000000001</c:v>
                </c:pt>
                <c:pt idx="7">
                  <c:v>23.4255</c:v>
                </c:pt>
                <c:pt idx="8">
                  <c:v>19.3596</c:v>
                </c:pt>
                <c:pt idx="9">
                  <c:v>17.910699999999999</c:v>
                </c:pt>
                <c:pt idx="10">
                  <c:v>17.758500000000002</c:v>
                </c:pt>
                <c:pt idx="11">
                  <c:v>21.219799999999999</c:v>
                </c:pt>
                <c:pt idx="12">
                  <c:v>27.134</c:v>
                </c:pt>
                <c:pt idx="13">
                  <c:v>37.720399999999998</c:v>
                </c:pt>
                <c:pt idx="14">
                  <c:v>51.341800000000013</c:v>
                </c:pt>
                <c:pt idx="15">
                  <c:v>66.927499999999995</c:v>
                </c:pt>
                <c:pt idx="16">
                  <c:v>87.906899999999993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91.496399999999994</c:v>
                </c:pt>
                <c:pt idx="41">
                  <c:v>80.2333</c:v>
                </c:pt>
                <c:pt idx="42">
                  <c:v>72.265199999999993</c:v>
                </c:pt>
                <c:pt idx="43">
                  <c:v>61.243000000000002</c:v>
                </c:pt>
                <c:pt idx="44">
                  <c:v>53.310199999999988</c:v>
                </c:pt>
                <c:pt idx="45">
                  <c:v>44.614100000000001</c:v>
                </c:pt>
                <c:pt idx="46">
                  <c:v>34.037700000000001</c:v>
                </c:pt>
                <c:pt idx="47">
                  <c:v>25.235199999999999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871-42C1-B65B-C9D9F8A1F28E}"/>
            </c:ext>
          </c:extLst>
        </c:ser>
        <c:ser>
          <c:idx val="43"/>
          <c:order val="43"/>
          <c:tx>
            <c:v>BES_TR2_six64_A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SOC_pct!$AT$2:$AT$49</c:f>
              <c:numCache>
                <c:formatCode>0.0</c:formatCode>
                <c:ptCount val="48"/>
                <c:pt idx="0">
                  <c:v>40</c:v>
                </c:pt>
                <c:pt idx="1">
                  <c:v>36.572500000000012</c:v>
                </c:pt>
                <c:pt idx="2">
                  <c:v>33.44</c:v>
                </c:pt>
                <c:pt idx="3">
                  <c:v>31.345600000000001</c:v>
                </c:pt>
                <c:pt idx="4">
                  <c:v>30.386900000000001</c:v>
                </c:pt>
                <c:pt idx="5">
                  <c:v>25.4634</c:v>
                </c:pt>
                <c:pt idx="6">
                  <c:v>23.826899999999998</c:v>
                </c:pt>
                <c:pt idx="7">
                  <c:v>22.286100000000001</c:v>
                </c:pt>
                <c:pt idx="8">
                  <c:v>18.922000000000001</c:v>
                </c:pt>
                <c:pt idx="9">
                  <c:v>17.052199999999999</c:v>
                </c:pt>
                <c:pt idx="10">
                  <c:v>15.813800000000001</c:v>
                </c:pt>
                <c:pt idx="11">
                  <c:v>18.362400000000001</c:v>
                </c:pt>
                <c:pt idx="12">
                  <c:v>24.002600000000001</c:v>
                </c:pt>
                <c:pt idx="13">
                  <c:v>30.465199999999999</c:v>
                </c:pt>
                <c:pt idx="14">
                  <c:v>39.404400000000003</c:v>
                </c:pt>
                <c:pt idx="15">
                  <c:v>51.387000000000008</c:v>
                </c:pt>
                <c:pt idx="16">
                  <c:v>66.8399</c:v>
                </c:pt>
                <c:pt idx="17">
                  <c:v>83.988799999999998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98.02300000000001</c:v>
                </c:pt>
                <c:pt idx="41">
                  <c:v>96.823099999999997</c:v>
                </c:pt>
                <c:pt idx="42">
                  <c:v>91.752199999999988</c:v>
                </c:pt>
                <c:pt idx="43">
                  <c:v>90.609200000000001</c:v>
                </c:pt>
                <c:pt idx="44">
                  <c:v>87.35929999999999</c:v>
                </c:pt>
                <c:pt idx="45">
                  <c:v>84.373800000000003</c:v>
                </c:pt>
                <c:pt idx="46">
                  <c:v>81.756500000000003</c:v>
                </c:pt>
                <c:pt idx="47">
                  <c:v>78.432999999999993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4871-42C1-B65B-C9D9F8A1F28E}"/>
            </c:ext>
          </c:extLst>
        </c:ser>
        <c:ser>
          <c:idx val="44"/>
          <c:order val="44"/>
          <c:tx>
            <c:v>BES_TR2_six154_C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SOC_pct!$AU$2:$AU$49</c:f>
              <c:numCache>
                <c:formatCode>0.0</c:formatCode>
                <c:ptCount val="48"/>
                <c:pt idx="0">
                  <c:v>40</c:v>
                </c:pt>
                <c:pt idx="1">
                  <c:v>38.040400000000012</c:v>
                </c:pt>
                <c:pt idx="2">
                  <c:v>37.3628</c:v>
                </c:pt>
                <c:pt idx="3">
                  <c:v>36.685200000000002</c:v>
                </c:pt>
                <c:pt idx="4">
                  <c:v>34.626899999999999</c:v>
                </c:pt>
                <c:pt idx="5">
                  <c:v>33.949300000000001</c:v>
                </c:pt>
                <c:pt idx="6">
                  <c:v>31.891100000000002</c:v>
                </c:pt>
                <c:pt idx="7">
                  <c:v>31.2135</c:v>
                </c:pt>
                <c:pt idx="8">
                  <c:v>30.557400000000001</c:v>
                </c:pt>
                <c:pt idx="9">
                  <c:v>29.5016</c:v>
                </c:pt>
                <c:pt idx="10">
                  <c:v>29.5837</c:v>
                </c:pt>
                <c:pt idx="11">
                  <c:v>31.5791</c:v>
                </c:pt>
                <c:pt idx="12">
                  <c:v>33.915900000000001</c:v>
                </c:pt>
                <c:pt idx="13">
                  <c:v>39.223599999999998</c:v>
                </c:pt>
                <c:pt idx="14">
                  <c:v>46.280999999999999</c:v>
                </c:pt>
                <c:pt idx="15">
                  <c:v>51.171300000000002</c:v>
                </c:pt>
                <c:pt idx="16">
                  <c:v>59.316299999999998</c:v>
                </c:pt>
                <c:pt idx="17">
                  <c:v>69.869299999999996</c:v>
                </c:pt>
                <c:pt idx="18">
                  <c:v>82.006100000000004</c:v>
                </c:pt>
                <c:pt idx="19">
                  <c:v>95.008700000000005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82.250500000000002</c:v>
                </c:pt>
                <c:pt idx="39">
                  <c:v>55.561999999999998</c:v>
                </c:pt>
                <c:pt idx="40">
                  <c:v>43.288499999999999</c:v>
                </c:pt>
                <c:pt idx="41">
                  <c:v>38.274799999999999</c:v>
                </c:pt>
                <c:pt idx="42">
                  <c:v>22.257300000000001</c:v>
                </c:pt>
                <c:pt idx="43">
                  <c:v>13.9208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871-42C1-B65B-C9D9F8A1F28E}"/>
            </c:ext>
          </c:extLst>
        </c:ser>
        <c:ser>
          <c:idx val="45"/>
          <c:order val="45"/>
          <c:tx>
            <c:v>BES_TR2_six173_C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SOC_pct!$AV$2:$AV$49</c:f>
              <c:numCache>
                <c:formatCode>0.0</c:formatCode>
                <c:ptCount val="48"/>
                <c:pt idx="0">
                  <c:v>40</c:v>
                </c:pt>
                <c:pt idx="1">
                  <c:v>33.348499999999987</c:v>
                </c:pt>
                <c:pt idx="2">
                  <c:v>28.789400000000001</c:v>
                </c:pt>
                <c:pt idx="3">
                  <c:v>17.860600000000002</c:v>
                </c:pt>
                <c:pt idx="4">
                  <c:v>13.978899999999999</c:v>
                </c:pt>
                <c:pt idx="5">
                  <c:v>13.4268</c:v>
                </c:pt>
                <c:pt idx="6">
                  <c:v>11.0235</c:v>
                </c:pt>
                <c:pt idx="7">
                  <c:v>10.179</c:v>
                </c:pt>
                <c:pt idx="8">
                  <c:v>10</c:v>
                </c:pt>
                <c:pt idx="9">
                  <c:v>10</c:v>
                </c:pt>
                <c:pt idx="10">
                  <c:v>11.8667</c:v>
                </c:pt>
                <c:pt idx="11">
                  <c:v>16.580100000000002</c:v>
                </c:pt>
                <c:pt idx="12">
                  <c:v>22.6203</c:v>
                </c:pt>
                <c:pt idx="13">
                  <c:v>33.870899999999999</c:v>
                </c:pt>
                <c:pt idx="14">
                  <c:v>48.599699999999999</c:v>
                </c:pt>
                <c:pt idx="15">
                  <c:v>65.792500000000004</c:v>
                </c:pt>
                <c:pt idx="16">
                  <c:v>86.318899999999999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94.834600000000009</c:v>
                </c:pt>
                <c:pt idx="41">
                  <c:v>85.822000000000003</c:v>
                </c:pt>
                <c:pt idx="42">
                  <c:v>76.000299999999996</c:v>
                </c:pt>
                <c:pt idx="43">
                  <c:v>68.720799999999997</c:v>
                </c:pt>
                <c:pt idx="44">
                  <c:v>56.071000000000012</c:v>
                </c:pt>
                <c:pt idx="45">
                  <c:v>46.918199999999999</c:v>
                </c:pt>
                <c:pt idx="46">
                  <c:v>36.209000000000003</c:v>
                </c:pt>
                <c:pt idx="47">
                  <c:v>27.721299999999999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4871-42C1-B65B-C9D9F8A1F28E}"/>
            </c:ext>
          </c:extLst>
        </c:ser>
        <c:ser>
          <c:idx val="46"/>
          <c:order val="46"/>
          <c:tx>
            <c:v>BES_TR2_six186_A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SOC_pct!$AW$2:$AW$49</c:f>
              <c:numCache>
                <c:formatCode>0.0</c:formatCode>
                <c:ptCount val="48"/>
                <c:pt idx="0">
                  <c:v>40</c:v>
                </c:pt>
                <c:pt idx="1">
                  <c:v>37.589299999999987</c:v>
                </c:pt>
                <c:pt idx="2">
                  <c:v>35.403500000000001</c:v>
                </c:pt>
                <c:pt idx="3">
                  <c:v>34.409500000000001</c:v>
                </c:pt>
                <c:pt idx="4">
                  <c:v>31.530799999999999</c:v>
                </c:pt>
                <c:pt idx="5">
                  <c:v>30.229700000000001</c:v>
                </c:pt>
                <c:pt idx="6">
                  <c:v>27.7502</c:v>
                </c:pt>
                <c:pt idx="7">
                  <c:v>25.633199999999999</c:v>
                </c:pt>
                <c:pt idx="8">
                  <c:v>25.0991</c:v>
                </c:pt>
                <c:pt idx="9">
                  <c:v>21.784400000000002</c:v>
                </c:pt>
                <c:pt idx="10">
                  <c:v>23.270700000000001</c:v>
                </c:pt>
                <c:pt idx="11">
                  <c:v>27.580100000000002</c:v>
                </c:pt>
                <c:pt idx="12">
                  <c:v>32.636000000000003</c:v>
                </c:pt>
                <c:pt idx="13">
                  <c:v>43.806899999999999</c:v>
                </c:pt>
                <c:pt idx="14">
                  <c:v>56.935899999999997</c:v>
                </c:pt>
                <c:pt idx="15">
                  <c:v>73.819699999999997</c:v>
                </c:pt>
                <c:pt idx="16">
                  <c:v>95.601699999999994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95.6083</c:v>
                </c:pt>
                <c:pt idx="41">
                  <c:v>90.949399999999997</c:v>
                </c:pt>
                <c:pt idx="42">
                  <c:v>81.491499999999988</c:v>
                </c:pt>
                <c:pt idx="43">
                  <c:v>76.2898</c:v>
                </c:pt>
                <c:pt idx="44">
                  <c:v>69.713099999999997</c:v>
                </c:pt>
                <c:pt idx="45">
                  <c:v>60.985599999999998</c:v>
                </c:pt>
                <c:pt idx="46">
                  <c:v>56.842499999999987</c:v>
                </c:pt>
                <c:pt idx="47">
                  <c:v>53.570300000000003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871-42C1-B65B-C9D9F8A1F28E}"/>
            </c:ext>
          </c:extLst>
        </c:ser>
        <c:ser>
          <c:idx val="47"/>
          <c:order val="47"/>
          <c:tx>
            <c:v>BES_TR2_six191_B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SOC_pct!$AX$2:$AX$49</c:f>
              <c:numCache>
                <c:formatCode>0.0</c:formatCode>
                <c:ptCount val="48"/>
                <c:pt idx="0">
                  <c:v>40</c:v>
                </c:pt>
                <c:pt idx="1">
                  <c:v>37.906500000000001</c:v>
                </c:pt>
                <c:pt idx="2">
                  <c:v>34.618200000000002</c:v>
                </c:pt>
                <c:pt idx="3">
                  <c:v>32.256</c:v>
                </c:pt>
                <c:pt idx="4">
                  <c:v>29.2834</c:v>
                </c:pt>
                <c:pt idx="5">
                  <c:v>28.5305</c:v>
                </c:pt>
                <c:pt idx="6">
                  <c:v>27.7776</c:v>
                </c:pt>
                <c:pt idx="7">
                  <c:v>27.024699999999999</c:v>
                </c:pt>
                <c:pt idx="8">
                  <c:v>26.304200000000002</c:v>
                </c:pt>
                <c:pt idx="9">
                  <c:v>26.019300000000001</c:v>
                </c:pt>
                <c:pt idx="10">
                  <c:v>27.311699999999998</c:v>
                </c:pt>
                <c:pt idx="11">
                  <c:v>30.541899999999998</c:v>
                </c:pt>
                <c:pt idx="12">
                  <c:v>36.148200000000003</c:v>
                </c:pt>
                <c:pt idx="13">
                  <c:v>44.346999999999987</c:v>
                </c:pt>
                <c:pt idx="14">
                  <c:v>55.170099999999998</c:v>
                </c:pt>
                <c:pt idx="15">
                  <c:v>68.603999999999999</c:v>
                </c:pt>
                <c:pt idx="16">
                  <c:v>84.652500000000003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96.244900000000001</c:v>
                </c:pt>
                <c:pt idx="41">
                  <c:v>90.104100000000003</c:v>
                </c:pt>
                <c:pt idx="42">
                  <c:v>83.345399999999998</c:v>
                </c:pt>
                <c:pt idx="43">
                  <c:v>74.149200000000008</c:v>
                </c:pt>
                <c:pt idx="44">
                  <c:v>69.522300000000001</c:v>
                </c:pt>
                <c:pt idx="45">
                  <c:v>63.394300000000001</c:v>
                </c:pt>
                <c:pt idx="46">
                  <c:v>55.890300000000003</c:v>
                </c:pt>
                <c:pt idx="47">
                  <c:v>48.927999999999997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4871-42C1-B65B-C9D9F8A1F28E}"/>
            </c:ext>
          </c:extLst>
        </c:ser>
        <c:ser>
          <c:idx val="48"/>
          <c:order val="48"/>
          <c:tx>
            <c:v>BES_TR2_six203_A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SOC_pct!$AY$2:$AY$49</c:f>
              <c:numCache>
                <c:formatCode>0.0</c:formatCode>
                <c:ptCount val="48"/>
                <c:pt idx="0">
                  <c:v>40</c:v>
                </c:pt>
                <c:pt idx="1">
                  <c:v>38.1937</c:v>
                </c:pt>
                <c:pt idx="2">
                  <c:v>37.578800000000001</c:v>
                </c:pt>
                <c:pt idx="3">
                  <c:v>35.772500000000001</c:v>
                </c:pt>
                <c:pt idx="4">
                  <c:v>35.157600000000002</c:v>
                </c:pt>
                <c:pt idx="5">
                  <c:v>33.768300000000004</c:v>
                </c:pt>
                <c:pt idx="6">
                  <c:v>32.736400000000003</c:v>
                </c:pt>
                <c:pt idx="7">
                  <c:v>32.121499999999997</c:v>
                </c:pt>
                <c:pt idx="8">
                  <c:v>30.3476</c:v>
                </c:pt>
                <c:pt idx="9">
                  <c:v>30.200800000000001</c:v>
                </c:pt>
                <c:pt idx="10">
                  <c:v>30.545100000000001</c:v>
                </c:pt>
                <c:pt idx="11">
                  <c:v>33.899500000000003</c:v>
                </c:pt>
                <c:pt idx="12">
                  <c:v>36.868000000000002</c:v>
                </c:pt>
                <c:pt idx="13">
                  <c:v>44.398200000000003</c:v>
                </c:pt>
                <c:pt idx="14">
                  <c:v>55.345500000000001</c:v>
                </c:pt>
                <c:pt idx="15">
                  <c:v>67.831400000000002</c:v>
                </c:pt>
                <c:pt idx="16">
                  <c:v>84.004100000000008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93.941699999999997</c:v>
                </c:pt>
                <c:pt idx="40">
                  <c:v>76.926400000000001</c:v>
                </c:pt>
                <c:pt idx="41">
                  <c:v>51.5047</c:v>
                </c:pt>
                <c:pt idx="42">
                  <c:v>44.892200000000003</c:v>
                </c:pt>
                <c:pt idx="43">
                  <c:v>39.301199999999987</c:v>
                </c:pt>
                <c:pt idx="44">
                  <c:v>34.904600000000002</c:v>
                </c:pt>
                <c:pt idx="45">
                  <c:v>33.3962</c:v>
                </c:pt>
                <c:pt idx="46">
                  <c:v>32.781300000000002</c:v>
                </c:pt>
                <c:pt idx="47">
                  <c:v>30.975000000000001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871-42C1-B65B-C9D9F8A1F28E}"/>
            </c:ext>
          </c:extLst>
        </c:ser>
        <c:ser>
          <c:idx val="49"/>
          <c:order val="49"/>
          <c:tx>
            <c:v>BES_TR2_six232_C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SOC_pct!$AZ$2:$AZ$49</c:f>
              <c:numCache>
                <c:formatCode>0.0</c:formatCode>
                <c:ptCount val="48"/>
                <c:pt idx="0">
                  <c:v>40</c:v>
                </c:pt>
                <c:pt idx="1">
                  <c:v>37.909399999999998</c:v>
                </c:pt>
                <c:pt idx="2">
                  <c:v>36.293100000000003</c:v>
                </c:pt>
                <c:pt idx="3">
                  <c:v>35.659500000000001</c:v>
                </c:pt>
                <c:pt idx="4">
                  <c:v>34.2943</c:v>
                </c:pt>
                <c:pt idx="5">
                  <c:v>31.937100000000001</c:v>
                </c:pt>
                <c:pt idx="6">
                  <c:v>31.1234</c:v>
                </c:pt>
                <c:pt idx="7">
                  <c:v>29.626100000000001</c:v>
                </c:pt>
                <c:pt idx="8">
                  <c:v>28.238600000000002</c:v>
                </c:pt>
                <c:pt idx="9">
                  <c:v>28.101600000000001</c:v>
                </c:pt>
                <c:pt idx="10">
                  <c:v>27.2818</c:v>
                </c:pt>
                <c:pt idx="11">
                  <c:v>29.2652</c:v>
                </c:pt>
                <c:pt idx="12">
                  <c:v>32.9955</c:v>
                </c:pt>
                <c:pt idx="13">
                  <c:v>38.645600000000002</c:v>
                </c:pt>
                <c:pt idx="14">
                  <c:v>46.685099999999998</c:v>
                </c:pt>
                <c:pt idx="15">
                  <c:v>56.735899999999987</c:v>
                </c:pt>
                <c:pt idx="16">
                  <c:v>67.632099999999994</c:v>
                </c:pt>
                <c:pt idx="17">
                  <c:v>79.547499999999999</c:v>
                </c:pt>
                <c:pt idx="18">
                  <c:v>93.265200000000007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97.735200000000006</c:v>
                </c:pt>
                <c:pt idx="40">
                  <c:v>94.741500000000002</c:v>
                </c:pt>
                <c:pt idx="41">
                  <c:v>88.348100000000002</c:v>
                </c:pt>
                <c:pt idx="42">
                  <c:v>79.449700000000007</c:v>
                </c:pt>
                <c:pt idx="43">
                  <c:v>71.755500000000012</c:v>
                </c:pt>
                <c:pt idx="44">
                  <c:v>70.040899999999993</c:v>
                </c:pt>
                <c:pt idx="45">
                  <c:v>68.709600000000009</c:v>
                </c:pt>
                <c:pt idx="46">
                  <c:v>66.3249</c:v>
                </c:pt>
                <c:pt idx="47">
                  <c:v>64.651300000000006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871-42C1-B65B-C9D9F8A1F28E}"/>
            </c:ext>
          </c:extLst>
        </c:ser>
        <c:ser>
          <c:idx val="50"/>
          <c:order val="50"/>
          <c:tx>
            <c:v>BES_TR2_six238_A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SOC_pct!$BA$2:$BA$49</c:f>
              <c:numCache>
                <c:formatCode>0.0</c:formatCode>
                <c:ptCount val="48"/>
                <c:pt idx="0">
                  <c:v>40</c:v>
                </c:pt>
                <c:pt idx="1">
                  <c:v>39.573399999999999</c:v>
                </c:pt>
                <c:pt idx="2">
                  <c:v>39.146700000000003</c:v>
                </c:pt>
                <c:pt idx="3">
                  <c:v>37.252899999999997</c:v>
                </c:pt>
                <c:pt idx="4">
                  <c:v>36.141599999999997</c:v>
                </c:pt>
                <c:pt idx="5">
                  <c:v>35.715000000000003</c:v>
                </c:pt>
                <c:pt idx="6">
                  <c:v>35.2883</c:v>
                </c:pt>
                <c:pt idx="7">
                  <c:v>34.861699999999999</c:v>
                </c:pt>
                <c:pt idx="8">
                  <c:v>32.6145</c:v>
                </c:pt>
                <c:pt idx="9">
                  <c:v>32.4405</c:v>
                </c:pt>
                <c:pt idx="10">
                  <c:v>33.826700000000002</c:v>
                </c:pt>
                <c:pt idx="11">
                  <c:v>36.593299999999999</c:v>
                </c:pt>
                <c:pt idx="12">
                  <c:v>43.540599999999998</c:v>
                </c:pt>
                <c:pt idx="13">
                  <c:v>53.512400000000007</c:v>
                </c:pt>
                <c:pt idx="14">
                  <c:v>64.609399999999994</c:v>
                </c:pt>
                <c:pt idx="15">
                  <c:v>80.68889999999999</c:v>
                </c:pt>
                <c:pt idx="16">
                  <c:v>98.410200000000003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97.987899999999996</c:v>
                </c:pt>
                <c:pt idx="35">
                  <c:v>100</c:v>
                </c:pt>
                <c:pt idx="36">
                  <c:v>97.208500000000001</c:v>
                </c:pt>
                <c:pt idx="37">
                  <c:v>95.112300000000005</c:v>
                </c:pt>
                <c:pt idx="38">
                  <c:v>81.119100000000003</c:v>
                </c:pt>
                <c:pt idx="39">
                  <c:v>79.372900000000001</c:v>
                </c:pt>
                <c:pt idx="40">
                  <c:v>77.283599999999993</c:v>
                </c:pt>
                <c:pt idx="41">
                  <c:v>72.054500000000004</c:v>
                </c:pt>
                <c:pt idx="42">
                  <c:v>67.598699999999994</c:v>
                </c:pt>
                <c:pt idx="43">
                  <c:v>60.625100000000003</c:v>
                </c:pt>
                <c:pt idx="44">
                  <c:v>51.101300000000002</c:v>
                </c:pt>
                <c:pt idx="45">
                  <c:v>44.815800000000003</c:v>
                </c:pt>
                <c:pt idx="46">
                  <c:v>40.155000000000001</c:v>
                </c:pt>
                <c:pt idx="47">
                  <c:v>35.269500000000001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871-42C1-B65B-C9D9F8A1F28E}"/>
            </c:ext>
          </c:extLst>
        </c:ser>
        <c:ser>
          <c:idx val="51"/>
          <c:order val="51"/>
          <c:tx>
            <c:v>BES_TR2_six249_B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SOC_pct!$BB$2:$BB$49</c:f>
              <c:numCache>
                <c:formatCode>0.0</c:formatCode>
                <c:ptCount val="48"/>
                <c:pt idx="0">
                  <c:v>40</c:v>
                </c:pt>
                <c:pt idx="1">
                  <c:v>39.523200000000003</c:v>
                </c:pt>
                <c:pt idx="2">
                  <c:v>37.788200000000003</c:v>
                </c:pt>
                <c:pt idx="3">
                  <c:v>36.7331</c:v>
                </c:pt>
                <c:pt idx="4">
                  <c:v>33.456200000000003</c:v>
                </c:pt>
                <c:pt idx="5">
                  <c:v>32.979300000000002</c:v>
                </c:pt>
                <c:pt idx="6">
                  <c:v>30.382200000000001</c:v>
                </c:pt>
                <c:pt idx="7">
                  <c:v>28.647300000000001</c:v>
                </c:pt>
                <c:pt idx="8">
                  <c:v>26.468</c:v>
                </c:pt>
                <c:pt idx="9">
                  <c:v>25.0852</c:v>
                </c:pt>
                <c:pt idx="10">
                  <c:v>26.383400000000002</c:v>
                </c:pt>
                <c:pt idx="11">
                  <c:v>28.4801</c:v>
                </c:pt>
                <c:pt idx="12">
                  <c:v>32.676200000000001</c:v>
                </c:pt>
                <c:pt idx="13">
                  <c:v>41.1235</c:v>
                </c:pt>
                <c:pt idx="14">
                  <c:v>51.062800000000003</c:v>
                </c:pt>
                <c:pt idx="15">
                  <c:v>62.836799999999997</c:v>
                </c:pt>
                <c:pt idx="16">
                  <c:v>79.133799999999994</c:v>
                </c:pt>
                <c:pt idx="17">
                  <c:v>96.520300000000006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97.977000000000004</c:v>
                </c:pt>
                <c:pt idx="40">
                  <c:v>91.900800000000004</c:v>
                </c:pt>
                <c:pt idx="41">
                  <c:v>87.375399999999999</c:v>
                </c:pt>
                <c:pt idx="42">
                  <c:v>84.291200000000003</c:v>
                </c:pt>
                <c:pt idx="43">
                  <c:v>83.814300000000003</c:v>
                </c:pt>
                <c:pt idx="44">
                  <c:v>82.977999999999994</c:v>
                </c:pt>
                <c:pt idx="45">
                  <c:v>79.964100000000002</c:v>
                </c:pt>
                <c:pt idx="46">
                  <c:v>79.005400000000009</c:v>
                </c:pt>
                <c:pt idx="47">
                  <c:v>77.270499999999998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4871-42C1-B65B-C9D9F8A1F28E}"/>
            </c:ext>
          </c:extLst>
        </c:ser>
        <c:ser>
          <c:idx val="52"/>
          <c:order val="52"/>
          <c:tx>
            <c:v>BES_TR2_six254_B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SOC_pct!$BC$2:$BC$49</c:f>
              <c:numCache>
                <c:formatCode>0.0</c:formatCode>
                <c:ptCount val="48"/>
                <c:pt idx="0">
                  <c:v>40</c:v>
                </c:pt>
                <c:pt idx="1">
                  <c:v>34.964399999999998</c:v>
                </c:pt>
                <c:pt idx="2">
                  <c:v>27.914999999999999</c:v>
                </c:pt>
                <c:pt idx="3">
                  <c:v>27.3127</c:v>
                </c:pt>
                <c:pt idx="4">
                  <c:v>26.284700000000001</c:v>
                </c:pt>
                <c:pt idx="5">
                  <c:v>24.234999999999999</c:v>
                </c:pt>
                <c:pt idx="6">
                  <c:v>23.6327</c:v>
                </c:pt>
                <c:pt idx="7">
                  <c:v>21.3276</c:v>
                </c:pt>
                <c:pt idx="8">
                  <c:v>20.598199999999999</c:v>
                </c:pt>
                <c:pt idx="9">
                  <c:v>19.428000000000001</c:v>
                </c:pt>
                <c:pt idx="10">
                  <c:v>20.8996</c:v>
                </c:pt>
                <c:pt idx="11">
                  <c:v>25.567900000000002</c:v>
                </c:pt>
                <c:pt idx="12">
                  <c:v>32.868000000000002</c:v>
                </c:pt>
                <c:pt idx="13">
                  <c:v>43.011699999999998</c:v>
                </c:pt>
                <c:pt idx="14">
                  <c:v>57.804000000000002</c:v>
                </c:pt>
                <c:pt idx="15">
                  <c:v>74.199600000000004</c:v>
                </c:pt>
                <c:pt idx="16">
                  <c:v>95.33359999999999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95.947199999999995</c:v>
                </c:pt>
                <c:pt idx="41">
                  <c:v>90.905699999999996</c:v>
                </c:pt>
                <c:pt idx="42">
                  <c:v>81.232299999999995</c:v>
                </c:pt>
                <c:pt idx="43">
                  <c:v>75.077500000000001</c:v>
                </c:pt>
                <c:pt idx="44">
                  <c:v>66.689800000000005</c:v>
                </c:pt>
                <c:pt idx="45">
                  <c:v>62.120899999999999</c:v>
                </c:pt>
                <c:pt idx="46">
                  <c:v>61.433400000000013</c:v>
                </c:pt>
                <c:pt idx="47">
                  <c:v>57.633400000000002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871-42C1-B65B-C9D9F8A1F28E}"/>
            </c:ext>
          </c:extLst>
        </c:ser>
        <c:ser>
          <c:idx val="53"/>
          <c:order val="53"/>
          <c:tx>
            <c:v>BES_TR2_six269_C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SOC_pct!$BD$2:$BD$49</c:f>
              <c:numCache>
                <c:formatCode>0.0</c:formatCode>
                <c:ptCount val="48"/>
                <c:pt idx="0">
                  <c:v>40</c:v>
                </c:pt>
                <c:pt idx="1">
                  <c:v>37.762099999999997</c:v>
                </c:pt>
                <c:pt idx="2">
                  <c:v>36.491600000000012</c:v>
                </c:pt>
                <c:pt idx="3">
                  <c:v>34.8872</c:v>
                </c:pt>
                <c:pt idx="4">
                  <c:v>32.068899999999999</c:v>
                </c:pt>
                <c:pt idx="5">
                  <c:v>31.277200000000001</c:v>
                </c:pt>
                <c:pt idx="6">
                  <c:v>29.7744</c:v>
                </c:pt>
                <c:pt idx="7">
                  <c:v>26.702200000000001</c:v>
                </c:pt>
                <c:pt idx="8">
                  <c:v>25.389600000000002</c:v>
                </c:pt>
                <c:pt idx="9">
                  <c:v>22.945599999999999</c:v>
                </c:pt>
                <c:pt idx="10">
                  <c:v>23.954599999999999</c:v>
                </c:pt>
                <c:pt idx="11">
                  <c:v>27.664000000000001</c:v>
                </c:pt>
                <c:pt idx="12">
                  <c:v>32.212699999999998</c:v>
                </c:pt>
                <c:pt idx="13">
                  <c:v>41.5991</c:v>
                </c:pt>
                <c:pt idx="14">
                  <c:v>54.0473</c:v>
                </c:pt>
                <c:pt idx="15">
                  <c:v>67.49969999999999</c:v>
                </c:pt>
                <c:pt idx="16">
                  <c:v>86.392400000000009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96.677999999999997</c:v>
                </c:pt>
                <c:pt idx="42">
                  <c:v>95.794399999999996</c:v>
                </c:pt>
                <c:pt idx="43">
                  <c:v>94.025599999999997</c:v>
                </c:pt>
                <c:pt idx="44">
                  <c:v>91.371700000000004</c:v>
                </c:pt>
                <c:pt idx="45">
                  <c:v>90.681599999999989</c:v>
                </c:pt>
                <c:pt idx="46">
                  <c:v>87.406199999999998</c:v>
                </c:pt>
                <c:pt idx="47">
                  <c:v>86.259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4871-42C1-B65B-C9D9F8A1F28E}"/>
            </c:ext>
          </c:extLst>
        </c:ser>
        <c:ser>
          <c:idx val="54"/>
          <c:order val="54"/>
          <c:tx>
            <c:v>BES_TR2_six289_C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SOC_pct!$BE$2:$BE$49</c:f>
              <c:numCache>
                <c:formatCode>0.0</c:formatCode>
                <c:ptCount val="48"/>
                <c:pt idx="0">
                  <c:v>40</c:v>
                </c:pt>
                <c:pt idx="1">
                  <c:v>32.342599999999997</c:v>
                </c:pt>
                <c:pt idx="2">
                  <c:v>29.450399999999998</c:v>
                </c:pt>
                <c:pt idx="3">
                  <c:v>28.1418</c:v>
                </c:pt>
                <c:pt idx="4">
                  <c:v>26.078600000000002</c:v>
                </c:pt>
                <c:pt idx="5">
                  <c:v>23.940999999999999</c:v>
                </c:pt>
                <c:pt idx="6">
                  <c:v>22.7987</c:v>
                </c:pt>
                <c:pt idx="7">
                  <c:v>20.071899999999999</c:v>
                </c:pt>
                <c:pt idx="8">
                  <c:v>19.188199999999998</c:v>
                </c:pt>
                <c:pt idx="9">
                  <c:v>16.3444</c:v>
                </c:pt>
                <c:pt idx="10">
                  <c:v>17.9129</c:v>
                </c:pt>
                <c:pt idx="11">
                  <c:v>21.941199999999998</c:v>
                </c:pt>
                <c:pt idx="12">
                  <c:v>26.918199999999999</c:v>
                </c:pt>
                <c:pt idx="13">
                  <c:v>36.743200000000002</c:v>
                </c:pt>
                <c:pt idx="14">
                  <c:v>48.319800000000001</c:v>
                </c:pt>
                <c:pt idx="15">
                  <c:v>62.843400000000003</c:v>
                </c:pt>
                <c:pt idx="16">
                  <c:v>70.632999999999996</c:v>
                </c:pt>
                <c:pt idx="17">
                  <c:v>89.014099999999999</c:v>
                </c:pt>
                <c:pt idx="18">
                  <c:v>97.566200000000009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98.387299999999996</c:v>
                </c:pt>
                <c:pt idx="40">
                  <c:v>94.145499999999998</c:v>
                </c:pt>
                <c:pt idx="41">
                  <c:v>67.1584</c:v>
                </c:pt>
                <c:pt idx="42">
                  <c:v>36.223999999999997</c:v>
                </c:pt>
                <c:pt idx="43">
                  <c:v>12.0924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871-42C1-B65B-C9D9F8A1F28E}"/>
            </c:ext>
          </c:extLst>
        </c:ser>
        <c:ser>
          <c:idx val="55"/>
          <c:order val="55"/>
          <c:tx>
            <c:v>BES_TR2_six317_C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SOC_pct!$BF$2:$BF$49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38.795299999999997</c:v>
                </c:pt>
                <c:pt idx="3">
                  <c:v>38.192999999999998</c:v>
                </c:pt>
                <c:pt idx="4">
                  <c:v>37.590699999999998</c:v>
                </c:pt>
                <c:pt idx="5">
                  <c:v>36.988399999999999</c:v>
                </c:pt>
                <c:pt idx="6">
                  <c:v>36.386000000000003</c:v>
                </c:pt>
                <c:pt idx="7">
                  <c:v>35.783700000000003</c:v>
                </c:pt>
                <c:pt idx="8">
                  <c:v>35.224600000000002</c:v>
                </c:pt>
                <c:pt idx="9">
                  <c:v>35.244100000000003</c:v>
                </c:pt>
                <c:pt idx="10">
                  <c:v>37.328699999999998</c:v>
                </c:pt>
                <c:pt idx="11">
                  <c:v>41.997</c:v>
                </c:pt>
                <c:pt idx="12">
                  <c:v>49.833500000000001</c:v>
                </c:pt>
                <c:pt idx="13">
                  <c:v>61.126600000000003</c:v>
                </c:pt>
                <c:pt idx="14">
                  <c:v>75.918899999999994</c:v>
                </c:pt>
                <c:pt idx="15">
                  <c:v>94.118800000000007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95.427999999999997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98.708399999999997</c:v>
                </c:pt>
                <c:pt idx="41">
                  <c:v>95.079899999999995</c:v>
                </c:pt>
                <c:pt idx="42">
                  <c:v>92.708299999999994</c:v>
                </c:pt>
                <c:pt idx="43">
                  <c:v>89.666299999999993</c:v>
                </c:pt>
                <c:pt idx="44">
                  <c:v>86.636500000000012</c:v>
                </c:pt>
                <c:pt idx="45">
                  <c:v>82.608499999999992</c:v>
                </c:pt>
                <c:pt idx="46">
                  <c:v>71.985100000000003</c:v>
                </c:pt>
                <c:pt idx="47">
                  <c:v>68.352400000000003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4871-42C1-B65B-C9D9F8A1F28E}"/>
            </c:ext>
          </c:extLst>
        </c:ser>
        <c:ser>
          <c:idx val="56"/>
          <c:order val="56"/>
          <c:tx>
            <c:v>BES_TR2_six326_A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SOC_pct!$BG$2:$BG$49</c:f>
              <c:numCache>
                <c:formatCode>0.0</c:formatCode>
                <c:ptCount val="48"/>
                <c:pt idx="0">
                  <c:v>40</c:v>
                </c:pt>
                <c:pt idx="1">
                  <c:v>38.176200000000001</c:v>
                </c:pt>
                <c:pt idx="2">
                  <c:v>37.586399999999998</c:v>
                </c:pt>
                <c:pt idx="3">
                  <c:v>36.152200000000001</c:v>
                </c:pt>
                <c:pt idx="4">
                  <c:v>33.854299999999988</c:v>
                </c:pt>
                <c:pt idx="5">
                  <c:v>32.809899999999999</c:v>
                </c:pt>
                <c:pt idx="6">
                  <c:v>30.122299999999999</c:v>
                </c:pt>
                <c:pt idx="7">
                  <c:v>29.532499999999999</c:v>
                </c:pt>
                <c:pt idx="8">
                  <c:v>28.2837</c:v>
                </c:pt>
                <c:pt idx="9">
                  <c:v>26.3843</c:v>
                </c:pt>
                <c:pt idx="10">
                  <c:v>28.151800000000001</c:v>
                </c:pt>
                <c:pt idx="11">
                  <c:v>32.180100000000003</c:v>
                </c:pt>
                <c:pt idx="12">
                  <c:v>37.969299999999997</c:v>
                </c:pt>
                <c:pt idx="13">
                  <c:v>46.508300000000013</c:v>
                </c:pt>
                <c:pt idx="14">
                  <c:v>59.395000000000003</c:v>
                </c:pt>
                <c:pt idx="15">
                  <c:v>74.509299999999996</c:v>
                </c:pt>
                <c:pt idx="16">
                  <c:v>92.125699999999995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96.054500000000004</c:v>
                </c:pt>
                <c:pt idx="41">
                  <c:v>88.885499999999993</c:v>
                </c:pt>
                <c:pt idx="42">
                  <c:v>81.038699999999992</c:v>
                </c:pt>
                <c:pt idx="43">
                  <c:v>80.448899999999995</c:v>
                </c:pt>
                <c:pt idx="44">
                  <c:v>78.9499</c:v>
                </c:pt>
                <c:pt idx="45">
                  <c:v>77.840500000000006</c:v>
                </c:pt>
                <c:pt idx="46">
                  <c:v>77.063400000000001</c:v>
                </c:pt>
                <c:pt idx="47">
                  <c:v>74.108400000000003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871-42C1-B65B-C9D9F8A1F28E}"/>
            </c:ext>
          </c:extLst>
        </c:ser>
        <c:ser>
          <c:idx val="57"/>
          <c:order val="57"/>
          <c:tx>
            <c:v>BES_TR2_six329_A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SOC_pct!$BH$2:$BH$49</c:f>
              <c:numCache>
                <c:formatCode>0.0</c:formatCode>
                <c:ptCount val="48"/>
                <c:pt idx="0">
                  <c:v>40</c:v>
                </c:pt>
                <c:pt idx="1">
                  <c:v>39.636099999999999</c:v>
                </c:pt>
                <c:pt idx="2">
                  <c:v>39.272199999999998</c:v>
                </c:pt>
                <c:pt idx="3">
                  <c:v>38.908299999999997</c:v>
                </c:pt>
                <c:pt idx="4">
                  <c:v>38.544400000000003</c:v>
                </c:pt>
                <c:pt idx="5">
                  <c:v>38.180500000000002</c:v>
                </c:pt>
                <c:pt idx="6">
                  <c:v>37.816600000000001</c:v>
                </c:pt>
                <c:pt idx="7">
                  <c:v>37.4527</c:v>
                </c:pt>
                <c:pt idx="8">
                  <c:v>37.131900000000002</c:v>
                </c:pt>
                <c:pt idx="9">
                  <c:v>37.366100000000003</c:v>
                </c:pt>
                <c:pt idx="10">
                  <c:v>39.665299999999988</c:v>
                </c:pt>
                <c:pt idx="11">
                  <c:v>44.548100000000012</c:v>
                </c:pt>
                <c:pt idx="12">
                  <c:v>52.599200000000003</c:v>
                </c:pt>
                <c:pt idx="13">
                  <c:v>64.106899999999996</c:v>
                </c:pt>
                <c:pt idx="14">
                  <c:v>79.113799999999998</c:v>
                </c:pt>
                <c:pt idx="15">
                  <c:v>97.601700000000008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84.479199999999992</c:v>
                </c:pt>
                <c:pt idx="41">
                  <c:v>78.345600000000005</c:v>
                </c:pt>
                <c:pt idx="42">
                  <c:v>71.234200000000001</c:v>
                </c:pt>
                <c:pt idx="43">
                  <c:v>63.762600000000013</c:v>
                </c:pt>
                <c:pt idx="44">
                  <c:v>57.863999999999997</c:v>
                </c:pt>
                <c:pt idx="45">
                  <c:v>53.059100000000001</c:v>
                </c:pt>
                <c:pt idx="46">
                  <c:v>47.264000000000003</c:v>
                </c:pt>
                <c:pt idx="47">
                  <c:v>44.945099999999996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4871-42C1-B65B-C9D9F8A1F28E}"/>
            </c:ext>
          </c:extLst>
        </c:ser>
        <c:ser>
          <c:idx val="58"/>
          <c:order val="58"/>
          <c:tx>
            <c:v>BES_TR2_six342_A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SOC_pct!$BI$2:$BI$49</c:f>
              <c:numCache>
                <c:formatCode>0.0</c:formatCode>
                <c:ptCount val="48"/>
                <c:pt idx="0">
                  <c:v>40</c:v>
                </c:pt>
                <c:pt idx="1">
                  <c:v>35.392099999999999</c:v>
                </c:pt>
                <c:pt idx="2">
                  <c:v>29.781199999999998</c:v>
                </c:pt>
                <c:pt idx="3">
                  <c:v>27.618600000000001</c:v>
                </c:pt>
                <c:pt idx="4">
                  <c:v>20.7867</c:v>
                </c:pt>
                <c:pt idx="5">
                  <c:v>17.885000000000002</c:v>
                </c:pt>
                <c:pt idx="6">
                  <c:v>13.7012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11.099600000000001</c:v>
                </c:pt>
                <c:pt idx="11">
                  <c:v>12.098000000000001</c:v>
                </c:pt>
                <c:pt idx="12">
                  <c:v>16.7925</c:v>
                </c:pt>
                <c:pt idx="13">
                  <c:v>22.3215</c:v>
                </c:pt>
                <c:pt idx="14">
                  <c:v>30.973400000000002</c:v>
                </c:pt>
                <c:pt idx="15">
                  <c:v>41.332999999999998</c:v>
                </c:pt>
                <c:pt idx="16">
                  <c:v>53.871299999999998</c:v>
                </c:pt>
                <c:pt idx="17">
                  <c:v>69.312600000000003</c:v>
                </c:pt>
                <c:pt idx="18">
                  <c:v>86.286200000000008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99.172499999999999</c:v>
                </c:pt>
                <c:pt idx="39">
                  <c:v>99.512199999999993</c:v>
                </c:pt>
                <c:pt idx="40">
                  <c:v>97.775199999999998</c:v>
                </c:pt>
                <c:pt idx="41">
                  <c:v>94.450299999999999</c:v>
                </c:pt>
                <c:pt idx="42">
                  <c:v>91.988799999999998</c:v>
                </c:pt>
                <c:pt idx="43">
                  <c:v>87.356999999999999</c:v>
                </c:pt>
                <c:pt idx="44">
                  <c:v>82.745899999999992</c:v>
                </c:pt>
                <c:pt idx="45">
                  <c:v>77.112499999999997</c:v>
                </c:pt>
                <c:pt idx="46">
                  <c:v>71.598600000000005</c:v>
                </c:pt>
                <c:pt idx="47">
                  <c:v>66.077300000000008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871-42C1-B65B-C9D9F8A1F28E}"/>
            </c:ext>
          </c:extLst>
        </c:ser>
        <c:ser>
          <c:idx val="59"/>
          <c:order val="59"/>
          <c:tx>
            <c:v>BES_TR2_six349_A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SOC_pct!$BJ$2:$BJ$49</c:f>
              <c:numCache>
                <c:formatCode>0.0</c:formatCode>
                <c:ptCount val="48"/>
                <c:pt idx="0">
                  <c:v>40</c:v>
                </c:pt>
                <c:pt idx="1">
                  <c:v>34.594499999999996</c:v>
                </c:pt>
                <c:pt idx="2">
                  <c:v>29.109200000000001</c:v>
                </c:pt>
                <c:pt idx="3">
                  <c:v>28.619800000000001</c:v>
                </c:pt>
                <c:pt idx="4">
                  <c:v>26.8386</c:v>
                </c:pt>
                <c:pt idx="5">
                  <c:v>24.400400000000001</c:v>
                </c:pt>
                <c:pt idx="6">
                  <c:v>23.911000000000001</c:v>
                </c:pt>
                <c:pt idx="7">
                  <c:v>22.598600000000001</c:v>
                </c:pt>
                <c:pt idx="8">
                  <c:v>19.713200000000001</c:v>
                </c:pt>
                <c:pt idx="9">
                  <c:v>19.535799999999998</c:v>
                </c:pt>
                <c:pt idx="10">
                  <c:v>18.556799999999999</c:v>
                </c:pt>
                <c:pt idx="11">
                  <c:v>19.558900000000001</c:v>
                </c:pt>
                <c:pt idx="12">
                  <c:v>23.3078</c:v>
                </c:pt>
                <c:pt idx="13">
                  <c:v>26.4496</c:v>
                </c:pt>
                <c:pt idx="14">
                  <c:v>33.094999999999999</c:v>
                </c:pt>
                <c:pt idx="15">
                  <c:v>40.706800000000001</c:v>
                </c:pt>
                <c:pt idx="16">
                  <c:v>49.855899999999998</c:v>
                </c:pt>
                <c:pt idx="17">
                  <c:v>61.848300000000002</c:v>
                </c:pt>
                <c:pt idx="18">
                  <c:v>74.058000000000007</c:v>
                </c:pt>
                <c:pt idx="19">
                  <c:v>88.072199999999995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89.545699999999997</c:v>
                </c:pt>
                <c:pt idx="39">
                  <c:v>86.91879999999999</c:v>
                </c:pt>
                <c:pt idx="40">
                  <c:v>84.209199999999996</c:v>
                </c:pt>
                <c:pt idx="41">
                  <c:v>83.843800000000002</c:v>
                </c:pt>
                <c:pt idx="42">
                  <c:v>82.062700000000007</c:v>
                </c:pt>
                <c:pt idx="43">
                  <c:v>79.624399999999994</c:v>
                </c:pt>
                <c:pt idx="44">
                  <c:v>78.581400000000002</c:v>
                </c:pt>
                <c:pt idx="45">
                  <c:v>77.088099999999997</c:v>
                </c:pt>
                <c:pt idx="46">
                  <c:v>74.915599999999998</c:v>
                </c:pt>
                <c:pt idx="47">
                  <c:v>73.134500000000003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4871-42C1-B65B-C9D9F8A1F28E}"/>
            </c:ext>
          </c:extLst>
        </c:ser>
        <c:ser>
          <c:idx val="60"/>
          <c:order val="60"/>
          <c:tx>
            <c:v>BES_TR2_six350_B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SOC_pct!$BK$2:$BK$49</c:f>
              <c:numCache>
                <c:formatCode>0.0</c:formatCode>
                <c:ptCount val="48"/>
                <c:pt idx="0">
                  <c:v>40</c:v>
                </c:pt>
                <c:pt idx="1">
                  <c:v>39.2166</c:v>
                </c:pt>
                <c:pt idx="2">
                  <c:v>36.808900000000001</c:v>
                </c:pt>
                <c:pt idx="3">
                  <c:v>36.332000000000001</c:v>
                </c:pt>
                <c:pt idx="4">
                  <c:v>34.406100000000002</c:v>
                </c:pt>
                <c:pt idx="5">
                  <c:v>33.140900000000002</c:v>
                </c:pt>
                <c:pt idx="6">
                  <c:v>32.664099999999998</c:v>
                </c:pt>
                <c:pt idx="7">
                  <c:v>30.650600000000001</c:v>
                </c:pt>
                <c:pt idx="8">
                  <c:v>29.505299999999998</c:v>
                </c:pt>
                <c:pt idx="9">
                  <c:v>28.2545</c:v>
                </c:pt>
                <c:pt idx="10">
                  <c:v>29.609000000000002</c:v>
                </c:pt>
                <c:pt idx="11">
                  <c:v>32.378100000000003</c:v>
                </c:pt>
                <c:pt idx="12">
                  <c:v>36.928699999999999</c:v>
                </c:pt>
                <c:pt idx="13">
                  <c:v>45.375900000000001</c:v>
                </c:pt>
                <c:pt idx="14">
                  <c:v>56.447499999999998</c:v>
                </c:pt>
                <c:pt idx="15">
                  <c:v>68.825699999999998</c:v>
                </c:pt>
                <c:pt idx="16">
                  <c:v>84.4131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94.283799999999999</c:v>
                </c:pt>
                <c:pt idx="41">
                  <c:v>87.919899999999998</c:v>
                </c:pt>
                <c:pt idx="42">
                  <c:v>84.057099999999991</c:v>
                </c:pt>
                <c:pt idx="43">
                  <c:v>77.068399999999997</c:v>
                </c:pt>
                <c:pt idx="44">
                  <c:v>69.3523</c:v>
                </c:pt>
                <c:pt idx="45">
                  <c:v>61.9131</c:v>
                </c:pt>
                <c:pt idx="46">
                  <c:v>55.075600000000001</c:v>
                </c:pt>
                <c:pt idx="47">
                  <c:v>54.598799999999997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871-42C1-B65B-C9D9F8A1F28E}"/>
            </c:ext>
          </c:extLst>
        </c:ser>
        <c:ser>
          <c:idx val="61"/>
          <c:order val="61"/>
          <c:tx>
            <c:v>BES_TR2_six362_C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SOC_pct!$BL$2:$BL$49</c:f>
              <c:numCache>
                <c:formatCode>0.0</c:formatCode>
                <c:ptCount val="48"/>
                <c:pt idx="0">
                  <c:v>40</c:v>
                </c:pt>
                <c:pt idx="1">
                  <c:v>39.410200000000003</c:v>
                </c:pt>
                <c:pt idx="2">
                  <c:v>38.820399999999999</c:v>
                </c:pt>
                <c:pt idx="3">
                  <c:v>38.230699999999999</c:v>
                </c:pt>
                <c:pt idx="4">
                  <c:v>37.640900000000002</c:v>
                </c:pt>
                <c:pt idx="5">
                  <c:v>37.051099999999998</c:v>
                </c:pt>
                <c:pt idx="6">
                  <c:v>36.461300000000001</c:v>
                </c:pt>
                <c:pt idx="7">
                  <c:v>35.871499999999997</c:v>
                </c:pt>
                <c:pt idx="8">
                  <c:v>35.298000000000002</c:v>
                </c:pt>
                <c:pt idx="9">
                  <c:v>34.9422</c:v>
                </c:pt>
                <c:pt idx="10">
                  <c:v>35.3964</c:v>
                </c:pt>
                <c:pt idx="11">
                  <c:v>36.819499999999998</c:v>
                </c:pt>
                <c:pt idx="12">
                  <c:v>39.430599999999998</c:v>
                </c:pt>
                <c:pt idx="13">
                  <c:v>43.338000000000001</c:v>
                </c:pt>
                <c:pt idx="14">
                  <c:v>48.557600000000001</c:v>
                </c:pt>
                <c:pt idx="15">
                  <c:v>55.082600000000014</c:v>
                </c:pt>
                <c:pt idx="16">
                  <c:v>62.764099999999999</c:v>
                </c:pt>
                <c:pt idx="17">
                  <c:v>71.747900000000001</c:v>
                </c:pt>
                <c:pt idx="18">
                  <c:v>81.960499999999996</c:v>
                </c:pt>
                <c:pt idx="19">
                  <c:v>93.155299999999997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99.296399999999991</c:v>
                </c:pt>
                <c:pt idx="39">
                  <c:v>97.731200000000001</c:v>
                </c:pt>
                <c:pt idx="40">
                  <c:v>93.206599999999995</c:v>
                </c:pt>
                <c:pt idx="41">
                  <c:v>88.4251</c:v>
                </c:pt>
                <c:pt idx="42">
                  <c:v>85.807999999999993</c:v>
                </c:pt>
                <c:pt idx="43">
                  <c:v>82.527199999999993</c:v>
                </c:pt>
                <c:pt idx="44">
                  <c:v>77.499799999999993</c:v>
                </c:pt>
                <c:pt idx="45">
                  <c:v>73.691299999999998</c:v>
                </c:pt>
                <c:pt idx="46">
                  <c:v>71.615399999999994</c:v>
                </c:pt>
                <c:pt idx="47">
                  <c:v>69.329499999999996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4871-42C1-B65B-C9D9F8A1F28E}"/>
            </c:ext>
          </c:extLst>
        </c:ser>
        <c:ser>
          <c:idx val="62"/>
          <c:order val="62"/>
          <c:tx>
            <c:v>BES_TR2_six365_C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SOC_pct!$BM$2:$BM$49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38.795299999999997</c:v>
                </c:pt>
                <c:pt idx="3">
                  <c:v>36.137099999999997</c:v>
                </c:pt>
                <c:pt idx="4">
                  <c:v>30.4072</c:v>
                </c:pt>
                <c:pt idx="5">
                  <c:v>18.656400000000001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10.019600000000001</c:v>
                </c:pt>
                <c:pt idx="10">
                  <c:v>10.8977</c:v>
                </c:pt>
                <c:pt idx="11">
                  <c:v>15.2111</c:v>
                </c:pt>
                <c:pt idx="12">
                  <c:v>23.047499999999999</c:v>
                </c:pt>
                <c:pt idx="13">
                  <c:v>33.347099999999998</c:v>
                </c:pt>
                <c:pt idx="14">
                  <c:v>47.571599999999997</c:v>
                </c:pt>
                <c:pt idx="15">
                  <c:v>63.658099999999997</c:v>
                </c:pt>
                <c:pt idx="16">
                  <c:v>85.010900000000007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86.6023</c:v>
                </c:pt>
                <c:pt idx="41">
                  <c:v>78.381299999999996</c:v>
                </c:pt>
                <c:pt idx="42">
                  <c:v>68.8489</c:v>
                </c:pt>
                <c:pt idx="43">
                  <c:v>59.342599999999997</c:v>
                </c:pt>
                <c:pt idx="44">
                  <c:v>53.4801</c:v>
                </c:pt>
                <c:pt idx="45">
                  <c:v>45.692999999999998</c:v>
                </c:pt>
                <c:pt idx="46">
                  <c:v>24.862100000000002</c:v>
                </c:pt>
                <c:pt idx="47">
                  <c:v>16.332000000000001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871-42C1-B65B-C9D9F8A1F28E}"/>
            </c:ext>
          </c:extLst>
        </c:ser>
        <c:ser>
          <c:idx val="63"/>
          <c:order val="63"/>
          <c:tx>
            <c:v>BES_TR2_six378_A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SOC_pct!$BN$2:$BN$49</c:f>
              <c:numCache>
                <c:formatCode>0.0</c:formatCode>
                <c:ptCount val="48"/>
                <c:pt idx="0">
                  <c:v>40</c:v>
                </c:pt>
                <c:pt idx="1">
                  <c:v>37.9985</c:v>
                </c:pt>
                <c:pt idx="2">
                  <c:v>34.865200000000002</c:v>
                </c:pt>
                <c:pt idx="3">
                  <c:v>32.256599999999999</c:v>
                </c:pt>
                <c:pt idx="4">
                  <c:v>31.541799999999999</c:v>
                </c:pt>
                <c:pt idx="5">
                  <c:v>27.901299999999999</c:v>
                </c:pt>
                <c:pt idx="6">
                  <c:v>25.899799999999999</c:v>
                </c:pt>
                <c:pt idx="7">
                  <c:v>23.268699999999999</c:v>
                </c:pt>
                <c:pt idx="8">
                  <c:v>20.586500000000001</c:v>
                </c:pt>
                <c:pt idx="9">
                  <c:v>19.6937</c:v>
                </c:pt>
                <c:pt idx="10">
                  <c:v>18.795500000000001</c:v>
                </c:pt>
                <c:pt idx="11">
                  <c:v>20.448799999999999</c:v>
                </c:pt>
                <c:pt idx="12">
                  <c:v>25.549600000000002</c:v>
                </c:pt>
                <c:pt idx="13">
                  <c:v>30.394600000000001</c:v>
                </c:pt>
                <c:pt idx="14">
                  <c:v>40.758899999999997</c:v>
                </c:pt>
                <c:pt idx="15">
                  <c:v>53.497500000000002</c:v>
                </c:pt>
                <c:pt idx="16">
                  <c:v>58.540300000000002</c:v>
                </c:pt>
                <c:pt idx="17">
                  <c:v>76.267499999999998</c:v>
                </c:pt>
                <c:pt idx="18">
                  <c:v>95.303400000000011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97.399999999999991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94.314399999999992</c:v>
                </c:pt>
                <c:pt idx="31">
                  <c:v>85.662499999999994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98.370100000000008</c:v>
                </c:pt>
                <c:pt idx="41">
                  <c:v>97.941199999999995</c:v>
                </c:pt>
                <c:pt idx="42">
                  <c:v>94.506100000000004</c:v>
                </c:pt>
                <c:pt idx="43">
                  <c:v>92.199299999999994</c:v>
                </c:pt>
                <c:pt idx="44">
                  <c:v>91.078499999999991</c:v>
                </c:pt>
                <c:pt idx="45">
                  <c:v>86.457399999999993</c:v>
                </c:pt>
                <c:pt idx="46">
                  <c:v>85.842500000000001</c:v>
                </c:pt>
                <c:pt idx="47">
                  <c:v>84.378100000000003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4871-42C1-B65B-C9D9F8A1F28E}"/>
            </c:ext>
          </c:extLst>
        </c:ser>
        <c:ser>
          <c:idx val="64"/>
          <c:order val="64"/>
          <c:tx>
            <c:v>BES_TR2_six385_B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SOC_pct!$BO$2:$BO$49</c:f>
              <c:numCache>
                <c:formatCode>0.0</c:formatCode>
                <c:ptCount val="48"/>
                <c:pt idx="0">
                  <c:v>40</c:v>
                </c:pt>
                <c:pt idx="1">
                  <c:v>34.286999999999999</c:v>
                </c:pt>
                <c:pt idx="2">
                  <c:v>28.295999999999999</c:v>
                </c:pt>
                <c:pt idx="3">
                  <c:v>25.492799999999999</c:v>
                </c:pt>
                <c:pt idx="4">
                  <c:v>24.902999999999999</c:v>
                </c:pt>
                <c:pt idx="5">
                  <c:v>23.533899999999999</c:v>
                </c:pt>
                <c:pt idx="6">
                  <c:v>21.580300000000001</c:v>
                </c:pt>
                <c:pt idx="7">
                  <c:v>20.990500000000001</c:v>
                </c:pt>
                <c:pt idx="8">
                  <c:v>18.284600000000001</c:v>
                </c:pt>
                <c:pt idx="9">
                  <c:v>18.084900000000001</c:v>
                </c:pt>
                <c:pt idx="10">
                  <c:v>19.195799999999998</c:v>
                </c:pt>
                <c:pt idx="11">
                  <c:v>20.869399999999999</c:v>
                </c:pt>
                <c:pt idx="12">
                  <c:v>24.698399999999999</c:v>
                </c:pt>
                <c:pt idx="13">
                  <c:v>31.564599999999999</c:v>
                </c:pt>
                <c:pt idx="14">
                  <c:v>38.688899999999997</c:v>
                </c:pt>
                <c:pt idx="15">
                  <c:v>17.961300000000001</c:v>
                </c:pt>
                <c:pt idx="16">
                  <c:v>17.280899999999999</c:v>
                </c:pt>
                <c:pt idx="17">
                  <c:v>28.814800000000002</c:v>
                </c:pt>
                <c:pt idx="18">
                  <c:v>46.067500000000003</c:v>
                </c:pt>
                <c:pt idx="19">
                  <c:v>61.8339</c:v>
                </c:pt>
                <c:pt idx="20">
                  <c:v>81.430499999999995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95.733599999999996</c:v>
                </c:pt>
                <c:pt idx="41">
                  <c:v>88.572599999999994</c:v>
                </c:pt>
                <c:pt idx="42">
                  <c:v>82.908599999999993</c:v>
                </c:pt>
                <c:pt idx="43">
                  <c:v>79.550399999999996</c:v>
                </c:pt>
                <c:pt idx="44">
                  <c:v>71.761399999999995</c:v>
                </c:pt>
                <c:pt idx="45">
                  <c:v>67.066800000000001</c:v>
                </c:pt>
                <c:pt idx="46">
                  <c:v>63.137600000000013</c:v>
                </c:pt>
                <c:pt idx="47">
                  <c:v>61.476200000000013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871-42C1-B65B-C9D9F8A1F28E}"/>
            </c:ext>
          </c:extLst>
        </c:ser>
        <c:ser>
          <c:idx val="65"/>
          <c:order val="65"/>
          <c:tx>
            <c:v>BES_TR2_six387_A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SOC_pct!$BP$2:$BP$49</c:f>
              <c:numCache>
                <c:formatCode>0.0</c:formatCode>
                <c:ptCount val="48"/>
                <c:pt idx="0">
                  <c:v>40</c:v>
                </c:pt>
                <c:pt idx="1">
                  <c:v>28.6891</c:v>
                </c:pt>
                <c:pt idx="2">
                  <c:v>18.718900000000001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11.1568</c:v>
                </c:pt>
                <c:pt idx="11">
                  <c:v>15.7461</c:v>
                </c:pt>
                <c:pt idx="12">
                  <c:v>22.654800000000002</c:v>
                </c:pt>
                <c:pt idx="13">
                  <c:v>33.868899999999996</c:v>
                </c:pt>
                <c:pt idx="14">
                  <c:v>48.582099999999997</c:v>
                </c:pt>
                <c:pt idx="15">
                  <c:v>62.322500000000012</c:v>
                </c:pt>
                <c:pt idx="16">
                  <c:v>79.561099999999996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98.327600000000004</c:v>
                </c:pt>
                <c:pt idx="40">
                  <c:v>89.377899999999997</c:v>
                </c:pt>
                <c:pt idx="41">
                  <c:v>82.50030000000001</c:v>
                </c:pt>
                <c:pt idx="42">
                  <c:v>76.440899999999999</c:v>
                </c:pt>
                <c:pt idx="43">
                  <c:v>69.70389999999999</c:v>
                </c:pt>
                <c:pt idx="44">
                  <c:v>58.914000000000001</c:v>
                </c:pt>
                <c:pt idx="45">
                  <c:v>44.522500000000001</c:v>
                </c:pt>
                <c:pt idx="46">
                  <c:v>36.065300000000001</c:v>
                </c:pt>
                <c:pt idx="47">
                  <c:v>23.4937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4871-42C1-B65B-C9D9F8A1F28E}"/>
            </c:ext>
          </c:extLst>
        </c:ser>
        <c:ser>
          <c:idx val="66"/>
          <c:order val="66"/>
          <c:tx>
            <c:v>BES_TR2_six392_C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SOC_pct!$BQ$2:$BQ$49</c:f>
              <c:numCache>
                <c:formatCode>0.0</c:formatCode>
                <c:ptCount val="48"/>
                <c:pt idx="0">
                  <c:v>40</c:v>
                </c:pt>
                <c:pt idx="1">
                  <c:v>36.066899999999997</c:v>
                </c:pt>
                <c:pt idx="2">
                  <c:v>35.439500000000002</c:v>
                </c:pt>
                <c:pt idx="3">
                  <c:v>32.0197</c:v>
                </c:pt>
                <c:pt idx="4">
                  <c:v>30.377400000000002</c:v>
                </c:pt>
                <c:pt idx="5">
                  <c:v>28.000399999999999</c:v>
                </c:pt>
                <c:pt idx="6">
                  <c:v>26.295400000000001</c:v>
                </c:pt>
                <c:pt idx="7">
                  <c:v>23.534500000000001</c:v>
                </c:pt>
                <c:pt idx="8">
                  <c:v>21.321000000000002</c:v>
                </c:pt>
                <c:pt idx="9">
                  <c:v>19.020900000000001</c:v>
                </c:pt>
                <c:pt idx="10">
                  <c:v>20.7546</c:v>
                </c:pt>
                <c:pt idx="11">
                  <c:v>21.1282</c:v>
                </c:pt>
                <c:pt idx="12">
                  <c:v>27.732299999999999</c:v>
                </c:pt>
                <c:pt idx="13">
                  <c:v>37.463999999999999</c:v>
                </c:pt>
                <c:pt idx="14">
                  <c:v>49.1875</c:v>
                </c:pt>
                <c:pt idx="15">
                  <c:v>64.274299999999997</c:v>
                </c:pt>
                <c:pt idx="16">
                  <c:v>81.060200000000009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98.014700000000005</c:v>
                </c:pt>
                <c:pt idx="41">
                  <c:v>95.437600000000003</c:v>
                </c:pt>
                <c:pt idx="42">
                  <c:v>88.413799999999995</c:v>
                </c:pt>
                <c:pt idx="43">
                  <c:v>81.937600000000003</c:v>
                </c:pt>
                <c:pt idx="44">
                  <c:v>77.535699999999991</c:v>
                </c:pt>
                <c:pt idx="45">
                  <c:v>65.158299999999997</c:v>
                </c:pt>
                <c:pt idx="46">
                  <c:v>59.881900000000002</c:v>
                </c:pt>
                <c:pt idx="47">
                  <c:v>55.116999999999997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871-42C1-B65B-C9D9F8A1F28E}"/>
            </c:ext>
          </c:extLst>
        </c:ser>
        <c:ser>
          <c:idx val="67"/>
          <c:order val="67"/>
          <c:tx>
            <c:v>BES_TR2_six410_A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SOC_pct!$BR$2:$BR$49</c:f>
              <c:numCache>
                <c:formatCode>0.0</c:formatCode>
                <c:ptCount val="48"/>
                <c:pt idx="0">
                  <c:v>40</c:v>
                </c:pt>
                <c:pt idx="1">
                  <c:v>30.502700000000001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12.22</c:v>
                </c:pt>
                <c:pt idx="11">
                  <c:v>16.4696</c:v>
                </c:pt>
                <c:pt idx="12">
                  <c:v>23.412299999999998</c:v>
                </c:pt>
                <c:pt idx="13">
                  <c:v>34.92</c:v>
                </c:pt>
                <c:pt idx="14">
                  <c:v>48.185299999999998</c:v>
                </c:pt>
                <c:pt idx="15">
                  <c:v>66.673199999999994</c:v>
                </c:pt>
                <c:pt idx="16">
                  <c:v>88.330500000000001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99.126000000000005</c:v>
                </c:pt>
                <c:pt idx="40">
                  <c:v>82.942300000000003</c:v>
                </c:pt>
                <c:pt idx="41">
                  <c:v>75.280899999999988</c:v>
                </c:pt>
                <c:pt idx="42">
                  <c:v>71.583600000000004</c:v>
                </c:pt>
                <c:pt idx="43">
                  <c:v>68.016500000000008</c:v>
                </c:pt>
                <c:pt idx="44">
                  <c:v>63.505899999999997</c:v>
                </c:pt>
                <c:pt idx="45">
                  <c:v>59.665199999999999</c:v>
                </c:pt>
                <c:pt idx="46">
                  <c:v>54.822000000000003</c:v>
                </c:pt>
                <c:pt idx="47">
                  <c:v>51.348000000000013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4871-42C1-B65B-C9D9F8A1F28E}"/>
            </c:ext>
          </c:extLst>
        </c:ser>
        <c:ser>
          <c:idx val="68"/>
          <c:order val="68"/>
          <c:tx>
            <c:v>BES_TR2_six431_C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SOC_pct!$BS$2:$BS$49</c:f>
              <c:numCache>
                <c:formatCode>0.0</c:formatCode>
                <c:ptCount val="48"/>
                <c:pt idx="0">
                  <c:v>40</c:v>
                </c:pt>
                <c:pt idx="1">
                  <c:v>37.768900000000002</c:v>
                </c:pt>
                <c:pt idx="2">
                  <c:v>37.116399999999999</c:v>
                </c:pt>
                <c:pt idx="3">
                  <c:v>34.534500000000001</c:v>
                </c:pt>
                <c:pt idx="4">
                  <c:v>33.881999999999998</c:v>
                </c:pt>
                <c:pt idx="5">
                  <c:v>32.527900000000002</c:v>
                </c:pt>
                <c:pt idx="6">
                  <c:v>30.647600000000001</c:v>
                </c:pt>
                <c:pt idx="7">
                  <c:v>29.995100000000001</c:v>
                </c:pt>
                <c:pt idx="8">
                  <c:v>29.3858</c:v>
                </c:pt>
                <c:pt idx="9">
                  <c:v>28.480399999999999</c:v>
                </c:pt>
                <c:pt idx="10">
                  <c:v>29.572600000000001</c:v>
                </c:pt>
                <c:pt idx="11">
                  <c:v>34.195700000000002</c:v>
                </c:pt>
                <c:pt idx="12">
                  <c:v>41.987000000000002</c:v>
                </c:pt>
                <c:pt idx="13">
                  <c:v>51.4985</c:v>
                </c:pt>
                <c:pt idx="14">
                  <c:v>50.588500000000003</c:v>
                </c:pt>
                <c:pt idx="15">
                  <c:v>60.802</c:v>
                </c:pt>
                <c:pt idx="16">
                  <c:v>75.856500000000011</c:v>
                </c:pt>
                <c:pt idx="17">
                  <c:v>96.506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69.0685</c:v>
                </c:pt>
                <c:pt idx="39">
                  <c:v>27.298200000000001</c:v>
                </c:pt>
                <c:pt idx="40">
                  <c:v>15.524900000000001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871-42C1-B65B-C9D9F8A1F28E}"/>
            </c:ext>
          </c:extLst>
        </c:ser>
        <c:ser>
          <c:idx val="69"/>
          <c:order val="69"/>
          <c:tx>
            <c:v>BES_TR2_six484_B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SOC_pct!$BT$2:$BT$49</c:f>
              <c:numCache>
                <c:formatCode>0.0</c:formatCode>
                <c:ptCount val="48"/>
                <c:pt idx="0">
                  <c:v>40</c:v>
                </c:pt>
                <c:pt idx="1">
                  <c:v>39.523200000000003</c:v>
                </c:pt>
                <c:pt idx="2">
                  <c:v>39.046300000000002</c:v>
                </c:pt>
                <c:pt idx="3">
                  <c:v>37.307200000000002</c:v>
                </c:pt>
                <c:pt idx="4">
                  <c:v>36.830399999999997</c:v>
                </c:pt>
                <c:pt idx="5">
                  <c:v>36.353499999999997</c:v>
                </c:pt>
                <c:pt idx="6">
                  <c:v>34.614400000000003</c:v>
                </c:pt>
                <c:pt idx="7">
                  <c:v>34.137599999999999</c:v>
                </c:pt>
                <c:pt idx="8">
                  <c:v>33.6877</c:v>
                </c:pt>
                <c:pt idx="9">
                  <c:v>32.338700000000003</c:v>
                </c:pt>
                <c:pt idx="10">
                  <c:v>33.551199999999987</c:v>
                </c:pt>
                <c:pt idx="11">
                  <c:v>36.378500000000003</c:v>
                </c:pt>
                <c:pt idx="12">
                  <c:v>40.049900000000001</c:v>
                </c:pt>
                <c:pt idx="13">
                  <c:v>47.017800000000001</c:v>
                </c:pt>
                <c:pt idx="14">
                  <c:v>56.172600000000003</c:v>
                </c:pt>
                <c:pt idx="15">
                  <c:v>66.367000000000004</c:v>
                </c:pt>
                <c:pt idx="16">
                  <c:v>79.876300000000001</c:v>
                </c:pt>
                <c:pt idx="17">
                  <c:v>88.456999999999994</c:v>
                </c:pt>
                <c:pt idx="18">
                  <c:v>89.690300000000008</c:v>
                </c:pt>
                <c:pt idx="19">
                  <c:v>100</c:v>
                </c:pt>
                <c:pt idx="20">
                  <c:v>100</c:v>
                </c:pt>
                <c:pt idx="21">
                  <c:v>92.790999999999997</c:v>
                </c:pt>
                <c:pt idx="22">
                  <c:v>85.44380000000001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99.694999999999993</c:v>
                </c:pt>
                <c:pt idx="40">
                  <c:v>94.868099999999998</c:v>
                </c:pt>
                <c:pt idx="41">
                  <c:v>89.597200000000001</c:v>
                </c:pt>
                <c:pt idx="42">
                  <c:v>82.842200000000005</c:v>
                </c:pt>
                <c:pt idx="43">
                  <c:v>78.486999999999995</c:v>
                </c:pt>
                <c:pt idx="44">
                  <c:v>69.611599999999996</c:v>
                </c:pt>
                <c:pt idx="45">
                  <c:v>67.962699999999998</c:v>
                </c:pt>
                <c:pt idx="46">
                  <c:v>67.485799999999998</c:v>
                </c:pt>
                <c:pt idx="47">
                  <c:v>65.746800000000007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4871-42C1-B65B-C9D9F8A1F28E}"/>
            </c:ext>
          </c:extLst>
        </c:ser>
        <c:ser>
          <c:idx val="70"/>
          <c:order val="70"/>
          <c:tx>
            <c:v>BES_TR2_six512_B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SOC_pct!$BU$2:$BU$49</c:f>
              <c:numCache>
                <c:formatCode>0.0</c:formatCode>
                <c:ptCount val="48"/>
                <c:pt idx="0">
                  <c:v>40</c:v>
                </c:pt>
                <c:pt idx="1">
                  <c:v>34.865200000000002</c:v>
                </c:pt>
                <c:pt idx="2">
                  <c:v>30.3886</c:v>
                </c:pt>
                <c:pt idx="3">
                  <c:v>29.5548</c:v>
                </c:pt>
                <c:pt idx="4">
                  <c:v>27.168800000000001</c:v>
                </c:pt>
                <c:pt idx="5">
                  <c:v>25.482800000000001</c:v>
                </c:pt>
                <c:pt idx="6">
                  <c:v>23.8504</c:v>
                </c:pt>
                <c:pt idx="7">
                  <c:v>21.410900000000002</c:v>
                </c:pt>
                <c:pt idx="8">
                  <c:v>20.952100000000002</c:v>
                </c:pt>
                <c:pt idx="9">
                  <c:v>18.0062</c:v>
                </c:pt>
                <c:pt idx="10">
                  <c:v>20.181100000000001</c:v>
                </c:pt>
                <c:pt idx="11">
                  <c:v>24.939699999999998</c:v>
                </c:pt>
                <c:pt idx="12">
                  <c:v>32.697000000000003</c:v>
                </c:pt>
                <c:pt idx="13">
                  <c:v>42.384700000000002</c:v>
                </c:pt>
                <c:pt idx="14">
                  <c:v>56.67</c:v>
                </c:pt>
                <c:pt idx="15">
                  <c:v>74.565400000000011</c:v>
                </c:pt>
                <c:pt idx="16">
                  <c:v>94.71929999999999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97.630099999999999</c:v>
                </c:pt>
                <c:pt idx="38">
                  <c:v>100</c:v>
                </c:pt>
                <c:pt idx="39">
                  <c:v>100</c:v>
                </c:pt>
                <c:pt idx="40">
                  <c:v>98.389700000000005</c:v>
                </c:pt>
                <c:pt idx="41">
                  <c:v>94.1691</c:v>
                </c:pt>
                <c:pt idx="42">
                  <c:v>91.834099999999992</c:v>
                </c:pt>
                <c:pt idx="43">
                  <c:v>88.287700000000001</c:v>
                </c:pt>
                <c:pt idx="44">
                  <c:v>84.379599999999996</c:v>
                </c:pt>
                <c:pt idx="45">
                  <c:v>80.365200000000002</c:v>
                </c:pt>
                <c:pt idx="46">
                  <c:v>75.394799999999989</c:v>
                </c:pt>
                <c:pt idx="47">
                  <c:v>70.898899999999998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871-42C1-B65B-C9D9F8A1F28E}"/>
            </c:ext>
          </c:extLst>
        </c:ser>
        <c:ser>
          <c:idx val="71"/>
          <c:order val="71"/>
          <c:tx>
            <c:v>BES_TR2_six518_B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SOC_pct!$BV$2:$BV$49</c:f>
              <c:numCache>
                <c:formatCode>0.0</c:formatCode>
                <c:ptCount val="48"/>
                <c:pt idx="0">
                  <c:v>40</c:v>
                </c:pt>
                <c:pt idx="1">
                  <c:v>38.544600000000003</c:v>
                </c:pt>
                <c:pt idx="2">
                  <c:v>36.743600000000001</c:v>
                </c:pt>
                <c:pt idx="3">
                  <c:v>36.066000000000003</c:v>
                </c:pt>
                <c:pt idx="4">
                  <c:v>34.092099999999988</c:v>
                </c:pt>
                <c:pt idx="5">
                  <c:v>32.8095</c:v>
                </c:pt>
                <c:pt idx="6">
                  <c:v>32.131900000000002</c:v>
                </c:pt>
                <c:pt idx="7">
                  <c:v>31.4543</c:v>
                </c:pt>
                <c:pt idx="8">
                  <c:v>30.020499999999998</c:v>
                </c:pt>
                <c:pt idx="9">
                  <c:v>28.531500000000001</c:v>
                </c:pt>
                <c:pt idx="10">
                  <c:v>29.234999999999999</c:v>
                </c:pt>
                <c:pt idx="11">
                  <c:v>30.997</c:v>
                </c:pt>
                <c:pt idx="12">
                  <c:v>33.098599999999998</c:v>
                </c:pt>
                <c:pt idx="13">
                  <c:v>38.406300000000002</c:v>
                </c:pt>
                <c:pt idx="14">
                  <c:v>43.908099999999997</c:v>
                </c:pt>
                <c:pt idx="15">
                  <c:v>52.550400000000003</c:v>
                </c:pt>
                <c:pt idx="16">
                  <c:v>63.091200000000001</c:v>
                </c:pt>
                <c:pt idx="17">
                  <c:v>75.268100000000004</c:v>
                </c:pt>
                <c:pt idx="18">
                  <c:v>87.971600000000009</c:v>
                </c:pt>
                <c:pt idx="19">
                  <c:v>79.511899999999997</c:v>
                </c:pt>
                <c:pt idx="20">
                  <c:v>88.947800000000001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98.4405</c:v>
                </c:pt>
                <c:pt idx="39">
                  <c:v>96.708799999999997</c:v>
                </c:pt>
                <c:pt idx="40">
                  <c:v>90.347099999999998</c:v>
                </c:pt>
                <c:pt idx="41">
                  <c:v>84.726799999999997</c:v>
                </c:pt>
                <c:pt idx="42">
                  <c:v>67.16109999999999</c:v>
                </c:pt>
                <c:pt idx="43">
                  <c:v>60.917200000000008</c:v>
                </c:pt>
                <c:pt idx="44">
                  <c:v>56.364899999999999</c:v>
                </c:pt>
                <c:pt idx="45">
                  <c:v>49.667400000000001</c:v>
                </c:pt>
                <c:pt idx="46">
                  <c:v>46.103700000000003</c:v>
                </c:pt>
                <c:pt idx="47">
                  <c:v>40.025100000000002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4871-42C1-B65B-C9D9F8A1F28E}"/>
            </c:ext>
          </c:extLst>
        </c:ser>
        <c:ser>
          <c:idx val="72"/>
          <c:order val="72"/>
          <c:tx>
            <c:v>BES_TR2_six523_C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SOC_pct!$BW$2:$BW$49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38.136800000000001</c:v>
                </c:pt>
                <c:pt idx="3">
                  <c:v>34.326099999999997</c:v>
                </c:pt>
                <c:pt idx="4">
                  <c:v>33.360799999999998</c:v>
                </c:pt>
                <c:pt idx="5">
                  <c:v>31.8508</c:v>
                </c:pt>
                <c:pt idx="6">
                  <c:v>28.475000000000001</c:v>
                </c:pt>
                <c:pt idx="7">
                  <c:v>27.142299999999999</c:v>
                </c:pt>
                <c:pt idx="8">
                  <c:v>24.159500000000001</c:v>
                </c:pt>
                <c:pt idx="9">
                  <c:v>22.222899999999999</c:v>
                </c:pt>
                <c:pt idx="10">
                  <c:v>22.9941</c:v>
                </c:pt>
                <c:pt idx="11">
                  <c:v>22.599399999999999</c:v>
                </c:pt>
                <c:pt idx="12">
                  <c:v>22.718699999999998</c:v>
                </c:pt>
                <c:pt idx="13">
                  <c:v>26.195799999999998</c:v>
                </c:pt>
                <c:pt idx="14">
                  <c:v>15.1317</c:v>
                </c:pt>
                <c:pt idx="15">
                  <c:v>21.225300000000001</c:v>
                </c:pt>
                <c:pt idx="16">
                  <c:v>15.769299999999999</c:v>
                </c:pt>
                <c:pt idx="17">
                  <c:v>22.396100000000001</c:v>
                </c:pt>
                <c:pt idx="18">
                  <c:v>33.0244</c:v>
                </c:pt>
                <c:pt idx="19">
                  <c:v>42.150599999999997</c:v>
                </c:pt>
                <c:pt idx="20">
                  <c:v>52.819899999999997</c:v>
                </c:pt>
                <c:pt idx="21">
                  <c:v>67.724599999999995</c:v>
                </c:pt>
                <c:pt idx="22">
                  <c:v>74.233800000000002</c:v>
                </c:pt>
                <c:pt idx="23">
                  <c:v>92.703199999999995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88.807100000000005</c:v>
                </c:pt>
                <c:pt idx="38">
                  <c:v>90.099500000000006</c:v>
                </c:pt>
                <c:pt idx="39">
                  <c:v>88.617500000000007</c:v>
                </c:pt>
                <c:pt idx="40">
                  <c:v>82.093000000000004</c:v>
                </c:pt>
                <c:pt idx="41">
                  <c:v>79.247</c:v>
                </c:pt>
                <c:pt idx="42">
                  <c:v>74.110600000000005</c:v>
                </c:pt>
                <c:pt idx="43">
                  <c:v>67.550799999999995</c:v>
                </c:pt>
                <c:pt idx="44">
                  <c:v>52.107899999999987</c:v>
                </c:pt>
                <c:pt idx="45">
                  <c:v>43.567699999999988</c:v>
                </c:pt>
                <c:pt idx="46">
                  <c:v>34.158200000000001</c:v>
                </c:pt>
                <c:pt idx="47">
                  <c:v>27.037199999999999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871-42C1-B65B-C9D9F8A1F28E}"/>
            </c:ext>
          </c:extLst>
        </c:ser>
        <c:ser>
          <c:idx val="73"/>
          <c:order val="73"/>
          <c:tx>
            <c:v>BES_TR2_six571_C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SOC_pct!$BX$2:$BX$49</c:f>
              <c:numCache>
                <c:formatCode>0.0</c:formatCode>
                <c:ptCount val="48"/>
                <c:pt idx="0">
                  <c:v>40</c:v>
                </c:pt>
                <c:pt idx="1">
                  <c:v>35.181699999999999</c:v>
                </c:pt>
                <c:pt idx="2">
                  <c:v>34.504100000000001</c:v>
                </c:pt>
                <c:pt idx="3">
                  <c:v>30.160699999999999</c:v>
                </c:pt>
                <c:pt idx="4">
                  <c:v>29.2331</c:v>
                </c:pt>
                <c:pt idx="5">
                  <c:v>24.947800000000001</c:v>
                </c:pt>
                <c:pt idx="6">
                  <c:v>23.5121</c:v>
                </c:pt>
                <c:pt idx="7">
                  <c:v>19.633700000000001</c:v>
                </c:pt>
                <c:pt idx="8">
                  <c:v>17.3735</c:v>
                </c:pt>
                <c:pt idx="9">
                  <c:v>15.8438</c:v>
                </c:pt>
                <c:pt idx="10">
                  <c:v>16.009499999999999</c:v>
                </c:pt>
                <c:pt idx="11">
                  <c:v>17.220800000000001</c:v>
                </c:pt>
                <c:pt idx="12">
                  <c:v>21.677700000000002</c:v>
                </c:pt>
                <c:pt idx="13">
                  <c:v>27.412099999999999</c:v>
                </c:pt>
                <c:pt idx="14">
                  <c:v>36.790700000000001</c:v>
                </c:pt>
                <c:pt idx="15">
                  <c:v>47.965400000000002</c:v>
                </c:pt>
                <c:pt idx="16">
                  <c:v>62.859499999999997</c:v>
                </c:pt>
                <c:pt idx="17">
                  <c:v>80.193100000000001</c:v>
                </c:pt>
                <c:pt idx="18">
                  <c:v>98.414699999999996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99.2714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98.028899999999993</c:v>
                </c:pt>
                <c:pt idx="38">
                  <c:v>97.750199999999992</c:v>
                </c:pt>
                <c:pt idx="39">
                  <c:v>92.271199999999993</c:v>
                </c:pt>
                <c:pt idx="40">
                  <c:v>88.685699999999997</c:v>
                </c:pt>
                <c:pt idx="41">
                  <c:v>86.06</c:v>
                </c:pt>
                <c:pt idx="42">
                  <c:v>84.362200000000001</c:v>
                </c:pt>
                <c:pt idx="43">
                  <c:v>80.739000000000004</c:v>
                </c:pt>
                <c:pt idx="44">
                  <c:v>79.673299999999998</c:v>
                </c:pt>
                <c:pt idx="45">
                  <c:v>77.043399999999991</c:v>
                </c:pt>
                <c:pt idx="46">
                  <c:v>76.365700000000004</c:v>
                </c:pt>
                <c:pt idx="47">
                  <c:v>71.272400000000005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4871-42C1-B65B-C9D9F8A1F28E}"/>
            </c:ext>
          </c:extLst>
        </c:ser>
        <c:ser>
          <c:idx val="74"/>
          <c:order val="74"/>
          <c:tx>
            <c:v>BES_TR2_six583_A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SOC_pct!$BY$2:$BY$49</c:f>
              <c:numCache>
                <c:formatCode>0.0</c:formatCode>
                <c:ptCount val="48"/>
                <c:pt idx="0">
                  <c:v>40</c:v>
                </c:pt>
                <c:pt idx="1">
                  <c:v>39.322400000000002</c:v>
                </c:pt>
                <c:pt idx="2">
                  <c:v>36.618499999999997</c:v>
                </c:pt>
                <c:pt idx="3">
                  <c:v>35.886899999999997</c:v>
                </c:pt>
                <c:pt idx="4">
                  <c:v>35.209299999999999</c:v>
                </c:pt>
                <c:pt idx="5">
                  <c:v>33.559699999999999</c:v>
                </c:pt>
                <c:pt idx="6">
                  <c:v>31.773900000000001</c:v>
                </c:pt>
                <c:pt idx="7">
                  <c:v>31.096299999999999</c:v>
                </c:pt>
                <c:pt idx="8">
                  <c:v>30.456399999999999</c:v>
                </c:pt>
                <c:pt idx="9">
                  <c:v>29.2166</c:v>
                </c:pt>
                <c:pt idx="10">
                  <c:v>30.176100000000002</c:v>
                </c:pt>
                <c:pt idx="11">
                  <c:v>33.6233</c:v>
                </c:pt>
                <c:pt idx="12">
                  <c:v>39.460500000000003</c:v>
                </c:pt>
                <c:pt idx="13">
                  <c:v>48.5747</c:v>
                </c:pt>
                <c:pt idx="14">
                  <c:v>61.382399999999997</c:v>
                </c:pt>
                <c:pt idx="15">
                  <c:v>76.238600000000005</c:v>
                </c:pt>
                <c:pt idx="16">
                  <c:v>95.142499999999998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99.527100000000004</c:v>
                </c:pt>
                <c:pt idx="41">
                  <c:v>98.828999999999994</c:v>
                </c:pt>
                <c:pt idx="42">
                  <c:v>96.308599999999998</c:v>
                </c:pt>
                <c:pt idx="43">
                  <c:v>95.576999999999998</c:v>
                </c:pt>
                <c:pt idx="44">
                  <c:v>91.054699999999997</c:v>
                </c:pt>
                <c:pt idx="45">
                  <c:v>84.787300000000002</c:v>
                </c:pt>
                <c:pt idx="46">
                  <c:v>79.316400000000002</c:v>
                </c:pt>
                <c:pt idx="47">
                  <c:v>71.842300000000009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871-42C1-B65B-C9D9F8A1F28E}"/>
            </c:ext>
          </c:extLst>
        </c:ser>
        <c:ser>
          <c:idx val="75"/>
          <c:order val="75"/>
          <c:tx>
            <c:v>BES_TR2_six625_A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SOC_pct!$BZ$2:$BZ$49</c:f>
              <c:numCache>
                <c:formatCode>0.0</c:formatCode>
                <c:ptCount val="48"/>
                <c:pt idx="0">
                  <c:v>40</c:v>
                </c:pt>
                <c:pt idx="1">
                  <c:v>32.5501</c:v>
                </c:pt>
                <c:pt idx="2">
                  <c:v>25.366599999999998</c:v>
                </c:pt>
                <c:pt idx="3">
                  <c:v>18.302800000000001</c:v>
                </c:pt>
                <c:pt idx="4">
                  <c:v>17.574999999999999</c:v>
                </c:pt>
                <c:pt idx="5">
                  <c:v>13.929</c:v>
                </c:pt>
                <c:pt idx="6">
                  <c:v>12.297700000000001</c:v>
                </c:pt>
                <c:pt idx="7">
                  <c:v>11.0268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11.5299</c:v>
                </c:pt>
                <c:pt idx="12">
                  <c:v>16.164899999999999</c:v>
                </c:pt>
                <c:pt idx="13">
                  <c:v>23.029399999999999</c:v>
                </c:pt>
                <c:pt idx="14">
                  <c:v>32.786299999999997</c:v>
                </c:pt>
                <c:pt idx="15">
                  <c:v>46.242800000000003</c:v>
                </c:pt>
                <c:pt idx="16">
                  <c:v>58.874300000000012</c:v>
                </c:pt>
                <c:pt idx="17">
                  <c:v>56.186800000000012</c:v>
                </c:pt>
                <c:pt idx="18">
                  <c:v>73.876400000000004</c:v>
                </c:pt>
                <c:pt idx="19">
                  <c:v>94.505099999999999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97.891099999999994</c:v>
                </c:pt>
                <c:pt idx="39">
                  <c:v>80.762799999999999</c:v>
                </c:pt>
                <c:pt idx="40">
                  <c:v>75.600700000000003</c:v>
                </c:pt>
                <c:pt idx="41">
                  <c:v>68.726399999999998</c:v>
                </c:pt>
                <c:pt idx="42">
                  <c:v>60.552799999999998</c:v>
                </c:pt>
                <c:pt idx="43">
                  <c:v>54.3324</c:v>
                </c:pt>
                <c:pt idx="44">
                  <c:v>52.199100000000001</c:v>
                </c:pt>
                <c:pt idx="45">
                  <c:v>51.471299999999999</c:v>
                </c:pt>
                <c:pt idx="46">
                  <c:v>48.051000000000002</c:v>
                </c:pt>
                <c:pt idx="47">
                  <c:v>46.194099999999999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4871-42C1-B65B-C9D9F8A1F28E}"/>
            </c:ext>
          </c:extLst>
        </c:ser>
        <c:ser>
          <c:idx val="76"/>
          <c:order val="76"/>
          <c:tx>
            <c:v>BES_TR2_six646_B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SOC_pct!$CA$2:$CA$49</c:f>
              <c:numCache>
                <c:formatCode>0.0</c:formatCode>
                <c:ptCount val="48"/>
                <c:pt idx="0">
                  <c:v>40</c:v>
                </c:pt>
                <c:pt idx="1">
                  <c:v>37.352200000000003</c:v>
                </c:pt>
                <c:pt idx="2">
                  <c:v>36.774900000000002</c:v>
                </c:pt>
                <c:pt idx="3">
                  <c:v>32.805100000000003</c:v>
                </c:pt>
                <c:pt idx="4">
                  <c:v>31.683</c:v>
                </c:pt>
                <c:pt idx="5">
                  <c:v>30.5608</c:v>
                </c:pt>
                <c:pt idx="6">
                  <c:v>26.745000000000001</c:v>
                </c:pt>
                <c:pt idx="7">
                  <c:v>26.0138</c:v>
                </c:pt>
                <c:pt idx="8">
                  <c:v>24.275500000000001</c:v>
                </c:pt>
                <c:pt idx="9">
                  <c:v>23.0456</c:v>
                </c:pt>
                <c:pt idx="10">
                  <c:v>24.824400000000001</c:v>
                </c:pt>
                <c:pt idx="11">
                  <c:v>27.616599999999998</c:v>
                </c:pt>
                <c:pt idx="12">
                  <c:v>32.131900000000002</c:v>
                </c:pt>
                <c:pt idx="13">
                  <c:v>41.968200000000003</c:v>
                </c:pt>
                <c:pt idx="14">
                  <c:v>52.569800000000001</c:v>
                </c:pt>
                <c:pt idx="15">
                  <c:v>67.266400000000004</c:v>
                </c:pt>
                <c:pt idx="16">
                  <c:v>85.083600000000004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91.482799999999997</c:v>
                </c:pt>
                <c:pt idx="38">
                  <c:v>92.884100000000004</c:v>
                </c:pt>
                <c:pt idx="39">
                  <c:v>95.5886</c:v>
                </c:pt>
                <c:pt idx="40">
                  <c:v>96.128100000000003</c:v>
                </c:pt>
                <c:pt idx="41">
                  <c:v>93.3703</c:v>
                </c:pt>
                <c:pt idx="42">
                  <c:v>92.562100000000001</c:v>
                </c:pt>
                <c:pt idx="43">
                  <c:v>90.022000000000006</c:v>
                </c:pt>
                <c:pt idx="44">
                  <c:v>87.470100000000002</c:v>
                </c:pt>
                <c:pt idx="45">
                  <c:v>85.5839</c:v>
                </c:pt>
                <c:pt idx="46">
                  <c:v>84.679699999999997</c:v>
                </c:pt>
                <c:pt idx="47">
                  <c:v>80.49199999999999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871-42C1-B65B-C9D9F8A1F28E}"/>
            </c:ext>
          </c:extLst>
        </c:ser>
        <c:ser>
          <c:idx val="77"/>
          <c:order val="77"/>
          <c:tx>
            <c:v>BES_TR2_six87_A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SOC_pct!$CB$2:$CB$49</c:f>
              <c:numCache>
                <c:formatCode>0.0</c:formatCode>
                <c:ptCount val="48"/>
                <c:pt idx="0">
                  <c:v>40</c:v>
                </c:pt>
                <c:pt idx="1">
                  <c:v>38.180399999999999</c:v>
                </c:pt>
                <c:pt idx="2">
                  <c:v>35.692599999999999</c:v>
                </c:pt>
                <c:pt idx="3">
                  <c:v>33.546500000000002</c:v>
                </c:pt>
                <c:pt idx="4">
                  <c:v>29.1769</c:v>
                </c:pt>
                <c:pt idx="5">
                  <c:v>27.240600000000001</c:v>
                </c:pt>
                <c:pt idx="6">
                  <c:v>24.930199999999999</c:v>
                </c:pt>
                <c:pt idx="7">
                  <c:v>21.983599999999999</c:v>
                </c:pt>
                <c:pt idx="8">
                  <c:v>19.8644</c:v>
                </c:pt>
                <c:pt idx="9">
                  <c:v>17.5945</c:v>
                </c:pt>
                <c:pt idx="10">
                  <c:v>17.031300000000002</c:v>
                </c:pt>
                <c:pt idx="11">
                  <c:v>17.091200000000001</c:v>
                </c:pt>
                <c:pt idx="12">
                  <c:v>21.651399999999999</c:v>
                </c:pt>
                <c:pt idx="13">
                  <c:v>25.0746</c:v>
                </c:pt>
                <c:pt idx="14">
                  <c:v>32.768099999999997</c:v>
                </c:pt>
                <c:pt idx="15">
                  <c:v>41.4893</c:v>
                </c:pt>
                <c:pt idx="16">
                  <c:v>22.875800000000002</c:v>
                </c:pt>
                <c:pt idx="17">
                  <c:v>33.661700000000003</c:v>
                </c:pt>
                <c:pt idx="18">
                  <c:v>47.540199999999999</c:v>
                </c:pt>
                <c:pt idx="19">
                  <c:v>65.553200000000004</c:v>
                </c:pt>
                <c:pt idx="20">
                  <c:v>83.024799999999999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87.0351</c:v>
                </c:pt>
                <c:pt idx="34">
                  <c:v>98.164700000000011</c:v>
                </c:pt>
                <c:pt idx="35">
                  <c:v>100</c:v>
                </c:pt>
                <c:pt idx="36">
                  <c:v>91.637799999999999</c:v>
                </c:pt>
                <c:pt idx="37">
                  <c:v>84.621500000000012</c:v>
                </c:pt>
                <c:pt idx="38">
                  <c:v>74.268500000000003</c:v>
                </c:pt>
                <c:pt idx="39">
                  <c:v>49.067100000000003</c:v>
                </c:pt>
                <c:pt idx="40">
                  <c:v>42.869399999999999</c:v>
                </c:pt>
                <c:pt idx="41">
                  <c:v>37.888599999999997</c:v>
                </c:pt>
                <c:pt idx="42">
                  <c:v>28.904699999999998</c:v>
                </c:pt>
                <c:pt idx="43">
                  <c:v>18.437999999999999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4871-42C1-B65B-C9D9F8A1F28E}"/>
            </c:ext>
          </c:extLst>
        </c:ser>
        <c:ser>
          <c:idx val="78"/>
          <c:order val="78"/>
          <c:tx>
            <c:v>BES_TR2_six652_A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SOC_pct!$CC$2:$CC$49</c:f>
              <c:numCache>
                <c:formatCode>0.0</c:formatCode>
                <c:ptCount val="48"/>
                <c:pt idx="0">
                  <c:v>40</c:v>
                </c:pt>
                <c:pt idx="1">
                  <c:v>38.042000000000002</c:v>
                </c:pt>
                <c:pt idx="2">
                  <c:v>34.360799999999998</c:v>
                </c:pt>
                <c:pt idx="3">
                  <c:v>32.839799999999997</c:v>
                </c:pt>
                <c:pt idx="4">
                  <c:v>30.051100000000002</c:v>
                </c:pt>
                <c:pt idx="5">
                  <c:v>29.011600000000001</c:v>
                </c:pt>
                <c:pt idx="6">
                  <c:v>25.413900000000002</c:v>
                </c:pt>
                <c:pt idx="7">
                  <c:v>23.315200000000001</c:v>
                </c:pt>
                <c:pt idx="8">
                  <c:v>20.475100000000001</c:v>
                </c:pt>
                <c:pt idx="9">
                  <c:v>18.330500000000001</c:v>
                </c:pt>
                <c:pt idx="10">
                  <c:v>19.588200000000001</c:v>
                </c:pt>
                <c:pt idx="11">
                  <c:v>21.837800000000001</c:v>
                </c:pt>
                <c:pt idx="12">
                  <c:v>28.576899999999998</c:v>
                </c:pt>
                <c:pt idx="13">
                  <c:v>39.754300000000001</c:v>
                </c:pt>
                <c:pt idx="14">
                  <c:v>53.587899999999998</c:v>
                </c:pt>
                <c:pt idx="15">
                  <c:v>69.221999999999994</c:v>
                </c:pt>
                <c:pt idx="16">
                  <c:v>88.904000000000011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95.876499999999993</c:v>
                </c:pt>
                <c:pt idx="40">
                  <c:v>92.588200000000001</c:v>
                </c:pt>
                <c:pt idx="41">
                  <c:v>89.068600000000004</c:v>
                </c:pt>
                <c:pt idx="42">
                  <c:v>81.544600000000003</c:v>
                </c:pt>
                <c:pt idx="43">
                  <c:v>78.617000000000004</c:v>
                </c:pt>
                <c:pt idx="44">
                  <c:v>77.463200000000001</c:v>
                </c:pt>
                <c:pt idx="45">
                  <c:v>75.732500000000002</c:v>
                </c:pt>
                <c:pt idx="46">
                  <c:v>73.592699999999994</c:v>
                </c:pt>
                <c:pt idx="47">
                  <c:v>71.012699999999995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871-42C1-B65B-C9D9F8A1F28E}"/>
            </c:ext>
          </c:extLst>
        </c:ser>
        <c:ser>
          <c:idx val="79"/>
          <c:order val="79"/>
          <c:tx>
            <c:v>BES_TR2_six665_B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SOC_pct!$CD$2:$CD$49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38.567</c:v>
                </c:pt>
                <c:pt idx="3">
                  <c:v>37.078600000000002</c:v>
                </c:pt>
                <c:pt idx="4">
                  <c:v>36.310699999999997</c:v>
                </c:pt>
                <c:pt idx="5">
                  <c:v>34.822299999999998</c:v>
                </c:pt>
                <c:pt idx="6">
                  <c:v>34.157299999999999</c:v>
                </c:pt>
                <c:pt idx="7">
                  <c:v>33.080599999999997</c:v>
                </c:pt>
                <c:pt idx="8">
                  <c:v>31.944099999999999</c:v>
                </c:pt>
                <c:pt idx="9">
                  <c:v>31.903199999999998</c:v>
                </c:pt>
                <c:pt idx="10">
                  <c:v>33.097700000000003</c:v>
                </c:pt>
                <c:pt idx="11">
                  <c:v>37.709499999999998</c:v>
                </c:pt>
                <c:pt idx="12">
                  <c:v>44.655999999999999</c:v>
                </c:pt>
                <c:pt idx="13">
                  <c:v>55.892600000000002</c:v>
                </c:pt>
                <c:pt idx="14">
                  <c:v>69.794899999999998</c:v>
                </c:pt>
                <c:pt idx="15">
                  <c:v>88.011700000000005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95.159199999999998</c:v>
                </c:pt>
                <c:pt idx="23">
                  <c:v>95.955100000000002</c:v>
                </c:pt>
                <c:pt idx="24">
                  <c:v>99.999899999999997</c:v>
                </c:pt>
                <c:pt idx="25">
                  <c:v>94.3767</c:v>
                </c:pt>
                <c:pt idx="26">
                  <c:v>98.575100000000006</c:v>
                </c:pt>
                <c:pt idx="27">
                  <c:v>98.575100000000006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95.865600000000001</c:v>
                </c:pt>
                <c:pt idx="41">
                  <c:v>89.429099999999991</c:v>
                </c:pt>
                <c:pt idx="42">
                  <c:v>78.879000000000005</c:v>
                </c:pt>
                <c:pt idx="43">
                  <c:v>73.181300000000007</c:v>
                </c:pt>
                <c:pt idx="44">
                  <c:v>68.3018</c:v>
                </c:pt>
                <c:pt idx="45">
                  <c:v>63.335099999999997</c:v>
                </c:pt>
                <c:pt idx="46">
                  <c:v>57.541299999999993</c:v>
                </c:pt>
                <c:pt idx="47">
                  <c:v>56.876199999999997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4871-42C1-B65B-C9D9F8A1F28E}"/>
            </c:ext>
          </c:extLst>
        </c:ser>
        <c:ser>
          <c:idx val="80"/>
          <c:order val="80"/>
          <c:tx>
            <c:v>BES_TR2_six667_A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SOC_pct!$CE$2:$CE$49</c:f>
              <c:numCache>
                <c:formatCode>0.0</c:formatCode>
                <c:ptCount val="48"/>
                <c:pt idx="0">
                  <c:v>40</c:v>
                </c:pt>
                <c:pt idx="1">
                  <c:v>39.2973</c:v>
                </c:pt>
                <c:pt idx="2">
                  <c:v>36.277299999999997</c:v>
                </c:pt>
                <c:pt idx="3">
                  <c:v>35.5745</c:v>
                </c:pt>
                <c:pt idx="4">
                  <c:v>33.9238</c:v>
                </c:pt>
                <c:pt idx="5">
                  <c:v>31.851800000000001</c:v>
                </c:pt>
                <c:pt idx="6">
                  <c:v>31.149100000000001</c:v>
                </c:pt>
                <c:pt idx="7">
                  <c:v>29.182400000000001</c:v>
                </c:pt>
                <c:pt idx="8">
                  <c:v>27.453299999999999</c:v>
                </c:pt>
                <c:pt idx="9">
                  <c:v>27.140699999999999</c:v>
                </c:pt>
                <c:pt idx="10">
                  <c:v>26.2607</c:v>
                </c:pt>
                <c:pt idx="11">
                  <c:v>28.600300000000001</c:v>
                </c:pt>
                <c:pt idx="12">
                  <c:v>33.204500000000003</c:v>
                </c:pt>
                <c:pt idx="13">
                  <c:v>37.377699999999997</c:v>
                </c:pt>
                <c:pt idx="14">
                  <c:v>44.887300000000003</c:v>
                </c:pt>
                <c:pt idx="15">
                  <c:v>53.346600000000002</c:v>
                </c:pt>
                <c:pt idx="16">
                  <c:v>66.652500000000003</c:v>
                </c:pt>
                <c:pt idx="17">
                  <c:v>78.083100000000002</c:v>
                </c:pt>
                <c:pt idx="18">
                  <c:v>90.485800000000012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69.702200000000005</c:v>
                </c:pt>
                <c:pt idx="40">
                  <c:v>52.897000000000013</c:v>
                </c:pt>
                <c:pt idx="41">
                  <c:v>46.782400000000003</c:v>
                </c:pt>
                <c:pt idx="42">
                  <c:v>39.179600000000001</c:v>
                </c:pt>
                <c:pt idx="43">
                  <c:v>11.5318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871-42C1-B65B-C9D9F8A1F28E}"/>
            </c:ext>
          </c:extLst>
        </c:ser>
        <c:ser>
          <c:idx val="81"/>
          <c:order val="81"/>
          <c:tx>
            <c:v>BES_TR2_six721_A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SOC_pct!$CF$2:$CF$49</c:f>
              <c:numCache>
                <c:formatCode>0.0</c:formatCode>
                <c:ptCount val="48"/>
                <c:pt idx="0">
                  <c:v>40</c:v>
                </c:pt>
                <c:pt idx="1">
                  <c:v>31.145900000000001</c:v>
                </c:pt>
                <c:pt idx="2">
                  <c:v>29.441800000000001</c:v>
                </c:pt>
                <c:pt idx="3">
                  <c:v>27.577200000000001</c:v>
                </c:pt>
                <c:pt idx="4">
                  <c:v>25.237100000000002</c:v>
                </c:pt>
                <c:pt idx="5">
                  <c:v>23.053799999999999</c:v>
                </c:pt>
                <c:pt idx="6">
                  <c:v>22.464099999999998</c:v>
                </c:pt>
                <c:pt idx="7">
                  <c:v>20.203499999999998</c:v>
                </c:pt>
                <c:pt idx="8">
                  <c:v>18.679300000000001</c:v>
                </c:pt>
                <c:pt idx="9">
                  <c:v>16.570599999999999</c:v>
                </c:pt>
                <c:pt idx="10">
                  <c:v>16.405200000000001</c:v>
                </c:pt>
                <c:pt idx="11">
                  <c:v>17.404</c:v>
                </c:pt>
                <c:pt idx="12">
                  <c:v>19.415299999999998</c:v>
                </c:pt>
                <c:pt idx="13">
                  <c:v>23.439699999999998</c:v>
                </c:pt>
                <c:pt idx="14">
                  <c:v>30.576000000000001</c:v>
                </c:pt>
                <c:pt idx="15">
                  <c:v>39.023299999999999</c:v>
                </c:pt>
                <c:pt idx="16">
                  <c:v>46.921199999999999</c:v>
                </c:pt>
                <c:pt idx="17">
                  <c:v>57.192300000000003</c:v>
                </c:pt>
                <c:pt idx="18">
                  <c:v>69.123800000000003</c:v>
                </c:pt>
                <c:pt idx="19">
                  <c:v>82.937700000000007</c:v>
                </c:pt>
                <c:pt idx="20">
                  <c:v>98.082499999999996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99.253299999999996</c:v>
                </c:pt>
                <c:pt idx="40">
                  <c:v>99.017599999999987</c:v>
                </c:pt>
                <c:pt idx="41">
                  <c:v>96.958299999999994</c:v>
                </c:pt>
                <c:pt idx="42">
                  <c:v>94.618200000000002</c:v>
                </c:pt>
                <c:pt idx="43">
                  <c:v>92.434899999999999</c:v>
                </c:pt>
                <c:pt idx="44">
                  <c:v>90.8108</c:v>
                </c:pt>
                <c:pt idx="45">
                  <c:v>89.1066</c:v>
                </c:pt>
                <c:pt idx="46">
                  <c:v>87.321700000000007</c:v>
                </c:pt>
                <c:pt idx="47">
                  <c:v>85.538499999999999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4871-42C1-B65B-C9D9F8A1F28E}"/>
            </c:ext>
          </c:extLst>
        </c:ser>
        <c:ser>
          <c:idx val="82"/>
          <c:order val="82"/>
          <c:tx>
            <c:v>BES_TR2_six740_A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SOC_pct!$CG$2:$CG$49</c:f>
              <c:numCache>
                <c:formatCode>0.0</c:formatCode>
                <c:ptCount val="48"/>
                <c:pt idx="0">
                  <c:v>40</c:v>
                </c:pt>
                <c:pt idx="1">
                  <c:v>38.304299999999998</c:v>
                </c:pt>
                <c:pt idx="2">
                  <c:v>36.642400000000002</c:v>
                </c:pt>
                <c:pt idx="3">
                  <c:v>35.970400000000012</c:v>
                </c:pt>
                <c:pt idx="4">
                  <c:v>34.865499999999997</c:v>
                </c:pt>
                <c:pt idx="5">
                  <c:v>33.961000000000013</c:v>
                </c:pt>
                <c:pt idx="6">
                  <c:v>31.616099999999999</c:v>
                </c:pt>
                <c:pt idx="7">
                  <c:v>31.106400000000001</c:v>
                </c:pt>
                <c:pt idx="8">
                  <c:v>28.999600000000001</c:v>
                </c:pt>
                <c:pt idx="9">
                  <c:v>28.332599999999999</c:v>
                </c:pt>
                <c:pt idx="10">
                  <c:v>30.269600000000001</c:v>
                </c:pt>
                <c:pt idx="11">
                  <c:v>33.820599999999999</c:v>
                </c:pt>
                <c:pt idx="12">
                  <c:v>39.5762</c:v>
                </c:pt>
                <c:pt idx="13">
                  <c:v>49.132399999999997</c:v>
                </c:pt>
                <c:pt idx="14">
                  <c:v>62.188600000000008</c:v>
                </c:pt>
                <c:pt idx="15">
                  <c:v>76.573599999999999</c:v>
                </c:pt>
                <c:pt idx="16">
                  <c:v>95.015799999999999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98.086100000000002</c:v>
                </c:pt>
                <c:pt idx="41">
                  <c:v>93.245800000000003</c:v>
                </c:pt>
                <c:pt idx="42">
                  <c:v>84.2029</c:v>
                </c:pt>
                <c:pt idx="43">
                  <c:v>65.4709</c:v>
                </c:pt>
                <c:pt idx="44">
                  <c:v>59.288499999999999</c:v>
                </c:pt>
                <c:pt idx="45">
                  <c:v>55.507100000000001</c:v>
                </c:pt>
                <c:pt idx="46">
                  <c:v>54.439400000000013</c:v>
                </c:pt>
                <c:pt idx="47">
                  <c:v>53.442799999999998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871-42C1-B65B-C9D9F8A1F28E}"/>
            </c:ext>
          </c:extLst>
        </c:ser>
        <c:ser>
          <c:idx val="83"/>
          <c:order val="83"/>
          <c:tx>
            <c:v>BES_TR2_six758_B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SOC_pct!$CH$2:$CH$49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36.582299999999996</c:v>
                </c:pt>
                <c:pt idx="3">
                  <c:v>35.954900000000002</c:v>
                </c:pt>
                <c:pt idx="4">
                  <c:v>33.9512</c:v>
                </c:pt>
                <c:pt idx="5">
                  <c:v>32.537300000000002</c:v>
                </c:pt>
                <c:pt idx="6">
                  <c:v>31.614899999999999</c:v>
                </c:pt>
                <c:pt idx="7">
                  <c:v>29.119599999999998</c:v>
                </c:pt>
                <c:pt idx="8">
                  <c:v>28.519200000000001</c:v>
                </c:pt>
                <c:pt idx="9">
                  <c:v>28.2818</c:v>
                </c:pt>
                <c:pt idx="10">
                  <c:v>27.7089</c:v>
                </c:pt>
                <c:pt idx="11">
                  <c:v>30.046700000000001</c:v>
                </c:pt>
                <c:pt idx="12">
                  <c:v>34.630200000000002</c:v>
                </c:pt>
                <c:pt idx="13">
                  <c:v>39.604399999999998</c:v>
                </c:pt>
                <c:pt idx="14">
                  <c:v>48.623699999999999</c:v>
                </c:pt>
                <c:pt idx="15">
                  <c:v>59.022300000000008</c:v>
                </c:pt>
                <c:pt idx="16">
                  <c:v>71.245800000000003</c:v>
                </c:pt>
                <c:pt idx="17">
                  <c:v>86.664500000000004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99.838899999999995</c:v>
                </c:pt>
                <c:pt idx="37">
                  <c:v>100</c:v>
                </c:pt>
                <c:pt idx="38">
                  <c:v>100</c:v>
                </c:pt>
                <c:pt idx="39">
                  <c:v>99.672300000000007</c:v>
                </c:pt>
                <c:pt idx="40">
                  <c:v>94.6494</c:v>
                </c:pt>
                <c:pt idx="41">
                  <c:v>86.448100000000011</c:v>
                </c:pt>
                <c:pt idx="42">
                  <c:v>75.752099999999999</c:v>
                </c:pt>
                <c:pt idx="43">
                  <c:v>68.730100000000007</c:v>
                </c:pt>
                <c:pt idx="44">
                  <c:v>62.604000000000013</c:v>
                </c:pt>
                <c:pt idx="45">
                  <c:v>56.669199999999996</c:v>
                </c:pt>
                <c:pt idx="46">
                  <c:v>55.746799999999993</c:v>
                </c:pt>
                <c:pt idx="47">
                  <c:v>53.251499999999993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4871-42C1-B65B-C9D9F8A1F28E}"/>
            </c:ext>
          </c:extLst>
        </c:ser>
        <c:ser>
          <c:idx val="84"/>
          <c:order val="84"/>
          <c:tx>
            <c:v>BES_TR2_six784_B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SOC_pct!$CI$2:$CI$49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38.770200000000003</c:v>
                </c:pt>
                <c:pt idx="3">
                  <c:v>38.1554</c:v>
                </c:pt>
                <c:pt idx="4">
                  <c:v>37.540500000000002</c:v>
                </c:pt>
                <c:pt idx="5">
                  <c:v>36.925600000000003</c:v>
                </c:pt>
                <c:pt idx="6">
                  <c:v>36.310699999999997</c:v>
                </c:pt>
                <c:pt idx="7">
                  <c:v>35.695900000000002</c:v>
                </c:pt>
                <c:pt idx="8">
                  <c:v>35.102600000000002</c:v>
                </c:pt>
                <c:pt idx="9">
                  <c:v>34.799700000000001</c:v>
                </c:pt>
                <c:pt idx="10">
                  <c:v>35.559699999999999</c:v>
                </c:pt>
                <c:pt idx="11">
                  <c:v>37.611499999999999</c:v>
                </c:pt>
                <c:pt idx="12">
                  <c:v>41.065199999999997</c:v>
                </c:pt>
                <c:pt idx="13">
                  <c:v>46.226100000000002</c:v>
                </c:pt>
                <c:pt idx="14">
                  <c:v>53.136600000000001</c:v>
                </c:pt>
                <c:pt idx="15">
                  <c:v>59.441299999999998</c:v>
                </c:pt>
                <c:pt idx="16">
                  <c:v>69.835400000000007</c:v>
                </c:pt>
                <c:pt idx="17">
                  <c:v>80.764700000000005</c:v>
                </c:pt>
                <c:pt idx="18">
                  <c:v>94.332499999999996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83.163200000000003</c:v>
                </c:pt>
                <c:pt idx="37">
                  <c:v>85.863299999999995</c:v>
                </c:pt>
                <c:pt idx="38">
                  <c:v>85.729399999999998</c:v>
                </c:pt>
                <c:pt idx="39">
                  <c:v>68.069900000000004</c:v>
                </c:pt>
                <c:pt idx="40">
                  <c:v>51.9666</c:v>
                </c:pt>
                <c:pt idx="41">
                  <c:v>39.895499999999998</c:v>
                </c:pt>
                <c:pt idx="42">
                  <c:v>35.030200000000001</c:v>
                </c:pt>
                <c:pt idx="43">
                  <c:v>29.212299999999999</c:v>
                </c:pt>
                <c:pt idx="44">
                  <c:v>21.984400000000001</c:v>
                </c:pt>
                <c:pt idx="45">
                  <c:v>16.2898</c:v>
                </c:pt>
                <c:pt idx="46">
                  <c:v>14.1084</c:v>
                </c:pt>
                <c:pt idx="47">
                  <c:v>10.0511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871-42C1-B65B-C9D9F8A1F28E}"/>
            </c:ext>
          </c:extLst>
        </c:ser>
        <c:ser>
          <c:idx val="85"/>
          <c:order val="85"/>
          <c:tx>
            <c:v>BES_TR2_six799_B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SOC_pct!$CJ$2:$CJ$49</c:f>
              <c:numCache>
                <c:formatCode>0.0</c:formatCode>
                <c:ptCount val="48"/>
                <c:pt idx="0">
                  <c:v>40</c:v>
                </c:pt>
                <c:pt idx="1">
                  <c:v>26.566800000000001</c:v>
                </c:pt>
                <c:pt idx="2">
                  <c:v>13.478300000000001</c:v>
                </c:pt>
                <c:pt idx="3">
                  <c:v>12.745699999999999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10.3992</c:v>
                </c:pt>
                <c:pt idx="11">
                  <c:v>12.4171</c:v>
                </c:pt>
                <c:pt idx="12">
                  <c:v>13.2119</c:v>
                </c:pt>
                <c:pt idx="13">
                  <c:v>18.542200000000001</c:v>
                </c:pt>
                <c:pt idx="14">
                  <c:v>23.919899999999998</c:v>
                </c:pt>
                <c:pt idx="15">
                  <c:v>28.968399999999999</c:v>
                </c:pt>
                <c:pt idx="16">
                  <c:v>39.5319</c:v>
                </c:pt>
                <c:pt idx="17">
                  <c:v>50.010399999999997</c:v>
                </c:pt>
                <c:pt idx="18">
                  <c:v>51.474499999999999</c:v>
                </c:pt>
                <c:pt idx="19">
                  <c:v>66.115099999999998</c:v>
                </c:pt>
                <c:pt idx="20">
                  <c:v>68.959099999999992</c:v>
                </c:pt>
                <c:pt idx="21">
                  <c:v>72.660200000000003</c:v>
                </c:pt>
                <c:pt idx="22">
                  <c:v>86.769300000000001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90.222100000000012</c:v>
                </c:pt>
                <c:pt idx="37">
                  <c:v>87.661100000000005</c:v>
                </c:pt>
                <c:pt idx="38">
                  <c:v>72.916600000000003</c:v>
                </c:pt>
                <c:pt idx="39">
                  <c:v>68.9071</c:v>
                </c:pt>
                <c:pt idx="40">
                  <c:v>68.846800000000002</c:v>
                </c:pt>
                <c:pt idx="41">
                  <c:v>51.359900000000003</c:v>
                </c:pt>
                <c:pt idx="42">
                  <c:v>43.618000000000002</c:v>
                </c:pt>
                <c:pt idx="43">
                  <c:v>28.0017</c:v>
                </c:pt>
                <c:pt idx="44">
                  <c:v>20.050899999999999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4871-42C1-B65B-C9D9F8A1F28E}"/>
            </c:ext>
          </c:extLst>
        </c:ser>
        <c:ser>
          <c:idx val="86"/>
          <c:order val="86"/>
          <c:tx>
            <c:v>BES_TR2_six807_A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SOC_pct!$CK$2:$CK$49</c:f>
              <c:numCache>
                <c:formatCode>0.0</c:formatCode>
                <c:ptCount val="48"/>
                <c:pt idx="0">
                  <c:v>40</c:v>
                </c:pt>
                <c:pt idx="1">
                  <c:v>32.843400000000003</c:v>
                </c:pt>
                <c:pt idx="2">
                  <c:v>23.902000000000001</c:v>
                </c:pt>
                <c:pt idx="3">
                  <c:v>22.739000000000001</c:v>
                </c:pt>
                <c:pt idx="4">
                  <c:v>20.593499999999999</c:v>
                </c:pt>
                <c:pt idx="5">
                  <c:v>18.807300000000001</c:v>
                </c:pt>
                <c:pt idx="6">
                  <c:v>18.204999999999998</c:v>
                </c:pt>
                <c:pt idx="7">
                  <c:v>14.8757</c:v>
                </c:pt>
                <c:pt idx="8">
                  <c:v>14.3111</c:v>
                </c:pt>
                <c:pt idx="9">
                  <c:v>12.2522</c:v>
                </c:pt>
                <c:pt idx="10">
                  <c:v>13.3565</c:v>
                </c:pt>
                <c:pt idx="11">
                  <c:v>17.3735</c:v>
                </c:pt>
                <c:pt idx="12">
                  <c:v>23.159600000000001</c:v>
                </c:pt>
                <c:pt idx="13">
                  <c:v>32.278799999999997</c:v>
                </c:pt>
                <c:pt idx="14">
                  <c:v>44.845700000000001</c:v>
                </c:pt>
                <c:pt idx="15">
                  <c:v>58.789499999999997</c:v>
                </c:pt>
                <c:pt idx="16">
                  <c:v>77.593000000000004</c:v>
                </c:pt>
                <c:pt idx="17">
                  <c:v>97.457000000000008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91.914700000000011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99.631199999999993</c:v>
                </c:pt>
                <c:pt idx="41">
                  <c:v>98.405000000000001</c:v>
                </c:pt>
                <c:pt idx="42">
                  <c:v>95.916600000000003</c:v>
                </c:pt>
                <c:pt idx="43">
                  <c:v>94.0154</c:v>
                </c:pt>
                <c:pt idx="44">
                  <c:v>90.20620000000001</c:v>
                </c:pt>
                <c:pt idx="45">
                  <c:v>81.457599999999999</c:v>
                </c:pt>
                <c:pt idx="46">
                  <c:v>74.323099999999997</c:v>
                </c:pt>
                <c:pt idx="47">
                  <c:v>67.924199999999999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871-42C1-B65B-C9D9F8A1F28E}"/>
            </c:ext>
          </c:extLst>
        </c:ser>
        <c:ser>
          <c:idx val="87"/>
          <c:order val="87"/>
          <c:tx>
            <c:v>BES_TR2_six885_A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SOC_pct!$CL$2:$CL$49</c:f>
              <c:numCache>
                <c:formatCode>0.0</c:formatCode>
                <c:ptCount val="48"/>
                <c:pt idx="0">
                  <c:v>40</c:v>
                </c:pt>
                <c:pt idx="1">
                  <c:v>39.422800000000002</c:v>
                </c:pt>
                <c:pt idx="2">
                  <c:v>37.429499999999997</c:v>
                </c:pt>
                <c:pt idx="3">
                  <c:v>35.932299999999998</c:v>
                </c:pt>
                <c:pt idx="4">
                  <c:v>32.319400000000002</c:v>
                </c:pt>
                <c:pt idx="5">
                  <c:v>31.6005</c:v>
                </c:pt>
                <c:pt idx="6">
                  <c:v>31.023299999999999</c:v>
                </c:pt>
                <c:pt idx="7">
                  <c:v>28.129000000000001</c:v>
                </c:pt>
                <c:pt idx="8">
                  <c:v>25.8094</c:v>
                </c:pt>
                <c:pt idx="9">
                  <c:v>24.378599999999999</c:v>
                </c:pt>
                <c:pt idx="10">
                  <c:v>25.659500000000001</c:v>
                </c:pt>
                <c:pt idx="11">
                  <c:v>27.855599999999999</c:v>
                </c:pt>
                <c:pt idx="12">
                  <c:v>32.558599999999998</c:v>
                </c:pt>
                <c:pt idx="13">
                  <c:v>41.268099999999997</c:v>
                </c:pt>
                <c:pt idx="14">
                  <c:v>51.901799999999987</c:v>
                </c:pt>
                <c:pt idx="15">
                  <c:v>67.03949999999999</c:v>
                </c:pt>
                <c:pt idx="16">
                  <c:v>85.269099999999995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95.421300000000002</c:v>
                </c:pt>
                <c:pt idx="41">
                  <c:v>85.6905</c:v>
                </c:pt>
                <c:pt idx="42">
                  <c:v>80.428599999999989</c:v>
                </c:pt>
                <c:pt idx="43">
                  <c:v>76.781800000000004</c:v>
                </c:pt>
                <c:pt idx="44">
                  <c:v>70.966499999999996</c:v>
                </c:pt>
                <c:pt idx="45">
                  <c:v>64.278199999999998</c:v>
                </c:pt>
                <c:pt idx="46">
                  <c:v>56.831200000000003</c:v>
                </c:pt>
                <c:pt idx="47">
                  <c:v>49.985500000000002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4871-42C1-B65B-C9D9F8A1F28E}"/>
            </c:ext>
          </c:extLst>
        </c:ser>
        <c:ser>
          <c:idx val="88"/>
          <c:order val="88"/>
          <c:tx>
            <c:v>BES_TR2_six894_B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SOC_pct!$CM$2:$CM$49</c:f>
              <c:numCache>
                <c:formatCode>0.0</c:formatCode>
                <c:ptCount val="48"/>
                <c:pt idx="0">
                  <c:v>40</c:v>
                </c:pt>
                <c:pt idx="1">
                  <c:v>39.234999999999999</c:v>
                </c:pt>
                <c:pt idx="2">
                  <c:v>38.578499999999998</c:v>
                </c:pt>
                <c:pt idx="3">
                  <c:v>37.054600000000001</c:v>
                </c:pt>
                <c:pt idx="4">
                  <c:v>36.452300000000001</c:v>
                </c:pt>
                <c:pt idx="5">
                  <c:v>34.874200000000002</c:v>
                </c:pt>
                <c:pt idx="6">
                  <c:v>34.217599999999997</c:v>
                </c:pt>
                <c:pt idx="7">
                  <c:v>32.693800000000003</c:v>
                </c:pt>
                <c:pt idx="8">
                  <c:v>32.053400000000003</c:v>
                </c:pt>
                <c:pt idx="9">
                  <c:v>30.7636</c:v>
                </c:pt>
                <c:pt idx="10">
                  <c:v>31.206499999999998</c:v>
                </c:pt>
                <c:pt idx="11">
                  <c:v>31.74</c:v>
                </c:pt>
                <c:pt idx="12">
                  <c:v>34.3399</c:v>
                </c:pt>
                <c:pt idx="13">
                  <c:v>38.089599999999997</c:v>
                </c:pt>
                <c:pt idx="14">
                  <c:v>42.566000000000003</c:v>
                </c:pt>
                <c:pt idx="15">
                  <c:v>48.640599999999999</c:v>
                </c:pt>
                <c:pt idx="16">
                  <c:v>56.022399999999998</c:v>
                </c:pt>
                <c:pt idx="17">
                  <c:v>64.972799999999992</c:v>
                </c:pt>
                <c:pt idx="18">
                  <c:v>74.3934</c:v>
                </c:pt>
                <c:pt idx="19">
                  <c:v>85.576999999999998</c:v>
                </c:pt>
                <c:pt idx="20">
                  <c:v>97.598300000000009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98.314900000000009</c:v>
                </c:pt>
                <c:pt idx="41">
                  <c:v>94.110700000000008</c:v>
                </c:pt>
                <c:pt idx="42">
                  <c:v>90.24069999999999</c:v>
                </c:pt>
                <c:pt idx="43">
                  <c:v>85.997900000000001</c:v>
                </c:pt>
                <c:pt idx="44">
                  <c:v>84.690899999999999</c:v>
                </c:pt>
                <c:pt idx="45">
                  <c:v>84.0886</c:v>
                </c:pt>
                <c:pt idx="46">
                  <c:v>83.269400000000005</c:v>
                </c:pt>
                <c:pt idx="47">
                  <c:v>81.90809999999999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871-42C1-B65B-C9D9F8A1F28E}"/>
            </c:ext>
          </c:extLst>
        </c:ser>
        <c:ser>
          <c:idx val="89"/>
          <c:order val="89"/>
          <c:tx>
            <c:v>BES_TR2_six914_A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SOC_pct!$CN$2:$CN$49</c:f>
              <c:numCache>
                <c:formatCode>0.0</c:formatCode>
                <c:ptCount val="48"/>
                <c:pt idx="0">
                  <c:v>40</c:v>
                </c:pt>
                <c:pt idx="1">
                  <c:v>38.920499999999997</c:v>
                </c:pt>
                <c:pt idx="2">
                  <c:v>36.962200000000003</c:v>
                </c:pt>
                <c:pt idx="3">
                  <c:v>36.409999999999997</c:v>
                </c:pt>
                <c:pt idx="4">
                  <c:v>33.924300000000002</c:v>
                </c:pt>
                <c:pt idx="5">
                  <c:v>33.372199999999999</c:v>
                </c:pt>
                <c:pt idx="6">
                  <c:v>32.82</c:v>
                </c:pt>
                <c:pt idx="7">
                  <c:v>32.267899999999997</c:v>
                </c:pt>
                <c:pt idx="8">
                  <c:v>31.731999999999999</c:v>
                </c:pt>
                <c:pt idx="9">
                  <c:v>31.413900000000002</c:v>
                </c:pt>
                <c:pt idx="10">
                  <c:v>30.549900000000001</c:v>
                </c:pt>
                <c:pt idx="11">
                  <c:v>31.532299999999999</c:v>
                </c:pt>
                <c:pt idx="12">
                  <c:v>34.177300000000002</c:v>
                </c:pt>
                <c:pt idx="13">
                  <c:v>36.4574</c:v>
                </c:pt>
                <c:pt idx="14">
                  <c:v>41.631800000000013</c:v>
                </c:pt>
                <c:pt idx="15">
                  <c:v>43.715899999999998</c:v>
                </c:pt>
                <c:pt idx="16">
                  <c:v>51.032299999999999</c:v>
                </c:pt>
                <c:pt idx="17">
                  <c:v>58.385100000000001</c:v>
                </c:pt>
                <c:pt idx="18">
                  <c:v>68.631500000000003</c:v>
                </c:pt>
                <c:pt idx="19">
                  <c:v>79.165499999999994</c:v>
                </c:pt>
                <c:pt idx="20">
                  <c:v>88.359200000000001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89.844999999999999</c:v>
                </c:pt>
                <c:pt idx="37">
                  <c:v>92.262500000000003</c:v>
                </c:pt>
                <c:pt idx="38">
                  <c:v>93.020200000000003</c:v>
                </c:pt>
                <c:pt idx="39">
                  <c:v>90.278599999999997</c:v>
                </c:pt>
                <c:pt idx="40">
                  <c:v>87.932100000000005</c:v>
                </c:pt>
                <c:pt idx="41">
                  <c:v>80.104500000000002</c:v>
                </c:pt>
                <c:pt idx="42">
                  <c:v>73.228999999999999</c:v>
                </c:pt>
                <c:pt idx="43">
                  <c:v>68.400499999999994</c:v>
                </c:pt>
                <c:pt idx="44">
                  <c:v>58.067100000000003</c:v>
                </c:pt>
                <c:pt idx="45">
                  <c:v>52.847999999999992</c:v>
                </c:pt>
                <c:pt idx="46">
                  <c:v>42.9604</c:v>
                </c:pt>
                <c:pt idx="47">
                  <c:v>39.527999999999999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4871-42C1-B65B-C9D9F8A1F28E}"/>
            </c:ext>
          </c:extLst>
        </c:ser>
        <c:ser>
          <c:idx val="90"/>
          <c:order val="90"/>
          <c:tx>
            <c:v>BES_TR2_six921_B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SOC_pct!$CO$2:$CO$49</c:f>
              <c:numCache>
                <c:formatCode>0.0</c:formatCode>
                <c:ptCount val="48"/>
                <c:pt idx="0">
                  <c:v>40</c:v>
                </c:pt>
                <c:pt idx="1">
                  <c:v>38.968200000000003</c:v>
                </c:pt>
                <c:pt idx="2">
                  <c:v>37.397100000000002</c:v>
                </c:pt>
                <c:pt idx="3">
                  <c:v>36.702300000000001</c:v>
                </c:pt>
                <c:pt idx="4">
                  <c:v>34.794199999999996</c:v>
                </c:pt>
                <c:pt idx="5">
                  <c:v>34.166800000000002</c:v>
                </c:pt>
                <c:pt idx="6">
                  <c:v>32.326099999999997</c:v>
                </c:pt>
                <c:pt idx="7">
                  <c:v>31.5639</c:v>
                </c:pt>
                <c:pt idx="8">
                  <c:v>30.9742</c:v>
                </c:pt>
                <c:pt idx="9">
                  <c:v>29.544899999999998</c:v>
                </c:pt>
                <c:pt idx="10">
                  <c:v>31.278500000000001</c:v>
                </c:pt>
                <c:pt idx="11">
                  <c:v>35.2729</c:v>
                </c:pt>
                <c:pt idx="12">
                  <c:v>42.039499999999997</c:v>
                </c:pt>
                <c:pt idx="13">
                  <c:v>51.830599999999997</c:v>
                </c:pt>
                <c:pt idx="14">
                  <c:v>64.683500000000009</c:v>
                </c:pt>
                <c:pt idx="15">
                  <c:v>79.9756</c:v>
                </c:pt>
                <c:pt idx="16">
                  <c:v>98.318100000000001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92.127200000000002</c:v>
                </c:pt>
                <c:pt idx="41">
                  <c:v>84.108899999999991</c:v>
                </c:pt>
                <c:pt idx="42">
                  <c:v>79.1828</c:v>
                </c:pt>
                <c:pt idx="43">
                  <c:v>71.983199999999997</c:v>
                </c:pt>
                <c:pt idx="44">
                  <c:v>64.985099999999989</c:v>
                </c:pt>
                <c:pt idx="45">
                  <c:v>57.437399999999997</c:v>
                </c:pt>
                <c:pt idx="46">
                  <c:v>50.7819</c:v>
                </c:pt>
                <c:pt idx="47">
                  <c:v>50.154499999999999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871-42C1-B65B-C9D9F8A1F28E}"/>
            </c:ext>
          </c:extLst>
        </c:ser>
        <c:ser>
          <c:idx val="91"/>
          <c:order val="91"/>
          <c:tx>
            <c:v>BES_TR2_six929_A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SOC_pct!$CP$2:$CP$49</c:f>
              <c:numCache>
                <c:formatCode>0.0</c:formatCode>
                <c:ptCount val="48"/>
                <c:pt idx="0">
                  <c:v>40</c:v>
                </c:pt>
                <c:pt idx="1">
                  <c:v>30.2424</c:v>
                </c:pt>
                <c:pt idx="2">
                  <c:v>21.8612</c:v>
                </c:pt>
                <c:pt idx="3">
                  <c:v>19.7334</c:v>
                </c:pt>
                <c:pt idx="4">
                  <c:v>19.269100000000002</c:v>
                </c:pt>
                <c:pt idx="5">
                  <c:v>15.799099999999999</c:v>
                </c:pt>
                <c:pt idx="6">
                  <c:v>15.3348</c:v>
                </c:pt>
                <c:pt idx="7">
                  <c:v>14.8705</c:v>
                </c:pt>
                <c:pt idx="8">
                  <c:v>11.8965</c:v>
                </c:pt>
                <c:pt idx="9">
                  <c:v>11.1866</c:v>
                </c:pt>
                <c:pt idx="10">
                  <c:v>10.576499999999999</c:v>
                </c:pt>
                <c:pt idx="11">
                  <c:v>10.5176</c:v>
                </c:pt>
                <c:pt idx="12">
                  <c:v>13.2417</c:v>
                </c:pt>
                <c:pt idx="13">
                  <c:v>15.428000000000001</c:v>
                </c:pt>
                <c:pt idx="14">
                  <c:v>19.889399999999998</c:v>
                </c:pt>
                <c:pt idx="15">
                  <c:v>26.5273</c:v>
                </c:pt>
                <c:pt idx="16">
                  <c:v>28.145600000000002</c:v>
                </c:pt>
                <c:pt idx="17">
                  <c:v>36.662999999999997</c:v>
                </c:pt>
                <c:pt idx="18">
                  <c:v>45.852200000000003</c:v>
                </c:pt>
                <c:pt idx="19">
                  <c:v>55.730400000000003</c:v>
                </c:pt>
                <c:pt idx="20">
                  <c:v>54.528100000000002</c:v>
                </c:pt>
                <c:pt idx="21">
                  <c:v>65.781300000000002</c:v>
                </c:pt>
                <c:pt idx="22">
                  <c:v>74.404700000000005</c:v>
                </c:pt>
                <c:pt idx="23">
                  <c:v>85.329700000000003</c:v>
                </c:pt>
                <c:pt idx="24">
                  <c:v>86.740300000000005</c:v>
                </c:pt>
                <c:pt idx="25">
                  <c:v>79.563199999999995</c:v>
                </c:pt>
                <c:pt idx="26">
                  <c:v>69.004400000000004</c:v>
                </c:pt>
                <c:pt idx="27">
                  <c:v>79.590299999999999</c:v>
                </c:pt>
                <c:pt idx="28">
                  <c:v>90.753900000000002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87.298600000000008</c:v>
                </c:pt>
                <c:pt idx="38">
                  <c:v>88.507899999999992</c:v>
                </c:pt>
                <c:pt idx="39">
                  <c:v>87.488200000000006</c:v>
                </c:pt>
                <c:pt idx="40">
                  <c:v>82.692399999999992</c:v>
                </c:pt>
                <c:pt idx="41">
                  <c:v>77.459599999999995</c:v>
                </c:pt>
                <c:pt idx="42">
                  <c:v>69.541899999999998</c:v>
                </c:pt>
                <c:pt idx="43">
                  <c:v>61.010800000000003</c:v>
                </c:pt>
                <c:pt idx="44">
                  <c:v>54.787799999999997</c:v>
                </c:pt>
                <c:pt idx="45">
                  <c:v>48.553899999999999</c:v>
                </c:pt>
                <c:pt idx="46">
                  <c:v>40.938299999999998</c:v>
                </c:pt>
                <c:pt idx="47">
                  <c:v>37.606699999999996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4871-42C1-B65B-C9D9F8A1F28E}"/>
            </c:ext>
          </c:extLst>
        </c:ser>
        <c:ser>
          <c:idx val="92"/>
          <c:order val="92"/>
          <c:tx>
            <c:v>BES_TR2_six938_A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SOC_pct!$CQ$2:$CQ$49</c:f>
              <c:numCache>
                <c:formatCode>0.0</c:formatCode>
                <c:ptCount val="48"/>
                <c:pt idx="0">
                  <c:v>40</c:v>
                </c:pt>
                <c:pt idx="1">
                  <c:v>37.471900000000012</c:v>
                </c:pt>
                <c:pt idx="2">
                  <c:v>36.832000000000001</c:v>
                </c:pt>
                <c:pt idx="3">
                  <c:v>34.226500000000001</c:v>
                </c:pt>
                <c:pt idx="4">
                  <c:v>33.276200000000003</c:v>
                </c:pt>
                <c:pt idx="5">
                  <c:v>32.636200000000002</c:v>
                </c:pt>
                <c:pt idx="6">
                  <c:v>31.168700000000001</c:v>
                </c:pt>
                <c:pt idx="7">
                  <c:v>29.080500000000001</c:v>
                </c:pt>
                <c:pt idx="8">
                  <c:v>28.483699999999999</c:v>
                </c:pt>
                <c:pt idx="9">
                  <c:v>28.4678</c:v>
                </c:pt>
                <c:pt idx="10">
                  <c:v>30.5185</c:v>
                </c:pt>
                <c:pt idx="11">
                  <c:v>33.104599999999998</c:v>
                </c:pt>
                <c:pt idx="12">
                  <c:v>40.907200000000003</c:v>
                </c:pt>
                <c:pt idx="13">
                  <c:v>52.166400000000003</c:v>
                </c:pt>
                <c:pt idx="14">
                  <c:v>65.528300000000002</c:v>
                </c:pt>
                <c:pt idx="15">
                  <c:v>83.116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96.182000000000002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98.470100000000002</c:v>
                </c:pt>
                <c:pt idx="42">
                  <c:v>96.6922</c:v>
                </c:pt>
                <c:pt idx="43">
                  <c:v>96.052300000000002</c:v>
                </c:pt>
                <c:pt idx="44">
                  <c:v>93.653700000000001</c:v>
                </c:pt>
                <c:pt idx="45">
                  <c:v>92.496499999999997</c:v>
                </c:pt>
                <c:pt idx="46">
                  <c:v>91.856499999999997</c:v>
                </c:pt>
                <c:pt idx="47">
                  <c:v>89.768299999999996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871-42C1-B65B-C9D9F8A1F28E}"/>
            </c:ext>
          </c:extLst>
        </c:ser>
        <c:ser>
          <c:idx val="93"/>
          <c:order val="93"/>
          <c:tx>
            <c:v>BES_TR2_six990_B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SOC_pct!$CR$2:$CR$49</c:f>
              <c:numCache>
                <c:formatCode>0.0</c:formatCode>
                <c:ptCount val="48"/>
                <c:pt idx="0">
                  <c:v>40</c:v>
                </c:pt>
                <c:pt idx="1">
                  <c:v>37.939599999999999</c:v>
                </c:pt>
                <c:pt idx="2">
                  <c:v>37.337299999999999</c:v>
                </c:pt>
                <c:pt idx="3">
                  <c:v>33.461799999999997</c:v>
                </c:pt>
                <c:pt idx="4">
                  <c:v>32.6021</c:v>
                </c:pt>
                <c:pt idx="5">
                  <c:v>31.9998</c:v>
                </c:pt>
                <c:pt idx="6">
                  <c:v>28.8963</c:v>
                </c:pt>
                <c:pt idx="7">
                  <c:v>27.264700000000001</c:v>
                </c:pt>
                <c:pt idx="8">
                  <c:v>26.694800000000001</c:v>
                </c:pt>
                <c:pt idx="9">
                  <c:v>23.201499999999999</c:v>
                </c:pt>
                <c:pt idx="10">
                  <c:v>24.475000000000001</c:v>
                </c:pt>
                <c:pt idx="11">
                  <c:v>27.544899999999998</c:v>
                </c:pt>
                <c:pt idx="12">
                  <c:v>30.5594</c:v>
                </c:pt>
                <c:pt idx="13">
                  <c:v>38.7393</c:v>
                </c:pt>
                <c:pt idx="14">
                  <c:v>48.694500000000012</c:v>
                </c:pt>
                <c:pt idx="15">
                  <c:v>61.347299999999997</c:v>
                </c:pt>
                <c:pt idx="16">
                  <c:v>76.274000000000001</c:v>
                </c:pt>
                <c:pt idx="17">
                  <c:v>93.213700000000003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97.266599999999997</c:v>
                </c:pt>
                <c:pt idx="41">
                  <c:v>96.004300000000001</c:v>
                </c:pt>
                <c:pt idx="42">
                  <c:v>93.561999999999998</c:v>
                </c:pt>
                <c:pt idx="43">
                  <c:v>88.972399999999993</c:v>
                </c:pt>
                <c:pt idx="44">
                  <c:v>76.432900000000004</c:v>
                </c:pt>
                <c:pt idx="45">
                  <c:v>71.520399999999995</c:v>
                </c:pt>
                <c:pt idx="46">
                  <c:v>67.648099999999999</c:v>
                </c:pt>
                <c:pt idx="47">
                  <c:v>65.5381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4871-42C1-B65B-C9D9F8A1F28E}"/>
            </c:ext>
          </c:extLst>
        </c:ser>
        <c:ser>
          <c:idx val="94"/>
          <c:order val="94"/>
          <c:tx>
            <c:v>BES_TR2_six1020_A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SOC_pct!$CS$2:$CS$49</c:f>
              <c:numCache>
                <c:formatCode>0.0</c:formatCode>
                <c:ptCount val="48"/>
                <c:pt idx="0">
                  <c:v>40</c:v>
                </c:pt>
                <c:pt idx="1">
                  <c:v>34.039900000000003</c:v>
                </c:pt>
                <c:pt idx="2">
                  <c:v>29.054300000000001</c:v>
                </c:pt>
                <c:pt idx="3">
                  <c:v>26.922999999999998</c:v>
                </c:pt>
                <c:pt idx="4">
                  <c:v>26.299600000000002</c:v>
                </c:pt>
                <c:pt idx="5">
                  <c:v>22.3064</c:v>
                </c:pt>
                <c:pt idx="6">
                  <c:v>21.515499999999999</c:v>
                </c:pt>
                <c:pt idx="7">
                  <c:v>20.381</c:v>
                </c:pt>
                <c:pt idx="8">
                  <c:v>16.7529</c:v>
                </c:pt>
                <c:pt idx="9">
                  <c:v>16.525400000000001</c:v>
                </c:pt>
                <c:pt idx="10">
                  <c:v>15.5077</c:v>
                </c:pt>
                <c:pt idx="11">
                  <c:v>16.5641</c:v>
                </c:pt>
                <c:pt idx="12">
                  <c:v>19.075700000000001</c:v>
                </c:pt>
                <c:pt idx="13">
                  <c:v>23.345199999999998</c:v>
                </c:pt>
                <c:pt idx="14">
                  <c:v>30.526800000000001</c:v>
                </c:pt>
                <c:pt idx="15">
                  <c:v>38.2425</c:v>
                </c:pt>
                <c:pt idx="16">
                  <c:v>46.779299999999999</c:v>
                </c:pt>
                <c:pt idx="17">
                  <c:v>58.401800000000001</c:v>
                </c:pt>
                <c:pt idx="18">
                  <c:v>70.248900000000006</c:v>
                </c:pt>
                <c:pt idx="19">
                  <c:v>84.733199999999997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96.807600000000008</c:v>
                </c:pt>
                <c:pt idx="28">
                  <c:v>100</c:v>
                </c:pt>
                <c:pt idx="29">
                  <c:v>87.6267</c:v>
                </c:pt>
                <c:pt idx="30">
                  <c:v>73.116699999999994</c:v>
                </c:pt>
                <c:pt idx="31">
                  <c:v>77.447299999999998</c:v>
                </c:pt>
                <c:pt idx="32">
                  <c:v>88.9114</c:v>
                </c:pt>
                <c:pt idx="33">
                  <c:v>96.39370000000001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99.995999999999995</c:v>
                </c:pt>
                <c:pt idx="40">
                  <c:v>91.743600000000001</c:v>
                </c:pt>
                <c:pt idx="41">
                  <c:v>87.118399999999994</c:v>
                </c:pt>
                <c:pt idx="42">
                  <c:v>82.694400000000002</c:v>
                </c:pt>
                <c:pt idx="43">
                  <c:v>78.101900000000001</c:v>
                </c:pt>
                <c:pt idx="44">
                  <c:v>70.654700000000005</c:v>
                </c:pt>
                <c:pt idx="45">
                  <c:v>65.750299999999996</c:v>
                </c:pt>
                <c:pt idx="46">
                  <c:v>63.642400000000002</c:v>
                </c:pt>
                <c:pt idx="47">
                  <c:v>61.594900000000003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871-42C1-B65B-C9D9F8A1F28E}"/>
            </c:ext>
          </c:extLst>
        </c:ser>
        <c:ser>
          <c:idx val="95"/>
          <c:order val="95"/>
          <c:tx>
            <c:v>SOC max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ChartData!$AF$2:$AF$49</c:f>
              <c:numCache>
                <c:formatCode>0.0</c:formatCode>
                <c:ptCount val="4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4871-42C1-B65B-C9D9F8A1F28E}"/>
            </c:ext>
          </c:extLst>
        </c:ser>
        <c:ser>
          <c:idx val="96"/>
          <c:order val="96"/>
          <c:tx>
            <c:v>fleet-average SOC</c:v>
          </c:tx>
          <c:spPr>
            <a:ln w="28575">
              <a:solidFill>
                <a:srgbClr val="167A68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ChartData!$AG$2:$AG$49</c:f>
              <c:numCache>
                <c:formatCode>0.0</c:formatCode>
                <c:ptCount val="48"/>
                <c:pt idx="0">
                  <c:v>40</c:v>
                </c:pt>
                <c:pt idx="1">
                  <c:v>37.022328421052649</c:v>
                </c:pt>
                <c:pt idx="2">
                  <c:v>34.384641052631579</c:v>
                </c:pt>
                <c:pt idx="3">
                  <c:v>32.446776842105265</c:v>
                </c:pt>
                <c:pt idx="4">
                  <c:v>30.819590526315775</c:v>
                </c:pt>
                <c:pt idx="5">
                  <c:v>29.216691578947369</c:v>
                </c:pt>
                <c:pt idx="6">
                  <c:v>27.689062105263154</c:v>
                </c:pt>
                <c:pt idx="7">
                  <c:v>26.422723157894747</c:v>
                </c:pt>
                <c:pt idx="8">
                  <c:v>25.01964105263157</c:v>
                </c:pt>
                <c:pt idx="9">
                  <c:v>24.115159999999999</c:v>
                </c:pt>
                <c:pt idx="10">
                  <c:v>24.932733684210515</c:v>
                </c:pt>
                <c:pt idx="11">
                  <c:v>27.653683157894726</c:v>
                </c:pt>
                <c:pt idx="12">
                  <c:v>32.788230526315793</c:v>
                </c:pt>
                <c:pt idx="13">
                  <c:v>40.563310526315789</c:v>
                </c:pt>
                <c:pt idx="14">
                  <c:v>50.797911578947378</c:v>
                </c:pt>
                <c:pt idx="15">
                  <c:v>63.223697894736851</c:v>
                </c:pt>
                <c:pt idx="16">
                  <c:v>76.44060105263155</c:v>
                </c:pt>
                <c:pt idx="17">
                  <c:v>85.654446315789471</c:v>
                </c:pt>
                <c:pt idx="18">
                  <c:v>90.936964210526313</c:v>
                </c:pt>
                <c:pt idx="19">
                  <c:v>94.330286315789479</c:v>
                </c:pt>
                <c:pt idx="20">
                  <c:v>96.366255789473698</c:v>
                </c:pt>
                <c:pt idx="21">
                  <c:v>97.902461052631594</c:v>
                </c:pt>
                <c:pt idx="22">
                  <c:v>98.591155789473675</c:v>
                </c:pt>
                <c:pt idx="23">
                  <c:v>99.528662105263152</c:v>
                </c:pt>
                <c:pt idx="24">
                  <c:v>99.491741052631568</c:v>
                </c:pt>
                <c:pt idx="25">
                  <c:v>99.108356842105266</c:v>
                </c:pt>
                <c:pt idx="26">
                  <c:v>99.136881052631566</c:v>
                </c:pt>
                <c:pt idx="27">
                  <c:v>99.594821052631573</c:v>
                </c:pt>
                <c:pt idx="28">
                  <c:v>99.784386315789476</c:v>
                </c:pt>
                <c:pt idx="29">
                  <c:v>99.80376315789475</c:v>
                </c:pt>
                <c:pt idx="30">
                  <c:v>99.636244210526314</c:v>
                </c:pt>
                <c:pt idx="31">
                  <c:v>99.566207368421061</c:v>
                </c:pt>
                <c:pt idx="32">
                  <c:v>99.769125263157918</c:v>
                </c:pt>
                <c:pt idx="33">
                  <c:v>99.333614736842108</c:v>
                </c:pt>
                <c:pt idx="34">
                  <c:v>98.893053684210543</c:v>
                </c:pt>
                <c:pt idx="35">
                  <c:v>98.914183157894726</c:v>
                </c:pt>
                <c:pt idx="36">
                  <c:v>98.231587368421074</c:v>
                </c:pt>
                <c:pt idx="37">
                  <c:v>97.453587368421069</c:v>
                </c:pt>
                <c:pt idx="38">
                  <c:v>96.272210526315817</c:v>
                </c:pt>
                <c:pt idx="39">
                  <c:v>93.533335789473711</c:v>
                </c:pt>
                <c:pt idx="40">
                  <c:v>88.471953684210547</c:v>
                </c:pt>
                <c:pt idx="41">
                  <c:v>83.236728421052646</c:v>
                </c:pt>
                <c:pt idx="42">
                  <c:v>77.442100000000011</c:v>
                </c:pt>
                <c:pt idx="43">
                  <c:v>71.673122105263161</c:v>
                </c:pt>
                <c:pt idx="44">
                  <c:v>66.785317894736821</c:v>
                </c:pt>
                <c:pt idx="45">
                  <c:v>62.4182589473684</c:v>
                </c:pt>
                <c:pt idx="46">
                  <c:v>58.382404210526317</c:v>
                </c:pt>
                <c:pt idx="47">
                  <c:v>55.061211578947365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871-42C1-B65B-C9D9F8A1F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112"/>
          <c:min val="0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SOC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/>
              <a:t>Net result per prosumer -  TR2   (+ import / - export)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BES_TR2_three312_A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Net_kW!$C$2:$C$49</c:f>
              <c:numCache>
                <c:formatCode>#,##0.000</c:formatCode>
                <c:ptCount val="48"/>
                <c:pt idx="0">
                  <c:v>4.3133333333306162E-4</c:v>
                </c:pt>
                <c:pt idx="1">
                  <c:v>-3.6399999999998928E-4</c:v>
                </c:pt>
                <c:pt idx="2">
                  <c:v>-1.3799999999999921E-4</c:v>
                </c:pt>
                <c:pt idx="3">
                  <c:v>0</c:v>
                </c:pt>
                <c:pt idx="4">
                  <c:v>-9.2000000000008741E-5</c:v>
                </c:pt>
                <c:pt idx="5">
                  <c:v>-4.099999999999937E-4</c:v>
                </c:pt>
                <c:pt idx="6">
                  <c:v>0</c:v>
                </c:pt>
                <c:pt idx="7">
                  <c:v>1.6839739999999209E-4</c:v>
                </c:pt>
                <c:pt idx="8">
                  <c:v>4.4813060000009619E-4</c:v>
                </c:pt>
                <c:pt idx="9">
                  <c:v>-4.3016789999998639E-4</c:v>
                </c:pt>
                <c:pt idx="10">
                  <c:v>-3.022162000010375E-4</c:v>
                </c:pt>
                <c:pt idx="11">
                  <c:v>4.0151760000101122E-4</c:v>
                </c:pt>
                <c:pt idx="12">
                  <c:v>6.1055499998907692E-5</c:v>
                </c:pt>
                <c:pt idx="13">
                  <c:v>7.9124200001001732E-5</c:v>
                </c:pt>
                <c:pt idx="14">
                  <c:v>-3.5659109999985889E-4</c:v>
                </c:pt>
                <c:pt idx="15">
                  <c:v>-1.129008333331516E-4</c:v>
                </c:pt>
                <c:pt idx="16">
                  <c:v>-2.7204870000108178E-4</c:v>
                </c:pt>
                <c:pt idx="17">
                  <c:v>-0.43316920019999999</c:v>
                </c:pt>
                <c:pt idx="18">
                  <c:v>-0.7112978553333309</c:v>
                </c:pt>
                <c:pt idx="19">
                  <c:v>-1.725545999987643E-4</c:v>
                </c:pt>
                <c:pt idx="20">
                  <c:v>-1.6037396667106801E-4</c:v>
                </c:pt>
                <c:pt idx="21">
                  <c:v>-0.45788417423332989</c:v>
                </c:pt>
                <c:pt idx="22">
                  <c:v>-2.454029443500001</c:v>
                </c:pt>
                <c:pt idx="23">
                  <c:v>-2.2913250316</c:v>
                </c:pt>
                <c:pt idx="24">
                  <c:v>-2.4352013301333342</c:v>
                </c:pt>
                <c:pt idx="25">
                  <c:v>-2.2577549206666672</c:v>
                </c:pt>
                <c:pt idx="26">
                  <c:v>-2.2793648615</c:v>
                </c:pt>
                <c:pt idx="27">
                  <c:v>-0.68141907893333098</c:v>
                </c:pt>
                <c:pt idx="28">
                  <c:v>4.8708010000012009E-4</c:v>
                </c:pt>
                <c:pt idx="29">
                  <c:v>-1.0472479631333349</c:v>
                </c:pt>
                <c:pt idx="30">
                  <c:v>-0.18248603776666991</c:v>
                </c:pt>
                <c:pt idx="31">
                  <c:v>-1.4728578904000009</c:v>
                </c:pt>
                <c:pt idx="32">
                  <c:v>-1.2738900429999991</c:v>
                </c:pt>
                <c:pt idx="33">
                  <c:v>-0.93557878803333205</c:v>
                </c:pt>
                <c:pt idx="34">
                  <c:v>-0.54045212883333205</c:v>
                </c:pt>
                <c:pt idx="35">
                  <c:v>4.9011743332988411E-4</c:v>
                </c:pt>
                <c:pt idx="36">
                  <c:v>-4.7383433333098019E-4</c:v>
                </c:pt>
                <c:pt idx="37">
                  <c:v>1.286888333330016E-4</c:v>
                </c:pt>
                <c:pt idx="38">
                  <c:v>-4.5322746666691388E-4</c:v>
                </c:pt>
                <c:pt idx="39">
                  <c:v>1.7403870000000379E-4</c:v>
                </c:pt>
                <c:pt idx="40">
                  <c:v>1.771677999999888E-4</c:v>
                </c:pt>
                <c:pt idx="41">
                  <c:v>4.9799999999999844E-4</c:v>
                </c:pt>
                <c:pt idx="42">
                  <c:v>0</c:v>
                </c:pt>
                <c:pt idx="43">
                  <c:v>0</c:v>
                </c:pt>
                <c:pt idx="44">
                  <c:v>-3.9133333333302161E-4</c:v>
                </c:pt>
                <c:pt idx="45">
                  <c:v>-3.2666666666958388E-5</c:v>
                </c:pt>
                <c:pt idx="46">
                  <c:v>-1.5333333333300561E-4</c:v>
                </c:pt>
                <c:pt idx="47">
                  <c:v>4.4299999999997119E-4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9-454F-BBD8-208022A620A5}"/>
            </c:ext>
          </c:extLst>
        </c:ser>
        <c:ser>
          <c:idx val="1"/>
          <c:order val="1"/>
          <c:tx>
            <c:v>BES_TR2_three321_B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Net_kW!$D$2:$D$49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4.5400000000001001E-4</c:v>
                </c:pt>
                <c:pt idx="2">
                  <c:v>-6.9388939039072284E-18</c:v>
                </c:pt>
                <c:pt idx="3">
                  <c:v>-4.880000000000162E-4</c:v>
                </c:pt>
                <c:pt idx="4">
                  <c:v>-5.7999999999891472E-5</c:v>
                </c:pt>
                <c:pt idx="5">
                  <c:v>3.1399999999999478E-4</c:v>
                </c:pt>
                <c:pt idx="6">
                  <c:v>1.4000000000000121E-4</c:v>
                </c:pt>
                <c:pt idx="7">
                  <c:v>-4.4080346666667408E-4</c:v>
                </c:pt>
                <c:pt idx="8">
                  <c:v>-2.8049253333320418E-4</c:v>
                </c:pt>
                <c:pt idx="9">
                  <c:v>4.2644279999998203E-4</c:v>
                </c:pt>
                <c:pt idx="10">
                  <c:v>-4.5628826666799238E-4</c:v>
                </c:pt>
                <c:pt idx="11">
                  <c:v>-2.8797653333201279E-4</c:v>
                </c:pt>
                <c:pt idx="12">
                  <c:v>-2.6159266666803132E-4</c:v>
                </c:pt>
                <c:pt idx="13">
                  <c:v>5.5832266668165431E-5</c:v>
                </c:pt>
                <c:pt idx="14">
                  <c:v>6.5211866666414764E-5</c:v>
                </c:pt>
                <c:pt idx="15">
                  <c:v>-0.29206345666666711</c:v>
                </c:pt>
                <c:pt idx="16">
                  <c:v>-2.1019077316000012</c:v>
                </c:pt>
                <c:pt idx="17">
                  <c:v>-2.3715949336</c:v>
                </c:pt>
                <c:pt idx="18">
                  <c:v>-2.482060862666668</c:v>
                </c:pt>
                <c:pt idx="19">
                  <c:v>-2.9148624394666651</c:v>
                </c:pt>
                <c:pt idx="20">
                  <c:v>-3.0970089430666681</c:v>
                </c:pt>
                <c:pt idx="21">
                  <c:v>-3.1867061211999999</c:v>
                </c:pt>
                <c:pt idx="22">
                  <c:v>-3.2271229246666682</c:v>
                </c:pt>
                <c:pt idx="23">
                  <c:v>-3.3865667088000002</c:v>
                </c:pt>
                <c:pt idx="24">
                  <c:v>-3.1753893290666682</c:v>
                </c:pt>
                <c:pt idx="25">
                  <c:v>-3.2958316719999998</c:v>
                </c:pt>
                <c:pt idx="26">
                  <c:v>-2.2247454819999999</c:v>
                </c:pt>
                <c:pt idx="27">
                  <c:v>-3.1090783274666678</c:v>
                </c:pt>
                <c:pt idx="28">
                  <c:v>-3.0225078931999998</c:v>
                </c:pt>
                <c:pt idx="29">
                  <c:v>-2.835190173066668</c:v>
                </c:pt>
                <c:pt idx="30">
                  <c:v>-2.5136164947999999</c:v>
                </c:pt>
                <c:pt idx="31">
                  <c:v>-1.691541853866668</c:v>
                </c:pt>
                <c:pt idx="32">
                  <c:v>-1.8947187906666649</c:v>
                </c:pt>
                <c:pt idx="33">
                  <c:v>-1.5162314729333319</c:v>
                </c:pt>
                <c:pt idx="34">
                  <c:v>-1.378180393999999</c:v>
                </c:pt>
                <c:pt idx="35">
                  <c:v>-0.99183028786666705</c:v>
                </c:pt>
                <c:pt idx="36">
                  <c:v>-0.779780901333335</c:v>
                </c:pt>
                <c:pt idx="37">
                  <c:v>-0.24897672600000001</c:v>
                </c:pt>
                <c:pt idx="38">
                  <c:v>2.668189333338844E-4</c:v>
                </c:pt>
                <c:pt idx="39">
                  <c:v>-6.1948399999955939E-5</c:v>
                </c:pt>
                <c:pt idx="40">
                  <c:v>-3.7010959999683729E-4</c:v>
                </c:pt>
                <c:pt idx="41">
                  <c:v>2.7233333333298582E-4</c:v>
                </c:pt>
                <c:pt idx="42">
                  <c:v>-3.7266666666696541E-4</c:v>
                </c:pt>
                <c:pt idx="43">
                  <c:v>3.2366666666699961E-4</c:v>
                </c:pt>
                <c:pt idx="44">
                  <c:v>-4.243333333329713E-4</c:v>
                </c:pt>
                <c:pt idx="45">
                  <c:v>-1.6000000000016001E-5</c:v>
                </c:pt>
                <c:pt idx="46">
                  <c:v>-4.4933333333302411E-4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99-454F-BBD8-208022A620A5}"/>
            </c:ext>
          </c:extLst>
        </c:ser>
        <c:ser>
          <c:idx val="2"/>
          <c:order val="2"/>
          <c:tx>
            <c:v>BES_TR2_three368_A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Net_kW!$E$2:$E$49</c:f>
              <c:numCache>
                <c:formatCode>#,##0.000</c:formatCode>
                <c:ptCount val="48"/>
                <c:pt idx="0">
                  <c:v>-2.666666666698014E-5</c:v>
                </c:pt>
                <c:pt idx="1">
                  <c:v>0</c:v>
                </c:pt>
                <c:pt idx="2">
                  <c:v>-1.5733333333300961E-4</c:v>
                </c:pt>
                <c:pt idx="3">
                  <c:v>-2.666666666698014E-5</c:v>
                </c:pt>
                <c:pt idx="4">
                  <c:v>0</c:v>
                </c:pt>
                <c:pt idx="5">
                  <c:v>-1.8066666666705089E-4</c:v>
                </c:pt>
                <c:pt idx="6">
                  <c:v>0</c:v>
                </c:pt>
                <c:pt idx="7">
                  <c:v>3.5959826666667749E-4</c:v>
                </c:pt>
                <c:pt idx="8">
                  <c:v>-1.3124626666660699E-4</c:v>
                </c:pt>
                <c:pt idx="9">
                  <c:v>-2.8677859999999561E-4</c:v>
                </c:pt>
                <c:pt idx="10">
                  <c:v>1.7385586666601729E-4</c:v>
                </c:pt>
                <c:pt idx="11">
                  <c:v>4.4345066667034187E-5</c:v>
                </c:pt>
                <c:pt idx="12">
                  <c:v>-1.3262966666705009E-4</c:v>
                </c:pt>
                <c:pt idx="13">
                  <c:v>2.0741613333402631E-4</c:v>
                </c:pt>
                <c:pt idx="14">
                  <c:v>3.6727260000002371E-4</c:v>
                </c:pt>
                <c:pt idx="15">
                  <c:v>3.3695500000008321E-4</c:v>
                </c:pt>
                <c:pt idx="16">
                  <c:v>2.1396753333302601E-4</c:v>
                </c:pt>
                <c:pt idx="17">
                  <c:v>-4.6146679999981011E-4</c:v>
                </c:pt>
                <c:pt idx="18">
                  <c:v>-2.6968133333406252E-4</c:v>
                </c:pt>
                <c:pt idx="19">
                  <c:v>-3.3370306666591348E-4</c:v>
                </c:pt>
                <c:pt idx="20">
                  <c:v>-2.3380486666368941E-4</c:v>
                </c:pt>
                <c:pt idx="21">
                  <c:v>9.5439399999897034E-5</c:v>
                </c:pt>
                <c:pt idx="22">
                  <c:v>4.3770433333600872E-4</c:v>
                </c:pt>
                <c:pt idx="23">
                  <c:v>-0.48256602106666691</c:v>
                </c:pt>
                <c:pt idx="24">
                  <c:v>-1.122438664533334</c:v>
                </c:pt>
                <c:pt idx="25">
                  <c:v>-1.3753268359999999</c:v>
                </c:pt>
                <c:pt idx="26">
                  <c:v>-1.3167595743333329</c:v>
                </c:pt>
                <c:pt idx="27">
                  <c:v>-1.045738497066667</c:v>
                </c:pt>
                <c:pt idx="28">
                  <c:v>-1.2157267132666669</c:v>
                </c:pt>
                <c:pt idx="29">
                  <c:v>-1.1783607532000011</c:v>
                </c:pt>
                <c:pt idx="30">
                  <c:v>-1.0860606474000001</c:v>
                </c:pt>
                <c:pt idx="31">
                  <c:v>-0.95030582693333399</c:v>
                </c:pt>
                <c:pt idx="32">
                  <c:v>-0.78921169533333291</c:v>
                </c:pt>
                <c:pt idx="33">
                  <c:v>-0.50361230313333305</c:v>
                </c:pt>
                <c:pt idx="34">
                  <c:v>-0.48795253033333302</c:v>
                </c:pt>
                <c:pt idx="35">
                  <c:v>1.252273332991161E-5</c:v>
                </c:pt>
                <c:pt idx="36">
                  <c:v>-2.3746733333401829E-4</c:v>
                </c:pt>
                <c:pt idx="37">
                  <c:v>2.2763700000005829E-4</c:v>
                </c:pt>
                <c:pt idx="38">
                  <c:v>2.0029280000042129E-4</c:v>
                </c:pt>
                <c:pt idx="39">
                  <c:v>3.5602580000004819E-4</c:v>
                </c:pt>
                <c:pt idx="40">
                  <c:v>4.6477853333365399E-4</c:v>
                </c:pt>
                <c:pt idx="41">
                  <c:v>2.4800000000002598E-4</c:v>
                </c:pt>
                <c:pt idx="42">
                  <c:v>-1.833333333300935E-5</c:v>
                </c:pt>
                <c:pt idx="43">
                  <c:v>4.6266666666705541E-4</c:v>
                </c:pt>
                <c:pt idx="44">
                  <c:v>3.5899999999999821E-4</c:v>
                </c:pt>
                <c:pt idx="45">
                  <c:v>-3.3466666666698291E-4</c:v>
                </c:pt>
                <c:pt idx="46">
                  <c:v>-2.6400000000001422E-4</c:v>
                </c:pt>
                <c:pt idx="47">
                  <c:v>-1.7933333333303161E-4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99-454F-BBD8-208022A620A5}"/>
            </c:ext>
          </c:extLst>
        </c:ser>
        <c:ser>
          <c:idx val="3"/>
          <c:order val="3"/>
          <c:tx>
            <c:v>BES_TR2_three388_A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3.9049893333475971E-4</c:v>
                </c:pt>
                <c:pt idx="14">
                  <c:v>4.732118666668228E-4</c:v>
                </c:pt>
                <c:pt idx="15">
                  <c:v>-1.05157609</c:v>
                </c:pt>
                <c:pt idx="16">
                  <c:v>-1.205571064933338</c:v>
                </c:pt>
                <c:pt idx="17">
                  <c:v>-2.2971576002666669</c:v>
                </c:pt>
                <c:pt idx="18">
                  <c:v>-2.572115362666668</c:v>
                </c:pt>
                <c:pt idx="19">
                  <c:v>-2.779923406133332</c:v>
                </c:pt>
                <c:pt idx="20">
                  <c:v>-3.0830089430666678</c:v>
                </c:pt>
                <c:pt idx="21">
                  <c:v>-3.2263051211999998</c:v>
                </c:pt>
                <c:pt idx="22">
                  <c:v>-3.3279779246666679</c:v>
                </c:pt>
                <c:pt idx="23">
                  <c:v>-3.3725667088</c:v>
                </c:pt>
                <c:pt idx="24">
                  <c:v>-3.3854813290666681</c:v>
                </c:pt>
                <c:pt idx="25">
                  <c:v>-3.3613216719999999</c:v>
                </c:pt>
                <c:pt idx="26">
                  <c:v>-3.280158482</c:v>
                </c:pt>
                <c:pt idx="27">
                  <c:v>-3.1563343274666682</c:v>
                </c:pt>
                <c:pt idx="28">
                  <c:v>-3.0085078932</c:v>
                </c:pt>
                <c:pt idx="29">
                  <c:v>-2.6673025064000009</c:v>
                </c:pt>
                <c:pt idx="30">
                  <c:v>-2.4736284947999998</c:v>
                </c:pt>
                <c:pt idx="31">
                  <c:v>-2.2314278538666681</c:v>
                </c:pt>
                <c:pt idx="32">
                  <c:v>-1.984036057333332</c:v>
                </c:pt>
                <c:pt idx="33">
                  <c:v>-1.6023062729333319</c:v>
                </c:pt>
                <c:pt idx="34">
                  <c:v>-1.286819393999999</c:v>
                </c:pt>
                <c:pt idx="35">
                  <c:v>-1.0058496212000001</c:v>
                </c:pt>
                <c:pt idx="36">
                  <c:v>-0.80654793466666796</c:v>
                </c:pt>
                <c:pt idx="37">
                  <c:v>-0.48443525933333298</c:v>
                </c:pt>
                <c:pt idx="38">
                  <c:v>-3.5309014400000172E-2</c:v>
                </c:pt>
                <c:pt idx="39">
                  <c:v>-7.6948399999998696E-5</c:v>
                </c:pt>
                <c:pt idx="40">
                  <c:v>-5.1442933333700758E-5</c:v>
                </c:pt>
                <c:pt idx="41">
                  <c:v>2.6666666666699812E-4</c:v>
                </c:pt>
                <c:pt idx="42">
                  <c:v>3.4533333333297561E-4</c:v>
                </c:pt>
                <c:pt idx="43">
                  <c:v>-1.4399999999997751E-4</c:v>
                </c:pt>
                <c:pt idx="44">
                  <c:v>4.3933333333301411E-4</c:v>
                </c:pt>
                <c:pt idx="45">
                  <c:v>7.6666666667002392E-5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99-454F-BBD8-208022A620A5}"/>
            </c:ext>
          </c:extLst>
        </c:ser>
        <c:ser>
          <c:idx val="4"/>
          <c:order val="4"/>
          <c:tx>
            <c:v>BES_TR2_three409_C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-1.7100000000000451E-4</c:v>
                </c:pt>
                <c:pt idx="2">
                  <c:v>1.4433333333399581E-4</c:v>
                </c:pt>
                <c:pt idx="3">
                  <c:v>0</c:v>
                </c:pt>
                <c:pt idx="4">
                  <c:v>3.9400000000000551E-4</c:v>
                </c:pt>
                <c:pt idx="5">
                  <c:v>-4.2066666666701341E-4</c:v>
                </c:pt>
                <c:pt idx="6">
                  <c:v>1.970000000000027E-4</c:v>
                </c:pt>
                <c:pt idx="7">
                  <c:v>2.3019653333333781E-4</c:v>
                </c:pt>
                <c:pt idx="8">
                  <c:v>3.7084080000009118E-4</c:v>
                </c:pt>
                <c:pt idx="9">
                  <c:v>-1.795571999999995E-4</c:v>
                </c:pt>
                <c:pt idx="10">
                  <c:v>-2.3262160000098181E-4</c:v>
                </c:pt>
                <c:pt idx="11">
                  <c:v>2.3023466668048439E-5</c:v>
                </c:pt>
                <c:pt idx="12">
                  <c:v>-2.4759266666807278E-4</c:v>
                </c:pt>
                <c:pt idx="13">
                  <c:v>4.6776560000094669E-4</c:v>
                </c:pt>
                <c:pt idx="14">
                  <c:v>4.0545199999852948E-5</c:v>
                </c:pt>
                <c:pt idx="15">
                  <c:v>-2.3208999999990709E-4</c:v>
                </c:pt>
                <c:pt idx="16">
                  <c:v>-1.902329398266668</c:v>
                </c:pt>
                <c:pt idx="17">
                  <c:v>-2.3622559336000002</c:v>
                </c:pt>
                <c:pt idx="18">
                  <c:v>-2.5579970293333352</c:v>
                </c:pt>
                <c:pt idx="19">
                  <c:v>-2.912383406133332</c:v>
                </c:pt>
                <c:pt idx="20">
                  <c:v>-2.7803146097333351</c:v>
                </c:pt>
                <c:pt idx="21">
                  <c:v>-2.9851011212</c:v>
                </c:pt>
                <c:pt idx="22">
                  <c:v>-3.1861962580000012</c:v>
                </c:pt>
                <c:pt idx="23">
                  <c:v>-2.9875147088</c:v>
                </c:pt>
                <c:pt idx="24">
                  <c:v>-3.1886399957333351</c:v>
                </c:pt>
                <c:pt idx="25">
                  <c:v>-3.0920826720000001</c:v>
                </c:pt>
                <c:pt idx="26">
                  <c:v>-2.5965494819999999</c:v>
                </c:pt>
                <c:pt idx="27">
                  <c:v>-2.9154943274666678</c:v>
                </c:pt>
                <c:pt idx="28">
                  <c:v>-2.7034705598666671</c:v>
                </c:pt>
                <c:pt idx="29">
                  <c:v>-2.4297408397333351</c:v>
                </c:pt>
                <c:pt idx="30">
                  <c:v>-2.1837661614666661</c:v>
                </c:pt>
                <c:pt idx="31">
                  <c:v>-2.1539385205333339</c:v>
                </c:pt>
                <c:pt idx="32">
                  <c:v>-1.864962390666665</c:v>
                </c:pt>
                <c:pt idx="33">
                  <c:v>-1.6937537395999991</c:v>
                </c:pt>
                <c:pt idx="34">
                  <c:v>-1.3459691939999989</c:v>
                </c:pt>
                <c:pt idx="35">
                  <c:v>-0.92849682119999999</c:v>
                </c:pt>
                <c:pt idx="36">
                  <c:v>-0.58306460133333504</c:v>
                </c:pt>
                <c:pt idx="37">
                  <c:v>-0.34085705933333299</c:v>
                </c:pt>
                <c:pt idx="38">
                  <c:v>7.025226666684814E-5</c:v>
                </c:pt>
                <c:pt idx="39">
                  <c:v>4.5805159999967587E-4</c:v>
                </c:pt>
                <c:pt idx="40">
                  <c:v>-3.4244293333368653E-4</c:v>
                </c:pt>
                <c:pt idx="41">
                  <c:v>0</c:v>
                </c:pt>
                <c:pt idx="42">
                  <c:v>4.473333333329943E-4</c:v>
                </c:pt>
                <c:pt idx="43">
                  <c:v>-4.740000000000022E-4</c:v>
                </c:pt>
                <c:pt idx="44">
                  <c:v>0</c:v>
                </c:pt>
                <c:pt idx="45">
                  <c:v>2.8933333333297512E-4</c:v>
                </c:pt>
                <c:pt idx="46">
                  <c:v>-3.1600000000001072E-4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99-454F-BBD8-208022A620A5}"/>
            </c:ext>
          </c:extLst>
        </c:ser>
        <c:ser>
          <c:idx val="5"/>
          <c:order val="5"/>
          <c:tx>
            <c:v>BES_TR2_three478_B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Net_kW!$H$2:$H$49</c:f>
              <c:numCache>
                <c:formatCode>#,##0.000</c:formatCode>
                <c:ptCount val="48"/>
                <c:pt idx="0">
                  <c:v>-4.9333333333301255E-4</c:v>
                </c:pt>
                <c:pt idx="1">
                  <c:v>-4.1999999999997589E-4</c:v>
                </c:pt>
                <c:pt idx="2">
                  <c:v>2.013333333329981E-4</c:v>
                </c:pt>
                <c:pt idx="3">
                  <c:v>-3.2333333333300912E-4</c:v>
                </c:pt>
                <c:pt idx="4">
                  <c:v>-7.2000000000002617E-5</c:v>
                </c:pt>
                <c:pt idx="5">
                  <c:v>-3.3999999999997921E-4</c:v>
                </c:pt>
                <c:pt idx="6">
                  <c:v>-5.5333333333004719E-5</c:v>
                </c:pt>
                <c:pt idx="7">
                  <c:v>-3.3935933333006929E-5</c:v>
                </c:pt>
                <c:pt idx="8">
                  <c:v>-1.5586939999990759E-4</c:v>
                </c:pt>
                <c:pt idx="9">
                  <c:v>3.0283210000002497E-4</c:v>
                </c:pt>
                <c:pt idx="10">
                  <c:v>-5.2162000010458343E-6</c:v>
                </c:pt>
                <c:pt idx="11">
                  <c:v>3.8517600001009011E-5</c:v>
                </c:pt>
                <c:pt idx="12">
                  <c:v>-4.9294450000114676E-4</c:v>
                </c:pt>
                <c:pt idx="13">
                  <c:v>-3.0587579999896702E-4</c:v>
                </c:pt>
                <c:pt idx="14">
                  <c:v>-2.3092443333316839E-4</c:v>
                </c:pt>
                <c:pt idx="15">
                  <c:v>-3.3023416666733141E-4</c:v>
                </c:pt>
                <c:pt idx="16">
                  <c:v>-2.4704870000102908E-4</c:v>
                </c:pt>
                <c:pt idx="17">
                  <c:v>-1.0706102002</c:v>
                </c:pt>
                <c:pt idx="18">
                  <c:v>-1.8159115220000011</c:v>
                </c:pt>
                <c:pt idx="19">
                  <c:v>-1.9864605545999989</c:v>
                </c:pt>
                <c:pt idx="20">
                  <c:v>-2.2444557073000011</c:v>
                </c:pt>
                <c:pt idx="21">
                  <c:v>-2.3989968409000002</c:v>
                </c:pt>
                <c:pt idx="22">
                  <c:v>-2.1712407768333342</c:v>
                </c:pt>
                <c:pt idx="23">
                  <c:v>-1.0163550316000001</c:v>
                </c:pt>
                <c:pt idx="24">
                  <c:v>-2.3273409968000012</c:v>
                </c:pt>
                <c:pt idx="25">
                  <c:v>-2.2578632540000001</c:v>
                </c:pt>
                <c:pt idx="26">
                  <c:v>-2.3959755281666668</c:v>
                </c:pt>
                <c:pt idx="27">
                  <c:v>-2.1877807456000009</c:v>
                </c:pt>
                <c:pt idx="28">
                  <c:v>-1.9950955865666671</c:v>
                </c:pt>
                <c:pt idx="29">
                  <c:v>-2.101202763133335</c:v>
                </c:pt>
                <c:pt idx="30">
                  <c:v>-1.8617180377666671</c:v>
                </c:pt>
                <c:pt idx="31">
                  <c:v>-1.778639557066668</c:v>
                </c:pt>
                <c:pt idx="32">
                  <c:v>-1.4819400429999989</c:v>
                </c:pt>
                <c:pt idx="33">
                  <c:v>-1.235923788033332</c:v>
                </c:pt>
                <c:pt idx="34">
                  <c:v>-1.055070462166666</c:v>
                </c:pt>
                <c:pt idx="35">
                  <c:v>-0.7958815492333331</c:v>
                </c:pt>
                <c:pt idx="36">
                  <c:v>-0.44637903433333398</c:v>
                </c:pt>
                <c:pt idx="37">
                  <c:v>-0.41589637783333328</c:v>
                </c:pt>
                <c:pt idx="38">
                  <c:v>1.9277253333405131E-4</c:v>
                </c:pt>
                <c:pt idx="39">
                  <c:v>-4.9496129999992977E-4</c:v>
                </c:pt>
                <c:pt idx="40">
                  <c:v>-1.2416553333299829E-4</c:v>
                </c:pt>
                <c:pt idx="41">
                  <c:v>-1.5133333333305909E-4</c:v>
                </c:pt>
                <c:pt idx="42">
                  <c:v>1.16000000000005E-4</c:v>
                </c:pt>
                <c:pt idx="43">
                  <c:v>4.9466666666703185E-4</c:v>
                </c:pt>
                <c:pt idx="44">
                  <c:v>2.013333333329981E-4</c:v>
                </c:pt>
                <c:pt idx="45">
                  <c:v>-3.2333333333300912E-4</c:v>
                </c:pt>
                <c:pt idx="46">
                  <c:v>-1.7266666666670291E-4</c:v>
                </c:pt>
                <c:pt idx="47">
                  <c:v>4.2233333333299711E-4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99-454F-BBD8-208022A620A5}"/>
            </c:ext>
          </c:extLst>
        </c:ser>
        <c:ser>
          <c:idx val="6"/>
          <c:order val="6"/>
          <c:tx>
            <c:v>BES_TR2_three97_B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2.6550746666679712E-4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-1.334548000002655E-4</c:v>
                </c:pt>
                <c:pt idx="15">
                  <c:v>-1.29826259</c:v>
                </c:pt>
                <c:pt idx="16">
                  <c:v>-2.2183293982666679</c:v>
                </c:pt>
                <c:pt idx="17">
                  <c:v>-2.4906509336</c:v>
                </c:pt>
                <c:pt idx="18">
                  <c:v>-2.7225753626666682</c:v>
                </c:pt>
                <c:pt idx="19">
                  <c:v>-2.920383406133332</c:v>
                </c:pt>
                <c:pt idx="20">
                  <c:v>-3.094008943066668</c:v>
                </c:pt>
                <c:pt idx="21">
                  <c:v>-3.2373051211999999</c:v>
                </c:pt>
                <c:pt idx="22">
                  <c:v>-3.338977924666668</c:v>
                </c:pt>
                <c:pt idx="23">
                  <c:v>-3.3835667088000001</c:v>
                </c:pt>
                <c:pt idx="24">
                  <c:v>-3.3964813290666682</c:v>
                </c:pt>
                <c:pt idx="25">
                  <c:v>-3.372321672</c:v>
                </c:pt>
                <c:pt idx="26">
                  <c:v>-3.2911584820000002</c:v>
                </c:pt>
                <c:pt idx="27">
                  <c:v>-3.1673343274666679</c:v>
                </c:pt>
                <c:pt idx="28">
                  <c:v>-3.0195078932000001</c:v>
                </c:pt>
                <c:pt idx="29">
                  <c:v>-2.8321901730666679</c:v>
                </c:pt>
                <c:pt idx="30">
                  <c:v>-2.6331284948000002</c:v>
                </c:pt>
                <c:pt idx="31">
                  <c:v>-2.3935838538666681</c:v>
                </c:pt>
                <c:pt idx="32">
                  <c:v>-2.123800057333332</c:v>
                </c:pt>
                <c:pt idx="33">
                  <c:v>-1.7980712729333319</c:v>
                </c:pt>
                <c:pt idx="34">
                  <c:v>-1.4932117273333321</c:v>
                </c:pt>
                <c:pt idx="35">
                  <c:v>-1.1799496212</c:v>
                </c:pt>
                <c:pt idx="36">
                  <c:v>-0.87691693466666798</c:v>
                </c:pt>
                <c:pt idx="37">
                  <c:v>-0.584750726</c:v>
                </c:pt>
                <c:pt idx="38">
                  <c:v>-0.32232074773333319</c:v>
                </c:pt>
                <c:pt idx="39">
                  <c:v>-6.1159948399999997E-2</c:v>
                </c:pt>
                <c:pt idx="40">
                  <c:v>2.3622373333332181E-4</c:v>
                </c:pt>
                <c:pt idx="41">
                  <c:v>0</c:v>
                </c:pt>
                <c:pt idx="42">
                  <c:v>0</c:v>
                </c:pt>
                <c:pt idx="43">
                  <c:v>-3.3066666666700661E-4</c:v>
                </c:pt>
                <c:pt idx="44">
                  <c:v>1.7333333333302561E-4</c:v>
                </c:pt>
                <c:pt idx="45">
                  <c:v>-3.729999999999567E-4</c:v>
                </c:pt>
                <c:pt idx="46">
                  <c:v>2.30000000000008E-4</c:v>
                </c:pt>
                <c:pt idx="47">
                  <c:v>-1.2033333333340281E-4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99-454F-BBD8-208022A620A5}"/>
            </c:ext>
          </c:extLst>
        </c:ser>
        <c:ser>
          <c:idx val="7"/>
          <c:order val="7"/>
          <c:tx>
            <c:v>BES_TR2_three133_C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Net_kW!$J$2:$J$49</c:f>
              <c:numCache>
                <c:formatCode>#,##0.000</c:formatCode>
                <c:ptCount val="48"/>
                <c:pt idx="0">
                  <c:v>4.2733333333330042E-4</c:v>
                </c:pt>
                <c:pt idx="1">
                  <c:v>-5.0000000000000044E-4</c:v>
                </c:pt>
                <c:pt idx="2">
                  <c:v>-3.0800000000000272E-4</c:v>
                </c:pt>
                <c:pt idx="3">
                  <c:v>0</c:v>
                </c:pt>
                <c:pt idx="4">
                  <c:v>4.1000000000000758E-4</c:v>
                </c:pt>
                <c:pt idx="5">
                  <c:v>2.8200000000000452E-4</c:v>
                </c:pt>
                <c:pt idx="6">
                  <c:v>-4.446666666670096E-4</c:v>
                </c:pt>
                <c:pt idx="7">
                  <c:v>-4.4393593333340309E-4</c:v>
                </c:pt>
                <c:pt idx="8">
                  <c:v>-3.6202733332907362E-5</c:v>
                </c:pt>
                <c:pt idx="9">
                  <c:v>-2.8345666666790281E-6</c:v>
                </c:pt>
                <c:pt idx="10">
                  <c:v>2.7678379999901409E-4</c:v>
                </c:pt>
                <c:pt idx="11">
                  <c:v>1.6517600001042521E-5</c:v>
                </c:pt>
                <c:pt idx="12">
                  <c:v>6.1055499998907692E-5</c:v>
                </c:pt>
                <c:pt idx="13">
                  <c:v>3.8612420000105901E-4</c:v>
                </c:pt>
                <c:pt idx="14">
                  <c:v>-4.6959110000011067E-4</c:v>
                </c:pt>
                <c:pt idx="15">
                  <c:v>3.0432500000010521E-5</c:v>
                </c:pt>
                <c:pt idx="16">
                  <c:v>-0.26821504870000101</c:v>
                </c:pt>
                <c:pt idx="17">
                  <c:v>-1.7893748668666669</c:v>
                </c:pt>
                <c:pt idx="18">
                  <c:v>-1.836703522000001</c:v>
                </c:pt>
                <c:pt idx="19">
                  <c:v>-2.0814281545999989</c:v>
                </c:pt>
                <c:pt idx="20">
                  <c:v>-2.2951520406333339</c:v>
                </c:pt>
                <c:pt idx="21">
                  <c:v>-2.3406415075666671</c:v>
                </c:pt>
                <c:pt idx="22">
                  <c:v>-2.4877334435000011</c:v>
                </c:pt>
                <c:pt idx="23">
                  <c:v>-2.3100864982666658</c:v>
                </c:pt>
                <c:pt idx="24">
                  <c:v>-2.4227573301333338</c:v>
                </c:pt>
                <c:pt idx="25">
                  <c:v>-2.4127412540000002</c:v>
                </c:pt>
                <c:pt idx="26">
                  <c:v>-2.041302194833333</c:v>
                </c:pt>
                <c:pt idx="27">
                  <c:v>-2.1836054122666679</c:v>
                </c:pt>
                <c:pt idx="28">
                  <c:v>-1.944004253233333</c:v>
                </c:pt>
                <c:pt idx="29">
                  <c:v>-2.0124140964666681</c:v>
                </c:pt>
                <c:pt idx="30">
                  <c:v>-1.8236051711000001</c:v>
                </c:pt>
                <c:pt idx="31">
                  <c:v>-1.7215685570666679</c:v>
                </c:pt>
                <c:pt idx="32">
                  <c:v>-1.509940042999999</c:v>
                </c:pt>
                <c:pt idx="33">
                  <c:v>-1.327626121366666</c:v>
                </c:pt>
                <c:pt idx="34">
                  <c:v>-1.0226834621666661</c:v>
                </c:pt>
                <c:pt idx="35">
                  <c:v>-8.7038549233333096E-2</c:v>
                </c:pt>
                <c:pt idx="36">
                  <c:v>1.046323333289689E-4</c:v>
                </c:pt>
                <c:pt idx="37">
                  <c:v>-2.1044499999955949E-5</c:v>
                </c:pt>
                <c:pt idx="38">
                  <c:v>-1.1989413333290951E-4</c:v>
                </c:pt>
                <c:pt idx="39">
                  <c:v>-1.712946333329857E-4</c:v>
                </c:pt>
                <c:pt idx="40">
                  <c:v>-4.7549886666703461E-4</c:v>
                </c:pt>
                <c:pt idx="41">
                  <c:v>-2.9933333333320711E-4</c:v>
                </c:pt>
                <c:pt idx="42">
                  <c:v>-2.9933333333330431E-4</c:v>
                </c:pt>
                <c:pt idx="43">
                  <c:v>-8.6666666666013192E-6</c:v>
                </c:pt>
                <c:pt idx="44">
                  <c:v>0</c:v>
                </c:pt>
                <c:pt idx="45">
                  <c:v>3.3000000000005247E-5</c:v>
                </c:pt>
                <c:pt idx="46">
                  <c:v>2.253333333330082E-4</c:v>
                </c:pt>
                <c:pt idx="47">
                  <c:v>4.2733333333330042E-4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99-454F-BBD8-208022A620A5}"/>
            </c:ext>
          </c:extLst>
        </c:ser>
        <c:ser>
          <c:idx val="8"/>
          <c:order val="8"/>
          <c:tx>
            <c:v>BES_TR2_three160_C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Net_kW!$K$2:$K$49</c:f>
              <c:numCache>
                <c:formatCode>#,##0.000</c:formatCode>
                <c:ptCount val="48"/>
                <c:pt idx="0">
                  <c:v>-2.5166666666709409E-4</c:v>
                </c:pt>
                <c:pt idx="1">
                  <c:v>4.790000000000072E-4</c:v>
                </c:pt>
                <c:pt idx="2">
                  <c:v>1.426666666669851E-4</c:v>
                </c:pt>
                <c:pt idx="3">
                  <c:v>4.166666666669816E-4</c:v>
                </c:pt>
                <c:pt idx="4">
                  <c:v>0</c:v>
                </c:pt>
                <c:pt idx="5">
                  <c:v>-2.9333333333300682E-4</c:v>
                </c:pt>
                <c:pt idx="6">
                  <c:v>0</c:v>
                </c:pt>
                <c:pt idx="7">
                  <c:v>-2.1780346666666619E-4</c:v>
                </c:pt>
                <c:pt idx="8">
                  <c:v>-3.3492533333193131E-5</c:v>
                </c:pt>
                <c:pt idx="9">
                  <c:v>-4.9223866666725513E-5</c:v>
                </c:pt>
                <c:pt idx="10">
                  <c:v>2.5871173333202879E-4</c:v>
                </c:pt>
                <c:pt idx="11">
                  <c:v>2.1335680000100779E-4</c:v>
                </c:pt>
                <c:pt idx="12">
                  <c:v>-4.3059266666811702E-4</c:v>
                </c:pt>
                <c:pt idx="13">
                  <c:v>3.3016560000098671E-4</c:v>
                </c:pt>
                <c:pt idx="14">
                  <c:v>4.7621186666702009E-4</c:v>
                </c:pt>
                <c:pt idx="15">
                  <c:v>-1.037566666670653E-4</c:v>
                </c:pt>
                <c:pt idx="16">
                  <c:v>-0.90276773160000112</c:v>
                </c:pt>
                <c:pt idx="17">
                  <c:v>-2.411465266933333</c:v>
                </c:pt>
                <c:pt idx="18">
                  <c:v>-2.7295753626666679</c:v>
                </c:pt>
                <c:pt idx="19">
                  <c:v>-2.841197739466665</c:v>
                </c:pt>
                <c:pt idx="20">
                  <c:v>-2.928635276400001</c:v>
                </c:pt>
                <c:pt idx="21">
                  <c:v>-3.2111567878666669</c:v>
                </c:pt>
                <c:pt idx="22">
                  <c:v>-3.1205669246666679</c:v>
                </c:pt>
                <c:pt idx="23">
                  <c:v>-3.3905667088000002</c:v>
                </c:pt>
                <c:pt idx="24">
                  <c:v>-3.2384009957333348</c:v>
                </c:pt>
                <c:pt idx="25">
                  <c:v>-3.2858426719999998</c:v>
                </c:pt>
                <c:pt idx="26">
                  <c:v>-3.2981584819999998</c:v>
                </c:pt>
                <c:pt idx="27">
                  <c:v>-3.0059403274666678</c:v>
                </c:pt>
                <c:pt idx="28">
                  <c:v>-2.936342559866667</c:v>
                </c:pt>
                <c:pt idx="29">
                  <c:v>-2.8166488397333351</c:v>
                </c:pt>
                <c:pt idx="30">
                  <c:v>-1.4861764948</c:v>
                </c:pt>
                <c:pt idx="31">
                  <c:v>-1.8558671872000021</c:v>
                </c:pt>
                <c:pt idx="32">
                  <c:v>-2.106895090666665</c:v>
                </c:pt>
                <c:pt idx="33">
                  <c:v>-1.569586606266665</c:v>
                </c:pt>
                <c:pt idx="34">
                  <c:v>-1.2593467273333321</c:v>
                </c:pt>
                <c:pt idx="35">
                  <c:v>1.5378800000021009E-5</c:v>
                </c:pt>
                <c:pt idx="36">
                  <c:v>3.343986666660137E-4</c:v>
                </c:pt>
                <c:pt idx="37">
                  <c:v>1.47940666669899E-4</c:v>
                </c:pt>
                <c:pt idx="38">
                  <c:v>-4.9408106666337659E-4</c:v>
                </c:pt>
                <c:pt idx="39">
                  <c:v>-8.6615066669848417E-5</c:v>
                </c:pt>
                <c:pt idx="40">
                  <c:v>-1.2877626666674141E-4</c:v>
                </c:pt>
                <c:pt idx="41">
                  <c:v>1.660000000001105E-4</c:v>
                </c:pt>
                <c:pt idx="42">
                  <c:v>3.5333333333339989E-4</c:v>
                </c:pt>
                <c:pt idx="43">
                  <c:v>5.7666666667011153E-5</c:v>
                </c:pt>
                <c:pt idx="44">
                  <c:v>7.4230999999999991E-2</c:v>
                </c:pt>
                <c:pt idx="45">
                  <c:v>0.106624</c:v>
                </c:pt>
                <c:pt idx="46">
                  <c:v>0.2243</c:v>
                </c:pt>
                <c:pt idx="47">
                  <c:v>0.112259333333333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99-454F-BBD8-208022A620A5}"/>
            </c:ext>
          </c:extLst>
        </c:ser>
        <c:ser>
          <c:idx val="9"/>
          <c:order val="9"/>
          <c:tx>
            <c:v>BES_TR2_five58_C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Net_kW!$L$2:$L$49</c:f>
              <c:numCache>
                <c:formatCode>#,##0.000</c:formatCode>
                <c:ptCount val="48"/>
                <c:pt idx="0">
                  <c:v>-2.6299999999998552E-4</c:v>
                </c:pt>
                <c:pt idx="1">
                  <c:v>6.9999999999958984E-5</c:v>
                </c:pt>
                <c:pt idx="2">
                  <c:v>-2.2333333333302011E-4</c:v>
                </c:pt>
                <c:pt idx="3">
                  <c:v>0</c:v>
                </c:pt>
                <c:pt idx="4">
                  <c:v>2.5333333333299462E-4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4.2174133333780513E-5</c:v>
                </c:pt>
                <c:pt idx="9">
                  <c:v>4.2644280000000978E-4</c:v>
                </c:pt>
                <c:pt idx="10">
                  <c:v>-3.4028826666798739E-4</c:v>
                </c:pt>
                <c:pt idx="11">
                  <c:v>-4.6130986666526042E-4</c:v>
                </c:pt>
                <c:pt idx="12">
                  <c:v>4.6140733333188688E-4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-0.43184942333333298</c:v>
                </c:pt>
                <c:pt idx="16">
                  <c:v>-2.2233293982666682</c:v>
                </c:pt>
                <c:pt idx="17">
                  <c:v>-1.695138266933333</c:v>
                </c:pt>
                <c:pt idx="18">
                  <c:v>-1.1260083626666679</c:v>
                </c:pt>
                <c:pt idx="19">
                  <c:v>-1.6058179394666621</c:v>
                </c:pt>
                <c:pt idx="20">
                  <c:v>-2.180142276400002</c:v>
                </c:pt>
                <c:pt idx="21">
                  <c:v>-2.3330884545333328</c:v>
                </c:pt>
                <c:pt idx="22">
                  <c:v>-3.2620816580000009</c:v>
                </c:pt>
                <c:pt idx="23">
                  <c:v>-3.3293267088</c:v>
                </c:pt>
                <c:pt idx="24">
                  <c:v>-3.2418773290666678</c:v>
                </c:pt>
                <c:pt idx="25">
                  <c:v>-3.3598376719999998</c:v>
                </c:pt>
                <c:pt idx="26">
                  <c:v>-3.2961584820000001</c:v>
                </c:pt>
                <c:pt idx="27">
                  <c:v>-3.0785576608000009</c:v>
                </c:pt>
                <c:pt idx="28">
                  <c:v>-3.0245078932</c:v>
                </c:pt>
                <c:pt idx="29">
                  <c:v>-2.7501118397333348</c:v>
                </c:pt>
                <c:pt idx="30">
                  <c:v>-2.6314301614666671</c:v>
                </c:pt>
                <c:pt idx="31">
                  <c:v>-2.3985838538666679</c:v>
                </c:pt>
                <c:pt idx="32">
                  <c:v>-2.0175380573333319</c:v>
                </c:pt>
                <c:pt idx="33">
                  <c:v>-1.6662661729333319</c:v>
                </c:pt>
                <c:pt idx="34">
                  <c:v>-1.447940727333332</c:v>
                </c:pt>
                <c:pt idx="35">
                  <c:v>-0.98776402120000006</c:v>
                </c:pt>
                <c:pt idx="36">
                  <c:v>-0.74953626800000106</c:v>
                </c:pt>
                <c:pt idx="37">
                  <c:v>-0.37647205933333311</c:v>
                </c:pt>
                <c:pt idx="38">
                  <c:v>4.3825226666681372E-4</c:v>
                </c:pt>
                <c:pt idx="39">
                  <c:v>-4.6328173333295969E-4</c:v>
                </c:pt>
                <c:pt idx="40">
                  <c:v>1.215570666663057E-4</c:v>
                </c:pt>
                <c:pt idx="41">
                  <c:v>9.1666666666989638E-5</c:v>
                </c:pt>
                <c:pt idx="42">
                  <c:v>-1.939999999999997E-4</c:v>
                </c:pt>
                <c:pt idx="43">
                  <c:v>4.7633333333296779E-4</c:v>
                </c:pt>
                <c:pt idx="44">
                  <c:v>-7.3333333332981088E-5</c:v>
                </c:pt>
                <c:pt idx="45">
                  <c:v>1.500000000000945E-4</c:v>
                </c:pt>
                <c:pt idx="46">
                  <c:v>-1.6199999999999551E-4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99-454F-BBD8-208022A620A5}"/>
            </c:ext>
          </c:extLst>
        </c:ser>
        <c:ser>
          <c:idx val="10"/>
          <c:order val="10"/>
          <c:tx>
            <c:v>BES_TR2_five147_C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Net_kW!$M$2:$M$49</c:f>
              <c:numCache>
                <c:formatCode>#,##0.000</c:formatCode>
                <c:ptCount val="48"/>
                <c:pt idx="0">
                  <c:v>2.6666666666699812E-4</c:v>
                </c:pt>
                <c:pt idx="1">
                  <c:v>1.0000000000000291E-4</c:v>
                </c:pt>
                <c:pt idx="2">
                  <c:v>-4.5000000000000601E-4</c:v>
                </c:pt>
                <c:pt idx="3">
                  <c:v>-1.833333333330078E-4</c:v>
                </c:pt>
                <c:pt idx="4">
                  <c:v>0</c:v>
                </c:pt>
                <c:pt idx="5">
                  <c:v>-3.1666666666700649E-4</c:v>
                </c:pt>
                <c:pt idx="6">
                  <c:v>-3.1666666666700649E-4</c:v>
                </c:pt>
                <c:pt idx="7">
                  <c:v>1.4252986666672679E-4</c:v>
                </c:pt>
                <c:pt idx="8">
                  <c:v>4.884079999978308E-5</c:v>
                </c:pt>
                <c:pt idx="9">
                  <c:v>4.2644279999998203E-4</c:v>
                </c:pt>
                <c:pt idx="10">
                  <c:v>2.6378399999027469E-5</c:v>
                </c:pt>
                <c:pt idx="11">
                  <c:v>1.420234666681397E-4</c:v>
                </c:pt>
                <c:pt idx="12">
                  <c:v>1.147406666652806E-4</c:v>
                </c:pt>
                <c:pt idx="13">
                  <c:v>-4.0783439999891868E-4</c:v>
                </c:pt>
                <c:pt idx="14">
                  <c:v>4.0545199999852948E-5</c:v>
                </c:pt>
                <c:pt idx="15">
                  <c:v>-0.50655942333333326</c:v>
                </c:pt>
                <c:pt idx="16">
                  <c:v>-1.8220990649333351</c:v>
                </c:pt>
                <c:pt idx="17">
                  <c:v>-2.1833839336</c:v>
                </c:pt>
                <c:pt idx="18">
                  <c:v>-2.0581293626666679</c:v>
                </c:pt>
                <c:pt idx="19">
                  <c:v>-2.3283300727999992</c:v>
                </c:pt>
                <c:pt idx="20">
                  <c:v>-2.902932276400001</c:v>
                </c:pt>
                <c:pt idx="21">
                  <c:v>-3.1661051212000002</c:v>
                </c:pt>
                <c:pt idx="22">
                  <c:v>-3.215127924666668</c:v>
                </c:pt>
                <c:pt idx="23">
                  <c:v>-3.3700500421333328</c:v>
                </c:pt>
                <c:pt idx="24">
                  <c:v>-3.3884813290666682</c:v>
                </c:pt>
                <c:pt idx="25">
                  <c:v>-3.303638338666667</c:v>
                </c:pt>
                <c:pt idx="26">
                  <c:v>-3.2224751486666672</c:v>
                </c:pt>
                <c:pt idx="27">
                  <c:v>-3.1593343274666679</c:v>
                </c:pt>
                <c:pt idx="28">
                  <c:v>-2.9342745598666671</c:v>
                </c:pt>
                <c:pt idx="29">
                  <c:v>-2.780056839733335</c:v>
                </c:pt>
                <c:pt idx="30">
                  <c:v>-2.6196118281333329</c:v>
                </c:pt>
                <c:pt idx="31">
                  <c:v>-2.269733853866668</c:v>
                </c:pt>
                <c:pt idx="32">
                  <c:v>-2.115800057333332</c:v>
                </c:pt>
                <c:pt idx="33">
                  <c:v>-1.7432539395999991</c:v>
                </c:pt>
                <c:pt idx="34">
                  <c:v>-1.3665252606666649</c:v>
                </c:pt>
                <c:pt idx="35">
                  <c:v>-1.0931362878666671</c:v>
                </c:pt>
                <c:pt idx="36">
                  <c:v>-0.62979026800000104</c:v>
                </c:pt>
                <c:pt idx="37">
                  <c:v>-0.50074472599999997</c:v>
                </c:pt>
                <c:pt idx="38">
                  <c:v>-0.1214274144000002</c:v>
                </c:pt>
                <c:pt idx="39">
                  <c:v>-4.3948399999993448E-5</c:v>
                </c:pt>
                <c:pt idx="40">
                  <c:v>4.4122373333332909E-4</c:v>
                </c:pt>
                <c:pt idx="41">
                  <c:v>4.6999999999997039E-4</c:v>
                </c:pt>
                <c:pt idx="42">
                  <c:v>5.0666666667087412E-5</c:v>
                </c:pt>
                <c:pt idx="43">
                  <c:v>8.6666666667012393E-5</c:v>
                </c:pt>
                <c:pt idx="44">
                  <c:v>-4.3199999999998789E-4</c:v>
                </c:pt>
                <c:pt idx="45">
                  <c:v>-4.6666666666705941E-4</c:v>
                </c:pt>
                <c:pt idx="46">
                  <c:v>1.4866666666701889E-4</c:v>
                </c:pt>
                <c:pt idx="47">
                  <c:v>-5.9999999999990623E-5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99-454F-BBD8-208022A620A5}"/>
            </c:ext>
          </c:extLst>
        </c:ser>
        <c:ser>
          <c:idx val="11"/>
          <c:order val="11"/>
          <c:tx>
            <c:v>BES_TR2_five149_A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Net_kW!$N$2:$N$49</c:f>
              <c:numCache>
                <c:formatCode>#,##0.000</c:formatCode>
                <c:ptCount val="48"/>
                <c:pt idx="0">
                  <c:v>6.7999999999984739E-5</c:v>
                </c:pt>
                <c:pt idx="1">
                  <c:v>1.2399999999999911E-4</c:v>
                </c:pt>
                <c:pt idx="2">
                  <c:v>1.7733333333302961E-4</c:v>
                </c:pt>
                <c:pt idx="3">
                  <c:v>1.166666666670008E-4</c:v>
                </c:pt>
                <c:pt idx="4">
                  <c:v>4.5466666666699179E-4</c:v>
                </c:pt>
                <c:pt idx="5">
                  <c:v>4.0500000000000258E-4</c:v>
                </c:pt>
                <c:pt idx="6">
                  <c:v>4.0966666666700241E-4</c:v>
                </c:pt>
                <c:pt idx="7">
                  <c:v>1.62529866666733E-4</c:v>
                </c:pt>
                <c:pt idx="8">
                  <c:v>-4.3825866666180602E-5</c:v>
                </c:pt>
                <c:pt idx="9">
                  <c:v>-3.8522386666700598E-4</c:v>
                </c:pt>
                <c:pt idx="10">
                  <c:v>-2.5762160000131212E-4</c:v>
                </c:pt>
                <c:pt idx="11">
                  <c:v>4.7735680000099418E-4</c:v>
                </c:pt>
                <c:pt idx="12">
                  <c:v>8.1407333331950937E-5</c:v>
                </c:pt>
                <c:pt idx="13">
                  <c:v>-1.3316773333205129E-4</c:v>
                </c:pt>
                <c:pt idx="14">
                  <c:v>-1.4945480000005951E-4</c:v>
                </c:pt>
                <c:pt idx="15">
                  <c:v>3.7391000000019941E-4</c:v>
                </c:pt>
                <c:pt idx="16">
                  <c:v>-1.7976800649333351</c:v>
                </c:pt>
                <c:pt idx="17">
                  <c:v>-2.383882266933333</c:v>
                </c:pt>
                <c:pt idx="18">
                  <c:v>-2.6336120293333352</c:v>
                </c:pt>
                <c:pt idx="19">
                  <c:v>-2.7459287394666649</c:v>
                </c:pt>
                <c:pt idx="20">
                  <c:v>-3.0621622764000009</c:v>
                </c:pt>
                <c:pt idx="21">
                  <c:v>-3.1711884545333331</c:v>
                </c:pt>
                <c:pt idx="22">
                  <c:v>-3.3299779246666681</c:v>
                </c:pt>
                <c:pt idx="23">
                  <c:v>-3.2269173754666669</c:v>
                </c:pt>
                <c:pt idx="24">
                  <c:v>-3.2897126624000008</c:v>
                </c:pt>
                <c:pt idx="25">
                  <c:v>-3.3290516719999999</c:v>
                </c:pt>
                <c:pt idx="26">
                  <c:v>-3.0860518153333332</c:v>
                </c:pt>
                <c:pt idx="27">
                  <c:v>-3.143292994133335</c:v>
                </c:pt>
                <c:pt idx="28">
                  <c:v>-2.9287355598666669</c:v>
                </c:pt>
                <c:pt idx="29">
                  <c:v>-2.659544506400001</c:v>
                </c:pt>
                <c:pt idx="30">
                  <c:v>-2.6241284947999999</c:v>
                </c:pt>
                <c:pt idx="31">
                  <c:v>-2.304620520533335</c:v>
                </c:pt>
                <c:pt idx="32">
                  <c:v>-1.9493453906666649</c:v>
                </c:pt>
                <c:pt idx="33">
                  <c:v>-1.7041832729333319</c:v>
                </c:pt>
                <c:pt idx="34">
                  <c:v>-1.1700693939999991</c:v>
                </c:pt>
                <c:pt idx="35">
                  <c:v>-1.0418089545333331</c:v>
                </c:pt>
                <c:pt idx="36">
                  <c:v>-0.76039026800000098</c:v>
                </c:pt>
                <c:pt idx="37">
                  <c:v>-0.25349405933333302</c:v>
                </c:pt>
                <c:pt idx="38">
                  <c:v>-0.18801274773333321</c:v>
                </c:pt>
                <c:pt idx="39">
                  <c:v>-2.928173333299755E-5</c:v>
                </c:pt>
                <c:pt idx="40">
                  <c:v>4.0890399999271583E-5</c:v>
                </c:pt>
                <c:pt idx="41">
                  <c:v>1.77999999999956E-4</c:v>
                </c:pt>
                <c:pt idx="42">
                  <c:v>2.296666666670166E-4</c:v>
                </c:pt>
                <c:pt idx="43">
                  <c:v>-2.5433333333302333E-4</c:v>
                </c:pt>
                <c:pt idx="44">
                  <c:v>-1.889999999999947E-4</c:v>
                </c:pt>
                <c:pt idx="45">
                  <c:v>-1.113333333329081E-4</c:v>
                </c:pt>
                <c:pt idx="46">
                  <c:v>-1.4999999999987251E-5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99-454F-BBD8-208022A620A5}"/>
            </c:ext>
          </c:extLst>
        </c:ser>
        <c:ser>
          <c:idx val="12"/>
          <c:order val="12"/>
          <c:tx>
            <c:v>BES_TR2_five160_C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Net_kW!$O$2:$O$49</c:f>
              <c:numCache>
                <c:formatCode>#,##0.000</c:formatCode>
                <c:ptCount val="48"/>
                <c:pt idx="0">
                  <c:v>-3.5799999999999721E-4</c:v>
                </c:pt>
                <c:pt idx="1">
                  <c:v>0</c:v>
                </c:pt>
                <c:pt idx="2">
                  <c:v>2.3333333333000469E-5</c:v>
                </c:pt>
                <c:pt idx="3">
                  <c:v>-3.8133333333340008E-4</c:v>
                </c:pt>
                <c:pt idx="4">
                  <c:v>-2.7433333333300169E-4</c:v>
                </c:pt>
                <c:pt idx="5">
                  <c:v>-8.3666666666690204E-5</c:v>
                </c:pt>
                <c:pt idx="6">
                  <c:v>1.06999999999996E-4</c:v>
                </c:pt>
                <c:pt idx="7">
                  <c:v>-1.854017333333402E-4</c:v>
                </c:pt>
                <c:pt idx="8">
                  <c:v>1.327537333333968E-4</c:v>
                </c:pt>
                <c:pt idx="9">
                  <c:v>3.5522139999998731E-4</c:v>
                </c:pt>
                <c:pt idx="10">
                  <c:v>3.2985586666597899E-4</c:v>
                </c:pt>
                <c:pt idx="11">
                  <c:v>7.1011733334014338E-5</c:v>
                </c:pt>
                <c:pt idx="12">
                  <c:v>1.7103699999898581E-4</c:v>
                </c:pt>
                <c:pt idx="13">
                  <c:v>-3.5891719999936461E-4</c:v>
                </c:pt>
                <c:pt idx="14">
                  <c:v>-1.470607333330376E-4</c:v>
                </c:pt>
                <c:pt idx="15">
                  <c:v>4.962883333333723E-4</c:v>
                </c:pt>
                <c:pt idx="16">
                  <c:v>4.7730086666597499E-4</c:v>
                </c:pt>
                <c:pt idx="17">
                  <c:v>-4.1746679999987713E-4</c:v>
                </c:pt>
                <c:pt idx="18">
                  <c:v>-0.1496306813333339</c:v>
                </c:pt>
                <c:pt idx="19">
                  <c:v>-0.51464370306666596</c:v>
                </c:pt>
                <c:pt idx="20">
                  <c:v>-1.2876291382000009</c:v>
                </c:pt>
                <c:pt idx="21">
                  <c:v>-1.403785893933333</c:v>
                </c:pt>
                <c:pt idx="22">
                  <c:v>-1.5168036290000011</c:v>
                </c:pt>
                <c:pt idx="23">
                  <c:v>-1.526536021066667</c:v>
                </c:pt>
                <c:pt idx="24">
                  <c:v>-1.572780664533334</c:v>
                </c:pt>
                <c:pt idx="25">
                  <c:v>-1.3723196360000001</c:v>
                </c:pt>
                <c:pt idx="26">
                  <c:v>-1.422914607666667</c:v>
                </c:pt>
                <c:pt idx="27">
                  <c:v>-1.4257589970666671</c:v>
                </c:pt>
                <c:pt idx="28">
                  <c:v>-1.429622613266667</c:v>
                </c:pt>
                <c:pt idx="29">
                  <c:v>-1.1789932532</c:v>
                </c:pt>
                <c:pt idx="30">
                  <c:v>-1.2009222474000001</c:v>
                </c:pt>
                <c:pt idx="31">
                  <c:v>-1.1657919269333341</c:v>
                </c:pt>
                <c:pt idx="32">
                  <c:v>-1.0309000286666661</c:v>
                </c:pt>
                <c:pt idx="33">
                  <c:v>-0.78339363646666604</c:v>
                </c:pt>
                <c:pt idx="34">
                  <c:v>-0.70796533033333264</c:v>
                </c:pt>
                <c:pt idx="35">
                  <c:v>-0.41685934393333302</c:v>
                </c:pt>
                <c:pt idx="36">
                  <c:v>-9.9173800666667034E-2</c:v>
                </c:pt>
                <c:pt idx="37">
                  <c:v>-1.4495363000000041E-2</c:v>
                </c:pt>
                <c:pt idx="38">
                  <c:v>-7.0373866666556539E-5</c:v>
                </c:pt>
                <c:pt idx="39">
                  <c:v>-1.4764086666696491E-4</c:v>
                </c:pt>
                <c:pt idx="40">
                  <c:v>-1.9222146666636461E-4</c:v>
                </c:pt>
                <c:pt idx="41">
                  <c:v>2.050000000000107E-4</c:v>
                </c:pt>
                <c:pt idx="42">
                  <c:v>1.3033333333299649E-4</c:v>
                </c:pt>
                <c:pt idx="43">
                  <c:v>3.2100000000000179E-4</c:v>
                </c:pt>
                <c:pt idx="44">
                  <c:v>3.2099999999990469E-4</c:v>
                </c:pt>
                <c:pt idx="45">
                  <c:v>1.2666666666699691E-4</c:v>
                </c:pt>
                <c:pt idx="46">
                  <c:v>-1.5799999999999151E-4</c:v>
                </c:pt>
                <c:pt idx="47">
                  <c:v>-1.073333333330151E-4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99-454F-BBD8-208022A620A5}"/>
            </c:ext>
          </c:extLst>
        </c:ser>
        <c:ser>
          <c:idx val="13"/>
          <c:order val="13"/>
          <c:tx>
            <c:v>BES_TR2_five170_A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Net_kW!$P$2:$P$49</c:f>
              <c:numCache>
                <c:formatCode>#,##0.000</c:formatCode>
                <c:ptCount val="48"/>
                <c:pt idx="0">
                  <c:v>2.9333333333300682E-4</c:v>
                </c:pt>
                <c:pt idx="1">
                  <c:v>0</c:v>
                </c:pt>
                <c:pt idx="2">
                  <c:v>2.6666666666699812E-4</c:v>
                </c:pt>
                <c:pt idx="3">
                  <c:v>2.6666666666598501E-5</c:v>
                </c:pt>
                <c:pt idx="4">
                  <c:v>1.8666666666702911E-4</c:v>
                </c:pt>
                <c:pt idx="5">
                  <c:v>1.066666666668104E-4</c:v>
                </c:pt>
                <c:pt idx="6">
                  <c:v>0</c:v>
                </c:pt>
                <c:pt idx="7">
                  <c:v>-2.872692666670007E-4</c:v>
                </c:pt>
                <c:pt idx="8">
                  <c:v>-3.0086939999990169E-4</c:v>
                </c:pt>
                <c:pt idx="9">
                  <c:v>-3.7683456666667842E-4</c:v>
                </c:pt>
                <c:pt idx="10">
                  <c:v>2.3478379999897209E-4</c:v>
                </c:pt>
                <c:pt idx="11">
                  <c:v>-3.9348239999892343E-4</c:v>
                </c:pt>
                <c:pt idx="12">
                  <c:v>-1.5894450000109031E-4</c:v>
                </c:pt>
                <c:pt idx="13">
                  <c:v>2.1579086666800859E-4</c:v>
                </c:pt>
                <c:pt idx="14">
                  <c:v>-4.6959110000011067E-4</c:v>
                </c:pt>
                <c:pt idx="15">
                  <c:v>3.0876583333316893E-4</c:v>
                </c:pt>
                <c:pt idx="16">
                  <c:v>1.961796666583027E-5</c:v>
                </c:pt>
                <c:pt idx="17">
                  <c:v>-1.520446533533333</c:v>
                </c:pt>
                <c:pt idx="18">
                  <c:v>-1.866366188666668</c:v>
                </c:pt>
                <c:pt idx="19">
                  <c:v>-2.140529954599999</c:v>
                </c:pt>
                <c:pt idx="20">
                  <c:v>-2.199711673966668</c:v>
                </c:pt>
                <c:pt idx="21">
                  <c:v>-2.3633721742333331</c:v>
                </c:pt>
                <c:pt idx="22">
                  <c:v>-2.4917334435000011</c:v>
                </c:pt>
                <c:pt idx="23">
                  <c:v>-2.2041050316000002</c:v>
                </c:pt>
                <c:pt idx="24">
                  <c:v>-2.4854509968000009</c:v>
                </c:pt>
                <c:pt idx="25">
                  <c:v>-2.281916254</c:v>
                </c:pt>
                <c:pt idx="26">
                  <c:v>-2.4329339948333328</c:v>
                </c:pt>
                <c:pt idx="27">
                  <c:v>-2.348714745600001</c:v>
                </c:pt>
                <c:pt idx="28">
                  <c:v>-2.1551889865666669</c:v>
                </c:pt>
                <c:pt idx="29">
                  <c:v>-1.7789831631333339</c:v>
                </c:pt>
                <c:pt idx="30">
                  <c:v>-1.917384937766667</c:v>
                </c:pt>
                <c:pt idx="31">
                  <c:v>-1.5939834237333339</c:v>
                </c:pt>
                <c:pt idx="32">
                  <c:v>-1.5522090429999991</c:v>
                </c:pt>
                <c:pt idx="33">
                  <c:v>-1.1980236880333319</c:v>
                </c:pt>
                <c:pt idx="34">
                  <c:v>-1.052008795499999</c:v>
                </c:pt>
                <c:pt idx="35">
                  <c:v>-0.72501274923333314</c:v>
                </c:pt>
                <c:pt idx="36">
                  <c:v>-0.40034160100000099</c:v>
                </c:pt>
                <c:pt idx="37">
                  <c:v>-0.41572604449999989</c:v>
                </c:pt>
                <c:pt idx="38">
                  <c:v>-4.8746079999990172E-4</c:v>
                </c:pt>
                <c:pt idx="39">
                  <c:v>-1.6596130000007259E-4</c:v>
                </c:pt>
                <c:pt idx="40">
                  <c:v>4.7167799999914273E-5</c:v>
                </c:pt>
                <c:pt idx="41">
                  <c:v>1.166666666669869E-4</c:v>
                </c:pt>
                <c:pt idx="42">
                  <c:v>1.163333333329963E-4</c:v>
                </c:pt>
                <c:pt idx="43">
                  <c:v>0</c:v>
                </c:pt>
                <c:pt idx="44">
                  <c:v>-4.0666666666669399E-4</c:v>
                </c:pt>
                <c:pt idx="45">
                  <c:v>-2.9999999999999472E-4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99-454F-BBD8-208022A620A5}"/>
            </c:ext>
          </c:extLst>
        </c:ser>
        <c:ser>
          <c:idx val="14"/>
          <c:order val="14"/>
          <c:tx>
            <c:v>BES_TR2_five177_A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-4.7999999999992493E-5</c:v>
                </c:pt>
                <c:pt idx="2">
                  <c:v>0</c:v>
                </c:pt>
                <c:pt idx="3">
                  <c:v>2.9066666666699442E-4</c:v>
                </c:pt>
                <c:pt idx="4">
                  <c:v>-3.3866666666659828E-4</c:v>
                </c:pt>
                <c:pt idx="5">
                  <c:v>2.9866666666700242E-4</c:v>
                </c:pt>
                <c:pt idx="6">
                  <c:v>-3.4666666666670343E-4</c:v>
                </c:pt>
                <c:pt idx="7">
                  <c:v>2.4365366666695421E-5</c:v>
                </c:pt>
                <c:pt idx="8">
                  <c:v>-1.310136666696216E-5</c:v>
                </c:pt>
                <c:pt idx="9">
                  <c:v>-2.150839499999932E-4</c:v>
                </c:pt>
                <c:pt idx="10">
                  <c:v>-5.0608100000494587E-5</c:v>
                </c:pt>
                <c:pt idx="11">
                  <c:v>-1.967411999994895E-4</c:v>
                </c:pt>
                <c:pt idx="12">
                  <c:v>3.0527749999398328E-5</c:v>
                </c:pt>
                <c:pt idx="13">
                  <c:v>-1.5293789999948351E-4</c:v>
                </c:pt>
                <c:pt idx="14">
                  <c:v>2.3320445000007961E-4</c:v>
                </c:pt>
                <c:pt idx="15">
                  <c:v>4.9921625000015624E-4</c:v>
                </c:pt>
                <c:pt idx="16">
                  <c:v>-1.2352435000051451E-4</c:v>
                </c:pt>
                <c:pt idx="17">
                  <c:v>4.0123323333352001E-4</c:v>
                </c:pt>
                <c:pt idx="18">
                  <c:v>9.0905666666585283E-5</c:v>
                </c:pt>
                <c:pt idx="19">
                  <c:v>4.0288936666743602E-4</c:v>
                </c:pt>
                <c:pt idx="20">
                  <c:v>-0.83850335364999995</c:v>
                </c:pt>
                <c:pt idx="21">
                  <c:v>-1.1772394204500001</c:v>
                </c:pt>
                <c:pt idx="22">
                  <c:v>-1.100615388416667</c:v>
                </c:pt>
                <c:pt idx="23">
                  <c:v>-1.2320875158</c:v>
                </c:pt>
                <c:pt idx="24">
                  <c:v>-1.1552431650666679</c:v>
                </c:pt>
                <c:pt idx="25">
                  <c:v>-0.79914629366666701</c:v>
                </c:pt>
                <c:pt idx="26">
                  <c:v>-1.0064104307499999</c:v>
                </c:pt>
                <c:pt idx="27">
                  <c:v>-1.0209310394666671</c:v>
                </c:pt>
                <c:pt idx="28">
                  <c:v>-0.69094045994999997</c:v>
                </c:pt>
                <c:pt idx="29">
                  <c:v>-0.79274431489999997</c:v>
                </c:pt>
                <c:pt idx="30">
                  <c:v>-0.7590595188833329</c:v>
                </c:pt>
                <c:pt idx="31">
                  <c:v>-0.72521194520000043</c:v>
                </c:pt>
                <c:pt idx="32">
                  <c:v>-0.62952668816666646</c:v>
                </c:pt>
                <c:pt idx="33">
                  <c:v>-0.60803366068333287</c:v>
                </c:pt>
                <c:pt idx="34">
                  <c:v>-0.3336292644166664</c:v>
                </c:pt>
                <c:pt idx="35">
                  <c:v>-0.4032829079500001</c:v>
                </c:pt>
                <c:pt idx="36">
                  <c:v>-0.29209385050000047</c:v>
                </c:pt>
                <c:pt idx="37">
                  <c:v>-9.0093522249999974E-2</c:v>
                </c:pt>
                <c:pt idx="38">
                  <c:v>-3.6828039999992068E-4</c:v>
                </c:pt>
                <c:pt idx="39">
                  <c:v>2.7268601666699532E-4</c:v>
                </c:pt>
                <c:pt idx="40">
                  <c:v>1.2691723333302371E-4</c:v>
                </c:pt>
                <c:pt idx="41">
                  <c:v>3.7999999999982492E-5</c:v>
                </c:pt>
                <c:pt idx="42">
                  <c:v>5.333333333024104E-6</c:v>
                </c:pt>
                <c:pt idx="43">
                  <c:v>7.9999999999524896E-6</c:v>
                </c:pt>
                <c:pt idx="44">
                  <c:v>-4.2000000000003151E-4</c:v>
                </c:pt>
                <c:pt idx="45">
                  <c:v>2.7800000000000052E-4</c:v>
                </c:pt>
                <c:pt idx="46">
                  <c:v>-4.1866666666701141E-4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99-454F-BBD8-208022A620A5}"/>
            </c:ext>
          </c:extLst>
        </c:ser>
        <c:ser>
          <c:idx val="15"/>
          <c:order val="15"/>
          <c:tx>
            <c:v>BES_TR2_five67_C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Net_kW!$R$2:$R$49</c:f>
              <c:numCache>
                <c:formatCode>#,##0.000</c:formatCode>
                <c:ptCount val="48"/>
                <c:pt idx="0">
                  <c:v>3.5733333333340389E-4</c:v>
                </c:pt>
                <c:pt idx="1">
                  <c:v>-4.2599999999998189E-4</c:v>
                </c:pt>
                <c:pt idx="2">
                  <c:v>2.4666666666700587E-4</c:v>
                </c:pt>
                <c:pt idx="3">
                  <c:v>3.0666666666701042E-4</c:v>
                </c:pt>
                <c:pt idx="4">
                  <c:v>1.2333333333298951E-4</c:v>
                </c:pt>
                <c:pt idx="5">
                  <c:v>-2.5200000000000222E-4</c:v>
                </c:pt>
                <c:pt idx="6">
                  <c:v>-5.0666666667004152E-5</c:v>
                </c:pt>
                <c:pt idx="7">
                  <c:v>-2.1213679999965149E-4</c:v>
                </c:pt>
                <c:pt idx="8">
                  <c:v>3.268408000000958E-4</c:v>
                </c:pt>
                <c:pt idx="9">
                  <c:v>4.197761333330028E-4</c:v>
                </c:pt>
                <c:pt idx="10">
                  <c:v>-2.169549333350673E-4</c:v>
                </c:pt>
                <c:pt idx="11">
                  <c:v>1.420234666680287E-4</c:v>
                </c:pt>
                <c:pt idx="12">
                  <c:v>-4.7259333335047948E-5</c:v>
                </c:pt>
                <c:pt idx="13">
                  <c:v>2.5883226666811859E-4</c:v>
                </c:pt>
                <c:pt idx="14">
                  <c:v>-5.9454799999913988E-5</c:v>
                </c:pt>
                <c:pt idx="15">
                  <c:v>-3.4808999999991208E-4</c:v>
                </c:pt>
                <c:pt idx="16">
                  <c:v>-1.7677710649333349</c:v>
                </c:pt>
                <c:pt idx="17">
                  <c:v>-2.328031266933333</c:v>
                </c:pt>
                <c:pt idx="18">
                  <c:v>-2.704759029333335</c:v>
                </c:pt>
                <c:pt idx="19">
                  <c:v>-2.3651024061333321</c:v>
                </c:pt>
                <c:pt idx="20">
                  <c:v>-3.054255609733334</c:v>
                </c:pt>
                <c:pt idx="21">
                  <c:v>-2.2439397878666698</c:v>
                </c:pt>
                <c:pt idx="22">
                  <c:v>-3.191013924666668</c:v>
                </c:pt>
                <c:pt idx="23">
                  <c:v>-2.814420275466667</c:v>
                </c:pt>
                <c:pt idx="24">
                  <c:v>-0.69851466239999782</c:v>
                </c:pt>
                <c:pt idx="25">
                  <c:v>-0.73830167199999996</c:v>
                </c:pt>
                <c:pt idx="26">
                  <c:v>-2.4964701486666669</c:v>
                </c:pt>
                <c:pt idx="27">
                  <c:v>-2.7127946608000011</c:v>
                </c:pt>
                <c:pt idx="28">
                  <c:v>-1.8021175598666701</c:v>
                </c:pt>
                <c:pt idx="29">
                  <c:v>-2.3801261730666678</c:v>
                </c:pt>
                <c:pt idx="30">
                  <c:v>-2.357613161466666</c:v>
                </c:pt>
                <c:pt idx="31">
                  <c:v>-2.2439598538666679</c:v>
                </c:pt>
                <c:pt idx="32">
                  <c:v>-1.8056007239999989</c:v>
                </c:pt>
                <c:pt idx="33">
                  <c:v>-1.427739939599999</c:v>
                </c:pt>
                <c:pt idx="34">
                  <c:v>-0.76909406066666586</c:v>
                </c:pt>
                <c:pt idx="35">
                  <c:v>-0.67502828786666702</c:v>
                </c:pt>
                <c:pt idx="36">
                  <c:v>-0.72247260133333502</c:v>
                </c:pt>
                <c:pt idx="37">
                  <c:v>-0.23713505933333309</c:v>
                </c:pt>
                <c:pt idx="38">
                  <c:v>-4.4741440000017901E-4</c:v>
                </c:pt>
                <c:pt idx="39">
                  <c:v>-2.8461506666699332E-4</c:v>
                </c:pt>
                <c:pt idx="40">
                  <c:v>-6.9442933333718759E-5</c:v>
                </c:pt>
                <c:pt idx="41">
                  <c:v>9.2666666666962882E-5</c:v>
                </c:pt>
                <c:pt idx="42">
                  <c:v>0</c:v>
                </c:pt>
                <c:pt idx="43">
                  <c:v>-2.086666666669956E-4</c:v>
                </c:pt>
                <c:pt idx="44">
                  <c:v>3.8666666666697941E-4</c:v>
                </c:pt>
                <c:pt idx="45">
                  <c:v>0</c:v>
                </c:pt>
                <c:pt idx="46">
                  <c:v>0</c:v>
                </c:pt>
                <c:pt idx="47">
                  <c:v>1.7800000000001151E-4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D99-454F-BBD8-208022A620A5}"/>
            </c:ext>
          </c:extLst>
        </c:ser>
        <c:ser>
          <c:idx val="16"/>
          <c:order val="16"/>
          <c:tx>
            <c:v>BES_TR2_five243_B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-6.4333331994416952E-9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4.0545200000074999E-5</c:v>
                </c:pt>
                <c:pt idx="15">
                  <c:v>-1.37862609</c:v>
                </c:pt>
                <c:pt idx="16">
                  <c:v>-2.1743293982666678</c:v>
                </c:pt>
                <c:pt idx="17">
                  <c:v>-1.6845309336000001</c:v>
                </c:pt>
                <c:pt idx="18">
                  <c:v>-2.4211253626666678</c:v>
                </c:pt>
                <c:pt idx="19">
                  <c:v>-2.8163834061333319</c:v>
                </c:pt>
                <c:pt idx="20">
                  <c:v>-2.9602406097333351</c:v>
                </c:pt>
                <c:pt idx="21">
                  <c:v>-3.1996051211999998</c:v>
                </c:pt>
                <c:pt idx="22">
                  <c:v>-3.0625279246666679</c:v>
                </c:pt>
                <c:pt idx="23">
                  <c:v>-3.3218299421333328</c:v>
                </c:pt>
                <c:pt idx="24">
                  <c:v>-3.3807523290666679</c:v>
                </c:pt>
                <c:pt idx="25">
                  <c:v>-2.0230793720000002</c:v>
                </c:pt>
                <c:pt idx="26">
                  <c:v>-2.2848584820000002</c:v>
                </c:pt>
                <c:pt idx="27">
                  <c:v>-2.4628676608000011</c:v>
                </c:pt>
                <c:pt idx="28">
                  <c:v>-3.0155078932000001</c:v>
                </c:pt>
                <c:pt idx="29">
                  <c:v>-2.8281901730666679</c:v>
                </c:pt>
                <c:pt idx="30">
                  <c:v>-2.6291284948000002</c:v>
                </c:pt>
                <c:pt idx="31">
                  <c:v>-2.3895838538666681</c:v>
                </c:pt>
                <c:pt idx="32">
                  <c:v>-2.119800057333332</c:v>
                </c:pt>
                <c:pt idx="33">
                  <c:v>-1.7940712729333319</c:v>
                </c:pt>
                <c:pt idx="34">
                  <c:v>-1.4892117273333321</c:v>
                </c:pt>
                <c:pt idx="35">
                  <c:v>-1.1759496212</c:v>
                </c:pt>
                <c:pt idx="36">
                  <c:v>-0.87291693466666798</c:v>
                </c:pt>
                <c:pt idx="37">
                  <c:v>-0.57566815933333337</c:v>
                </c:pt>
                <c:pt idx="38">
                  <c:v>-0.30815408106666647</c:v>
                </c:pt>
                <c:pt idx="39">
                  <c:v>-3.2581506666700538E-4</c:v>
                </c:pt>
                <c:pt idx="40">
                  <c:v>2.3622373333332181E-4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99-454F-BBD8-208022A620A5}"/>
            </c:ext>
          </c:extLst>
        </c:ser>
        <c:ser>
          <c:idx val="17"/>
          <c:order val="17"/>
          <c:tx>
            <c:v>BES_TR2_five284_C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2.0000000000020002E-6</c:v>
                </c:pt>
                <c:pt idx="2">
                  <c:v>8.6333333332994089E-5</c:v>
                </c:pt>
                <c:pt idx="3">
                  <c:v>6.8999999999999617E-5</c:v>
                </c:pt>
                <c:pt idx="4">
                  <c:v>6.1333333333399298E-5</c:v>
                </c:pt>
                <c:pt idx="5">
                  <c:v>9.6000000000040497E-5</c:v>
                </c:pt>
                <c:pt idx="6">
                  <c:v>0</c:v>
                </c:pt>
                <c:pt idx="7">
                  <c:v>2.299315999996776E-4</c:v>
                </c:pt>
                <c:pt idx="8">
                  <c:v>3.3975373333342001E-4</c:v>
                </c:pt>
                <c:pt idx="9">
                  <c:v>-1.277859999999909E-5</c:v>
                </c:pt>
                <c:pt idx="10">
                  <c:v>2.131891999989782E-4</c:v>
                </c:pt>
                <c:pt idx="11">
                  <c:v>2.5301173333402982E-4</c:v>
                </c:pt>
                <c:pt idx="12">
                  <c:v>-1.3729633333403599E-4</c:v>
                </c:pt>
                <c:pt idx="13">
                  <c:v>1.294161333340593E-4</c:v>
                </c:pt>
                <c:pt idx="14">
                  <c:v>1.7760593333304711E-4</c:v>
                </c:pt>
                <c:pt idx="15">
                  <c:v>-1.6021166666668751E-4</c:v>
                </c:pt>
                <c:pt idx="16">
                  <c:v>1.9363419999895989E-4</c:v>
                </c:pt>
                <c:pt idx="17">
                  <c:v>8.353320000017983E-5</c:v>
                </c:pt>
                <c:pt idx="18">
                  <c:v>1.889853333327807E-4</c:v>
                </c:pt>
                <c:pt idx="19">
                  <c:v>-3.0036973333302802E-4</c:v>
                </c:pt>
                <c:pt idx="20">
                  <c:v>-0.22062880486666669</c:v>
                </c:pt>
                <c:pt idx="21">
                  <c:v>-1.5495988939333329</c:v>
                </c:pt>
                <c:pt idx="22">
                  <c:v>-1.5993969623333339</c:v>
                </c:pt>
                <c:pt idx="23">
                  <c:v>-1.4777793544</c:v>
                </c:pt>
                <c:pt idx="24">
                  <c:v>-1.611125531200001</c:v>
                </c:pt>
                <c:pt idx="25">
                  <c:v>-0.22395350266666991</c:v>
                </c:pt>
                <c:pt idx="26">
                  <c:v>-1.5810577743333329</c:v>
                </c:pt>
                <c:pt idx="27">
                  <c:v>-1.1572886304000001</c:v>
                </c:pt>
                <c:pt idx="28">
                  <c:v>-1.3986466132666671</c:v>
                </c:pt>
                <c:pt idx="29">
                  <c:v>-1.195045086533334</c:v>
                </c:pt>
                <c:pt idx="30">
                  <c:v>-1.223479914066667</c:v>
                </c:pt>
                <c:pt idx="31">
                  <c:v>-1.0295389269333339</c:v>
                </c:pt>
                <c:pt idx="32">
                  <c:v>-0.96308002866666587</c:v>
                </c:pt>
                <c:pt idx="33">
                  <c:v>-0.87203563646666593</c:v>
                </c:pt>
                <c:pt idx="34">
                  <c:v>-0.5994525303333329</c:v>
                </c:pt>
                <c:pt idx="35">
                  <c:v>-0.56297481059999999</c:v>
                </c:pt>
                <c:pt idx="36">
                  <c:v>-0.11332980066666699</c:v>
                </c:pt>
                <c:pt idx="37">
                  <c:v>-0.24803476299999999</c:v>
                </c:pt>
                <c:pt idx="38">
                  <c:v>-7.6092373866666591E-2</c:v>
                </c:pt>
                <c:pt idx="39">
                  <c:v>-3.2330753333298379E-4</c:v>
                </c:pt>
                <c:pt idx="40">
                  <c:v>1.011186666666219E-5</c:v>
                </c:pt>
                <c:pt idx="41">
                  <c:v>4.7166666666598189E-4</c:v>
                </c:pt>
                <c:pt idx="42">
                  <c:v>3.4866666666699691E-4</c:v>
                </c:pt>
                <c:pt idx="43">
                  <c:v>1.0533333333295761E-4</c:v>
                </c:pt>
                <c:pt idx="44">
                  <c:v>2.5933333333300062E-4</c:v>
                </c:pt>
                <c:pt idx="45">
                  <c:v>3.8933333333290848E-4</c:v>
                </c:pt>
                <c:pt idx="46">
                  <c:v>3.3700000000003172E-4</c:v>
                </c:pt>
                <c:pt idx="47">
                  <c:v>1.5733333333300961E-4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D99-454F-BBD8-208022A620A5}"/>
            </c:ext>
          </c:extLst>
        </c:ser>
        <c:ser>
          <c:idx val="18"/>
          <c:order val="18"/>
          <c:tx>
            <c:v>BES_TR2_five285_B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Net_kW!$U$2:$U$49</c:f>
              <c:numCache>
                <c:formatCode>#,##0.000</c:formatCode>
                <c:ptCount val="48"/>
                <c:pt idx="0">
                  <c:v>-1.586666666669734E-4</c:v>
                </c:pt>
                <c:pt idx="1">
                  <c:v>-6.6666666666992391E-5</c:v>
                </c:pt>
                <c:pt idx="2">
                  <c:v>4.4133333333307162E-4</c:v>
                </c:pt>
                <c:pt idx="3">
                  <c:v>4.6766666666697709E-4</c:v>
                </c:pt>
                <c:pt idx="4">
                  <c:v>-4.1533333333301781E-4</c:v>
                </c:pt>
                <c:pt idx="5">
                  <c:v>0</c:v>
                </c:pt>
                <c:pt idx="6">
                  <c:v>1.2E-2</c:v>
                </c:pt>
                <c:pt idx="7">
                  <c:v>5.2559196533333331E-2</c:v>
                </c:pt>
                <c:pt idx="8">
                  <c:v>6.265507466666799E-3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4.0545200000074999E-5</c:v>
                </c:pt>
                <c:pt idx="15">
                  <c:v>3.7390999999997732E-4</c:v>
                </c:pt>
                <c:pt idx="16">
                  <c:v>-1.3293293982666681</c:v>
                </c:pt>
                <c:pt idx="17">
                  <c:v>-2.4806509336000002</c:v>
                </c:pt>
                <c:pt idx="18">
                  <c:v>-2.712575362666668</c:v>
                </c:pt>
                <c:pt idx="19">
                  <c:v>-2.906288072799998</c:v>
                </c:pt>
                <c:pt idx="20">
                  <c:v>-3.0620937430666682</c:v>
                </c:pt>
                <c:pt idx="21">
                  <c:v>-3.1745479211999998</c:v>
                </c:pt>
                <c:pt idx="22">
                  <c:v>-3.293634158000001</c:v>
                </c:pt>
                <c:pt idx="23">
                  <c:v>-3.2835295754666669</c:v>
                </c:pt>
                <c:pt idx="24">
                  <c:v>-3.222584662400001</c:v>
                </c:pt>
                <c:pt idx="25">
                  <c:v>-3.1638330053333328</c:v>
                </c:pt>
                <c:pt idx="26">
                  <c:v>-3.1322084819999998</c:v>
                </c:pt>
                <c:pt idx="27">
                  <c:v>-2.9838643274666681</c:v>
                </c:pt>
                <c:pt idx="28">
                  <c:v>-3.0095078931999999</c:v>
                </c:pt>
                <c:pt idx="29">
                  <c:v>-2.8221901730666681</c:v>
                </c:pt>
                <c:pt idx="30">
                  <c:v>-2.6231284948</c:v>
                </c:pt>
                <c:pt idx="31">
                  <c:v>-2.3835838538666678</c:v>
                </c:pt>
                <c:pt idx="32">
                  <c:v>-2.1138000573333322</c:v>
                </c:pt>
                <c:pt idx="33">
                  <c:v>-1.7880712729333319</c:v>
                </c:pt>
                <c:pt idx="34">
                  <c:v>-1.363187060666665</c:v>
                </c:pt>
                <c:pt idx="35">
                  <c:v>-0.95979962120000006</c:v>
                </c:pt>
                <c:pt idx="36">
                  <c:v>-0.47933193466666801</c:v>
                </c:pt>
                <c:pt idx="37">
                  <c:v>-0.34111405933333311</c:v>
                </c:pt>
                <c:pt idx="38">
                  <c:v>-0.2179840810666662</c:v>
                </c:pt>
                <c:pt idx="39">
                  <c:v>-5.1159948400000002E-2</c:v>
                </c:pt>
                <c:pt idx="40">
                  <c:v>2.3622373333331839E-4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-3.1133333333305258E-4</c:v>
                </c:pt>
                <c:pt idx="45">
                  <c:v>2.186666666669779E-4</c:v>
                </c:pt>
                <c:pt idx="46">
                  <c:v>-6.6666666669767949E-5</c:v>
                </c:pt>
                <c:pt idx="47">
                  <c:v>-2.2666666667003899E-5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99-454F-BBD8-208022A620A5}"/>
            </c:ext>
          </c:extLst>
        </c:ser>
        <c:ser>
          <c:idx val="19"/>
          <c:order val="19"/>
          <c:tx>
            <c:v>BES_TR2_five303_B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Net_kW!$V$2:$V$49</c:f>
              <c:numCache>
                <c:formatCode>#,##0.000</c:formatCode>
                <c:ptCount val="48"/>
                <c:pt idx="0">
                  <c:v>-2.8333333333299682E-4</c:v>
                </c:pt>
                <c:pt idx="1">
                  <c:v>9.9999999999988987E-5</c:v>
                </c:pt>
                <c:pt idx="2">
                  <c:v>0</c:v>
                </c:pt>
                <c:pt idx="3">
                  <c:v>-1.6000000000000741E-4</c:v>
                </c:pt>
                <c:pt idx="4">
                  <c:v>-9.3333333333001089E-5</c:v>
                </c:pt>
                <c:pt idx="5">
                  <c:v>0</c:v>
                </c:pt>
                <c:pt idx="6">
                  <c:v>-2.5333333333299462E-4</c:v>
                </c:pt>
                <c:pt idx="7">
                  <c:v>-4.4080346666666709E-4</c:v>
                </c:pt>
                <c:pt idx="8">
                  <c:v>-4.0782586666621162E-4</c:v>
                </c:pt>
                <c:pt idx="9">
                  <c:v>-1.535571999999874E-4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-1.192600000110566E-5</c:v>
                </c:pt>
                <c:pt idx="13">
                  <c:v>9.8832266667958635E-5</c:v>
                </c:pt>
                <c:pt idx="14">
                  <c:v>1.812118666666418E-4</c:v>
                </c:pt>
                <c:pt idx="15">
                  <c:v>-2.404233333300754E-4</c:v>
                </c:pt>
                <c:pt idx="16">
                  <c:v>-1.538641664933335</c:v>
                </c:pt>
                <c:pt idx="17">
                  <c:v>-2.4870569335999999</c:v>
                </c:pt>
                <c:pt idx="18">
                  <c:v>-2.5090201960000011</c:v>
                </c:pt>
                <c:pt idx="19">
                  <c:v>-2.8168667394666649</c:v>
                </c:pt>
                <c:pt idx="20">
                  <c:v>-2.9199376097333349</c:v>
                </c:pt>
                <c:pt idx="21">
                  <c:v>-2.970818454533334</c:v>
                </c:pt>
                <c:pt idx="22">
                  <c:v>-1.471782591333338</c:v>
                </c:pt>
                <c:pt idx="23">
                  <c:v>-2.3227693754666698</c:v>
                </c:pt>
                <c:pt idx="24">
                  <c:v>-2.0959819957333381</c:v>
                </c:pt>
                <c:pt idx="25">
                  <c:v>-3.2555816719999999</c:v>
                </c:pt>
                <c:pt idx="26">
                  <c:v>-3.007222482</c:v>
                </c:pt>
                <c:pt idx="27">
                  <c:v>-2.8177089941333349</c:v>
                </c:pt>
                <c:pt idx="28">
                  <c:v>-2.6709628932</c:v>
                </c:pt>
                <c:pt idx="29">
                  <c:v>-2.7053721730666682</c:v>
                </c:pt>
                <c:pt idx="30">
                  <c:v>-2.6020326614666671</c:v>
                </c:pt>
                <c:pt idx="31">
                  <c:v>-1.8648755205333349</c:v>
                </c:pt>
                <c:pt idx="32">
                  <c:v>-2.0949820906666652</c:v>
                </c:pt>
                <c:pt idx="33">
                  <c:v>-1.6050812729333319</c:v>
                </c:pt>
                <c:pt idx="34">
                  <c:v>-1.2253483939999981</c:v>
                </c:pt>
                <c:pt idx="35">
                  <c:v>-1.0861042878666669</c:v>
                </c:pt>
                <c:pt idx="36">
                  <c:v>-0.80249383466666802</c:v>
                </c:pt>
                <c:pt idx="37">
                  <c:v>-0.15916469266666711</c:v>
                </c:pt>
                <c:pt idx="38">
                  <c:v>-0.21249341440000019</c:v>
                </c:pt>
                <c:pt idx="39">
                  <c:v>-4.5281733333013552E-5</c:v>
                </c:pt>
                <c:pt idx="40">
                  <c:v>2.3689040000030029E-4</c:v>
                </c:pt>
                <c:pt idx="41">
                  <c:v>3.1666666665985943E-5</c:v>
                </c:pt>
                <c:pt idx="42">
                  <c:v>3.4000000000000702E-4</c:v>
                </c:pt>
                <c:pt idx="43">
                  <c:v>2.0833333333292181E-4</c:v>
                </c:pt>
                <c:pt idx="44">
                  <c:v>4.5333333333008603E-5</c:v>
                </c:pt>
                <c:pt idx="45">
                  <c:v>-1.2966666666991419E-4</c:v>
                </c:pt>
                <c:pt idx="46">
                  <c:v>-6.0000000000004487E-5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D99-454F-BBD8-208022A620A5}"/>
            </c:ext>
          </c:extLst>
        </c:ser>
        <c:ser>
          <c:idx val="20"/>
          <c:order val="20"/>
          <c:tx>
            <c:v>BES_TR2_five324_B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-3.999999999999837E-5</c:v>
                </c:pt>
                <c:pt idx="2">
                  <c:v>0</c:v>
                </c:pt>
                <c:pt idx="3">
                  <c:v>-3.999999999999837E-5</c:v>
                </c:pt>
                <c:pt idx="4">
                  <c:v>0</c:v>
                </c:pt>
                <c:pt idx="5">
                  <c:v>2.5333333333329988E-4</c:v>
                </c:pt>
                <c:pt idx="6">
                  <c:v>-2.933333333333954E-4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3.8644280000001141E-4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2.6340733333196642E-4</c:v>
                </c:pt>
                <c:pt idx="13">
                  <c:v>2.588322666678966E-4</c:v>
                </c:pt>
                <c:pt idx="14">
                  <c:v>5.4520000003499547E-7</c:v>
                </c:pt>
                <c:pt idx="15">
                  <c:v>-1.0470794233333329</c:v>
                </c:pt>
                <c:pt idx="16">
                  <c:v>-2.1679160649333351</c:v>
                </c:pt>
                <c:pt idx="17">
                  <c:v>-2.4876509335999999</c:v>
                </c:pt>
                <c:pt idx="18">
                  <c:v>-2.6755486960000008</c:v>
                </c:pt>
                <c:pt idx="19">
                  <c:v>-2.9004500727999991</c:v>
                </c:pt>
                <c:pt idx="20">
                  <c:v>-3.0910089430666678</c:v>
                </c:pt>
                <c:pt idx="21">
                  <c:v>-3.2292141212000001</c:v>
                </c:pt>
                <c:pt idx="22">
                  <c:v>-3.3054319246666681</c:v>
                </c:pt>
                <c:pt idx="23">
                  <c:v>-3.0482629087999999</c:v>
                </c:pt>
                <c:pt idx="24">
                  <c:v>-3.3720013290666682</c:v>
                </c:pt>
                <c:pt idx="25">
                  <c:v>-3.3083616720000002</c:v>
                </c:pt>
                <c:pt idx="26">
                  <c:v>-3.288158482</c:v>
                </c:pt>
                <c:pt idx="27">
                  <c:v>-3.1033743274666681</c:v>
                </c:pt>
                <c:pt idx="28">
                  <c:v>-3.0165078932</c:v>
                </c:pt>
                <c:pt idx="29">
                  <c:v>-2.8291901730666682</c:v>
                </c:pt>
                <c:pt idx="30">
                  <c:v>-2.5691684948</c:v>
                </c:pt>
                <c:pt idx="31">
                  <c:v>-2.3905838538666679</c:v>
                </c:pt>
                <c:pt idx="32">
                  <c:v>-2.1190000573333321</c:v>
                </c:pt>
                <c:pt idx="33">
                  <c:v>-1.7305112729333321</c:v>
                </c:pt>
                <c:pt idx="34">
                  <c:v>-1.490211727333332</c:v>
                </c:pt>
                <c:pt idx="35">
                  <c:v>-1.1159896212</c:v>
                </c:pt>
                <c:pt idx="36">
                  <c:v>-0.76886226800000101</c:v>
                </c:pt>
                <c:pt idx="37">
                  <c:v>-0.41087072600000007</c:v>
                </c:pt>
                <c:pt idx="38">
                  <c:v>-0.21475224773333321</c:v>
                </c:pt>
                <c:pt idx="39">
                  <c:v>4.00451600000018E-4</c:v>
                </c:pt>
                <c:pt idx="40">
                  <c:v>-5.109599999664205E-6</c:v>
                </c:pt>
                <c:pt idx="41">
                  <c:v>-3.9999999999995589E-4</c:v>
                </c:pt>
                <c:pt idx="42">
                  <c:v>-1.7333333333002801E-4</c:v>
                </c:pt>
                <c:pt idx="43">
                  <c:v>8.8785999999999976E-2</c:v>
                </c:pt>
                <c:pt idx="44">
                  <c:v>0.25866866666666699</c:v>
                </c:pt>
                <c:pt idx="45">
                  <c:v>0.231713</c:v>
                </c:pt>
                <c:pt idx="46">
                  <c:v>0.52397333333333296</c:v>
                </c:pt>
                <c:pt idx="47">
                  <c:v>0.3624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D99-454F-BBD8-208022A620A5}"/>
            </c:ext>
          </c:extLst>
        </c:ser>
        <c:ser>
          <c:idx val="21"/>
          <c:order val="21"/>
          <c:tx>
            <c:v>BES_TR2_five355_A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Net_kW!$X$2:$X$49</c:f>
              <c:numCache>
                <c:formatCode>#,##0.000</c:formatCode>
                <c:ptCount val="48"/>
                <c:pt idx="0">
                  <c:v>-9.2000000000008741E-5</c:v>
                </c:pt>
                <c:pt idx="1">
                  <c:v>4.7999999999992493E-5</c:v>
                </c:pt>
                <c:pt idx="2">
                  <c:v>3.2666666666697491E-4</c:v>
                </c:pt>
                <c:pt idx="3">
                  <c:v>-4.7599999999999032E-4</c:v>
                </c:pt>
                <c:pt idx="4">
                  <c:v>-1.033333333330111E-4</c:v>
                </c:pt>
                <c:pt idx="5">
                  <c:v>-4.6000000000004371E-5</c:v>
                </c:pt>
                <c:pt idx="6">
                  <c:v>0</c:v>
                </c:pt>
                <c:pt idx="7">
                  <c:v>-2.706026000000028E-4</c:v>
                </c:pt>
                <c:pt idx="8">
                  <c:v>-2.3620273333291311E-4</c:v>
                </c:pt>
                <c:pt idx="9">
                  <c:v>9.3832100000010299E-5</c:v>
                </c:pt>
                <c:pt idx="10">
                  <c:v>-2.745495333340287E-4</c:v>
                </c:pt>
                <c:pt idx="11">
                  <c:v>-3.9348239999892343E-4</c:v>
                </c:pt>
                <c:pt idx="12">
                  <c:v>3.7105549999882909E-4</c:v>
                </c:pt>
                <c:pt idx="13">
                  <c:v>-3.4720913333197162E-4</c:v>
                </c:pt>
                <c:pt idx="14">
                  <c:v>-2.602577666666051E-4</c:v>
                </c:pt>
                <c:pt idx="15">
                  <c:v>-2.2823416666617469E-4</c:v>
                </c:pt>
                <c:pt idx="16">
                  <c:v>-2.6831536666804817E-4</c:v>
                </c:pt>
                <c:pt idx="17">
                  <c:v>-0.99345240020000003</c:v>
                </c:pt>
                <c:pt idx="18">
                  <c:v>-1.2236835220000011</c:v>
                </c:pt>
                <c:pt idx="19">
                  <c:v>-1.923922221266666</c:v>
                </c:pt>
                <c:pt idx="20">
                  <c:v>-2.2040113739666678</c:v>
                </c:pt>
                <c:pt idx="21">
                  <c:v>-2.210099507566667</c:v>
                </c:pt>
                <c:pt idx="22">
                  <c:v>-2.4848921101666681</c:v>
                </c:pt>
                <c:pt idx="23">
                  <c:v>-2.222641698266667</c:v>
                </c:pt>
                <c:pt idx="24">
                  <c:v>-2.5428609968000009</c:v>
                </c:pt>
                <c:pt idx="25">
                  <c:v>-2.5247412539999998</c:v>
                </c:pt>
                <c:pt idx="26">
                  <c:v>-2.3990208614999999</c:v>
                </c:pt>
                <c:pt idx="27">
                  <c:v>-2.1104740789333341</c:v>
                </c:pt>
                <c:pt idx="28">
                  <c:v>-2.2601309198999999</c:v>
                </c:pt>
                <c:pt idx="29">
                  <c:v>-1.957522629800001</c:v>
                </c:pt>
                <c:pt idx="30">
                  <c:v>-1.9666227710999999</c:v>
                </c:pt>
                <c:pt idx="31">
                  <c:v>-1.6285678904000009</c:v>
                </c:pt>
                <c:pt idx="32">
                  <c:v>-1.432516042999999</c:v>
                </c:pt>
                <c:pt idx="33">
                  <c:v>-1.336632788033332</c:v>
                </c:pt>
                <c:pt idx="34">
                  <c:v>-0.93102679549999912</c:v>
                </c:pt>
                <c:pt idx="35">
                  <c:v>-0.73946954923333308</c:v>
                </c:pt>
                <c:pt idx="36">
                  <c:v>-0.65318770100000101</c:v>
                </c:pt>
                <c:pt idx="37">
                  <c:v>-0.36385037783333302</c:v>
                </c:pt>
                <c:pt idx="38">
                  <c:v>-7.8560799999946584E-5</c:v>
                </c:pt>
                <c:pt idx="39">
                  <c:v>-2.13699613E-2</c:v>
                </c:pt>
                <c:pt idx="40">
                  <c:v>4.265677999999995E-4</c:v>
                </c:pt>
                <c:pt idx="41">
                  <c:v>1.266666666669414E-4</c:v>
                </c:pt>
                <c:pt idx="42">
                  <c:v>3.1433333333302782E-4</c:v>
                </c:pt>
                <c:pt idx="43">
                  <c:v>2.5999999999998252E-4</c:v>
                </c:pt>
                <c:pt idx="44">
                  <c:v>5.866666666598519E-5</c:v>
                </c:pt>
                <c:pt idx="45">
                  <c:v>-1.106666666670086E-4</c:v>
                </c:pt>
                <c:pt idx="46">
                  <c:v>4.840000000000122E-4</c:v>
                </c:pt>
                <c:pt idx="47">
                  <c:v>-3.6399999999989219E-4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D99-454F-BBD8-208022A620A5}"/>
            </c:ext>
          </c:extLst>
        </c:ser>
        <c:ser>
          <c:idx val="22"/>
          <c:order val="22"/>
          <c:tx>
            <c:v>BES_TR2_five394_C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Net_kW!$Y$2:$Y$49</c:f>
              <c:numCache>
                <c:formatCode>#,##0.000</c:formatCode>
                <c:ptCount val="48"/>
                <c:pt idx="0">
                  <c:v>2.1700000000013381E-4</c:v>
                </c:pt>
                <c:pt idx="1">
                  <c:v>0</c:v>
                </c:pt>
                <c:pt idx="2">
                  <c:v>2.7999999999998859E-4</c:v>
                </c:pt>
                <c:pt idx="3">
                  <c:v>4.1333333333298811E-4</c:v>
                </c:pt>
                <c:pt idx="4">
                  <c:v>0</c:v>
                </c:pt>
                <c:pt idx="5">
                  <c:v>-3.0666666666701042E-4</c:v>
                </c:pt>
                <c:pt idx="6">
                  <c:v>0</c:v>
                </c:pt>
                <c:pt idx="7">
                  <c:v>1.7615963633333651E-2</c:v>
                </c:pt>
                <c:pt idx="8">
                  <c:v>5.0548985700000042E-2</c:v>
                </c:pt>
                <c:pt idx="9">
                  <c:v>4.9813744999999132E-4</c:v>
                </c:pt>
                <c:pt idx="10">
                  <c:v>2.0581099998501221E-5</c:v>
                </c:pt>
                <c:pt idx="11">
                  <c:v>-1.2572946666533641E-4</c:v>
                </c:pt>
                <c:pt idx="12">
                  <c:v>1.2456474999833489E-4</c:v>
                </c:pt>
                <c:pt idx="13">
                  <c:v>-3.8352176666500698E-4</c:v>
                </c:pt>
                <c:pt idx="14">
                  <c:v>2.8547705000003809E-4</c:v>
                </c:pt>
                <c:pt idx="15">
                  <c:v>2.0217125000021599E-4</c:v>
                </c:pt>
                <c:pt idx="16">
                  <c:v>3.3844318333198231E-4</c:v>
                </c:pt>
                <c:pt idx="17">
                  <c:v>-1.7805029002333339</c:v>
                </c:pt>
                <c:pt idx="18">
                  <c:v>-2.2650341090000019</c:v>
                </c:pt>
                <c:pt idx="19">
                  <c:v>-2.4221721470333319</c:v>
                </c:pt>
                <c:pt idx="20">
                  <c:v>-2.689507825183334</c:v>
                </c:pt>
                <c:pt idx="21">
                  <c:v>-2.62171078105</c:v>
                </c:pt>
                <c:pt idx="22">
                  <c:v>-2.8328084840833339</c:v>
                </c:pt>
                <c:pt idx="23">
                  <c:v>-2.7520438702000001</c:v>
                </c:pt>
                <c:pt idx="24">
                  <c:v>-2.9023678296000019</c:v>
                </c:pt>
                <c:pt idx="25">
                  <c:v>-2.7743381296666669</c:v>
                </c:pt>
                <c:pt idx="26">
                  <c:v>-2.8620136717500002</c:v>
                </c:pt>
                <c:pt idx="27">
                  <c:v>-2.724814203200002</c:v>
                </c:pt>
                <c:pt idx="28">
                  <c:v>-2.49447940655</c:v>
                </c:pt>
                <c:pt idx="29">
                  <c:v>-2.460416401433335</c:v>
                </c:pt>
                <c:pt idx="30">
                  <c:v>-2.2862374329500001</c:v>
                </c:pt>
                <c:pt idx="31">
                  <c:v>-1.932369205466667</c:v>
                </c:pt>
                <c:pt idx="32">
                  <c:v>-1.7743450501666651</c:v>
                </c:pt>
                <c:pt idx="33">
                  <c:v>-1.228070363816665</c:v>
                </c:pt>
                <c:pt idx="34">
                  <c:v>-0.70383192808333206</c:v>
                </c:pt>
                <c:pt idx="35">
                  <c:v>-0.7481655852166671</c:v>
                </c:pt>
                <c:pt idx="36">
                  <c:v>-0.56570231783333447</c:v>
                </c:pt>
                <c:pt idx="37">
                  <c:v>-0.29989021858333298</c:v>
                </c:pt>
                <c:pt idx="38">
                  <c:v>-4.1365426666650768E-4</c:v>
                </c:pt>
                <c:pt idx="39">
                  <c:v>-3.1621516667024168E-5</c:v>
                </c:pt>
                <c:pt idx="40">
                  <c:v>3.9029099999643442E-5</c:v>
                </c:pt>
                <c:pt idx="41">
                  <c:v>-2.290000000000347E-4</c:v>
                </c:pt>
                <c:pt idx="42">
                  <c:v>3.4400000000001102E-4</c:v>
                </c:pt>
                <c:pt idx="43">
                  <c:v>1.5799999999999151E-4</c:v>
                </c:pt>
                <c:pt idx="44">
                  <c:v>7.2000000000016495E-5</c:v>
                </c:pt>
                <c:pt idx="45">
                  <c:v>3.9999999999984492E-5</c:v>
                </c:pt>
                <c:pt idx="46">
                  <c:v>-3.0666666666701042E-4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D99-454F-BBD8-208022A620A5}"/>
            </c:ext>
          </c:extLst>
        </c:ser>
        <c:ser>
          <c:idx val="23"/>
          <c:order val="23"/>
          <c:tx>
            <c:v>BES_TR2_five451_A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Net_kW!$Z$2:$Z$49</c:f>
              <c:numCache>
                <c:formatCode>#,##0.000</c:formatCode>
                <c:ptCount val="48"/>
                <c:pt idx="0">
                  <c:v>-7.499999999999174E-5</c:v>
                </c:pt>
                <c:pt idx="1">
                  <c:v>9.4999999999983986E-5</c:v>
                </c:pt>
                <c:pt idx="2">
                  <c:v>0</c:v>
                </c:pt>
                <c:pt idx="3">
                  <c:v>-3.1933333333300512E-4</c:v>
                </c:pt>
                <c:pt idx="4">
                  <c:v>-1.4933333333300161E-4</c:v>
                </c:pt>
                <c:pt idx="5">
                  <c:v>4.886666666669981E-4</c:v>
                </c:pt>
                <c:pt idx="6">
                  <c:v>1.7766666666699241E-4</c:v>
                </c:pt>
                <c:pt idx="7">
                  <c:v>-4.3483550000006371E-4</c:v>
                </c:pt>
                <c:pt idx="8">
                  <c:v>4.2608833333762641E-5</c:v>
                </c:pt>
                <c:pt idx="9">
                  <c:v>3.2219341666699103E-4</c:v>
                </c:pt>
                <c:pt idx="10">
                  <c:v>-3.3768016666751999E-4</c:v>
                </c:pt>
                <c:pt idx="11">
                  <c:v>1.4098000000489769E-5</c:v>
                </c:pt>
                <c:pt idx="12">
                  <c:v>3.9421291666552621E-4</c:v>
                </c:pt>
                <c:pt idx="13">
                  <c:v>-3.122298333324558E-4</c:v>
                </c:pt>
                <c:pt idx="14">
                  <c:v>-4.2339258333301538E-4</c:v>
                </c:pt>
                <c:pt idx="15">
                  <c:v>-1.4130625000019489E-4</c:v>
                </c:pt>
                <c:pt idx="16">
                  <c:v>3.845941666491548E-5</c:v>
                </c:pt>
                <c:pt idx="17">
                  <c:v>3.6516649999995821E-4</c:v>
                </c:pt>
                <c:pt idx="18">
                  <c:v>-1.4709078016666679</c:v>
                </c:pt>
                <c:pt idx="19">
                  <c:v>-3.9096216666179018E-4</c:v>
                </c:pt>
                <c:pt idx="20">
                  <c:v>-1.22807982275</c:v>
                </c:pt>
                <c:pt idx="21">
                  <c:v>-1.6384033007500001</c:v>
                </c:pt>
                <c:pt idx="22">
                  <c:v>-1.90703513625</c:v>
                </c:pt>
                <c:pt idx="23">
                  <c:v>-1.04427652633333</c:v>
                </c:pt>
                <c:pt idx="24">
                  <c:v>-1.1432908306666669</c:v>
                </c:pt>
                <c:pt idx="25">
                  <c:v>-1.9129827116666669</c:v>
                </c:pt>
                <c:pt idx="26">
                  <c:v>-1.91740305125</c:v>
                </c:pt>
                <c:pt idx="27">
                  <c:v>-1.905780888</c:v>
                </c:pt>
                <c:pt idx="28">
                  <c:v>-1.58234503325</c:v>
                </c:pt>
                <c:pt idx="29">
                  <c:v>-1.6747660581666679</c:v>
                </c:pt>
                <c:pt idx="30">
                  <c:v>-1.4017576425833329</c:v>
                </c:pt>
                <c:pt idx="31">
                  <c:v>-1.0207535753333341</c:v>
                </c:pt>
                <c:pt idx="32">
                  <c:v>-1.142544369166665</c:v>
                </c:pt>
                <c:pt idx="33">
                  <c:v>-1.029044545583333</c:v>
                </c:pt>
                <c:pt idx="34">
                  <c:v>-0.83980332958333248</c:v>
                </c:pt>
                <c:pt idx="35">
                  <c:v>-0.42675691324999998</c:v>
                </c:pt>
                <c:pt idx="36">
                  <c:v>-0.22940695083333451</c:v>
                </c:pt>
                <c:pt idx="37">
                  <c:v>-4.838704166670107E-4</c:v>
                </c:pt>
                <c:pt idx="38">
                  <c:v>-4.6729467333333191E-2</c:v>
                </c:pt>
                <c:pt idx="39">
                  <c:v>-8.3063010833333006E-3</c:v>
                </c:pt>
                <c:pt idx="40">
                  <c:v>-3.0268333326977088E-6</c:v>
                </c:pt>
                <c:pt idx="41">
                  <c:v>0</c:v>
                </c:pt>
                <c:pt idx="42">
                  <c:v>2.6499999999998752E-4</c:v>
                </c:pt>
                <c:pt idx="43">
                  <c:v>-2.4899999999999922E-4</c:v>
                </c:pt>
                <c:pt idx="44">
                  <c:v>2.4433333333299939E-4</c:v>
                </c:pt>
                <c:pt idx="45">
                  <c:v>1.0099999999999E-4</c:v>
                </c:pt>
                <c:pt idx="46">
                  <c:v>2.210000000000267E-4</c:v>
                </c:pt>
                <c:pt idx="47">
                  <c:v>1.116666666669541E-4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D99-454F-BBD8-208022A620A5}"/>
            </c:ext>
          </c:extLst>
        </c:ser>
        <c:ser>
          <c:idx val="24"/>
          <c:order val="24"/>
          <c:tx>
            <c:v>BES_TR2_five466_A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4.190000000000027E-4</c:v>
                </c:pt>
                <c:pt idx="2">
                  <c:v>3.0566666666669712E-4</c:v>
                </c:pt>
                <c:pt idx="3">
                  <c:v>0</c:v>
                </c:pt>
                <c:pt idx="4">
                  <c:v>4.190000000000027E-4</c:v>
                </c:pt>
                <c:pt idx="5">
                  <c:v>3.0566666666669712E-4</c:v>
                </c:pt>
                <c:pt idx="6">
                  <c:v>-3.8866666666660671E-4</c:v>
                </c:pt>
                <c:pt idx="7">
                  <c:v>-1.7696796666699649E-4</c:v>
                </c:pt>
                <c:pt idx="8">
                  <c:v>3.4956530000005559E-4</c:v>
                </c:pt>
                <c:pt idx="9">
                  <c:v>-1.017506166670068E-4</c:v>
                </c:pt>
                <c:pt idx="10">
                  <c:v>-3.9127476666711569E-4</c:v>
                </c:pt>
                <c:pt idx="11">
                  <c:v>-1.967411999994895E-4</c:v>
                </c:pt>
                <c:pt idx="12">
                  <c:v>-2.4480558333361818E-4</c:v>
                </c:pt>
                <c:pt idx="13">
                  <c:v>-1.5293789999948351E-4</c:v>
                </c:pt>
                <c:pt idx="14">
                  <c:v>2.6520445000000059E-4</c:v>
                </c:pt>
                <c:pt idx="15">
                  <c:v>2.3988291666698911E-4</c:v>
                </c:pt>
                <c:pt idx="16">
                  <c:v>-1.752435000063057E-5</c:v>
                </c:pt>
                <c:pt idx="17">
                  <c:v>6.5899900000054856E-5</c:v>
                </c:pt>
                <c:pt idx="18">
                  <c:v>4.8057233333298482E-4</c:v>
                </c:pt>
                <c:pt idx="19">
                  <c:v>2.555603333398437E-5</c:v>
                </c:pt>
                <c:pt idx="20">
                  <c:v>4.3664634999995838E-4</c:v>
                </c:pt>
                <c:pt idx="21">
                  <c:v>-0.15849342044999989</c:v>
                </c:pt>
                <c:pt idx="22">
                  <c:v>-1.1649213884166669</c:v>
                </c:pt>
                <c:pt idx="23">
                  <c:v>-1.1879478491333331</c:v>
                </c:pt>
                <c:pt idx="24">
                  <c:v>-0.97053549840000097</c:v>
                </c:pt>
                <c:pt idx="25">
                  <c:v>-1.1266039603333331</c:v>
                </c:pt>
                <c:pt idx="26">
                  <c:v>-1.0537038640833329</c:v>
                </c:pt>
                <c:pt idx="27">
                  <c:v>-1.0005681728</c:v>
                </c:pt>
                <c:pt idx="28">
                  <c:v>-0.83973245995000001</c:v>
                </c:pt>
                <c:pt idx="29">
                  <c:v>-0.90551364823333302</c:v>
                </c:pt>
                <c:pt idx="30">
                  <c:v>-0.87861545221666693</c:v>
                </c:pt>
                <c:pt idx="31">
                  <c:v>-0.66422594520000044</c:v>
                </c:pt>
                <c:pt idx="32">
                  <c:v>-0.59781502149999954</c:v>
                </c:pt>
                <c:pt idx="33">
                  <c:v>1.8660598333458681E-4</c:v>
                </c:pt>
                <c:pt idx="34">
                  <c:v>6.6935583330651749E-5</c:v>
                </c:pt>
                <c:pt idx="35">
                  <c:v>2.6889204999991367E-4</c:v>
                </c:pt>
                <c:pt idx="36">
                  <c:v>-4.8251716666708472E-4</c:v>
                </c:pt>
                <c:pt idx="37">
                  <c:v>-4.0418188916667E-2</c:v>
                </c:pt>
                <c:pt idx="38">
                  <c:v>-8.4120280399999914E-2</c:v>
                </c:pt>
                <c:pt idx="39">
                  <c:v>-4.603139833330161E-4</c:v>
                </c:pt>
                <c:pt idx="40">
                  <c:v>-4.1141610000000611E-4</c:v>
                </c:pt>
                <c:pt idx="41">
                  <c:v>0</c:v>
                </c:pt>
                <c:pt idx="42">
                  <c:v>3.6233333333299261E-4</c:v>
                </c:pt>
                <c:pt idx="43">
                  <c:v>3.6233333333299261E-4</c:v>
                </c:pt>
                <c:pt idx="44">
                  <c:v>-2.8300000000000552E-4</c:v>
                </c:pt>
                <c:pt idx="45">
                  <c:v>-3.4266666666604722E-4</c:v>
                </c:pt>
                <c:pt idx="46">
                  <c:v>0</c:v>
                </c:pt>
                <c:pt idx="47">
                  <c:v>-1.923333333329891E-4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D99-454F-BBD8-208022A620A5}"/>
            </c:ext>
          </c:extLst>
        </c:ser>
        <c:ser>
          <c:idx val="25"/>
          <c:order val="25"/>
          <c:tx>
            <c:v>BES_TR2_five494_B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3.5999999999999921E-4</c:v>
                </c:pt>
                <c:pt idx="2">
                  <c:v>0</c:v>
                </c:pt>
                <c:pt idx="3">
                  <c:v>3.5999999999999921E-4</c:v>
                </c:pt>
                <c:pt idx="4">
                  <c:v>0</c:v>
                </c:pt>
                <c:pt idx="5">
                  <c:v>-2.30000000000008E-4</c:v>
                </c:pt>
                <c:pt idx="6">
                  <c:v>-4.099999999999937E-4</c:v>
                </c:pt>
                <c:pt idx="7">
                  <c:v>4.5369870000000478E-4</c:v>
                </c:pt>
                <c:pt idx="8">
                  <c:v>-3.443469999994675E-5</c:v>
                </c:pt>
                <c:pt idx="9">
                  <c:v>-2.150839499999932E-4</c:v>
                </c:pt>
                <c:pt idx="10">
                  <c:v>-2.6081000005090389E-6</c:v>
                </c:pt>
                <c:pt idx="11">
                  <c:v>-1.967411999994895E-4</c:v>
                </c:pt>
                <c:pt idx="12">
                  <c:v>3.9052774999936979E-4</c:v>
                </c:pt>
                <c:pt idx="13">
                  <c:v>-1.5293789999948351E-4</c:v>
                </c:pt>
                <c:pt idx="14">
                  <c:v>-1.4479554999990979E-4</c:v>
                </c:pt>
                <c:pt idx="15">
                  <c:v>-6.8117083332874806E-5</c:v>
                </c:pt>
                <c:pt idx="16">
                  <c:v>-1.2352435000051451E-4</c:v>
                </c:pt>
                <c:pt idx="17">
                  <c:v>-3.201000999999426E-4</c:v>
                </c:pt>
                <c:pt idx="18">
                  <c:v>2.2023900000001101E-4</c:v>
                </c:pt>
                <c:pt idx="19">
                  <c:v>-1.4077729999895089E-4</c:v>
                </c:pt>
                <c:pt idx="20">
                  <c:v>4.0564635000017718E-4</c:v>
                </c:pt>
                <c:pt idx="21">
                  <c:v>-0.88777275378333287</c:v>
                </c:pt>
                <c:pt idx="22">
                  <c:v>-1.01936072175</c:v>
                </c:pt>
                <c:pt idx="23">
                  <c:v>-0.72029451580000003</c:v>
                </c:pt>
                <c:pt idx="24">
                  <c:v>-1.054846498400001</c:v>
                </c:pt>
                <c:pt idx="25">
                  <c:v>-1.119917293666667</c:v>
                </c:pt>
                <c:pt idx="26">
                  <c:v>-1.19743443075</c:v>
                </c:pt>
                <c:pt idx="27">
                  <c:v>-1.1510003728</c:v>
                </c:pt>
                <c:pt idx="28">
                  <c:v>-0.80529545994999996</c:v>
                </c:pt>
                <c:pt idx="29">
                  <c:v>-0.71188064823333397</c:v>
                </c:pt>
                <c:pt idx="30">
                  <c:v>2.6814778333000833E-4</c:v>
                </c:pt>
                <c:pt idx="31">
                  <c:v>1.5838813333254881E-4</c:v>
                </c:pt>
                <c:pt idx="32">
                  <c:v>-3.076881666695952E-4</c:v>
                </c:pt>
                <c:pt idx="33">
                  <c:v>2.5260598333054501E-4</c:v>
                </c:pt>
                <c:pt idx="34">
                  <c:v>-4.5939774999942401E-4</c:v>
                </c:pt>
                <c:pt idx="35">
                  <c:v>-3.5844128333309411E-4</c:v>
                </c:pt>
                <c:pt idx="36">
                  <c:v>-5.2183833333524499E-5</c:v>
                </c:pt>
                <c:pt idx="37">
                  <c:v>3.2914441666699601E-4</c:v>
                </c:pt>
                <c:pt idx="38">
                  <c:v>1.4638626666679119E-4</c:v>
                </c:pt>
                <c:pt idx="39">
                  <c:v>4.5001934999999721E-4</c:v>
                </c:pt>
                <c:pt idx="40">
                  <c:v>-3.1416099999959091E-5</c:v>
                </c:pt>
                <c:pt idx="41">
                  <c:v>3.2833333333304182E-4</c:v>
                </c:pt>
                <c:pt idx="42">
                  <c:v>-1.050000000000217E-4</c:v>
                </c:pt>
                <c:pt idx="43">
                  <c:v>-4.2400000000009102E-4</c:v>
                </c:pt>
                <c:pt idx="44">
                  <c:v>-1.136666666659014E-4</c:v>
                </c:pt>
                <c:pt idx="45">
                  <c:v>-1.1499999999997621E-4</c:v>
                </c:pt>
                <c:pt idx="46">
                  <c:v>2.2699999999997719E-4</c:v>
                </c:pt>
                <c:pt idx="47">
                  <c:v>-1.01999999999991E-4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D99-454F-BBD8-208022A620A5}"/>
            </c:ext>
          </c:extLst>
        </c:ser>
        <c:ser>
          <c:idx val="26"/>
          <c:order val="26"/>
          <c:tx>
            <c:v>BES_TR2_five512_A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Net_kW!$AC$2:$AC$49</c:f>
              <c:numCache>
                <c:formatCode>#,##0.000</c:formatCode>
                <c:ptCount val="48"/>
                <c:pt idx="0">
                  <c:v>7.9999999999968985E-5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-4.399999999999959E-4</c:v>
                </c:pt>
                <c:pt idx="5">
                  <c:v>-4.800000000000082E-4</c:v>
                </c:pt>
                <c:pt idx="6">
                  <c:v>0</c:v>
                </c:pt>
                <c:pt idx="7">
                  <c:v>3.5959826666664968E-4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9.8558666659781524E-6</c:v>
                </c:pt>
                <c:pt idx="11">
                  <c:v>4.710117333340258E-4</c:v>
                </c:pt>
                <c:pt idx="12">
                  <c:v>4.0703666665919958E-5</c:v>
                </c:pt>
                <c:pt idx="13">
                  <c:v>-8.6317199999297323E-5</c:v>
                </c:pt>
                <c:pt idx="14">
                  <c:v>-3.1972740000008049E-4</c:v>
                </c:pt>
                <c:pt idx="15">
                  <c:v>-3.1304499999995627E-4</c:v>
                </c:pt>
                <c:pt idx="16">
                  <c:v>3.5530086666601962E-4</c:v>
                </c:pt>
                <c:pt idx="17">
                  <c:v>2.345331999999978E-4</c:v>
                </c:pt>
                <c:pt idx="18">
                  <c:v>-2.768133333397316E-5</c:v>
                </c:pt>
                <c:pt idx="19">
                  <c:v>-1.064371703066666</c:v>
                </c:pt>
                <c:pt idx="20">
                  <c:v>-1.4690283382000009</c:v>
                </c:pt>
                <c:pt idx="21">
                  <c:v>-1.3324254272666669</c:v>
                </c:pt>
                <c:pt idx="22">
                  <c:v>-0.14457362900000389</c:v>
                </c:pt>
                <c:pt idx="23">
                  <c:v>-1.180886021066667</c:v>
                </c:pt>
                <c:pt idx="24">
                  <c:v>-1.292272997866668</c:v>
                </c:pt>
                <c:pt idx="25">
                  <c:v>-1.318393836</c:v>
                </c:pt>
                <c:pt idx="26">
                  <c:v>-1.4716159076666671</c:v>
                </c:pt>
                <c:pt idx="27">
                  <c:v>3.8683626666602411E-4</c:v>
                </c:pt>
                <c:pt idx="28">
                  <c:v>-1.005510613266666</c:v>
                </c:pt>
                <c:pt idx="29">
                  <c:v>-1.383095086533334</c:v>
                </c:pt>
                <c:pt idx="30">
                  <c:v>-1.0402409140666671</c:v>
                </c:pt>
                <c:pt idx="31">
                  <c:v>-1.0370619269333341</c:v>
                </c:pt>
                <c:pt idx="32">
                  <c:v>-0.81995936199999897</c:v>
                </c:pt>
                <c:pt idx="33">
                  <c:v>-0.499041303133333</c:v>
                </c:pt>
                <c:pt idx="34">
                  <c:v>-0.51881819699999898</c:v>
                </c:pt>
                <c:pt idx="35">
                  <c:v>-0.31920381060000003</c:v>
                </c:pt>
                <c:pt idx="36">
                  <c:v>-0.22264966733333399</c:v>
                </c:pt>
                <c:pt idx="37">
                  <c:v>-0.20799456299999999</c:v>
                </c:pt>
                <c:pt idx="38">
                  <c:v>-2.1576573866666591E-2</c:v>
                </c:pt>
                <c:pt idx="39">
                  <c:v>9.6692466666992161E-5</c:v>
                </c:pt>
                <c:pt idx="40">
                  <c:v>-3.5855480000357431E-4</c:v>
                </c:pt>
                <c:pt idx="41">
                  <c:v>-2.4666666669892479E-5</c:v>
                </c:pt>
                <c:pt idx="42">
                  <c:v>-3.4866666666699691E-4</c:v>
                </c:pt>
                <c:pt idx="43">
                  <c:v>3.5666666666600571E-4</c:v>
                </c:pt>
                <c:pt idx="44">
                  <c:v>-1.4666666666701689E-4</c:v>
                </c:pt>
                <c:pt idx="45">
                  <c:v>0</c:v>
                </c:pt>
                <c:pt idx="46">
                  <c:v>0</c:v>
                </c:pt>
                <c:pt idx="47">
                  <c:v>1.20000000000009E-4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D99-454F-BBD8-208022A620A5}"/>
            </c:ext>
          </c:extLst>
        </c:ser>
        <c:ser>
          <c:idx val="27"/>
          <c:order val="27"/>
          <c:tx>
            <c:v>BES_TR2_five520_C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Net_kW!$AD$2:$AD$49</c:f>
              <c:numCache>
                <c:formatCode>#,##0.000</c:formatCode>
                <c:ptCount val="48"/>
                <c:pt idx="0">
                  <c:v>4.579999999999862E-4</c:v>
                </c:pt>
                <c:pt idx="1">
                  <c:v>-4.453333333329923E-4</c:v>
                </c:pt>
                <c:pt idx="2">
                  <c:v>-6.9388939039072284E-18</c:v>
                </c:pt>
                <c:pt idx="3">
                  <c:v>1.266666666702165E-5</c:v>
                </c:pt>
                <c:pt idx="4">
                  <c:v>-6.9388939039072284E-18</c:v>
                </c:pt>
                <c:pt idx="5">
                  <c:v>-6.9388939039072284E-18</c:v>
                </c:pt>
                <c:pt idx="6">
                  <c:v>1.266666666702165E-5</c:v>
                </c:pt>
                <c:pt idx="7">
                  <c:v>-2.9030129999999682E-4</c:v>
                </c:pt>
                <c:pt idx="8">
                  <c:v>4.4623196666704329E-4</c:v>
                </c:pt>
                <c:pt idx="9">
                  <c:v>-2.9908394999999388E-4</c:v>
                </c:pt>
                <c:pt idx="10">
                  <c:v>-2.6081000005229171E-6</c:v>
                </c:pt>
                <c:pt idx="11">
                  <c:v>-1.8407453333248169E-4</c:v>
                </c:pt>
                <c:pt idx="12">
                  <c:v>3.0527749999342817E-5</c:v>
                </c:pt>
                <c:pt idx="13">
                  <c:v>-3.1627123333277662E-4</c:v>
                </c:pt>
                <c:pt idx="14">
                  <c:v>3.9120445000007109E-4</c:v>
                </c:pt>
                <c:pt idx="15">
                  <c:v>6.9882916666985651E-5</c:v>
                </c:pt>
                <c:pt idx="16">
                  <c:v>4.9808983332844108E-5</c:v>
                </c:pt>
                <c:pt idx="17">
                  <c:v>-1.3543343333288771E-4</c:v>
                </c:pt>
                <c:pt idx="18">
                  <c:v>-1.6176100000003801E-4</c:v>
                </c:pt>
                <c:pt idx="19">
                  <c:v>-4.2044396666907069E-4</c:v>
                </c:pt>
                <c:pt idx="20">
                  <c:v>4.966463499997964E-4</c:v>
                </c:pt>
                <c:pt idx="21">
                  <c:v>-2.394204500000274E-4</c:v>
                </c:pt>
                <c:pt idx="22">
                  <c:v>-3.5405508333297142E-4</c:v>
                </c:pt>
                <c:pt idx="23">
                  <c:v>-1.1180875158000001</c:v>
                </c:pt>
                <c:pt idx="24">
                  <c:v>-1.163014498400001</c:v>
                </c:pt>
                <c:pt idx="25">
                  <c:v>-1.167773960333333</c:v>
                </c:pt>
                <c:pt idx="26">
                  <c:v>-1.1995247640833331</c:v>
                </c:pt>
                <c:pt idx="27">
                  <c:v>-1.0148973727999999</c:v>
                </c:pt>
                <c:pt idx="28">
                  <c:v>-1.1045654599500001</c:v>
                </c:pt>
                <c:pt idx="29">
                  <c:v>-0.8823086482333331</c:v>
                </c:pt>
                <c:pt idx="30">
                  <c:v>-0.95967318554999992</c:v>
                </c:pt>
                <c:pt idx="31">
                  <c:v>-0.827963611866667</c:v>
                </c:pt>
                <c:pt idx="32">
                  <c:v>-0.57953668816666648</c:v>
                </c:pt>
                <c:pt idx="33">
                  <c:v>1.6127265000065449E-4</c:v>
                </c:pt>
                <c:pt idx="34">
                  <c:v>-4.7173108333345431E-4</c:v>
                </c:pt>
                <c:pt idx="35">
                  <c:v>4.6222538333287599E-4</c:v>
                </c:pt>
                <c:pt idx="36">
                  <c:v>-4.8818383333387732E-4</c:v>
                </c:pt>
                <c:pt idx="37">
                  <c:v>3.3487775000000213E-4</c:v>
                </c:pt>
                <c:pt idx="38">
                  <c:v>-3.6488039999990618E-4</c:v>
                </c:pt>
                <c:pt idx="39">
                  <c:v>-1.333139833329389E-4</c:v>
                </c:pt>
                <c:pt idx="40">
                  <c:v>6.4917233333017244E-5</c:v>
                </c:pt>
                <c:pt idx="41">
                  <c:v>3.0333333333298912E-4</c:v>
                </c:pt>
                <c:pt idx="42">
                  <c:v>1.3333333333975791E-5</c:v>
                </c:pt>
                <c:pt idx="43">
                  <c:v>-4.2433333333302681E-4</c:v>
                </c:pt>
                <c:pt idx="44">
                  <c:v>1.593333333340663E-4</c:v>
                </c:pt>
                <c:pt idx="45">
                  <c:v>7.2333333333007843E-5</c:v>
                </c:pt>
                <c:pt idx="46">
                  <c:v>-7.4000000000018495E-5</c:v>
                </c:pt>
                <c:pt idx="47">
                  <c:v>-5.9999999999948983E-5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D99-454F-BBD8-208022A620A5}"/>
            </c:ext>
          </c:extLst>
        </c:ser>
        <c:ser>
          <c:idx val="28"/>
          <c:order val="28"/>
          <c:tx>
            <c:v>BES_TR2_five540_A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Net_kW!$AE$2:$AE$49</c:f>
              <c:numCache>
                <c:formatCode>#,##0.000</c:formatCode>
                <c:ptCount val="48"/>
                <c:pt idx="0">
                  <c:v>3.5366666666700192E-4</c:v>
                </c:pt>
                <c:pt idx="1">
                  <c:v>9.1000000000007741E-5</c:v>
                </c:pt>
                <c:pt idx="2">
                  <c:v>0</c:v>
                </c:pt>
                <c:pt idx="3">
                  <c:v>-4.0333333333295029E-5</c:v>
                </c:pt>
                <c:pt idx="4">
                  <c:v>4.8499999999998539E-4</c:v>
                </c:pt>
                <c:pt idx="5">
                  <c:v>0</c:v>
                </c:pt>
                <c:pt idx="6">
                  <c:v>0</c:v>
                </c:pt>
                <c:pt idx="7">
                  <c:v>3.4719653333332989E-4</c:v>
                </c:pt>
                <c:pt idx="8">
                  <c:v>-7.7825866666207666E-5</c:v>
                </c:pt>
                <c:pt idx="9">
                  <c:v>-1.7955720000001341E-4</c:v>
                </c:pt>
                <c:pt idx="10">
                  <c:v>-2.89621600001011E-4</c:v>
                </c:pt>
                <c:pt idx="11">
                  <c:v>1.420234666680287E-4</c:v>
                </c:pt>
                <c:pt idx="12">
                  <c:v>1.3274066666491E-4</c:v>
                </c:pt>
                <c:pt idx="13">
                  <c:v>2.5883226666811859E-4</c:v>
                </c:pt>
                <c:pt idx="14">
                  <c:v>-3.0278813333328708E-4</c:v>
                </c:pt>
                <c:pt idx="15">
                  <c:v>-0.52537049000000002</c:v>
                </c:pt>
                <c:pt idx="16">
                  <c:v>-2.2106672649333352</c:v>
                </c:pt>
                <c:pt idx="17">
                  <c:v>-2.3231239335999998</c:v>
                </c:pt>
                <c:pt idx="18">
                  <c:v>-2.6849650293333349</c:v>
                </c:pt>
                <c:pt idx="19">
                  <c:v>-2.6633867394666648</c:v>
                </c:pt>
                <c:pt idx="20">
                  <c:v>-3.0138209430666678</c:v>
                </c:pt>
                <c:pt idx="21">
                  <c:v>-3.221323787866667</c:v>
                </c:pt>
                <c:pt idx="22">
                  <c:v>-3.2036301246666681</c:v>
                </c:pt>
                <c:pt idx="23">
                  <c:v>-3.2925846421333329</c:v>
                </c:pt>
                <c:pt idx="24">
                  <c:v>-3.2095213290666682</c:v>
                </c:pt>
                <c:pt idx="25">
                  <c:v>-3.1193616720000001</c:v>
                </c:pt>
                <c:pt idx="26">
                  <c:v>-2.991753815333333</c:v>
                </c:pt>
                <c:pt idx="27">
                  <c:v>-2.8390303274666682</c:v>
                </c:pt>
                <c:pt idx="28">
                  <c:v>-2.7797658932</c:v>
                </c:pt>
                <c:pt idx="29">
                  <c:v>-2.6744008397333352</c:v>
                </c:pt>
                <c:pt idx="30">
                  <c:v>-2.4612088281333331</c:v>
                </c:pt>
                <c:pt idx="31">
                  <c:v>-1.926515853866668</c:v>
                </c:pt>
                <c:pt idx="32">
                  <c:v>-1.9355640573333319</c:v>
                </c:pt>
                <c:pt idx="33">
                  <c:v>-1.4970226062666649</c:v>
                </c:pt>
                <c:pt idx="34">
                  <c:v>-3.3039400000195451E-4</c:v>
                </c:pt>
                <c:pt idx="35">
                  <c:v>2.0037879999990069E-4</c:v>
                </c:pt>
                <c:pt idx="36">
                  <c:v>1.777319999990423E-4</c:v>
                </c:pt>
                <c:pt idx="37">
                  <c:v>3.592739999999095E-4</c:v>
                </c:pt>
                <c:pt idx="38">
                  <c:v>2.3335226666681969E-4</c:v>
                </c:pt>
                <c:pt idx="39">
                  <c:v>-1.5994839999999841E-4</c:v>
                </c:pt>
                <c:pt idx="40">
                  <c:v>-1.610959999964745E-5</c:v>
                </c:pt>
                <c:pt idx="41">
                  <c:v>-3.0299999999999772E-4</c:v>
                </c:pt>
                <c:pt idx="42">
                  <c:v>0</c:v>
                </c:pt>
                <c:pt idx="43">
                  <c:v>-3.5920000000000401E-4</c:v>
                </c:pt>
                <c:pt idx="44">
                  <c:v>-4.6000000000001601E-4</c:v>
                </c:pt>
                <c:pt idx="45">
                  <c:v>-1.4199999999997551E-4</c:v>
                </c:pt>
                <c:pt idx="46">
                  <c:v>3.5600000000002302E-4</c:v>
                </c:pt>
                <c:pt idx="47">
                  <c:v>2.5666666666596122E-4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D99-454F-BBD8-208022A620A5}"/>
            </c:ext>
          </c:extLst>
        </c:ser>
        <c:ser>
          <c:idx val="29"/>
          <c:order val="29"/>
          <c:tx>
            <c:v>BES_TR2_five588_A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Net_kW!$AF$2:$AF$49</c:f>
              <c:numCache>
                <c:formatCode>#,##0.000</c:formatCode>
                <c:ptCount val="48"/>
                <c:pt idx="0">
                  <c:v>-3.8300000000002221E-4</c:v>
                </c:pt>
                <c:pt idx="1">
                  <c:v>3.1999999999998702E-4</c:v>
                </c:pt>
                <c:pt idx="2">
                  <c:v>1.496666666669921E-4</c:v>
                </c:pt>
                <c:pt idx="3">
                  <c:v>2.6900000000000529E-4</c:v>
                </c:pt>
                <c:pt idx="4">
                  <c:v>-2.1533333333301211E-4</c:v>
                </c:pt>
                <c:pt idx="5">
                  <c:v>-4.6000000000018249E-5</c:v>
                </c:pt>
                <c:pt idx="6">
                  <c:v>3.9799999999999558E-4</c:v>
                </c:pt>
                <c:pt idx="7">
                  <c:v>2.414978333333262E-4</c:v>
                </c:pt>
                <c:pt idx="8">
                  <c:v>-1.3539116666655421E-4</c:v>
                </c:pt>
                <c:pt idx="9">
                  <c:v>-1.064732500000026E-4</c:v>
                </c:pt>
                <c:pt idx="10">
                  <c:v>1.4898649999950389E-4</c:v>
                </c:pt>
                <c:pt idx="11">
                  <c:v>-2.6323533333255661E-4</c:v>
                </c:pt>
                <c:pt idx="12">
                  <c:v>1.9879583332493841E-5</c:v>
                </c:pt>
                <c:pt idx="13">
                  <c:v>-2.1656316666573969E-4</c:v>
                </c:pt>
                <c:pt idx="14">
                  <c:v>-2.2465925000003659E-4</c:v>
                </c:pt>
                <c:pt idx="15">
                  <c:v>-6.2639583332857462E-5</c:v>
                </c:pt>
                <c:pt idx="16">
                  <c:v>4.5412608333195159E-4</c:v>
                </c:pt>
                <c:pt idx="17">
                  <c:v>4.5716649999993919E-4</c:v>
                </c:pt>
                <c:pt idx="18">
                  <c:v>-0.57871260166666805</c:v>
                </c:pt>
                <c:pt idx="19">
                  <c:v>-1.5764216288333319</c:v>
                </c:pt>
                <c:pt idx="20">
                  <c:v>-1.6232695894166671</c:v>
                </c:pt>
                <c:pt idx="21">
                  <c:v>-1.884663034083333</c:v>
                </c:pt>
                <c:pt idx="22">
                  <c:v>-1.9630732029166671</c:v>
                </c:pt>
                <c:pt idx="23">
                  <c:v>-2.078530526333334</c:v>
                </c:pt>
                <c:pt idx="24">
                  <c:v>-1.933298830666667</c:v>
                </c:pt>
                <c:pt idx="25">
                  <c:v>-1.972964378333333</c:v>
                </c:pt>
                <c:pt idx="26">
                  <c:v>-2.0317240512499999</c:v>
                </c:pt>
                <c:pt idx="27">
                  <c:v>-1.8353786213333341</c:v>
                </c:pt>
                <c:pt idx="28">
                  <c:v>-1.7071590999166659</c:v>
                </c:pt>
                <c:pt idx="29">
                  <c:v>-1.744868858166668</c:v>
                </c:pt>
                <c:pt idx="30">
                  <c:v>-1.4885706425833329</c:v>
                </c:pt>
                <c:pt idx="31">
                  <c:v>-1.300885908666668</c:v>
                </c:pt>
                <c:pt idx="32">
                  <c:v>-1.175652702499999</c:v>
                </c:pt>
                <c:pt idx="33">
                  <c:v>-0.77310521224999895</c:v>
                </c:pt>
                <c:pt idx="34">
                  <c:v>-0.36646062958333248</c:v>
                </c:pt>
                <c:pt idx="35">
                  <c:v>-3.8017991666994272E-4</c:v>
                </c:pt>
                <c:pt idx="36">
                  <c:v>1.0091583333249329E-4</c:v>
                </c:pt>
                <c:pt idx="37">
                  <c:v>-1.858704166670111E-4</c:v>
                </c:pt>
                <c:pt idx="38">
                  <c:v>-2.6846733333318879E-4</c:v>
                </c:pt>
                <c:pt idx="39">
                  <c:v>-1.6830108333301669E-4</c:v>
                </c:pt>
                <c:pt idx="40">
                  <c:v>-3.5236016666666259E-4</c:v>
                </c:pt>
                <c:pt idx="41">
                  <c:v>0</c:v>
                </c:pt>
                <c:pt idx="42">
                  <c:v>2.5199999999997452E-4</c:v>
                </c:pt>
                <c:pt idx="43">
                  <c:v>4.866666666669961E-4</c:v>
                </c:pt>
                <c:pt idx="44">
                  <c:v>-6.7999999999998617E-5</c:v>
                </c:pt>
                <c:pt idx="45">
                  <c:v>-1.933333333329901E-4</c:v>
                </c:pt>
                <c:pt idx="46">
                  <c:v>0</c:v>
                </c:pt>
                <c:pt idx="47">
                  <c:v>2.7266666666697642E-4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D99-454F-BBD8-208022A620A5}"/>
            </c:ext>
          </c:extLst>
        </c:ser>
        <c:ser>
          <c:idx val="30"/>
          <c:order val="30"/>
          <c:tx>
            <c:v>BES_TR2_five649_A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Net_kW!$AG$2:$AG$49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-3.1333333333299912E-4</c:v>
                </c:pt>
                <c:pt idx="2">
                  <c:v>-6.9388939039072284E-18</c:v>
                </c:pt>
                <c:pt idx="3">
                  <c:v>-6.9388939039072284E-18</c:v>
                </c:pt>
                <c:pt idx="4">
                  <c:v>-1.5366666666699611E-4</c:v>
                </c:pt>
                <c:pt idx="5">
                  <c:v>-1.596666666665997E-4</c:v>
                </c:pt>
                <c:pt idx="6">
                  <c:v>-3.3133333333330161E-4</c:v>
                </c:pt>
                <c:pt idx="7">
                  <c:v>-4.2280346666664909E-4</c:v>
                </c:pt>
                <c:pt idx="8">
                  <c:v>2.6550746666679538E-4</c:v>
                </c:pt>
                <c:pt idx="9">
                  <c:v>1.131094666669968E-4</c:v>
                </c:pt>
                <c:pt idx="10">
                  <c:v>-3.402882666680429E-4</c:v>
                </c:pt>
                <c:pt idx="11">
                  <c:v>1.540234666680407E-4</c:v>
                </c:pt>
                <c:pt idx="12">
                  <c:v>-2.4392600000133771E-4</c:v>
                </c:pt>
                <c:pt idx="13">
                  <c:v>9.9165600001338561E-5</c:v>
                </c:pt>
                <c:pt idx="14">
                  <c:v>-1.131214666669766E-4</c:v>
                </c:pt>
                <c:pt idx="15">
                  <c:v>-0.71599142333333288</c:v>
                </c:pt>
                <c:pt idx="16">
                  <c:v>-2.017003398266668</c:v>
                </c:pt>
                <c:pt idx="17">
                  <c:v>-2.2351502669333332</c:v>
                </c:pt>
                <c:pt idx="18">
                  <c:v>-2.6738020293333351</c:v>
                </c:pt>
                <c:pt idx="19">
                  <c:v>-2.813696739466665</c:v>
                </c:pt>
                <c:pt idx="20">
                  <c:v>-3.1040089430666682</c:v>
                </c:pt>
                <c:pt idx="21">
                  <c:v>-1.53488145453333</c:v>
                </c:pt>
                <c:pt idx="22">
                  <c:v>-3.1693769246666679</c:v>
                </c:pt>
                <c:pt idx="23">
                  <c:v>-3.1472347088000001</c:v>
                </c:pt>
                <c:pt idx="24">
                  <c:v>-3.1834866624000009</c:v>
                </c:pt>
                <c:pt idx="25">
                  <c:v>-3.1600676719999998</c:v>
                </c:pt>
                <c:pt idx="26">
                  <c:v>-2.978622815333333</c:v>
                </c:pt>
                <c:pt idx="27">
                  <c:v>-3.0359479941333349</c:v>
                </c:pt>
                <c:pt idx="28">
                  <c:v>-2.7818182265333329</c:v>
                </c:pt>
                <c:pt idx="29">
                  <c:v>-2.8421901730666681</c:v>
                </c:pt>
                <c:pt idx="30">
                  <c:v>-2.6431284948</c:v>
                </c:pt>
                <c:pt idx="31">
                  <c:v>-2.4035838538666678</c:v>
                </c:pt>
                <c:pt idx="32">
                  <c:v>-2.017113390666665</c:v>
                </c:pt>
                <c:pt idx="33">
                  <c:v>-1.8080712729333319</c:v>
                </c:pt>
                <c:pt idx="34">
                  <c:v>-1.351678060666665</c:v>
                </c:pt>
                <c:pt idx="35">
                  <c:v>-1.157716954533333</c:v>
                </c:pt>
                <c:pt idx="36">
                  <c:v>-0.71659260133333502</c:v>
                </c:pt>
                <c:pt idx="37">
                  <c:v>-0.27301072599999998</c:v>
                </c:pt>
                <c:pt idx="38">
                  <c:v>-0.10681708106666619</c:v>
                </c:pt>
                <c:pt idx="39">
                  <c:v>-1.052817333329903E-4</c:v>
                </c:pt>
                <c:pt idx="40">
                  <c:v>-2.28442933333739E-4</c:v>
                </c:pt>
                <c:pt idx="41">
                  <c:v>-1.2533333333297761E-4</c:v>
                </c:pt>
                <c:pt idx="42">
                  <c:v>-2.5200000000002998E-4</c:v>
                </c:pt>
                <c:pt idx="43">
                  <c:v>4.376666666670026E-4</c:v>
                </c:pt>
                <c:pt idx="44">
                  <c:v>2.9666666666600122E-4</c:v>
                </c:pt>
                <c:pt idx="45">
                  <c:v>-3.1333333333299912E-4</c:v>
                </c:pt>
                <c:pt idx="46">
                  <c:v>-6.9388939039072284E-18</c:v>
                </c:pt>
                <c:pt idx="47">
                  <c:v>-3.3133333333330161E-4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D99-454F-BBD8-208022A620A5}"/>
            </c:ext>
          </c:extLst>
        </c:ser>
        <c:ser>
          <c:idx val="31"/>
          <c:order val="31"/>
          <c:tx>
            <c:v>BES_TR2_five663_C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Net_kW!$AH$2:$AH$49</c:f>
              <c:numCache>
                <c:formatCode>#,##0.000</c:formatCode>
                <c:ptCount val="48"/>
                <c:pt idx="0">
                  <c:v>1.833333333329801E-4</c:v>
                </c:pt>
                <c:pt idx="1">
                  <c:v>4.3266666666701148E-4</c:v>
                </c:pt>
                <c:pt idx="2">
                  <c:v>3.3633333333299431E-4</c:v>
                </c:pt>
                <c:pt idx="3">
                  <c:v>1.2700000000000211E-4</c:v>
                </c:pt>
                <c:pt idx="4">
                  <c:v>-1.3466666666700491E-4</c:v>
                </c:pt>
                <c:pt idx="5">
                  <c:v>4.609999999999892E-4</c:v>
                </c:pt>
                <c:pt idx="6">
                  <c:v>3.8833333333330999E-4</c:v>
                </c:pt>
                <c:pt idx="7">
                  <c:v>3.9369870000000029E-4</c:v>
                </c:pt>
                <c:pt idx="8">
                  <c:v>3.4956530000004871E-4</c:v>
                </c:pt>
                <c:pt idx="9">
                  <c:v>2.8758271666701202E-4</c:v>
                </c:pt>
                <c:pt idx="10">
                  <c:v>3.907252333324937E-4</c:v>
                </c:pt>
                <c:pt idx="11">
                  <c:v>5.4592133333503101E-5</c:v>
                </c:pt>
                <c:pt idx="12">
                  <c:v>-3.2480558333361498E-4</c:v>
                </c:pt>
                <c:pt idx="13">
                  <c:v>-1.5293789999948351E-4</c:v>
                </c:pt>
                <c:pt idx="14">
                  <c:v>3.1687111666695023E-4</c:v>
                </c:pt>
                <c:pt idx="15">
                  <c:v>3.5954958333317411E-4</c:v>
                </c:pt>
                <c:pt idx="16">
                  <c:v>-1.2352435000051451E-4</c:v>
                </c:pt>
                <c:pt idx="17">
                  <c:v>3.3589990000004732E-4</c:v>
                </c:pt>
                <c:pt idx="18">
                  <c:v>1.7757233333293149E-4</c:v>
                </c:pt>
                <c:pt idx="19">
                  <c:v>-3.4711063333203729E-4</c:v>
                </c:pt>
                <c:pt idx="20">
                  <c:v>3.4597968333305312E-4</c:v>
                </c:pt>
                <c:pt idx="21">
                  <c:v>-0.1062394204499999</c:v>
                </c:pt>
                <c:pt idx="22">
                  <c:v>-1.143961055083333</c:v>
                </c:pt>
                <c:pt idx="23">
                  <c:v>-1.035597182466667</c:v>
                </c:pt>
                <c:pt idx="24">
                  <c:v>-1.2323608317333341</c:v>
                </c:pt>
                <c:pt idx="25">
                  <c:v>-1.1230469603333331</c:v>
                </c:pt>
                <c:pt idx="26">
                  <c:v>-1.13359243075</c:v>
                </c:pt>
                <c:pt idx="27">
                  <c:v>-1.0583397061333331</c:v>
                </c:pt>
                <c:pt idx="28">
                  <c:v>-1.0965654599500001</c:v>
                </c:pt>
                <c:pt idx="29">
                  <c:v>-0.78427364823333301</c:v>
                </c:pt>
                <c:pt idx="30">
                  <c:v>-0.92382485221666666</c:v>
                </c:pt>
                <c:pt idx="31">
                  <c:v>-0.86184394520000041</c:v>
                </c:pt>
                <c:pt idx="32">
                  <c:v>-0.68786935483333245</c:v>
                </c:pt>
                <c:pt idx="33">
                  <c:v>-0.59953906068333285</c:v>
                </c:pt>
                <c:pt idx="34">
                  <c:v>-0.31884473108333239</c:v>
                </c:pt>
                <c:pt idx="35">
                  <c:v>-0.34219477461666709</c:v>
                </c:pt>
                <c:pt idx="36">
                  <c:v>-0.19580418383333351</c:v>
                </c:pt>
                <c:pt idx="37">
                  <c:v>-1.0925188916666989E-2</c:v>
                </c:pt>
                <c:pt idx="38">
                  <c:v>-2.0453280399999909E-2</c:v>
                </c:pt>
                <c:pt idx="39">
                  <c:v>1.130193499999932E-4</c:v>
                </c:pt>
                <c:pt idx="40">
                  <c:v>1.865838999999814E-4</c:v>
                </c:pt>
                <c:pt idx="41">
                  <c:v>2.279999999999921E-4</c:v>
                </c:pt>
                <c:pt idx="42">
                  <c:v>2.7466666666700612E-4</c:v>
                </c:pt>
                <c:pt idx="43">
                  <c:v>0</c:v>
                </c:pt>
                <c:pt idx="44">
                  <c:v>-2.186666666669779E-4</c:v>
                </c:pt>
                <c:pt idx="45">
                  <c:v>1.146666666669849E-4</c:v>
                </c:pt>
                <c:pt idx="46">
                  <c:v>9.3333333333028845E-5</c:v>
                </c:pt>
                <c:pt idx="47">
                  <c:v>-1.973333333329941E-4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D99-454F-BBD8-208022A620A5}"/>
            </c:ext>
          </c:extLst>
        </c:ser>
        <c:ser>
          <c:idx val="32"/>
          <c:order val="32"/>
          <c:tx>
            <c:v>BES_TR2_five685_B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Net_kW!$AI$2:$AI$49</c:f>
              <c:numCache>
                <c:formatCode>#,##0.000</c:formatCode>
                <c:ptCount val="48"/>
                <c:pt idx="0">
                  <c:v>-1.070000000000237E-4</c:v>
                </c:pt>
                <c:pt idx="1">
                  <c:v>0</c:v>
                </c:pt>
                <c:pt idx="2">
                  <c:v>2.4200000000002E-4</c:v>
                </c:pt>
                <c:pt idx="3">
                  <c:v>-1.5066666666700701E-4</c:v>
                </c:pt>
                <c:pt idx="4">
                  <c:v>4.6666666666699003E-4</c:v>
                </c:pt>
                <c:pt idx="5">
                  <c:v>-4.8199999999998239E-4</c:v>
                </c:pt>
                <c:pt idx="6">
                  <c:v>-4.800000000000082E-4</c:v>
                </c:pt>
                <c:pt idx="7">
                  <c:v>1.4819653333332519E-4</c:v>
                </c:pt>
                <c:pt idx="8">
                  <c:v>-2.8549253333323699E-4</c:v>
                </c:pt>
                <c:pt idx="9">
                  <c:v>4.2644280000000978E-4</c:v>
                </c:pt>
                <c:pt idx="10">
                  <c:v>-1.5162160000098399E-4</c:v>
                </c:pt>
                <c:pt idx="11">
                  <c:v>-4.8864319999886163E-4</c:v>
                </c:pt>
                <c:pt idx="12">
                  <c:v>-2.2859266666808151E-4</c:v>
                </c:pt>
                <c:pt idx="13">
                  <c:v>8.6832266668057656E-5</c:v>
                </c:pt>
                <c:pt idx="14">
                  <c:v>4.0545199999852948E-5</c:v>
                </c:pt>
                <c:pt idx="15">
                  <c:v>-3.5008999999974749E-4</c:v>
                </c:pt>
                <c:pt idx="16">
                  <c:v>-2.0410873982666682</c:v>
                </c:pt>
                <c:pt idx="17">
                  <c:v>-2.4846509336000002</c:v>
                </c:pt>
                <c:pt idx="18">
                  <c:v>-2.716575362666668</c:v>
                </c:pt>
                <c:pt idx="19">
                  <c:v>-2.825343406133332</c:v>
                </c:pt>
                <c:pt idx="20">
                  <c:v>-2.8079406097333348</c:v>
                </c:pt>
                <c:pt idx="21">
                  <c:v>-1.9171511212000001</c:v>
                </c:pt>
                <c:pt idx="22">
                  <c:v>-3.0510769246666678</c:v>
                </c:pt>
                <c:pt idx="23">
                  <c:v>-3.3247507754666672</c:v>
                </c:pt>
                <c:pt idx="24">
                  <c:v>-2.7688567290666679</c:v>
                </c:pt>
                <c:pt idx="25">
                  <c:v>-2.1889916720000002</c:v>
                </c:pt>
                <c:pt idx="26">
                  <c:v>-3.0007391486666668</c:v>
                </c:pt>
                <c:pt idx="27">
                  <c:v>-2.8282076608000009</c:v>
                </c:pt>
                <c:pt idx="28">
                  <c:v>-2.8385578932</c:v>
                </c:pt>
                <c:pt idx="29">
                  <c:v>-2.4578135064000008</c:v>
                </c:pt>
                <c:pt idx="30">
                  <c:v>-0.15328682813332989</c:v>
                </c:pt>
                <c:pt idx="31">
                  <c:v>-1.049711187199998</c:v>
                </c:pt>
                <c:pt idx="32">
                  <c:v>-9.2381057333331906E-2</c:v>
                </c:pt>
                <c:pt idx="33">
                  <c:v>-0.83932827293333201</c:v>
                </c:pt>
                <c:pt idx="34">
                  <c:v>-0.74584506066666589</c:v>
                </c:pt>
                <c:pt idx="35">
                  <c:v>-1.0184316212</c:v>
                </c:pt>
                <c:pt idx="36">
                  <c:v>-0.87091693466666797</c:v>
                </c:pt>
                <c:pt idx="37">
                  <c:v>-0.48971072599999999</c:v>
                </c:pt>
                <c:pt idx="38">
                  <c:v>-0.21735474773333319</c:v>
                </c:pt>
                <c:pt idx="39">
                  <c:v>2.8538493333300432E-4</c:v>
                </c:pt>
                <c:pt idx="40">
                  <c:v>3.8289040000032137E-4</c:v>
                </c:pt>
                <c:pt idx="41">
                  <c:v>2.4200000000002E-4</c:v>
                </c:pt>
                <c:pt idx="42">
                  <c:v>2.7599999999999852E-4</c:v>
                </c:pt>
                <c:pt idx="43">
                  <c:v>4.3666666666697379E-4</c:v>
                </c:pt>
                <c:pt idx="44">
                  <c:v>-4.41999999999998E-4</c:v>
                </c:pt>
                <c:pt idx="45">
                  <c:v>-5.3333333333301092E-5</c:v>
                </c:pt>
                <c:pt idx="46">
                  <c:v>-3.5466666666700292E-4</c:v>
                </c:pt>
                <c:pt idx="47">
                  <c:v>-3.4000000000034003E-5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D99-454F-BBD8-208022A620A5}"/>
            </c:ext>
          </c:extLst>
        </c:ser>
        <c:ser>
          <c:idx val="33"/>
          <c:order val="33"/>
          <c:tx>
            <c:v>BES_TR2_five695_A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Net_kW!$AJ$2:$AJ$49</c:f>
              <c:numCache>
                <c:formatCode>#,##0.000</c:formatCode>
                <c:ptCount val="48"/>
                <c:pt idx="0">
                  <c:v>-4.8333333333300249E-4</c:v>
                </c:pt>
                <c:pt idx="1">
                  <c:v>0</c:v>
                </c:pt>
                <c:pt idx="2">
                  <c:v>-2.336666666669929E-4</c:v>
                </c:pt>
                <c:pt idx="3">
                  <c:v>-8.3333333333407422E-5</c:v>
                </c:pt>
                <c:pt idx="4">
                  <c:v>-3.0199999999999672E-4</c:v>
                </c:pt>
                <c:pt idx="5">
                  <c:v>-1.6666666666997901E-5</c:v>
                </c:pt>
                <c:pt idx="6">
                  <c:v>2.4799999999999822E-4</c:v>
                </c:pt>
                <c:pt idx="7">
                  <c:v>-7.4701333336590903E-6</c:v>
                </c:pt>
                <c:pt idx="8">
                  <c:v>2.6550746666679972E-4</c:v>
                </c:pt>
                <c:pt idx="9">
                  <c:v>4.2644279999998203E-4</c:v>
                </c:pt>
                <c:pt idx="10">
                  <c:v>3.4704506666496942E-4</c:v>
                </c:pt>
                <c:pt idx="11">
                  <c:v>1.420234666681397E-4</c:v>
                </c:pt>
                <c:pt idx="12">
                  <c:v>-4.0192600000121809E-4</c:v>
                </c:pt>
                <c:pt idx="13">
                  <c:v>1.3549893333508761E-4</c:v>
                </c:pt>
                <c:pt idx="14">
                  <c:v>1.4211866666835601E-5</c:v>
                </c:pt>
                <c:pt idx="15">
                  <c:v>-3.2935666666689117E-4</c:v>
                </c:pt>
                <c:pt idx="16">
                  <c:v>-1.957187998266668</c:v>
                </c:pt>
                <c:pt idx="17">
                  <c:v>-2.3126269335999998</c:v>
                </c:pt>
                <c:pt idx="18">
                  <c:v>-2.5975317293333351</c:v>
                </c:pt>
                <c:pt idx="19">
                  <c:v>-2.8292908727999988</c:v>
                </c:pt>
                <c:pt idx="20">
                  <c:v>-1.905584843066668</c:v>
                </c:pt>
                <c:pt idx="21">
                  <c:v>-2.7199971212</c:v>
                </c:pt>
                <c:pt idx="22">
                  <c:v>-3.2309779246666679</c:v>
                </c:pt>
                <c:pt idx="23">
                  <c:v>-3.1125680421333328</c:v>
                </c:pt>
                <c:pt idx="24">
                  <c:v>-3.1095889957333349</c:v>
                </c:pt>
                <c:pt idx="25">
                  <c:v>-3.2719843386666669</c:v>
                </c:pt>
                <c:pt idx="26">
                  <c:v>-3.0879444820000002</c:v>
                </c:pt>
                <c:pt idx="27">
                  <c:v>-3.141918327466668</c:v>
                </c:pt>
                <c:pt idx="28">
                  <c:v>-2.9716758932</c:v>
                </c:pt>
                <c:pt idx="29">
                  <c:v>-2.688756839733335</c:v>
                </c:pt>
                <c:pt idx="30">
                  <c:v>-2.5628804947999999</c:v>
                </c:pt>
                <c:pt idx="31">
                  <c:v>-2.2095434538666678</c:v>
                </c:pt>
                <c:pt idx="32">
                  <c:v>-2.0418920573333321</c:v>
                </c:pt>
                <c:pt idx="33">
                  <c:v>-1.793071272933332</c:v>
                </c:pt>
                <c:pt idx="34">
                  <c:v>-1.230208393999999</c:v>
                </c:pt>
                <c:pt idx="35">
                  <c:v>-0.85484595453333401</c:v>
                </c:pt>
                <c:pt idx="36">
                  <c:v>-0.61572793466666798</c:v>
                </c:pt>
                <c:pt idx="37">
                  <c:v>-0.53380139266666671</c:v>
                </c:pt>
                <c:pt idx="38">
                  <c:v>-0.1900627477333332</c:v>
                </c:pt>
                <c:pt idx="39">
                  <c:v>1.173849333298005E-4</c:v>
                </c:pt>
                <c:pt idx="40">
                  <c:v>4.3289040000027418E-4</c:v>
                </c:pt>
                <c:pt idx="41">
                  <c:v>-7.1666666666997392E-5</c:v>
                </c:pt>
                <c:pt idx="42">
                  <c:v>4.850000000000132E-4</c:v>
                </c:pt>
                <c:pt idx="43">
                  <c:v>-2.6400000000004198E-4</c:v>
                </c:pt>
                <c:pt idx="44">
                  <c:v>-4.1066666666700341E-4</c:v>
                </c:pt>
                <c:pt idx="45">
                  <c:v>-3.2299999999996221E-4</c:v>
                </c:pt>
                <c:pt idx="46">
                  <c:v>1.1333333333296559E-4</c:v>
                </c:pt>
                <c:pt idx="47">
                  <c:v>4.2799999999998389E-4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D99-454F-BBD8-208022A620A5}"/>
            </c:ext>
          </c:extLst>
        </c:ser>
        <c:ser>
          <c:idx val="34"/>
          <c:order val="34"/>
          <c:tx>
            <c:v>BES_TR2_five704_A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Net_kW!$AK$2:$AK$49</c:f>
              <c:numCache>
                <c:formatCode>#,##0.000</c:formatCode>
                <c:ptCount val="48"/>
                <c:pt idx="0">
                  <c:v>-4.9099999999990818E-4</c:v>
                </c:pt>
                <c:pt idx="1">
                  <c:v>1.183333333329983E-4</c:v>
                </c:pt>
                <c:pt idx="2">
                  <c:v>1.166666666669869E-4</c:v>
                </c:pt>
                <c:pt idx="3">
                  <c:v>0.29752766666666702</c:v>
                </c:pt>
                <c:pt idx="4">
                  <c:v>0.50465166666666705</c:v>
                </c:pt>
                <c:pt idx="5">
                  <c:v>0.50461533333333297</c:v>
                </c:pt>
                <c:pt idx="6">
                  <c:v>0.45461133333333298</c:v>
                </c:pt>
                <c:pt idx="7">
                  <c:v>5.0419397400000003E-2</c:v>
                </c:pt>
                <c:pt idx="8">
                  <c:v>6.5746130600000091E-2</c:v>
                </c:pt>
                <c:pt idx="9">
                  <c:v>0.19579483210000001</c:v>
                </c:pt>
                <c:pt idx="10">
                  <c:v>-3.7721620000097378E-4</c:v>
                </c:pt>
                <c:pt idx="11">
                  <c:v>-2.2214906666601089E-4</c:v>
                </c:pt>
                <c:pt idx="12">
                  <c:v>-3.6094450000123679E-4</c:v>
                </c:pt>
                <c:pt idx="13">
                  <c:v>-4.1120913333203562E-4</c:v>
                </c:pt>
                <c:pt idx="14">
                  <c:v>1.3075566667186679E-5</c:v>
                </c:pt>
                <c:pt idx="15">
                  <c:v>2.7443250000014352E-4</c:v>
                </c:pt>
                <c:pt idx="16">
                  <c:v>3.5228463333192289E-4</c:v>
                </c:pt>
                <c:pt idx="17">
                  <c:v>-1.308668666670787E-4</c:v>
                </c:pt>
                <c:pt idx="18">
                  <c:v>-1.3964044553333339</c:v>
                </c:pt>
                <c:pt idx="19">
                  <c:v>-1.9887068879333321</c:v>
                </c:pt>
                <c:pt idx="20">
                  <c:v>-1.044974040633331</c:v>
                </c:pt>
                <c:pt idx="21">
                  <c:v>-2.2862051742333329</c:v>
                </c:pt>
                <c:pt idx="22">
                  <c:v>-1.3945647768333309</c:v>
                </c:pt>
                <c:pt idx="23">
                  <c:v>-0.91307636493333</c:v>
                </c:pt>
                <c:pt idx="24">
                  <c:v>5.2336533329033763E-5</c:v>
                </c:pt>
                <c:pt idx="25">
                  <c:v>-1.005873333298907E-4</c:v>
                </c:pt>
                <c:pt idx="26">
                  <c:v>-1.7282185281666671</c:v>
                </c:pt>
                <c:pt idx="27">
                  <c:v>-1.9568754122666681</c:v>
                </c:pt>
                <c:pt idx="28">
                  <c:v>-1.1794545865666699</c:v>
                </c:pt>
                <c:pt idx="29">
                  <c:v>-0.29308262980000088</c:v>
                </c:pt>
                <c:pt idx="30">
                  <c:v>-1.3050550377666661</c:v>
                </c:pt>
                <c:pt idx="31">
                  <c:v>-0.96778589040000096</c:v>
                </c:pt>
                <c:pt idx="32">
                  <c:v>-1.2054293763333319</c:v>
                </c:pt>
                <c:pt idx="33">
                  <c:v>-1.262078454699999</c:v>
                </c:pt>
                <c:pt idx="34">
                  <c:v>-0.81997512883333212</c:v>
                </c:pt>
                <c:pt idx="35">
                  <c:v>-0.38447521590000011</c:v>
                </c:pt>
                <c:pt idx="36">
                  <c:v>-0.40360970100000099</c:v>
                </c:pt>
                <c:pt idx="37">
                  <c:v>-6.7707377833332971E-2</c:v>
                </c:pt>
                <c:pt idx="38">
                  <c:v>2.1110586667005829E-4</c:v>
                </c:pt>
                <c:pt idx="39">
                  <c:v>3.0403869999995342E-4</c:v>
                </c:pt>
                <c:pt idx="40">
                  <c:v>-4.8783220000014888E-4</c:v>
                </c:pt>
                <c:pt idx="41">
                  <c:v>-2.4299999999999319E-4</c:v>
                </c:pt>
                <c:pt idx="42">
                  <c:v>4.0700000000004621E-4</c:v>
                </c:pt>
                <c:pt idx="43">
                  <c:v>1.816666666698552E-4</c:v>
                </c:pt>
                <c:pt idx="44">
                  <c:v>0.12270566666667</c:v>
                </c:pt>
                <c:pt idx="45">
                  <c:v>1.0089366666666699</c:v>
                </c:pt>
                <c:pt idx="46">
                  <c:v>0.92588066666666702</c:v>
                </c:pt>
                <c:pt idx="47">
                  <c:v>0.93216066666666697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D99-454F-BBD8-208022A620A5}"/>
            </c:ext>
          </c:extLst>
        </c:ser>
        <c:ser>
          <c:idx val="35"/>
          <c:order val="35"/>
          <c:tx>
            <c:v>BES_TR2_five733_C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2.7959826666665988E-4</c:v>
                </c:pt>
                <c:pt idx="8">
                  <c:v>1.327537333333968E-4</c:v>
                </c:pt>
                <c:pt idx="9">
                  <c:v>-2.8677860000000938E-4</c:v>
                </c:pt>
                <c:pt idx="10">
                  <c:v>3.2985586666597899E-4</c:v>
                </c:pt>
                <c:pt idx="11">
                  <c:v>7.1011733334014338E-5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2.02726000000375E-5</c:v>
                </c:pt>
                <c:pt idx="15">
                  <c:v>-3.1304499999995627E-4</c:v>
                </c:pt>
                <c:pt idx="16">
                  <c:v>-1.646991333339454E-4</c:v>
                </c:pt>
                <c:pt idx="17">
                  <c:v>-3.2546679999989608E-4</c:v>
                </c:pt>
                <c:pt idx="18">
                  <c:v>-1.203287681333334</c:v>
                </c:pt>
                <c:pt idx="19">
                  <c:v>-1.4311917030666661</c:v>
                </c:pt>
                <c:pt idx="20">
                  <c:v>-1.5180044715333341</c:v>
                </c:pt>
                <c:pt idx="21">
                  <c:v>-1.5896525606</c:v>
                </c:pt>
                <c:pt idx="22">
                  <c:v>-1.6404889623333341</c:v>
                </c:pt>
                <c:pt idx="23">
                  <c:v>-1.6627833543999999</c:v>
                </c:pt>
                <c:pt idx="24">
                  <c:v>-1.669240664533334</c:v>
                </c:pt>
                <c:pt idx="25">
                  <c:v>-1.6571608360000001</c:v>
                </c:pt>
                <c:pt idx="26">
                  <c:v>-1.6165792409999999</c:v>
                </c:pt>
                <c:pt idx="27">
                  <c:v>-1.554667163733334</c:v>
                </c:pt>
                <c:pt idx="28">
                  <c:v>-1.4807539465999999</c:v>
                </c:pt>
                <c:pt idx="29">
                  <c:v>-1.387095086533334</c:v>
                </c:pt>
                <c:pt idx="30">
                  <c:v>-1.2875642474</c:v>
                </c:pt>
                <c:pt idx="31">
                  <c:v>-1.1677919269333339</c:v>
                </c:pt>
                <c:pt idx="32">
                  <c:v>-1.0329000286666661</c:v>
                </c:pt>
                <c:pt idx="33">
                  <c:v>-0.87003563646666593</c:v>
                </c:pt>
                <c:pt idx="34">
                  <c:v>-0.7176058636666659</c:v>
                </c:pt>
                <c:pt idx="35">
                  <c:v>-0.56097481059999998</c:v>
                </c:pt>
                <c:pt idx="36">
                  <c:v>-0.40945846733333402</c:v>
                </c:pt>
                <c:pt idx="37">
                  <c:v>-0.26337536299999997</c:v>
                </c:pt>
                <c:pt idx="38">
                  <c:v>-0.1321603738666666</c:v>
                </c:pt>
                <c:pt idx="39">
                  <c:v>-1.579974200000001E-3</c:v>
                </c:pt>
                <c:pt idx="40">
                  <c:v>1.181118666666592E-4</c:v>
                </c:pt>
                <c:pt idx="41">
                  <c:v>0</c:v>
                </c:pt>
                <c:pt idx="42">
                  <c:v>0</c:v>
                </c:pt>
                <c:pt idx="43">
                  <c:v>1.46666666669959E-5</c:v>
                </c:pt>
                <c:pt idx="44">
                  <c:v>4.7400000000003001E-4</c:v>
                </c:pt>
                <c:pt idx="45">
                  <c:v>-3.9999999999995589E-4</c:v>
                </c:pt>
                <c:pt idx="46">
                  <c:v>-3.633333333297184E-5</c:v>
                </c:pt>
                <c:pt idx="47">
                  <c:v>2.5300000000000322E-4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D99-454F-BBD8-208022A620A5}"/>
            </c:ext>
          </c:extLst>
        </c:ser>
        <c:ser>
          <c:idx val="36"/>
          <c:order val="36"/>
          <c:tx>
            <c:v>BES_TR2_five117_B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1.9000000000002351E-4</c:v>
                </c:pt>
                <c:pt idx="2">
                  <c:v>0</c:v>
                </c:pt>
                <c:pt idx="3">
                  <c:v>0</c:v>
                </c:pt>
                <c:pt idx="4">
                  <c:v>1.9000000000002351E-4</c:v>
                </c:pt>
                <c:pt idx="5">
                  <c:v>0</c:v>
                </c:pt>
                <c:pt idx="6">
                  <c:v>-1.15000000000004E-4</c:v>
                </c:pt>
                <c:pt idx="7">
                  <c:v>-1.358034666666674E-4</c:v>
                </c:pt>
                <c:pt idx="8">
                  <c:v>2.655074666667988E-4</c:v>
                </c:pt>
                <c:pt idx="9">
                  <c:v>-3.8355719999999972E-4</c:v>
                </c:pt>
                <c:pt idx="10">
                  <c:v>-3.4028826666798739E-4</c:v>
                </c:pt>
                <c:pt idx="11">
                  <c:v>3.3202346666805221E-4</c:v>
                </c:pt>
                <c:pt idx="12">
                  <c:v>8.1407333331950937E-5</c:v>
                </c:pt>
                <c:pt idx="13">
                  <c:v>1.288322666679331E-4</c:v>
                </c:pt>
                <c:pt idx="14">
                  <c:v>3.6054519999995088E-4</c:v>
                </c:pt>
                <c:pt idx="15">
                  <c:v>-0.27762608999999983</c:v>
                </c:pt>
                <c:pt idx="16">
                  <c:v>-2.2163293982666681</c:v>
                </c:pt>
                <c:pt idx="17">
                  <c:v>-2.4886509335999998</c:v>
                </c:pt>
                <c:pt idx="18">
                  <c:v>-2.5413853626666678</c:v>
                </c:pt>
                <c:pt idx="19">
                  <c:v>-2.9183834061333318</c:v>
                </c:pt>
                <c:pt idx="20">
                  <c:v>-2.1188589430666682</c:v>
                </c:pt>
                <c:pt idx="21">
                  <c:v>-3.1864351212000002</c:v>
                </c:pt>
                <c:pt idx="22">
                  <c:v>-3.3206879246666681</c:v>
                </c:pt>
                <c:pt idx="23">
                  <c:v>-3.2186667087999998</c:v>
                </c:pt>
                <c:pt idx="24">
                  <c:v>-3.394481329066668</c:v>
                </c:pt>
                <c:pt idx="25">
                  <c:v>-3.191131672</c:v>
                </c:pt>
                <c:pt idx="26">
                  <c:v>-3.2891584819999999</c:v>
                </c:pt>
                <c:pt idx="27">
                  <c:v>-3.1653343274666681</c:v>
                </c:pt>
                <c:pt idx="28">
                  <c:v>-2.7377971598666671</c:v>
                </c:pt>
                <c:pt idx="29">
                  <c:v>-2.6809281730666679</c:v>
                </c:pt>
                <c:pt idx="30">
                  <c:v>-2.5281911614666668</c:v>
                </c:pt>
                <c:pt idx="31">
                  <c:v>-2.1971906538666679</c:v>
                </c:pt>
                <c:pt idx="32">
                  <c:v>-2.1055810573333318</c:v>
                </c:pt>
                <c:pt idx="33">
                  <c:v>-1.7589811062666649</c:v>
                </c:pt>
                <c:pt idx="34">
                  <c:v>-1.260500060666665</c:v>
                </c:pt>
                <c:pt idx="35">
                  <c:v>-0.92218935453333306</c:v>
                </c:pt>
                <c:pt idx="36">
                  <c:v>-0.86453826800000133</c:v>
                </c:pt>
                <c:pt idx="37">
                  <c:v>-0.485395992666667</c:v>
                </c:pt>
                <c:pt idx="38">
                  <c:v>-0.30403074773333322</c:v>
                </c:pt>
                <c:pt idx="39">
                  <c:v>4.7895160000002712E-4</c:v>
                </c:pt>
                <c:pt idx="40">
                  <c:v>4.1749039999991472E-4</c:v>
                </c:pt>
                <c:pt idx="41">
                  <c:v>-4.7666666666695828E-4</c:v>
                </c:pt>
                <c:pt idx="42">
                  <c:v>-2.1999999999966491E-5</c:v>
                </c:pt>
                <c:pt idx="43">
                  <c:v>-8.3633333332999715E-5</c:v>
                </c:pt>
                <c:pt idx="44">
                  <c:v>-4.9766666667028225E-4</c:v>
                </c:pt>
                <c:pt idx="45">
                  <c:v>-1.386666666659542E-4</c:v>
                </c:pt>
                <c:pt idx="46">
                  <c:v>3.4899999999998821E-4</c:v>
                </c:pt>
                <c:pt idx="47">
                  <c:v>3.000000000000225E-5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D99-454F-BBD8-208022A620A5}"/>
            </c:ext>
          </c:extLst>
        </c:ser>
        <c:ser>
          <c:idx val="37"/>
          <c:order val="37"/>
          <c:tx>
            <c:v>BES_TR2_five778_B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Net_kW!$AN$2:$AN$49</c:f>
              <c:numCache>
                <c:formatCode>#,##0.000</c:formatCode>
                <c:ptCount val="48"/>
                <c:pt idx="0">
                  <c:v>-2.426666666670019E-4</c:v>
                </c:pt>
                <c:pt idx="1">
                  <c:v>0</c:v>
                </c:pt>
                <c:pt idx="2">
                  <c:v>2.5600000000000622E-4</c:v>
                </c:pt>
                <c:pt idx="3">
                  <c:v>-4.9866666666670278E-4</c:v>
                </c:pt>
                <c:pt idx="4">
                  <c:v>-3.7200000000001121E-4</c:v>
                </c:pt>
                <c:pt idx="5">
                  <c:v>1.2933333333300931E-4</c:v>
                </c:pt>
                <c:pt idx="6">
                  <c:v>0</c:v>
                </c:pt>
                <c:pt idx="7">
                  <c:v>3.1652986666630412E-4</c:v>
                </c:pt>
                <c:pt idx="8">
                  <c:v>2.6550746666679712E-4</c:v>
                </c:pt>
                <c:pt idx="9">
                  <c:v>-1.9355719999999971E-4</c:v>
                </c:pt>
                <c:pt idx="10">
                  <c:v>3.704506666524221E-5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-2.3716773333193331E-4</c:v>
                </c:pt>
                <c:pt idx="14">
                  <c:v>-2.1978813333300981E-4</c:v>
                </c:pt>
                <c:pt idx="15">
                  <c:v>-0.20194608999999991</c:v>
                </c:pt>
                <c:pt idx="16">
                  <c:v>-2.0475307316000011</c:v>
                </c:pt>
                <c:pt idx="17">
                  <c:v>-2.1551176002666672</c:v>
                </c:pt>
                <c:pt idx="18">
                  <c:v>-2.6539473626666679</c:v>
                </c:pt>
                <c:pt idx="19">
                  <c:v>-0.89407673946666177</c:v>
                </c:pt>
                <c:pt idx="20">
                  <c:v>-2.530145743066667</c:v>
                </c:pt>
                <c:pt idx="21">
                  <c:v>-3.0802677878666671</c:v>
                </c:pt>
                <c:pt idx="22">
                  <c:v>-3.2988283246666681</c:v>
                </c:pt>
                <c:pt idx="23">
                  <c:v>-3.2920627088000001</c:v>
                </c:pt>
                <c:pt idx="24">
                  <c:v>-3.3202279957333349</c:v>
                </c:pt>
                <c:pt idx="25">
                  <c:v>-3.372321672</c:v>
                </c:pt>
                <c:pt idx="26">
                  <c:v>-3.146277148666667</c:v>
                </c:pt>
                <c:pt idx="27">
                  <c:v>-2.0837556607999979</c:v>
                </c:pt>
                <c:pt idx="28">
                  <c:v>-2.8587814265333331</c:v>
                </c:pt>
                <c:pt idx="29">
                  <c:v>-2.5502982397333351</c:v>
                </c:pt>
                <c:pt idx="30">
                  <c:v>-2.5712371614666671</c:v>
                </c:pt>
                <c:pt idx="31">
                  <c:v>-2.2909178872000009</c:v>
                </c:pt>
                <c:pt idx="32">
                  <c:v>-1.793785723999999</c:v>
                </c:pt>
                <c:pt idx="33">
                  <c:v>-1.547451606266665</c:v>
                </c:pt>
                <c:pt idx="34">
                  <c:v>-1.2332003939999989</c:v>
                </c:pt>
                <c:pt idx="35">
                  <c:v>-1.1028208211999999</c:v>
                </c:pt>
                <c:pt idx="36">
                  <c:v>-0.79930506800000101</c:v>
                </c:pt>
                <c:pt idx="37">
                  <c:v>-0.584750726</c:v>
                </c:pt>
                <c:pt idx="38">
                  <c:v>-0.32232074773333319</c:v>
                </c:pt>
                <c:pt idx="39">
                  <c:v>-6.1159948399999997E-2</c:v>
                </c:pt>
                <c:pt idx="40">
                  <c:v>-6.4429333336835093E-6</c:v>
                </c:pt>
                <c:pt idx="41">
                  <c:v>0</c:v>
                </c:pt>
                <c:pt idx="42">
                  <c:v>1.2933333333300931E-4</c:v>
                </c:pt>
                <c:pt idx="43">
                  <c:v>-3.7200000000001121E-4</c:v>
                </c:pt>
                <c:pt idx="44">
                  <c:v>0</c:v>
                </c:pt>
                <c:pt idx="45">
                  <c:v>0</c:v>
                </c:pt>
                <c:pt idx="46">
                  <c:v>3.6420000000000902E-4</c:v>
                </c:pt>
                <c:pt idx="47">
                  <c:v>2.2333333333302011E-4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D99-454F-BBD8-208022A620A5}"/>
            </c:ext>
          </c:extLst>
        </c:ser>
        <c:ser>
          <c:idx val="38"/>
          <c:order val="38"/>
          <c:tx>
            <c:v>BES_TR2_five799_C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Net_kW!$AO$2:$AO$49</c:f>
              <c:numCache>
                <c:formatCode>#,##0.000</c:formatCode>
                <c:ptCount val="48"/>
                <c:pt idx="0">
                  <c:v>-1.2666666666993899E-5</c:v>
                </c:pt>
                <c:pt idx="1">
                  <c:v>2.8300000000003322E-4</c:v>
                </c:pt>
                <c:pt idx="2">
                  <c:v>1.4166666666703959E-4</c:v>
                </c:pt>
                <c:pt idx="3">
                  <c:v>-7.5666666667001392E-5</c:v>
                </c:pt>
                <c:pt idx="4">
                  <c:v>-4.810000000000092E-4</c:v>
                </c:pt>
                <c:pt idx="5">
                  <c:v>-1.6566666666670279E-4</c:v>
                </c:pt>
                <c:pt idx="6">
                  <c:v>0.119710333333333</c:v>
                </c:pt>
                <c:pt idx="7">
                  <c:v>9.4829196533333326E-2</c:v>
                </c:pt>
                <c:pt idx="8">
                  <c:v>0.2298671741333338</c:v>
                </c:pt>
                <c:pt idx="9">
                  <c:v>4.2644279999998203E-4</c:v>
                </c:pt>
                <c:pt idx="10">
                  <c:v>2.8371173333202599E-4</c:v>
                </c:pt>
                <c:pt idx="11">
                  <c:v>3.9335680000096568E-4</c:v>
                </c:pt>
                <c:pt idx="12">
                  <c:v>2.2140733333186891E-4</c:v>
                </c:pt>
                <c:pt idx="13">
                  <c:v>-3.9916773333192879E-4</c:v>
                </c:pt>
                <c:pt idx="14">
                  <c:v>2.8587853333283952E-4</c:v>
                </c:pt>
                <c:pt idx="15">
                  <c:v>-3.600900000000351E-4</c:v>
                </c:pt>
                <c:pt idx="16">
                  <c:v>-0.54951339826666823</c:v>
                </c:pt>
                <c:pt idx="17">
                  <c:v>-2.3431122669333329</c:v>
                </c:pt>
                <c:pt idx="18">
                  <c:v>-2.5649808960000011</c:v>
                </c:pt>
                <c:pt idx="19">
                  <c:v>-3.0440096727999988</c:v>
                </c:pt>
                <c:pt idx="20">
                  <c:v>-3.3350840097333352</c:v>
                </c:pt>
                <c:pt idx="21">
                  <c:v>-3.3557431212000002</c:v>
                </c:pt>
                <c:pt idx="22">
                  <c:v>-2.2114975913333348</c:v>
                </c:pt>
                <c:pt idx="23">
                  <c:v>-3.3788427088000001</c:v>
                </c:pt>
                <c:pt idx="24">
                  <c:v>-3.6167326624000009</c:v>
                </c:pt>
                <c:pt idx="25">
                  <c:v>-3.4368985053333332</c:v>
                </c:pt>
                <c:pt idx="26">
                  <c:v>-2.500283215333333</c:v>
                </c:pt>
                <c:pt idx="27">
                  <c:v>-2.5998136608000011</c:v>
                </c:pt>
                <c:pt idx="28">
                  <c:v>-2.7891825598666671</c:v>
                </c:pt>
                <c:pt idx="29">
                  <c:v>-2.815120173066668</c:v>
                </c:pt>
                <c:pt idx="30">
                  <c:v>-2.4915591614666668</c:v>
                </c:pt>
                <c:pt idx="31">
                  <c:v>-2.3007058538666678</c:v>
                </c:pt>
                <c:pt idx="32">
                  <c:v>-2.0713760573333322</c:v>
                </c:pt>
                <c:pt idx="33">
                  <c:v>-1.7856779395999991</c:v>
                </c:pt>
                <c:pt idx="34">
                  <c:v>-1.241372393999999</c:v>
                </c:pt>
                <c:pt idx="35">
                  <c:v>-1.0703196211999999</c:v>
                </c:pt>
                <c:pt idx="36">
                  <c:v>-0.50677826800000103</c:v>
                </c:pt>
                <c:pt idx="37">
                  <c:v>-0.38053465933333303</c:v>
                </c:pt>
                <c:pt idx="38">
                  <c:v>-7.2322747733333193E-2</c:v>
                </c:pt>
                <c:pt idx="39">
                  <c:v>-3.7528173333301051E-4</c:v>
                </c:pt>
                <c:pt idx="40">
                  <c:v>6.455706666630423E-5</c:v>
                </c:pt>
                <c:pt idx="41">
                  <c:v>2.4566666666692161E-4</c:v>
                </c:pt>
                <c:pt idx="42">
                  <c:v>2.2600000000005949E-4</c:v>
                </c:pt>
                <c:pt idx="43">
                  <c:v>-2.0366666666604691E-4</c:v>
                </c:pt>
                <c:pt idx="44">
                  <c:v>-1.4400000000000521E-4</c:v>
                </c:pt>
                <c:pt idx="45">
                  <c:v>-1.6266666666700511E-4</c:v>
                </c:pt>
                <c:pt idx="46">
                  <c:v>3.8000000000038003E-5</c:v>
                </c:pt>
                <c:pt idx="47">
                  <c:v>7.0000000000000617E-5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D99-454F-BBD8-208022A620A5}"/>
            </c:ext>
          </c:extLst>
        </c:ser>
        <c:ser>
          <c:idx val="39"/>
          <c:order val="39"/>
          <c:tx>
            <c:v>BES_TR2_five801_C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-1.159999999999911E-4</c:v>
                </c:pt>
                <c:pt idx="2">
                  <c:v>0</c:v>
                </c:pt>
                <c:pt idx="3">
                  <c:v>1.7066666666669389E-4</c:v>
                </c:pt>
                <c:pt idx="4">
                  <c:v>-2.8666666666669888E-4</c:v>
                </c:pt>
                <c:pt idx="5">
                  <c:v>0</c:v>
                </c:pt>
                <c:pt idx="6">
                  <c:v>-1.159999999999911E-4</c:v>
                </c:pt>
                <c:pt idx="7">
                  <c:v>-4.4080346666667408E-4</c:v>
                </c:pt>
                <c:pt idx="8">
                  <c:v>2.6550746666679619E-4</c:v>
                </c:pt>
                <c:pt idx="9">
                  <c:v>1.397761333333247E-4</c:v>
                </c:pt>
                <c:pt idx="10">
                  <c:v>-1.6962160000139059E-4</c:v>
                </c:pt>
                <c:pt idx="11">
                  <c:v>-1.879765333319128E-4</c:v>
                </c:pt>
                <c:pt idx="12">
                  <c:v>6.1740666664866772E-5</c:v>
                </c:pt>
                <c:pt idx="13">
                  <c:v>1.4283226666811369E-4</c:v>
                </c:pt>
                <c:pt idx="14">
                  <c:v>4.0545199999852948E-5</c:v>
                </c:pt>
                <c:pt idx="15">
                  <c:v>-0.53368408999999994</c:v>
                </c:pt>
                <c:pt idx="16">
                  <c:v>-1.9941673982666679</c:v>
                </c:pt>
                <c:pt idx="17">
                  <c:v>-2.2761309336000002</c:v>
                </c:pt>
                <c:pt idx="18">
                  <c:v>-2.3469870293333348</c:v>
                </c:pt>
                <c:pt idx="19">
                  <c:v>-2.7160234061333322</c:v>
                </c:pt>
                <c:pt idx="20">
                  <c:v>-2.8106616097333341</c:v>
                </c:pt>
                <c:pt idx="21">
                  <c:v>-3.2189911212000002</c:v>
                </c:pt>
                <c:pt idx="22">
                  <c:v>-3.316892591333334</c:v>
                </c:pt>
                <c:pt idx="23">
                  <c:v>-3.3237680421333331</c:v>
                </c:pt>
                <c:pt idx="24">
                  <c:v>-3.1091093290666678</c:v>
                </c:pt>
                <c:pt idx="25">
                  <c:v>-3.3351510053333331</c:v>
                </c:pt>
                <c:pt idx="26">
                  <c:v>-3.284158482</c:v>
                </c:pt>
                <c:pt idx="27">
                  <c:v>-3.0924503274666679</c:v>
                </c:pt>
                <c:pt idx="28">
                  <c:v>-3.0011938932</c:v>
                </c:pt>
                <c:pt idx="29">
                  <c:v>-2.768620173066668</c:v>
                </c:pt>
                <c:pt idx="30">
                  <c:v>-2.6035004948</c:v>
                </c:pt>
                <c:pt idx="31">
                  <c:v>-2.3413278538666682</c:v>
                </c:pt>
                <c:pt idx="32">
                  <c:v>-2.1168000573333319</c:v>
                </c:pt>
                <c:pt idx="33">
                  <c:v>-1.791071272933332</c:v>
                </c:pt>
                <c:pt idx="34">
                  <c:v>-1.4447270606666649</c:v>
                </c:pt>
                <c:pt idx="35">
                  <c:v>-1.1465502878666669</c:v>
                </c:pt>
                <c:pt idx="36">
                  <c:v>-0.76790226800000105</c:v>
                </c:pt>
                <c:pt idx="37">
                  <c:v>-0.27852172600000003</c:v>
                </c:pt>
                <c:pt idx="38">
                  <c:v>-0.28497808106666639</c:v>
                </c:pt>
                <c:pt idx="39">
                  <c:v>-3.2794839999994441E-4</c:v>
                </c:pt>
                <c:pt idx="40">
                  <c:v>-1.4177626666667109E-4</c:v>
                </c:pt>
                <c:pt idx="41">
                  <c:v>-5.5999999999944983E-5</c:v>
                </c:pt>
                <c:pt idx="42">
                  <c:v>3.809999999999647E-4</c:v>
                </c:pt>
                <c:pt idx="43">
                  <c:v>-3.029999999999422E-4</c:v>
                </c:pt>
                <c:pt idx="44">
                  <c:v>4.6533333333298449E-4</c:v>
                </c:pt>
                <c:pt idx="45">
                  <c:v>3.4866666666699691E-4</c:v>
                </c:pt>
                <c:pt idx="46">
                  <c:v>1.9333333333293459E-4</c:v>
                </c:pt>
                <c:pt idx="47">
                  <c:v>3.9466666666698741E-4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2D99-454F-BBD8-208022A620A5}"/>
            </c:ext>
          </c:extLst>
        </c:ser>
        <c:ser>
          <c:idx val="40"/>
          <c:order val="40"/>
          <c:tx>
            <c:v>BES_TR2_five831_C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-2.7499999999999752E-4</c:v>
                </c:pt>
                <c:pt idx="3">
                  <c:v>-6.1666666667001269E-5</c:v>
                </c:pt>
                <c:pt idx="4">
                  <c:v>2.4166666666669559E-4</c:v>
                </c:pt>
                <c:pt idx="5">
                  <c:v>4.2166666666701441E-4</c:v>
                </c:pt>
                <c:pt idx="6">
                  <c:v>0</c:v>
                </c:pt>
                <c:pt idx="7">
                  <c:v>-3.3550216666669569E-4</c:v>
                </c:pt>
                <c:pt idx="8">
                  <c:v>-2.357244999998537E-4</c:v>
                </c:pt>
                <c:pt idx="9">
                  <c:v>-3.3013991666699759E-4</c:v>
                </c:pt>
                <c:pt idx="10">
                  <c:v>2.9731983333247669E-4</c:v>
                </c:pt>
                <c:pt idx="11">
                  <c:v>3.387646666675459E-4</c:v>
                </c:pt>
                <c:pt idx="12">
                  <c:v>3.8254624999944919E-4</c:v>
                </c:pt>
                <c:pt idx="13">
                  <c:v>-2.5656316666544671E-4</c:v>
                </c:pt>
                <c:pt idx="14">
                  <c:v>-2.2465925000003659E-4</c:v>
                </c:pt>
                <c:pt idx="15">
                  <c:v>2.8036041666701372E-4</c:v>
                </c:pt>
                <c:pt idx="16">
                  <c:v>3.5792749998542213E-5</c:v>
                </c:pt>
                <c:pt idx="17">
                  <c:v>-0.34540683349999979</c:v>
                </c:pt>
                <c:pt idx="18">
                  <c:v>-1.521696268333335</c:v>
                </c:pt>
                <c:pt idx="19">
                  <c:v>-1.642650962166665</c:v>
                </c:pt>
                <c:pt idx="20">
                  <c:v>-1.5957465894166669</c:v>
                </c:pt>
                <c:pt idx="21">
                  <c:v>-1.6242730340833329</c:v>
                </c:pt>
                <c:pt idx="22">
                  <c:v>-1.6906872029166671</c:v>
                </c:pt>
                <c:pt idx="23">
                  <c:v>-4.4585966667032301E-4</c:v>
                </c:pt>
                <c:pt idx="24">
                  <c:v>-3.2416399999712908E-4</c:v>
                </c:pt>
                <c:pt idx="25">
                  <c:v>-3.7116666666836551E-6</c:v>
                </c:pt>
                <c:pt idx="26">
                  <c:v>-2.290512500000563E-4</c:v>
                </c:pt>
                <c:pt idx="27">
                  <c:v>-0.83887495466666684</c:v>
                </c:pt>
                <c:pt idx="28">
                  <c:v>-0.98158343324999986</c:v>
                </c:pt>
                <c:pt idx="29">
                  <c:v>-1.4235281915000011</c:v>
                </c:pt>
                <c:pt idx="30">
                  <c:v>-1.3185073092499999</c:v>
                </c:pt>
                <c:pt idx="31">
                  <c:v>-0.69531124200000094</c:v>
                </c:pt>
                <c:pt idx="32">
                  <c:v>-1.0864210358333319</c:v>
                </c:pt>
                <c:pt idx="33">
                  <c:v>-0.8658405455833329</c:v>
                </c:pt>
                <c:pt idx="34">
                  <c:v>-0.59763199624999941</c:v>
                </c:pt>
                <c:pt idx="35">
                  <c:v>-0.53195851324999999</c:v>
                </c:pt>
                <c:pt idx="36">
                  <c:v>-0.1907824175000005</c:v>
                </c:pt>
                <c:pt idx="37">
                  <c:v>-4.765370833330132E-4</c:v>
                </c:pt>
                <c:pt idx="38">
                  <c:v>-2.4020467333333181E-2</c:v>
                </c:pt>
                <c:pt idx="39">
                  <c:v>-8.97496775E-3</c:v>
                </c:pt>
                <c:pt idx="40">
                  <c:v>3.7263983333335471E-4</c:v>
                </c:pt>
                <c:pt idx="41">
                  <c:v>-6.1666666667001269E-5</c:v>
                </c:pt>
                <c:pt idx="42">
                  <c:v>6.2566666670038629E-5</c:v>
                </c:pt>
                <c:pt idx="43">
                  <c:v>-2.5206666667010319E-4</c:v>
                </c:pt>
                <c:pt idx="44">
                  <c:v>0</c:v>
                </c:pt>
                <c:pt idx="45">
                  <c:v>1.183333333329983E-4</c:v>
                </c:pt>
                <c:pt idx="46">
                  <c:v>-4.5499999999999707E-4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D99-454F-BBD8-208022A620A5}"/>
            </c:ext>
          </c:extLst>
        </c:ser>
        <c:ser>
          <c:idx val="41"/>
          <c:order val="41"/>
          <c:tx>
            <c:v>BES_TR2_five881_C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-1.2533333333300531E-4</c:v>
                </c:pt>
                <c:pt idx="3">
                  <c:v>-2.8133333333339727E-4</c:v>
                </c:pt>
                <c:pt idx="4">
                  <c:v>0</c:v>
                </c:pt>
                <c:pt idx="5">
                  <c:v>0</c:v>
                </c:pt>
                <c:pt idx="6">
                  <c:v>-4.0666666666702711E-4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-2.3244526666701271E-4</c:v>
                </c:pt>
                <c:pt idx="10">
                  <c:v>-1.311441333340102E-4</c:v>
                </c:pt>
                <c:pt idx="11">
                  <c:v>7.1011733334014338E-5</c:v>
                </c:pt>
                <c:pt idx="12">
                  <c:v>-3.6596300000102389E-4</c:v>
                </c:pt>
                <c:pt idx="13">
                  <c:v>1.294161333340593E-4</c:v>
                </c:pt>
                <c:pt idx="14">
                  <c:v>2.02726000000375E-5</c:v>
                </c:pt>
                <c:pt idx="15">
                  <c:v>1.8268833333345841E-4</c:v>
                </c:pt>
                <c:pt idx="16">
                  <c:v>-7.1365800004025148E-5</c:v>
                </c:pt>
                <c:pt idx="17">
                  <c:v>-3.5213346666596029E-4</c:v>
                </c:pt>
                <c:pt idx="18">
                  <c:v>-6.7681333334096427E-5</c:v>
                </c:pt>
                <c:pt idx="19">
                  <c:v>-1.9170306666604911E-4</c:v>
                </c:pt>
                <c:pt idx="20">
                  <c:v>-1.0194111382000011</c:v>
                </c:pt>
                <c:pt idx="21">
                  <c:v>-1.6186525606</c:v>
                </c:pt>
                <c:pt idx="22">
                  <c:v>-1.152614295666667</c:v>
                </c:pt>
                <c:pt idx="23">
                  <c:v>-1.756064687733333</c:v>
                </c:pt>
                <c:pt idx="24">
                  <c:v>-1.8172406645333341</c:v>
                </c:pt>
                <c:pt idx="25">
                  <c:v>-1.6879031693333331</c:v>
                </c:pt>
                <c:pt idx="26">
                  <c:v>-1.4172435743333329</c:v>
                </c:pt>
                <c:pt idx="27">
                  <c:v>-1.274409497066668</c:v>
                </c:pt>
                <c:pt idx="28">
                  <c:v>-1.369418279933333</c:v>
                </c:pt>
                <c:pt idx="29">
                  <c:v>-1.1650670865333339</c:v>
                </c:pt>
                <c:pt idx="30">
                  <c:v>-0.85157091406666718</c:v>
                </c:pt>
                <c:pt idx="31">
                  <c:v>-9.8593600003860082E-5</c:v>
                </c:pt>
                <c:pt idx="32">
                  <c:v>1.5997133333400801E-4</c:v>
                </c:pt>
                <c:pt idx="33">
                  <c:v>-3.356364666662337E-4</c:v>
                </c:pt>
                <c:pt idx="34">
                  <c:v>-1.56496999998923E-4</c:v>
                </c:pt>
                <c:pt idx="35">
                  <c:v>2.8285606666700319E-4</c:v>
                </c:pt>
                <c:pt idx="36">
                  <c:v>1.0486599999900979E-4</c:v>
                </c:pt>
                <c:pt idx="37">
                  <c:v>-3.7536300000001738E-4</c:v>
                </c:pt>
                <c:pt idx="38">
                  <c:v>-1.6037386666656331E-4</c:v>
                </c:pt>
                <c:pt idx="39">
                  <c:v>-3.4597420000000162E-4</c:v>
                </c:pt>
                <c:pt idx="40">
                  <c:v>4.7744519999996099E-4</c:v>
                </c:pt>
                <c:pt idx="41">
                  <c:v>1.7966666666670289E-4</c:v>
                </c:pt>
                <c:pt idx="42">
                  <c:v>4.136666666669786E-4</c:v>
                </c:pt>
                <c:pt idx="43">
                  <c:v>1.7966666666670289E-4</c:v>
                </c:pt>
                <c:pt idx="44">
                  <c:v>4.136666666669786E-4</c:v>
                </c:pt>
                <c:pt idx="45">
                  <c:v>0</c:v>
                </c:pt>
                <c:pt idx="46">
                  <c:v>0</c:v>
                </c:pt>
                <c:pt idx="47">
                  <c:v>-4.6100000000000307E-4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2D99-454F-BBD8-208022A620A5}"/>
            </c:ext>
          </c:extLst>
        </c:ser>
        <c:ser>
          <c:idx val="42"/>
          <c:order val="42"/>
          <c:tx>
            <c:v>BES_TR2_five118_B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Net_kW!$AS$2:$AS$49</c:f>
              <c:numCache>
                <c:formatCode>#,##0.000</c:formatCode>
                <c:ptCount val="48"/>
                <c:pt idx="0">
                  <c:v>-7.899999999999574E-5</c:v>
                </c:pt>
                <c:pt idx="1">
                  <c:v>-2.7733333333301863E-4</c:v>
                </c:pt>
                <c:pt idx="2">
                  <c:v>-3.326666666667033E-4</c:v>
                </c:pt>
                <c:pt idx="3">
                  <c:v>-3.8100000000002021E-4</c:v>
                </c:pt>
                <c:pt idx="4">
                  <c:v>-3.0266666666695091E-4</c:v>
                </c:pt>
                <c:pt idx="5">
                  <c:v>6.5666666666991391E-5</c:v>
                </c:pt>
                <c:pt idx="6">
                  <c:v>1.4200000000000321E-4</c:v>
                </c:pt>
                <c:pt idx="7">
                  <c:v>1.652986666633716E-5</c:v>
                </c:pt>
                <c:pt idx="8">
                  <c:v>4.6450746666680531E-4</c:v>
                </c:pt>
                <c:pt idx="9">
                  <c:v>1.251094666670054E-4</c:v>
                </c:pt>
                <c:pt idx="10">
                  <c:v>-4.7162160000102649E-4</c:v>
                </c:pt>
                <c:pt idx="11">
                  <c:v>3.4935680000103281E-4</c:v>
                </c:pt>
                <c:pt idx="12">
                  <c:v>-3.5059266666803701E-4</c:v>
                </c:pt>
                <c:pt idx="13">
                  <c:v>-6.3167733332036846E-5</c:v>
                </c:pt>
                <c:pt idx="14">
                  <c:v>1.878533332888566E-6</c:v>
                </c:pt>
                <c:pt idx="15">
                  <c:v>4.3777666666722231E-4</c:v>
                </c:pt>
                <c:pt idx="16">
                  <c:v>-0.26121939826666818</c:v>
                </c:pt>
                <c:pt idx="17">
                  <c:v>-1.8805699335999999</c:v>
                </c:pt>
                <c:pt idx="18">
                  <c:v>-2.446150696000001</c:v>
                </c:pt>
                <c:pt idx="19">
                  <c:v>-2.7808020727999989</c:v>
                </c:pt>
                <c:pt idx="20">
                  <c:v>-2.8625169430666682</c:v>
                </c:pt>
                <c:pt idx="21">
                  <c:v>-3.0575851211999998</c:v>
                </c:pt>
                <c:pt idx="22">
                  <c:v>-3.2587405913333352</c:v>
                </c:pt>
                <c:pt idx="23">
                  <c:v>-3.0585600421333332</c:v>
                </c:pt>
                <c:pt idx="24">
                  <c:v>-3.374958662400001</c:v>
                </c:pt>
                <c:pt idx="25">
                  <c:v>-3.2678726720000002</c:v>
                </c:pt>
                <c:pt idx="26">
                  <c:v>-3.0011274819999998</c:v>
                </c:pt>
                <c:pt idx="27">
                  <c:v>-3.0539303274666678</c:v>
                </c:pt>
                <c:pt idx="28">
                  <c:v>-2.9106392265333332</c:v>
                </c:pt>
                <c:pt idx="29">
                  <c:v>-2.7245768397333352</c:v>
                </c:pt>
                <c:pt idx="30">
                  <c:v>-2.5685474948000002</c:v>
                </c:pt>
                <c:pt idx="31">
                  <c:v>-2.2010778538666682</c:v>
                </c:pt>
                <c:pt idx="32">
                  <c:v>-1.919817057333332</c:v>
                </c:pt>
                <c:pt idx="33">
                  <c:v>-1.4184889395999991</c:v>
                </c:pt>
                <c:pt idx="34">
                  <c:v>-1.427386227333332</c:v>
                </c:pt>
                <c:pt idx="35">
                  <c:v>-0.88175328786666707</c:v>
                </c:pt>
                <c:pt idx="36">
                  <c:v>-0.76904726800000101</c:v>
                </c:pt>
                <c:pt idx="37">
                  <c:v>-0.39193352599999998</c:v>
                </c:pt>
                <c:pt idx="38">
                  <c:v>-1.9560747733333161E-2</c:v>
                </c:pt>
                <c:pt idx="39">
                  <c:v>-3.4161506666707808E-4</c:v>
                </c:pt>
                <c:pt idx="40">
                  <c:v>-4.3710959999976318E-4</c:v>
                </c:pt>
                <c:pt idx="41">
                  <c:v>-1.0333333333001351E-5</c:v>
                </c:pt>
                <c:pt idx="42">
                  <c:v>3.6300000000000221E-4</c:v>
                </c:pt>
                <c:pt idx="43">
                  <c:v>1.736666666669606E-4</c:v>
                </c:pt>
                <c:pt idx="44">
                  <c:v>-3.000000000086267E-6</c:v>
                </c:pt>
                <c:pt idx="45">
                  <c:v>-1.569999999999627E-4</c:v>
                </c:pt>
                <c:pt idx="46">
                  <c:v>4.8099999999995369E-4</c:v>
                </c:pt>
                <c:pt idx="47">
                  <c:v>6.6333333333057354E-5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D99-454F-BBD8-208022A620A5}"/>
            </c:ext>
          </c:extLst>
        </c:ser>
        <c:ser>
          <c:idx val="43"/>
          <c:order val="43"/>
          <c:tx>
            <c:v>BES_TR2_six64_A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Net_kW!$AT$2:$AT$49</c:f>
              <c:numCache>
                <c:formatCode>#,##0.000</c:formatCode>
                <c:ptCount val="48"/>
                <c:pt idx="0">
                  <c:v>1.406666666669554E-4</c:v>
                </c:pt>
                <c:pt idx="1">
                  <c:v>-3.7200000000001121E-4</c:v>
                </c:pt>
                <c:pt idx="2">
                  <c:v>-8.9333333332969334E-5</c:v>
                </c:pt>
                <c:pt idx="3">
                  <c:v>3.9600000000000751E-4</c:v>
                </c:pt>
                <c:pt idx="4">
                  <c:v>3.5666666666700492E-4</c:v>
                </c:pt>
                <c:pt idx="5">
                  <c:v>4.1200000000002351E-4</c:v>
                </c:pt>
                <c:pt idx="6">
                  <c:v>-2.106666666670115E-4</c:v>
                </c:pt>
                <c:pt idx="7">
                  <c:v>9.206406666700806E-5</c:v>
                </c:pt>
                <c:pt idx="8">
                  <c:v>5.7972666671068929E-6</c:v>
                </c:pt>
                <c:pt idx="9">
                  <c:v>-3.1616789999995559E-4</c:v>
                </c:pt>
                <c:pt idx="10">
                  <c:v>3.4278379999896908E-4</c:v>
                </c:pt>
                <c:pt idx="11">
                  <c:v>-3.9348239999897888E-4</c:v>
                </c:pt>
                <c:pt idx="12">
                  <c:v>-2.096111666680667E-4</c:v>
                </c:pt>
                <c:pt idx="13">
                  <c:v>4.9679086666798433E-4</c:v>
                </c:pt>
                <c:pt idx="14">
                  <c:v>3.7742233333082347E-5</c:v>
                </c:pt>
                <c:pt idx="15">
                  <c:v>-2.3356750000003151E-4</c:v>
                </c:pt>
                <c:pt idx="16">
                  <c:v>-4.0571536666700331E-4</c:v>
                </c:pt>
                <c:pt idx="17">
                  <c:v>-0.1480262002000001</c:v>
                </c:pt>
                <c:pt idx="18">
                  <c:v>-2.019431522000001</c:v>
                </c:pt>
                <c:pt idx="19">
                  <c:v>-2.055550554599999</c:v>
                </c:pt>
                <c:pt idx="20">
                  <c:v>-2.0014750406333341</c:v>
                </c:pt>
                <c:pt idx="21">
                  <c:v>-2.4054788408999999</c:v>
                </c:pt>
                <c:pt idx="22">
                  <c:v>-2.3748257768333341</c:v>
                </c:pt>
                <c:pt idx="23">
                  <c:v>-2.3167593649333331</c:v>
                </c:pt>
                <c:pt idx="24">
                  <c:v>-2.3546723301333339</c:v>
                </c:pt>
                <c:pt idx="25">
                  <c:v>-2.185796254</c:v>
                </c:pt>
                <c:pt idx="26">
                  <c:v>-1.9654368615</c:v>
                </c:pt>
                <c:pt idx="27">
                  <c:v>-2.0753637456000011</c:v>
                </c:pt>
                <c:pt idx="28">
                  <c:v>-0.52248691990000018</c:v>
                </c:pt>
                <c:pt idx="29">
                  <c:v>-1.9615445298000009</c:v>
                </c:pt>
                <c:pt idx="30">
                  <c:v>-1.5540549711</c:v>
                </c:pt>
                <c:pt idx="31">
                  <c:v>-1.6429452570666681</c:v>
                </c:pt>
                <c:pt idx="32">
                  <c:v>-1.570350042999999</c:v>
                </c:pt>
                <c:pt idx="33">
                  <c:v>-1.0606687880333321</c:v>
                </c:pt>
                <c:pt idx="34">
                  <c:v>-1.0833314621666661</c:v>
                </c:pt>
                <c:pt idx="35">
                  <c:v>-0.79134354923333317</c:v>
                </c:pt>
                <c:pt idx="36">
                  <c:v>-0.39622170100000098</c:v>
                </c:pt>
                <c:pt idx="37">
                  <c:v>-0.29151771116666703</c:v>
                </c:pt>
                <c:pt idx="38">
                  <c:v>-1.7253894133332951E-2</c:v>
                </c:pt>
                <c:pt idx="39">
                  <c:v>-4.4929463333301389E-4</c:v>
                </c:pt>
                <c:pt idx="40">
                  <c:v>-3.8016553333301839E-4</c:v>
                </c:pt>
                <c:pt idx="41">
                  <c:v>1.0233333333398149E-4</c:v>
                </c:pt>
                <c:pt idx="42">
                  <c:v>8.5000000000001741E-5</c:v>
                </c:pt>
                <c:pt idx="43">
                  <c:v>-1.33333333330321E-5</c:v>
                </c:pt>
                <c:pt idx="44">
                  <c:v>-7.9333333333014844E-5</c:v>
                </c:pt>
                <c:pt idx="45">
                  <c:v>-4.3066666666702341E-4</c:v>
                </c:pt>
                <c:pt idx="46">
                  <c:v>-1.4266666666701289E-4</c:v>
                </c:pt>
                <c:pt idx="47">
                  <c:v>-2.05999999999984E-4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2D99-454F-BBD8-208022A620A5}"/>
            </c:ext>
          </c:extLst>
        </c:ser>
        <c:ser>
          <c:idx val="44"/>
          <c:order val="44"/>
          <c:tx>
            <c:v>BES_TR2_six154_C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Net_kW!$AU$2:$AU$49</c:f>
              <c:numCache>
                <c:formatCode>#,##0.000</c:formatCode>
                <c:ptCount val="48"/>
                <c:pt idx="0">
                  <c:v>1.6266666666700511E-4</c:v>
                </c:pt>
                <c:pt idx="1">
                  <c:v>0</c:v>
                </c:pt>
                <c:pt idx="2">
                  <c:v>0</c:v>
                </c:pt>
                <c:pt idx="3">
                  <c:v>2.1333333333983792E-5</c:v>
                </c:pt>
                <c:pt idx="4">
                  <c:v>0</c:v>
                </c:pt>
                <c:pt idx="5">
                  <c:v>2.1333333332984591E-5</c:v>
                </c:pt>
                <c:pt idx="6">
                  <c:v>0</c:v>
                </c:pt>
                <c:pt idx="7">
                  <c:v>2.7959826666666693E-4</c:v>
                </c:pt>
                <c:pt idx="8">
                  <c:v>1.4342040000041301E-4</c:v>
                </c:pt>
                <c:pt idx="9">
                  <c:v>-2.761119333329959E-4</c:v>
                </c:pt>
                <c:pt idx="10">
                  <c:v>3.2985586666597899E-4</c:v>
                </c:pt>
                <c:pt idx="11">
                  <c:v>9.2345066666998932E-5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-5.8274000000468904E-6</c:v>
                </c:pt>
                <c:pt idx="15">
                  <c:v>-1.7304500000003831E-4</c:v>
                </c:pt>
                <c:pt idx="16">
                  <c:v>-3.8803246666707652E-4</c:v>
                </c:pt>
                <c:pt idx="17">
                  <c:v>3.8453320000009228E-4</c:v>
                </c:pt>
                <c:pt idx="18">
                  <c:v>-2.8268133333431139E-4</c:v>
                </c:pt>
                <c:pt idx="19">
                  <c:v>-0.7730173697333329</c:v>
                </c:pt>
                <c:pt idx="20">
                  <c:v>-1.373094471533334</c:v>
                </c:pt>
                <c:pt idx="21">
                  <c:v>-1.3328498939333331</c:v>
                </c:pt>
                <c:pt idx="22">
                  <c:v>-1.454376629</c:v>
                </c:pt>
                <c:pt idx="23">
                  <c:v>-1.6607833543999999</c:v>
                </c:pt>
                <c:pt idx="24">
                  <c:v>-1.464076997866667</c:v>
                </c:pt>
                <c:pt idx="25">
                  <c:v>-1.3976468360000001</c:v>
                </c:pt>
                <c:pt idx="26">
                  <c:v>-1.6145792409999999</c:v>
                </c:pt>
                <c:pt idx="27">
                  <c:v>-1.4426458304000009</c:v>
                </c:pt>
                <c:pt idx="28">
                  <c:v>-1.4787539465999999</c:v>
                </c:pt>
                <c:pt idx="29">
                  <c:v>-1.385095086533334</c:v>
                </c:pt>
                <c:pt idx="30">
                  <c:v>-1.2855642474</c:v>
                </c:pt>
                <c:pt idx="31">
                  <c:v>-1.055770593600001</c:v>
                </c:pt>
                <c:pt idx="32">
                  <c:v>-1.0309000286666661</c:v>
                </c:pt>
                <c:pt idx="33">
                  <c:v>-0.82874230313333253</c:v>
                </c:pt>
                <c:pt idx="34">
                  <c:v>-0.64487786366666588</c:v>
                </c:pt>
                <c:pt idx="35">
                  <c:v>-0.55897481059999998</c:v>
                </c:pt>
                <c:pt idx="36">
                  <c:v>-0.16514380066666701</c:v>
                </c:pt>
                <c:pt idx="37">
                  <c:v>4.6997033332996102E-4</c:v>
                </c:pt>
                <c:pt idx="38">
                  <c:v>-1.6704053333604921E-4</c:v>
                </c:pt>
                <c:pt idx="39">
                  <c:v>7.9359133330014764E-5</c:v>
                </c:pt>
                <c:pt idx="40">
                  <c:v>-4.5355480000036641E-4</c:v>
                </c:pt>
                <c:pt idx="41">
                  <c:v>4.4866666666987243E-4</c:v>
                </c:pt>
                <c:pt idx="42">
                  <c:v>3.4533333333297561E-4</c:v>
                </c:pt>
                <c:pt idx="43">
                  <c:v>0.373875666666666</c:v>
                </c:pt>
                <c:pt idx="44">
                  <c:v>0.63255799999999995</c:v>
                </c:pt>
                <c:pt idx="45">
                  <c:v>0.61160999999999999</c:v>
                </c:pt>
                <c:pt idx="46">
                  <c:v>0.33025933333333302</c:v>
                </c:pt>
                <c:pt idx="47">
                  <c:v>0.70146533333333405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D99-454F-BBD8-208022A620A5}"/>
            </c:ext>
          </c:extLst>
        </c:ser>
        <c:ser>
          <c:idx val="45"/>
          <c:order val="45"/>
          <c:tx>
            <c:v>BES_TR2_six173_C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Net_kW!$AV$2:$AV$49</c:f>
              <c:numCache>
                <c:formatCode>#,##0.000</c:formatCode>
                <c:ptCount val="48"/>
                <c:pt idx="0">
                  <c:v>6.0333333332995842E-5</c:v>
                </c:pt>
                <c:pt idx="1">
                  <c:v>3.2166666666699761E-4</c:v>
                </c:pt>
                <c:pt idx="2">
                  <c:v>-7.4333333333953533E-5</c:v>
                </c:pt>
                <c:pt idx="3">
                  <c:v>3.3233333333398951E-4</c:v>
                </c:pt>
                <c:pt idx="4">
                  <c:v>0</c:v>
                </c:pt>
                <c:pt idx="5">
                  <c:v>-4.776666666670148E-4</c:v>
                </c:pt>
                <c:pt idx="6">
                  <c:v>2.9300000000000159E-4</c:v>
                </c:pt>
                <c:pt idx="7">
                  <c:v>2.6559196533333329E-2</c:v>
                </c:pt>
                <c:pt idx="8">
                  <c:v>0.14178784079999979</c:v>
                </c:pt>
                <c:pt idx="9">
                  <c:v>-2.8055720000000339E-4</c:v>
                </c:pt>
                <c:pt idx="10">
                  <c:v>-3.402882666680429E-4</c:v>
                </c:pt>
                <c:pt idx="11">
                  <c:v>1.930234666680519E-4</c:v>
                </c:pt>
                <c:pt idx="12">
                  <c:v>-1.5425933333479411E-4</c:v>
                </c:pt>
                <c:pt idx="13">
                  <c:v>-1.205010666653905E-4</c:v>
                </c:pt>
                <c:pt idx="14">
                  <c:v>-2.9045480000000618E-4</c:v>
                </c:pt>
                <c:pt idx="15">
                  <c:v>-4.5408999999985161E-4</c:v>
                </c:pt>
                <c:pt idx="16">
                  <c:v>-1.009329398266668</c:v>
                </c:pt>
                <c:pt idx="17">
                  <c:v>-2.4460649336000002</c:v>
                </c:pt>
                <c:pt idx="18">
                  <c:v>-2.5943460293333351</c:v>
                </c:pt>
                <c:pt idx="19">
                  <c:v>-1.252390739466662</c:v>
                </c:pt>
                <c:pt idx="20">
                  <c:v>-2.8739449430666681</c:v>
                </c:pt>
                <c:pt idx="21">
                  <c:v>-3.1944322878666669</c:v>
                </c:pt>
                <c:pt idx="22">
                  <c:v>-3.2264412580000008</c:v>
                </c:pt>
                <c:pt idx="23">
                  <c:v>-3.1855457087999999</c:v>
                </c:pt>
                <c:pt idx="24">
                  <c:v>-3.071011662400001</c:v>
                </c:pt>
                <c:pt idx="25">
                  <c:v>-3.1597600053333328</c:v>
                </c:pt>
                <c:pt idx="26">
                  <c:v>-3.133372482</c:v>
                </c:pt>
                <c:pt idx="27">
                  <c:v>-2.9260349941333348</c:v>
                </c:pt>
                <c:pt idx="28">
                  <c:v>-2.6688578932000002</c:v>
                </c:pt>
                <c:pt idx="29">
                  <c:v>-2.467942173066668</c:v>
                </c:pt>
                <c:pt idx="30">
                  <c:v>-2.2770864947999998</c:v>
                </c:pt>
                <c:pt idx="31">
                  <c:v>-2.130644187200001</c:v>
                </c:pt>
                <c:pt idx="32">
                  <c:v>-1.9334000573333321</c:v>
                </c:pt>
                <c:pt idx="33">
                  <c:v>-1.5248089395999991</c:v>
                </c:pt>
                <c:pt idx="34">
                  <c:v>-1.3336573939999989</c:v>
                </c:pt>
                <c:pt idx="35">
                  <c:v>-0.92703028786666708</c:v>
                </c:pt>
                <c:pt idx="36">
                  <c:v>-0.59327293466666808</c:v>
                </c:pt>
                <c:pt idx="37">
                  <c:v>-0.31011339266666699</c:v>
                </c:pt>
                <c:pt idx="38">
                  <c:v>-2.2364081066666149E-2</c:v>
                </c:pt>
                <c:pt idx="39">
                  <c:v>-3.6261506666696031E-4</c:v>
                </c:pt>
                <c:pt idx="40">
                  <c:v>2.1955706666731969E-4</c:v>
                </c:pt>
                <c:pt idx="41">
                  <c:v>-2.9933333333287399E-4</c:v>
                </c:pt>
                <c:pt idx="42">
                  <c:v>1.050000000000217E-4</c:v>
                </c:pt>
                <c:pt idx="43">
                  <c:v>7.6999999999882718E-5</c:v>
                </c:pt>
                <c:pt idx="44">
                  <c:v>3.8766666666689709E-4</c:v>
                </c:pt>
                <c:pt idx="45">
                  <c:v>4.2533333333405482E-4</c:v>
                </c:pt>
                <c:pt idx="46">
                  <c:v>3.9233333333310583E-4</c:v>
                </c:pt>
                <c:pt idx="47">
                  <c:v>-5.3333333334015798E-5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2D99-454F-BBD8-208022A620A5}"/>
            </c:ext>
          </c:extLst>
        </c:ser>
        <c:ser>
          <c:idx val="46"/>
          <c:order val="46"/>
          <c:tx>
            <c:v>BES_TR2_six186_A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Net_kW!$AW$2:$AW$49</c:f>
              <c:numCache>
                <c:formatCode>#,##0.000</c:formatCode>
                <c:ptCount val="48"/>
                <c:pt idx="0">
                  <c:v>1.0933333333298929E-4</c:v>
                </c:pt>
                <c:pt idx="1">
                  <c:v>1.933333333330178E-4</c:v>
                </c:pt>
                <c:pt idx="2">
                  <c:v>2.0666666666670219E-4</c:v>
                </c:pt>
                <c:pt idx="3">
                  <c:v>4.089999999999927E-4</c:v>
                </c:pt>
                <c:pt idx="4">
                  <c:v>-3.1299999999999378E-4</c:v>
                </c:pt>
                <c:pt idx="5">
                  <c:v>-4.093333333329841E-4</c:v>
                </c:pt>
                <c:pt idx="6">
                  <c:v>-2.9099999999998571E-4</c:v>
                </c:pt>
                <c:pt idx="7">
                  <c:v>-4.4080346666667408E-4</c:v>
                </c:pt>
                <c:pt idx="8">
                  <c:v>1.525074666668402E-4</c:v>
                </c:pt>
                <c:pt idx="9">
                  <c:v>3.9527613333301131E-4</c:v>
                </c:pt>
                <c:pt idx="10">
                  <c:v>4.4237839999872191E-4</c:v>
                </c:pt>
                <c:pt idx="11">
                  <c:v>3.4002346666806021E-4</c:v>
                </c:pt>
                <c:pt idx="12">
                  <c:v>-9.9259333334544841E-5</c:v>
                </c:pt>
                <c:pt idx="13">
                  <c:v>-4.681677333318035E-4</c:v>
                </c:pt>
                <c:pt idx="14">
                  <c:v>6.5878533332952571E-5</c:v>
                </c:pt>
                <c:pt idx="15">
                  <c:v>3.7391000000019941E-4</c:v>
                </c:pt>
                <c:pt idx="16">
                  <c:v>-1.5550323982666681</c:v>
                </c:pt>
                <c:pt idx="17">
                  <c:v>-2.4906509336</c:v>
                </c:pt>
                <c:pt idx="18">
                  <c:v>-1.628481029333338</c:v>
                </c:pt>
                <c:pt idx="19">
                  <c:v>-1.4416274061333321</c:v>
                </c:pt>
                <c:pt idx="20">
                  <c:v>-1.253278943066668</c:v>
                </c:pt>
                <c:pt idx="21">
                  <c:v>-2.9909257878666669</c:v>
                </c:pt>
                <c:pt idx="22">
                  <c:v>-3.2089339246666682</c:v>
                </c:pt>
                <c:pt idx="23">
                  <c:v>-3.3638747088000001</c:v>
                </c:pt>
                <c:pt idx="24">
                  <c:v>-3.131579329066668</c:v>
                </c:pt>
                <c:pt idx="25">
                  <c:v>-3.3568766719999998</c:v>
                </c:pt>
                <c:pt idx="26">
                  <c:v>-3.1511269820000001</c:v>
                </c:pt>
                <c:pt idx="27">
                  <c:v>-3.1621859941333348</c:v>
                </c:pt>
                <c:pt idx="28">
                  <c:v>-2.7452102265333331</c:v>
                </c:pt>
                <c:pt idx="29">
                  <c:v>-2.8321901730666679</c:v>
                </c:pt>
                <c:pt idx="30">
                  <c:v>-2.5147444948</c:v>
                </c:pt>
                <c:pt idx="31">
                  <c:v>-2.2376698538666679</c:v>
                </c:pt>
                <c:pt idx="32">
                  <c:v>-2.117158723999998</c:v>
                </c:pt>
                <c:pt idx="33">
                  <c:v>-1.530415939599999</c:v>
                </c:pt>
                <c:pt idx="34">
                  <c:v>-1.4932117273333321</c:v>
                </c:pt>
                <c:pt idx="35">
                  <c:v>-0.90565328786666699</c:v>
                </c:pt>
                <c:pt idx="36">
                  <c:v>-0.86662026800000136</c:v>
                </c:pt>
                <c:pt idx="37">
                  <c:v>-0.57445405933333338</c:v>
                </c:pt>
                <c:pt idx="38">
                  <c:v>-0.1178990810666662</c:v>
                </c:pt>
                <c:pt idx="39">
                  <c:v>-2.5615066666984099E-5</c:v>
                </c:pt>
                <c:pt idx="40">
                  <c:v>2.7489040000028281E-4</c:v>
                </c:pt>
                <c:pt idx="41">
                  <c:v>-2.9066666666699442E-4</c:v>
                </c:pt>
                <c:pt idx="42">
                  <c:v>-4.7533333333299449E-4</c:v>
                </c:pt>
                <c:pt idx="43">
                  <c:v>1.003333333329248E-4</c:v>
                </c:pt>
                <c:pt idx="44">
                  <c:v>-4.9633333333298779E-4</c:v>
                </c:pt>
                <c:pt idx="45">
                  <c:v>1.6766666666701011E-4</c:v>
                </c:pt>
                <c:pt idx="46">
                  <c:v>-2.386666666669979E-4</c:v>
                </c:pt>
                <c:pt idx="47">
                  <c:v>1.6299999999999651E-4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D99-454F-BBD8-208022A620A5}"/>
            </c:ext>
          </c:extLst>
        </c:ser>
        <c:ser>
          <c:idx val="47"/>
          <c:order val="47"/>
          <c:tx>
            <c:v>BES_TR2_six191_B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Net_kW!$AX$2:$AX$49</c:f>
              <c:numCache>
                <c:formatCode>#,##0.000</c:formatCode>
                <c:ptCount val="48"/>
                <c:pt idx="0">
                  <c:v>-1.659999999999717E-4</c:v>
                </c:pt>
                <c:pt idx="1">
                  <c:v>4.666666666697239E-5</c:v>
                </c:pt>
                <c:pt idx="2">
                  <c:v>2.4736666666699819E-4</c:v>
                </c:pt>
                <c:pt idx="3">
                  <c:v>-1.166666666669869E-4</c:v>
                </c:pt>
                <c:pt idx="4">
                  <c:v>-6.9388939039072284E-18</c:v>
                </c:pt>
                <c:pt idx="5">
                  <c:v>-6.9388939039072284E-18</c:v>
                </c:pt>
                <c:pt idx="6">
                  <c:v>-6.9388939039072284E-18</c:v>
                </c:pt>
                <c:pt idx="7">
                  <c:v>4.1939739999999342E-4</c:v>
                </c:pt>
                <c:pt idx="8">
                  <c:v>-3.0086939999990348E-4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-3.9348239999897888E-4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-0.27924704870000089</c:v>
                </c:pt>
                <c:pt idx="17">
                  <c:v>-1.8424882002</c:v>
                </c:pt>
                <c:pt idx="18">
                  <c:v>-2.0164315220000009</c:v>
                </c:pt>
                <c:pt idx="19">
                  <c:v>-2.1647875545999988</c:v>
                </c:pt>
                <c:pt idx="20">
                  <c:v>-2.2950067073000011</c:v>
                </c:pt>
                <c:pt idx="21">
                  <c:v>-2.4024788409000002</c:v>
                </c:pt>
                <c:pt idx="22">
                  <c:v>-2.449070443500001</c:v>
                </c:pt>
                <c:pt idx="23">
                  <c:v>-2.4735009982666671</c:v>
                </c:pt>
                <c:pt idx="24">
                  <c:v>-2.521860996800001</c:v>
                </c:pt>
                <c:pt idx="25">
                  <c:v>-2.4620835873333329</c:v>
                </c:pt>
                <c:pt idx="26">
                  <c:v>-2.4428688615</c:v>
                </c:pt>
                <c:pt idx="27">
                  <c:v>-2.3500007456000009</c:v>
                </c:pt>
                <c:pt idx="28">
                  <c:v>-2.2391309199</c:v>
                </c:pt>
                <c:pt idx="29">
                  <c:v>-2.0986426298000009</c:v>
                </c:pt>
                <c:pt idx="30">
                  <c:v>-1.9493463711000001</c:v>
                </c:pt>
                <c:pt idx="31">
                  <c:v>-1.7696878904000011</c:v>
                </c:pt>
                <c:pt idx="32">
                  <c:v>-1.5673500429999989</c:v>
                </c:pt>
                <c:pt idx="33">
                  <c:v>-1.323053454699999</c:v>
                </c:pt>
                <c:pt idx="34">
                  <c:v>-0.99755162883333215</c:v>
                </c:pt>
                <c:pt idx="35">
                  <c:v>-0.80646104923333306</c:v>
                </c:pt>
                <c:pt idx="36">
                  <c:v>-0.60718770100000108</c:v>
                </c:pt>
                <c:pt idx="37">
                  <c:v>-0.38410837783333329</c:v>
                </c:pt>
                <c:pt idx="38">
                  <c:v>-3.3777894133332931E-2</c:v>
                </c:pt>
                <c:pt idx="39">
                  <c:v>2.4937203333397218E-4</c:v>
                </c:pt>
                <c:pt idx="40">
                  <c:v>3.6183446666698821E-4</c:v>
                </c:pt>
                <c:pt idx="41">
                  <c:v>-3.9666666666704492E-4</c:v>
                </c:pt>
                <c:pt idx="42">
                  <c:v>-1.4066666666701089E-4</c:v>
                </c:pt>
                <c:pt idx="43">
                  <c:v>-2.8000000000005798E-4</c:v>
                </c:pt>
                <c:pt idx="44">
                  <c:v>3.4100000000003572E-4</c:v>
                </c:pt>
                <c:pt idx="45">
                  <c:v>0</c:v>
                </c:pt>
                <c:pt idx="46">
                  <c:v>-1.666666666670924E-4</c:v>
                </c:pt>
                <c:pt idx="47">
                  <c:v>-9.3333333329725932E-6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2D99-454F-BBD8-208022A620A5}"/>
            </c:ext>
          </c:extLst>
        </c:ser>
        <c:ser>
          <c:idx val="48"/>
          <c:order val="48"/>
          <c:tx>
            <c:v>BES_TR2_six203_A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Net_kW!$AY$2:$AY$49</c:f>
              <c:numCache>
                <c:formatCode>#,##0.000</c:formatCode>
                <c:ptCount val="48"/>
                <c:pt idx="0">
                  <c:v>-5.3333333333016597E-5</c:v>
                </c:pt>
                <c:pt idx="1">
                  <c:v>0</c:v>
                </c:pt>
                <c:pt idx="2">
                  <c:v>-5.3333333333016597E-5</c:v>
                </c:pt>
                <c:pt idx="3">
                  <c:v>0</c:v>
                </c:pt>
                <c:pt idx="4">
                  <c:v>-2.8466666666700219E-4</c:v>
                </c:pt>
                <c:pt idx="5">
                  <c:v>2.3133333333329181E-4</c:v>
                </c:pt>
                <c:pt idx="6">
                  <c:v>0</c:v>
                </c:pt>
                <c:pt idx="7">
                  <c:v>3.6606406666697683E-4</c:v>
                </c:pt>
                <c:pt idx="8">
                  <c:v>-3.0086939999990001E-4</c:v>
                </c:pt>
                <c:pt idx="9">
                  <c:v>-4.8350123333298559E-4</c:v>
                </c:pt>
                <c:pt idx="10">
                  <c:v>-5.2162000010458343E-6</c:v>
                </c:pt>
                <c:pt idx="11">
                  <c:v>1.5995093333404101E-4</c:v>
                </c:pt>
                <c:pt idx="12">
                  <c:v>2.637221666658141E-4</c:v>
                </c:pt>
                <c:pt idx="13">
                  <c:v>-3.0587579999896702E-4</c:v>
                </c:pt>
                <c:pt idx="14">
                  <c:v>4.7707556666698459E-4</c:v>
                </c:pt>
                <c:pt idx="15">
                  <c:v>3.0432499999788479E-5</c:v>
                </c:pt>
                <c:pt idx="16">
                  <c:v>-0.15541821536666811</c:v>
                </c:pt>
                <c:pt idx="17">
                  <c:v>-1.3619695335333331</c:v>
                </c:pt>
                <c:pt idx="18">
                  <c:v>-1.785127655333334</c:v>
                </c:pt>
                <c:pt idx="19">
                  <c:v>-1.9690955545999991</c:v>
                </c:pt>
                <c:pt idx="20">
                  <c:v>-2.3060067073000008</c:v>
                </c:pt>
                <c:pt idx="21">
                  <c:v>-2.351763507566667</c:v>
                </c:pt>
                <c:pt idx="22">
                  <c:v>-2.147557776833334</c:v>
                </c:pt>
                <c:pt idx="23">
                  <c:v>-2.5231750316000001</c:v>
                </c:pt>
                <c:pt idx="24">
                  <c:v>-2.4996296634666679</c:v>
                </c:pt>
                <c:pt idx="25">
                  <c:v>-2.4530259206666671</c:v>
                </c:pt>
                <c:pt idx="26">
                  <c:v>-2.4538688615000002</c:v>
                </c:pt>
                <c:pt idx="27">
                  <c:v>-2.0573774122666681</c:v>
                </c:pt>
                <c:pt idx="28">
                  <c:v>-2.0425122532333329</c:v>
                </c:pt>
                <c:pt idx="29">
                  <c:v>-1.9379469631333339</c:v>
                </c:pt>
                <c:pt idx="30">
                  <c:v>-1.719513037766667</c:v>
                </c:pt>
                <c:pt idx="31">
                  <c:v>-1.742168223733334</c:v>
                </c:pt>
                <c:pt idx="32">
                  <c:v>-1.534714042999999</c:v>
                </c:pt>
                <c:pt idx="33">
                  <c:v>-1.148477588033332</c:v>
                </c:pt>
                <c:pt idx="34">
                  <c:v>-4.6901862166669028E-2</c:v>
                </c:pt>
                <c:pt idx="35">
                  <c:v>-0.52480714923333416</c:v>
                </c:pt>
                <c:pt idx="36">
                  <c:v>-0.40821270100000112</c:v>
                </c:pt>
                <c:pt idx="37">
                  <c:v>-0.21902604449999999</c:v>
                </c:pt>
                <c:pt idx="38">
                  <c:v>-2.0922746666696129E-4</c:v>
                </c:pt>
                <c:pt idx="39">
                  <c:v>-3.9294633330078099E-5</c:v>
                </c:pt>
                <c:pt idx="40">
                  <c:v>-1.204988666700935E-4</c:v>
                </c:pt>
                <c:pt idx="41">
                  <c:v>-4.7000000000019249E-5</c:v>
                </c:pt>
                <c:pt idx="42">
                  <c:v>-4.46000000000002E-4</c:v>
                </c:pt>
                <c:pt idx="43">
                  <c:v>3.6333333333304912E-4</c:v>
                </c:pt>
                <c:pt idx="44">
                  <c:v>2.09999999999988E-4</c:v>
                </c:pt>
                <c:pt idx="45">
                  <c:v>0</c:v>
                </c:pt>
                <c:pt idx="46">
                  <c:v>-5.3333333333016597E-5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D99-454F-BBD8-208022A620A5}"/>
            </c:ext>
          </c:extLst>
        </c:ser>
        <c:ser>
          <c:idx val="49"/>
          <c:order val="49"/>
          <c:tx>
            <c:v>BES_TR2_six232_C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Net_kW!$AZ$2:$AZ$49</c:f>
              <c:numCache>
                <c:formatCode>#,##0.000</c:formatCode>
                <c:ptCount val="48"/>
                <c:pt idx="0">
                  <c:v>-4.0066666666699341E-4</c:v>
                </c:pt>
                <c:pt idx="1">
                  <c:v>-1.953333333329921E-4</c:v>
                </c:pt>
                <c:pt idx="2">
                  <c:v>4.9766666666669485E-4</c:v>
                </c:pt>
                <c:pt idx="3">
                  <c:v>-2.070000000000127E-4</c:v>
                </c:pt>
                <c:pt idx="4">
                  <c:v>-1.5266666666699511E-4</c:v>
                </c:pt>
                <c:pt idx="5">
                  <c:v>-1.566666666665828E-4</c:v>
                </c:pt>
                <c:pt idx="6">
                  <c:v>3.1733333333298919E-4</c:v>
                </c:pt>
                <c:pt idx="7">
                  <c:v>-4.2850216666666391E-4</c:v>
                </c:pt>
                <c:pt idx="8">
                  <c:v>-8.4057833333248122E-5</c:v>
                </c:pt>
                <c:pt idx="9">
                  <c:v>3.3519341666700397E-4</c:v>
                </c:pt>
                <c:pt idx="10">
                  <c:v>3.8431983333248038E-4</c:v>
                </c:pt>
                <c:pt idx="11">
                  <c:v>-2.8790199999945138E-4</c:v>
                </c:pt>
                <c:pt idx="12">
                  <c:v>-2.7078708333450052E-4</c:v>
                </c:pt>
                <c:pt idx="13">
                  <c:v>1.6543683333447581E-4</c:v>
                </c:pt>
                <c:pt idx="14">
                  <c:v>7.3340749999761812E-5</c:v>
                </c:pt>
                <c:pt idx="15">
                  <c:v>2.3002708333308419E-4</c:v>
                </c:pt>
                <c:pt idx="16">
                  <c:v>-1.654058333500075E-5</c:v>
                </c:pt>
                <c:pt idx="17">
                  <c:v>4.0649983333285178E-4</c:v>
                </c:pt>
                <c:pt idx="18">
                  <c:v>-0.86892293500000106</c:v>
                </c:pt>
                <c:pt idx="19">
                  <c:v>-1.5833049621666651</c:v>
                </c:pt>
                <c:pt idx="20">
                  <c:v>-1.632108256083334</c:v>
                </c:pt>
                <c:pt idx="21">
                  <c:v>-1.7932397007500001</c:v>
                </c:pt>
                <c:pt idx="22">
                  <c:v>-1.8325205362500001</c:v>
                </c:pt>
                <c:pt idx="23">
                  <c:v>-1.9927005263333331</c:v>
                </c:pt>
                <c:pt idx="24">
                  <c:v>-1.147296163999997</c:v>
                </c:pt>
                <c:pt idx="25">
                  <c:v>-2.0103070449999998</c:v>
                </c:pt>
                <c:pt idx="26">
                  <c:v>-1.97745205125</c:v>
                </c:pt>
                <c:pt idx="27">
                  <c:v>-1.8749606213333341</c:v>
                </c:pt>
                <c:pt idx="28">
                  <c:v>-1.798329099916667</c:v>
                </c:pt>
                <c:pt idx="29">
                  <c:v>-1.6844428581666679</c:v>
                </c:pt>
                <c:pt idx="30">
                  <c:v>-1.541081975916667</c:v>
                </c:pt>
                <c:pt idx="31">
                  <c:v>-1.3779195753333351</c:v>
                </c:pt>
                <c:pt idx="32">
                  <c:v>-1.257200035833332</c:v>
                </c:pt>
                <c:pt idx="33">
                  <c:v>-0.95555921224999996</c:v>
                </c:pt>
                <c:pt idx="34">
                  <c:v>-0.81057666291666552</c:v>
                </c:pt>
                <c:pt idx="35">
                  <c:v>-0.58404451325000006</c:v>
                </c:pt>
                <c:pt idx="36">
                  <c:v>-0.38994175083333449</c:v>
                </c:pt>
                <c:pt idx="37">
                  <c:v>-9.8773370416667006E-2</c:v>
                </c:pt>
                <c:pt idx="38">
                  <c:v>4.7993266666679363E-4</c:v>
                </c:pt>
                <c:pt idx="39">
                  <c:v>-4.2296775000003062E-4</c:v>
                </c:pt>
                <c:pt idx="40">
                  <c:v>4.9097316666635304E-4</c:v>
                </c:pt>
                <c:pt idx="41">
                  <c:v>1.2400000000001299E-4</c:v>
                </c:pt>
                <c:pt idx="42">
                  <c:v>1.513333333329481E-4</c:v>
                </c:pt>
                <c:pt idx="43">
                  <c:v>-3.6033333333299061E-4</c:v>
                </c:pt>
                <c:pt idx="44">
                  <c:v>9.0000000000006741E-5</c:v>
                </c:pt>
                <c:pt idx="45">
                  <c:v>3.9333333333002603E-5</c:v>
                </c:pt>
                <c:pt idx="46">
                  <c:v>3.7333333333300361E-4</c:v>
                </c:pt>
                <c:pt idx="47">
                  <c:v>-2.7799999999998659E-4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2D99-454F-BBD8-208022A620A5}"/>
            </c:ext>
          </c:extLst>
        </c:ser>
        <c:ser>
          <c:idx val="50"/>
          <c:order val="50"/>
          <c:tx>
            <c:v>BES_TR2_six238_A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Net_kW!$BA$2:$BA$49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-8.5000000000029496E-5</c:v>
                </c:pt>
                <c:pt idx="3">
                  <c:v>-4.3966666666679638E-4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8.1630299999663203E-5</c:v>
                </c:pt>
                <c:pt idx="8">
                  <c:v>-1.346809666665592E-4</c:v>
                </c:pt>
                <c:pt idx="9">
                  <c:v>2.6413745000002098E-4</c:v>
                </c:pt>
                <c:pt idx="10">
                  <c:v>3.6581099998517219E-5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4.5181156666795902E-4</c:v>
                </c:pt>
                <c:pt idx="14">
                  <c:v>2.8547705000003809E-4</c:v>
                </c:pt>
                <c:pt idx="15">
                  <c:v>-8.8495416666889426E-5</c:v>
                </c:pt>
                <c:pt idx="16">
                  <c:v>-1.759522223483335</c:v>
                </c:pt>
                <c:pt idx="17">
                  <c:v>-2.1855695668999999</c:v>
                </c:pt>
                <c:pt idx="18">
                  <c:v>-2.077081442333335</c:v>
                </c:pt>
                <c:pt idx="19">
                  <c:v>-2.5615854803666651</c:v>
                </c:pt>
                <c:pt idx="20">
                  <c:v>-2.557621158516667</c:v>
                </c:pt>
                <c:pt idx="21">
                  <c:v>-2.7238386477166672</c:v>
                </c:pt>
                <c:pt idx="22">
                  <c:v>-2.9278556840833341</c:v>
                </c:pt>
                <c:pt idx="23">
                  <c:v>-2.744922536866667</c:v>
                </c:pt>
                <c:pt idx="24">
                  <c:v>-2.6766357629333348</c:v>
                </c:pt>
                <c:pt idx="25">
                  <c:v>-1.66116479633333</c:v>
                </c:pt>
                <c:pt idx="26">
                  <c:v>-2.7332771384166672</c:v>
                </c:pt>
                <c:pt idx="27">
                  <c:v>-2.562077536533335</c:v>
                </c:pt>
                <c:pt idx="28">
                  <c:v>-2.2778250732166669</c:v>
                </c:pt>
                <c:pt idx="29">
                  <c:v>-1.9887727347666679</c:v>
                </c:pt>
                <c:pt idx="30">
                  <c:v>-1.97695943295</c:v>
                </c:pt>
                <c:pt idx="31">
                  <c:v>-0.46222587213333388</c:v>
                </c:pt>
                <c:pt idx="32">
                  <c:v>-0.72724171683333494</c:v>
                </c:pt>
                <c:pt idx="33">
                  <c:v>3.4130285000513738E-4</c:v>
                </c:pt>
                <c:pt idx="34">
                  <c:v>-0.9259855947499982</c:v>
                </c:pt>
                <c:pt idx="35">
                  <c:v>4.540814500000045E-4</c:v>
                </c:pt>
                <c:pt idx="36">
                  <c:v>4.9348833332574227E-5</c:v>
                </c:pt>
                <c:pt idx="37">
                  <c:v>1.3111474999982781E-4</c:v>
                </c:pt>
                <c:pt idx="38">
                  <c:v>1.5767906666649961E-4</c:v>
                </c:pt>
                <c:pt idx="39">
                  <c:v>4.9537848333297552E-4</c:v>
                </c:pt>
                <c:pt idx="40">
                  <c:v>-2.8897089999935233E-4</c:v>
                </c:pt>
                <c:pt idx="41">
                  <c:v>9.0666666666017193E-5</c:v>
                </c:pt>
                <c:pt idx="42">
                  <c:v>-2.7299999999996771E-4</c:v>
                </c:pt>
                <c:pt idx="43">
                  <c:v>-3.8333333333029351E-5</c:v>
                </c:pt>
                <c:pt idx="44">
                  <c:v>-1.090000000000257E-4</c:v>
                </c:pt>
                <c:pt idx="45">
                  <c:v>4.276666666669926E-4</c:v>
                </c:pt>
                <c:pt idx="46">
                  <c:v>3.3133333333296161E-4</c:v>
                </c:pt>
                <c:pt idx="47">
                  <c:v>6.1666666666959635E-5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D99-454F-BBD8-208022A620A5}"/>
            </c:ext>
          </c:extLst>
        </c:ser>
        <c:ser>
          <c:idx val="51"/>
          <c:order val="51"/>
          <c:tx>
            <c:v>BES_TR2_six249_B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Net_kW!$BB$2:$BB$49</c:f>
              <c:numCache>
                <c:formatCode>#,##0.000</c:formatCode>
                <c:ptCount val="48"/>
                <c:pt idx="0">
                  <c:v>0</c:v>
                </c:pt>
                <c:pt idx="1">
                  <c:v>2.5866666666701787E-4</c:v>
                </c:pt>
                <c:pt idx="2">
                  <c:v>8.2000000000012618E-5</c:v>
                </c:pt>
                <c:pt idx="3">
                  <c:v>1.423333333329668E-4</c:v>
                </c:pt>
                <c:pt idx="4">
                  <c:v>0</c:v>
                </c:pt>
                <c:pt idx="5">
                  <c:v>-3.2666666666986137E-5</c:v>
                </c:pt>
                <c:pt idx="6">
                  <c:v>2.5866666666701787E-4</c:v>
                </c:pt>
                <c:pt idx="7">
                  <c:v>-3.3460259999998349E-4</c:v>
                </c:pt>
                <c:pt idx="8">
                  <c:v>1.9513060000007909E-4</c:v>
                </c:pt>
                <c:pt idx="9">
                  <c:v>5.3832100000025813E-5</c:v>
                </c:pt>
                <c:pt idx="10">
                  <c:v>3.6078379999898708E-4</c:v>
                </c:pt>
                <c:pt idx="11">
                  <c:v>4.6385093333400912E-4</c:v>
                </c:pt>
                <c:pt idx="12">
                  <c:v>6.1055499998907692E-5</c:v>
                </c:pt>
                <c:pt idx="13">
                  <c:v>-4.7209133332004598E-5</c:v>
                </c:pt>
                <c:pt idx="14">
                  <c:v>4.9774223333320933E-4</c:v>
                </c:pt>
                <c:pt idx="15">
                  <c:v>3.0432500000010521E-5</c:v>
                </c:pt>
                <c:pt idx="16">
                  <c:v>-4.3904870000099899E-4</c:v>
                </c:pt>
                <c:pt idx="17">
                  <c:v>-1.4080748668666661</c:v>
                </c:pt>
                <c:pt idx="18">
                  <c:v>-2.0384315220000011</c:v>
                </c:pt>
                <c:pt idx="19">
                  <c:v>-2.1330252212666649</c:v>
                </c:pt>
                <c:pt idx="20">
                  <c:v>-2.123027040633334</c:v>
                </c:pt>
                <c:pt idx="21">
                  <c:v>-2.4029948408999999</c:v>
                </c:pt>
                <c:pt idx="22">
                  <c:v>-2.3317661101666678</c:v>
                </c:pt>
                <c:pt idx="23">
                  <c:v>-2.3853063649333328</c:v>
                </c:pt>
                <c:pt idx="24">
                  <c:v>-2.285353996800001</c:v>
                </c:pt>
                <c:pt idx="25">
                  <c:v>-2.4392862540000002</c:v>
                </c:pt>
                <c:pt idx="26">
                  <c:v>-2.4357045281666672</c:v>
                </c:pt>
                <c:pt idx="27">
                  <c:v>-2.210713745600001</c:v>
                </c:pt>
                <c:pt idx="28">
                  <c:v>-2.1608722532333329</c:v>
                </c:pt>
                <c:pt idx="29">
                  <c:v>-1.9977572964666681</c:v>
                </c:pt>
                <c:pt idx="30">
                  <c:v>-1.9252643710999999</c:v>
                </c:pt>
                <c:pt idx="31">
                  <c:v>-1.6914292237333339</c:v>
                </c:pt>
                <c:pt idx="32">
                  <c:v>-1.435743376333332</c:v>
                </c:pt>
                <c:pt idx="33">
                  <c:v>-1.279563454699999</c:v>
                </c:pt>
                <c:pt idx="34">
                  <c:v>-1.035558128833332</c:v>
                </c:pt>
                <c:pt idx="35">
                  <c:v>-0.74321621590000009</c:v>
                </c:pt>
                <c:pt idx="36">
                  <c:v>-0.41526036766666802</c:v>
                </c:pt>
                <c:pt idx="37">
                  <c:v>-0.116637711166667</c:v>
                </c:pt>
                <c:pt idx="38">
                  <c:v>2.1077253333309789E-4</c:v>
                </c:pt>
                <c:pt idx="39">
                  <c:v>2.170386999999496E-4</c:v>
                </c:pt>
                <c:pt idx="40">
                  <c:v>-3.6016553333301232E-4</c:v>
                </c:pt>
                <c:pt idx="41">
                  <c:v>-2.1833333333301511E-4</c:v>
                </c:pt>
                <c:pt idx="42">
                  <c:v>0</c:v>
                </c:pt>
                <c:pt idx="43">
                  <c:v>-3.5466666666660041E-4</c:v>
                </c:pt>
                <c:pt idx="44">
                  <c:v>1.789999999999847E-4</c:v>
                </c:pt>
                <c:pt idx="45">
                  <c:v>4.0166666666670292E-4</c:v>
                </c:pt>
                <c:pt idx="46">
                  <c:v>2.5866666666701787E-4</c:v>
                </c:pt>
                <c:pt idx="47">
                  <c:v>-3.2666666666986137E-5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2D99-454F-BBD8-208022A620A5}"/>
            </c:ext>
          </c:extLst>
        </c:ser>
        <c:ser>
          <c:idx val="52"/>
          <c:order val="52"/>
          <c:tx>
            <c:v>BES_TR2_six254_B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Net_kW!$BC$2:$BC$49</c:f>
              <c:numCache>
                <c:formatCode>#,##0.000</c:formatCode>
                <c:ptCount val="48"/>
                <c:pt idx="0">
                  <c:v>2.8700000000003723E-4</c:v>
                </c:pt>
                <c:pt idx="1">
                  <c:v>-2.2533333333307759E-4</c:v>
                </c:pt>
                <c:pt idx="2">
                  <c:v>0</c:v>
                </c:pt>
                <c:pt idx="3">
                  <c:v>-7.6666666666697081E-5</c:v>
                </c:pt>
                <c:pt idx="4">
                  <c:v>3.3933333333299731E-4</c:v>
                </c:pt>
                <c:pt idx="5">
                  <c:v>0</c:v>
                </c:pt>
                <c:pt idx="6">
                  <c:v>-3.0666666666701042E-4</c:v>
                </c:pt>
                <c:pt idx="7">
                  <c:v>1.2852986666672669E-4</c:v>
                </c:pt>
                <c:pt idx="8">
                  <c:v>2.5084079999979081E-4</c:v>
                </c:pt>
                <c:pt idx="9">
                  <c:v>-2.9622386666702799E-4</c:v>
                </c:pt>
                <c:pt idx="10">
                  <c:v>-3.4028826666798739E-4</c:v>
                </c:pt>
                <c:pt idx="11">
                  <c:v>-3.6530986666527537E-4</c:v>
                </c:pt>
                <c:pt idx="12">
                  <c:v>-1.485926666681125E-4</c:v>
                </c:pt>
                <c:pt idx="13">
                  <c:v>2.5883226666811859E-4</c:v>
                </c:pt>
                <c:pt idx="14">
                  <c:v>2.9587853333290498E-4</c:v>
                </c:pt>
                <c:pt idx="15">
                  <c:v>-2.5675666666691299E-4</c:v>
                </c:pt>
                <c:pt idx="16">
                  <c:v>-1.803329398266668</c:v>
                </c:pt>
                <c:pt idx="17">
                  <c:v>-2.3369270669333329</c:v>
                </c:pt>
                <c:pt idx="18">
                  <c:v>-2.7082693626666678</c:v>
                </c:pt>
                <c:pt idx="19">
                  <c:v>-2.8094057394666652</c:v>
                </c:pt>
                <c:pt idx="20">
                  <c:v>-1.461917609733338</c:v>
                </c:pt>
                <c:pt idx="21">
                  <c:v>-2.648107787866667</c:v>
                </c:pt>
                <c:pt idx="22">
                  <c:v>-2.7117819246666679</c:v>
                </c:pt>
                <c:pt idx="23">
                  <c:v>-3.0556980421333328</c:v>
                </c:pt>
                <c:pt idx="24">
                  <c:v>-3.1429739957333349</c:v>
                </c:pt>
                <c:pt idx="25">
                  <c:v>-3.1668753386666668</c:v>
                </c:pt>
                <c:pt idx="26">
                  <c:v>-2.938638482</c:v>
                </c:pt>
                <c:pt idx="27">
                  <c:v>-2.711540994133335</c:v>
                </c:pt>
                <c:pt idx="28">
                  <c:v>-2.7845378932</c:v>
                </c:pt>
                <c:pt idx="29">
                  <c:v>-2.4890721730666678</c:v>
                </c:pt>
                <c:pt idx="30">
                  <c:v>-2.5147804948000001</c:v>
                </c:pt>
                <c:pt idx="31">
                  <c:v>-2.1501678538666682</c:v>
                </c:pt>
                <c:pt idx="32">
                  <c:v>-1.9045167239999981</c:v>
                </c:pt>
                <c:pt idx="33">
                  <c:v>-1.723909906266665</c:v>
                </c:pt>
                <c:pt idx="34">
                  <c:v>-1.3117757606666649</c:v>
                </c:pt>
                <c:pt idx="35">
                  <c:v>-1.1302181878666671</c:v>
                </c:pt>
                <c:pt idx="36">
                  <c:v>-0.61885903466666803</c:v>
                </c:pt>
                <c:pt idx="37">
                  <c:v>-0.45614072600000011</c:v>
                </c:pt>
                <c:pt idx="38">
                  <c:v>-0.22719308106666619</c:v>
                </c:pt>
                <c:pt idx="39">
                  <c:v>-2.7615066666986099E-5</c:v>
                </c:pt>
                <c:pt idx="40">
                  <c:v>-2.4244293333369751E-4</c:v>
                </c:pt>
                <c:pt idx="41">
                  <c:v>-1.20000000000009E-4</c:v>
                </c:pt>
                <c:pt idx="42">
                  <c:v>4.866666666670239E-4</c:v>
                </c:pt>
                <c:pt idx="43">
                  <c:v>4.1866666666712238E-4</c:v>
                </c:pt>
                <c:pt idx="44">
                  <c:v>1.033333333330111E-4</c:v>
                </c:pt>
                <c:pt idx="45">
                  <c:v>-2.1533333333330351E-4</c:v>
                </c:pt>
                <c:pt idx="46">
                  <c:v>-1.749999999999807E-4</c:v>
                </c:pt>
                <c:pt idx="47">
                  <c:v>-2.6399999999998652E-4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D99-454F-BBD8-208022A620A5}"/>
            </c:ext>
          </c:extLst>
        </c:ser>
        <c:ser>
          <c:idx val="53"/>
          <c:order val="53"/>
          <c:tx>
            <c:v>BES_TR2_six269_C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Net_kW!$BD$2:$BD$49</c:f>
              <c:numCache>
                <c:formatCode>#,##0.000</c:formatCode>
                <c:ptCount val="48"/>
                <c:pt idx="0">
                  <c:v>3.3866666666701462E-4</c:v>
                </c:pt>
                <c:pt idx="1">
                  <c:v>2.5199999999998829E-4</c:v>
                </c:pt>
                <c:pt idx="2">
                  <c:v>-1.4800000000000921E-4</c:v>
                </c:pt>
                <c:pt idx="3">
                  <c:v>-4.0933333333301181E-4</c:v>
                </c:pt>
                <c:pt idx="4">
                  <c:v>9.4666666666701205E-5</c:v>
                </c:pt>
                <c:pt idx="5">
                  <c:v>-2.4266666666701581E-4</c:v>
                </c:pt>
                <c:pt idx="6">
                  <c:v>-1.7266666666698741E-4</c:v>
                </c:pt>
                <c:pt idx="7">
                  <c:v>-3.9536970000035593E-4</c:v>
                </c:pt>
                <c:pt idx="8">
                  <c:v>-2.4101429999956461E-4</c:v>
                </c:pt>
                <c:pt idx="9">
                  <c:v>-3.3586254999999621E-4</c:v>
                </c:pt>
                <c:pt idx="10">
                  <c:v>-4.3608556666779869E-4</c:v>
                </c:pt>
                <c:pt idx="11">
                  <c:v>2.4560386666749873E-4</c:v>
                </c:pt>
                <c:pt idx="12">
                  <c:v>-9.4101916667810315E-5</c:v>
                </c:pt>
                <c:pt idx="13">
                  <c:v>-1.8885509999844169E-4</c:v>
                </c:pt>
                <c:pt idx="14">
                  <c:v>-1.065229499999099E-4</c:v>
                </c:pt>
                <c:pt idx="15">
                  <c:v>2.0217124999999389E-4</c:v>
                </c:pt>
                <c:pt idx="16">
                  <c:v>-0.54941422348333524</c:v>
                </c:pt>
                <c:pt idx="17">
                  <c:v>-1.7861483002333329</c:v>
                </c:pt>
                <c:pt idx="18">
                  <c:v>-2.1581211090000019</c:v>
                </c:pt>
                <c:pt idx="19">
                  <c:v>-2.2923654803666649</c:v>
                </c:pt>
                <c:pt idx="20">
                  <c:v>-2.4182004918500009</c:v>
                </c:pt>
                <c:pt idx="21">
                  <c:v>-1.79743904771667</c:v>
                </c:pt>
                <c:pt idx="22">
                  <c:v>-2.794764017416667</c:v>
                </c:pt>
                <c:pt idx="23">
                  <c:v>-1.8426728701999999</c:v>
                </c:pt>
                <c:pt idx="24">
                  <c:v>-0.84444449626666529</c:v>
                </c:pt>
                <c:pt idx="25">
                  <c:v>-1.3446727296666701</c:v>
                </c:pt>
                <c:pt idx="26">
                  <c:v>-2.7083064717499998</c:v>
                </c:pt>
                <c:pt idx="27">
                  <c:v>-2.5644157365333351</c:v>
                </c:pt>
                <c:pt idx="28">
                  <c:v>-2.5818248065499998</c:v>
                </c:pt>
                <c:pt idx="29">
                  <c:v>-2.202885868100001</c:v>
                </c:pt>
                <c:pt idx="30">
                  <c:v>-2.2506940996166671</c:v>
                </c:pt>
                <c:pt idx="31">
                  <c:v>-2.0333838721333342</c:v>
                </c:pt>
                <c:pt idx="32">
                  <c:v>-1.659526383499998</c:v>
                </c:pt>
                <c:pt idx="33">
                  <c:v>-1.5464203638166649</c:v>
                </c:pt>
                <c:pt idx="34">
                  <c:v>-1.097163594749998</c:v>
                </c:pt>
                <c:pt idx="35">
                  <c:v>-0.96990991855000008</c:v>
                </c:pt>
                <c:pt idx="36">
                  <c:v>-0.75255231783333443</c:v>
                </c:pt>
                <c:pt idx="37">
                  <c:v>-0.44506355191666702</c:v>
                </c:pt>
                <c:pt idx="38">
                  <c:v>-7.6681320933333519E-2</c:v>
                </c:pt>
                <c:pt idx="39">
                  <c:v>-3.8764954849999998E-2</c:v>
                </c:pt>
                <c:pt idx="40">
                  <c:v>-2.6797090000035828E-4</c:v>
                </c:pt>
                <c:pt idx="41">
                  <c:v>4.1733333333331119E-4</c:v>
                </c:pt>
                <c:pt idx="42">
                  <c:v>-4.6666666667027901E-5</c:v>
                </c:pt>
                <c:pt idx="43">
                  <c:v>4.8933333333300855E-4</c:v>
                </c:pt>
                <c:pt idx="44">
                  <c:v>0</c:v>
                </c:pt>
                <c:pt idx="45">
                  <c:v>1.6666666666997901E-5</c:v>
                </c:pt>
                <c:pt idx="46">
                  <c:v>4.2600000000010679E-4</c:v>
                </c:pt>
                <c:pt idx="47">
                  <c:v>1.3133333333301131E-4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2D99-454F-BBD8-208022A620A5}"/>
            </c:ext>
          </c:extLst>
        </c:ser>
        <c:ser>
          <c:idx val="54"/>
          <c:order val="54"/>
          <c:tx>
            <c:v>BES_TR2_six289_C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Net_kW!$BE$2:$BE$49</c:f>
              <c:numCache>
                <c:formatCode>#,##0.000</c:formatCode>
                <c:ptCount val="48"/>
                <c:pt idx="0">
                  <c:v>2.2666666666704141E-4</c:v>
                </c:pt>
                <c:pt idx="1">
                  <c:v>4.8233333333300149E-4</c:v>
                </c:pt>
                <c:pt idx="2">
                  <c:v>2.823333333330097E-4</c:v>
                </c:pt>
                <c:pt idx="3">
                  <c:v>4.186666666669836E-4</c:v>
                </c:pt>
                <c:pt idx="4">
                  <c:v>3.4599999999998521E-4</c:v>
                </c:pt>
                <c:pt idx="5">
                  <c:v>3.2000000000004247E-5</c:v>
                </c:pt>
                <c:pt idx="6">
                  <c:v>2.9466666666699842E-4</c:v>
                </c:pt>
                <c:pt idx="7">
                  <c:v>4.2729696666667089E-4</c:v>
                </c:pt>
                <c:pt idx="8">
                  <c:v>-3.7834763333352561E-4</c:v>
                </c:pt>
                <c:pt idx="9">
                  <c:v>1.234707833332738E-4</c:v>
                </c:pt>
                <c:pt idx="10">
                  <c:v>3.2724776666548378E-4</c:v>
                </c:pt>
                <c:pt idx="11">
                  <c:v>3.2493720000154053E-4</c:v>
                </c:pt>
                <c:pt idx="12">
                  <c:v>7.1231416665429315E-5</c:v>
                </c:pt>
                <c:pt idx="13">
                  <c:v>-1.6188433331842941E-5</c:v>
                </c:pt>
                <c:pt idx="14">
                  <c:v>4.2810383333202751E-5</c:v>
                </c:pt>
                <c:pt idx="15">
                  <c:v>2.9717124999995009E-4</c:v>
                </c:pt>
                <c:pt idx="16">
                  <c:v>4.9577651666510292E-4</c:v>
                </c:pt>
                <c:pt idx="17">
                  <c:v>-2.1956690000013429E-4</c:v>
                </c:pt>
                <c:pt idx="18">
                  <c:v>-0.89390344233333507</c:v>
                </c:pt>
                <c:pt idx="19">
                  <c:v>-1.905298480366665</c:v>
                </c:pt>
                <c:pt idx="20">
                  <c:v>-2.6112194918500009</c:v>
                </c:pt>
                <c:pt idx="21">
                  <c:v>-2.4815886477166669</c:v>
                </c:pt>
                <c:pt idx="22">
                  <c:v>-2.5777190174166682</c:v>
                </c:pt>
                <c:pt idx="23">
                  <c:v>-0.90834953686667008</c:v>
                </c:pt>
                <c:pt idx="24">
                  <c:v>-1.9210784962666649</c:v>
                </c:pt>
                <c:pt idx="25">
                  <c:v>-2.631201463</c:v>
                </c:pt>
                <c:pt idx="26">
                  <c:v>-2.5085103384166669</c:v>
                </c:pt>
                <c:pt idx="27">
                  <c:v>-2.323209536533335</c:v>
                </c:pt>
                <c:pt idx="28">
                  <c:v>-2.3291314065500002</c:v>
                </c:pt>
                <c:pt idx="29">
                  <c:v>-1.590862734766668</c:v>
                </c:pt>
                <c:pt idx="30">
                  <c:v>-1.1136284329499999</c:v>
                </c:pt>
                <c:pt idx="31">
                  <c:v>-6.4124205466663753E-2</c:v>
                </c:pt>
                <c:pt idx="32">
                  <c:v>-1.5510797168333319</c:v>
                </c:pt>
                <c:pt idx="33">
                  <c:v>-1.113347697149998</c:v>
                </c:pt>
                <c:pt idx="34">
                  <c:v>-0.31977626141666499</c:v>
                </c:pt>
                <c:pt idx="35">
                  <c:v>-0.28270725188333312</c:v>
                </c:pt>
                <c:pt idx="36">
                  <c:v>-0.36092498450000149</c:v>
                </c:pt>
                <c:pt idx="37">
                  <c:v>-0.36546121858333303</c:v>
                </c:pt>
                <c:pt idx="38">
                  <c:v>-4.7932093333352688E-4</c:v>
                </c:pt>
                <c:pt idx="39">
                  <c:v>2.604515000004248E-5</c:v>
                </c:pt>
                <c:pt idx="40">
                  <c:v>-3.7697090000365918E-4</c:v>
                </c:pt>
                <c:pt idx="41">
                  <c:v>1.8666666666966589E-4</c:v>
                </c:pt>
                <c:pt idx="42">
                  <c:v>7.1666666670022749E-5</c:v>
                </c:pt>
                <c:pt idx="43">
                  <c:v>1.52525333333333</c:v>
                </c:pt>
                <c:pt idx="44">
                  <c:v>1.1790273333333301</c:v>
                </c:pt>
                <c:pt idx="45">
                  <c:v>0.39536666666666698</c:v>
                </c:pt>
                <c:pt idx="46">
                  <c:v>0.12631400000000001</c:v>
                </c:pt>
                <c:pt idx="47">
                  <c:v>0.17909600000000001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D99-454F-BBD8-208022A620A5}"/>
            </c:ext>
          </c:extLst>
        </c:ser>
        <c:ser>
          <c:idx val="55"/>
          <c:order val="55"/>
          <c:tx>
            <c:v>BES_TR2_six317_C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Net_kW!$BF$2:$BF$49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2.655074666667988E-4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-4.5945480000009198E-4</c:v>
                </c:pt>
                <c:pt idx="15">
                  <c:v>-1.3080090900000001</c:v>
                </c:pt>
                <c:pt idx="16">
                  <c:v>-2.2163293982666681</c:v>
                </c:pt>
                <c:pt idx="17">
                  <c:v>-2.4886509335999998</c:v>
                </c:pt>
                <c:pt idx="18">
                  <c:v>-2.720575362666668</c:v>
                </c:pt>
                <c:pt idx="19">
                  <c:v>-2.9183834061333318</c:v>
                </c:pt>
                <c:pt idx="20">
                  <c:v>-2.8042527430666682</c:v>
                </c:pt>
                <c:pt idx="21">
                  <c:v>-0.25309178786667008</c:v>
                </c:pt>
                <c:pt idx="22">
                  <c:v>-1.0501179246666681</c:v>
                </c:pt>
                <c:pt idx="23">
                  <c:v>-2.7592585087999999</c:v>
                </c:pt>
                <c:pt idx="24">
                  <c:v>-3.3613393290666682</c:v>
                </c:pt>
                <c:pt idx="25">
                  <c:v>-3.3351797386666671</c:v>
                </c:pt>
                <c:pt idx="26">
                  <c:v>-3.0915284820000002</c:v>
                </c:pt>
                <c:pt idx="27">
                  <c:v>-3.1653343274666681</c:v>
                </c:pt>
                <c:pt idx="28">
                  <c:v>-3.0175078931999999</c:v>
                </c:pt>
                <c:pt idx="29">
                  <c:v>-2.736573173066668</c:v>
                </c:pt>
                <c:pt idx="30">
                  <c:v>-2.617453128133334</c:v>
                </c:pt>
                <c:pt idx="31">
                  <c:v>-2.2873477538666682</c:v>
                </c:pt>
                <c:pt idx="32">
                  <c:v>-2.0373915239999989</c:v>
                </c:pt>
                <c:pt idx="33">
                  <c:v>3.4686039999820562E-4</c:v>
                </c:pt>
                <c:pt idx="34">
                  <c:v>-0.98182762733333195</c:v>
                </c:pt>
                <c:pt idx="35">
                  <c:v>-1.122664254533333</c:v>
                </c:pt>
                <c:pt idx="36">
                  <c:v>-0.82718426800000133</c:v>
                </c:pt>
                <c:pt idx="37">
                  <c:v>-0.34512072599999999</c:v>
                </c:pt>
                <c:pt idx="38">
                  <c:v>-0.27228241439999978</c:v>
                </c:pt>
                <c:pt idx="39">
                  <c:v>-7.3615066667004347E-5</c:v>
                </c:pt>
                <c:pt idx="40">
                  <c:v>1.628904000003373E-4</c:v>
                </c:pt>
                <c:pt idx="41">
                  <c:v>-1.093333333299085E-5</c:v>
                </c:pt>
                <c:pt idx="42">
                  <c:v>4.2366666666701641E-4</c:v>
                </c:pt>
                <c:pt idx="43">
                  <c:v>4.426666666670076E-4</c:v>
                </c:pt>
                <c:pt idx="44">
                  <c:v>0</c:v>
                </c:pt>
                <c:pt idx="45">
                  <c:v>-4.129999999999967E-4</c:v>
                </c:pt>
                <c:pt idx="46">
                  <c:v>4.866666666670239E-4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2D99-454F-BBD8-208022A620A5}"/>
            </c:ext>
          </c:extLst>
        </c:ser>
        <c:ser>
          <c:idx val="56"/>
          <c:order val="56"/>
          <c:tx>
            <c:v>BES_TR2_six326_A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Net_kW!$BG$2:$BG$49</c:f>
              <c:numCache>
                <c:formatCode>#,##0.000</c:formatCode>
                <c:ptCount val="48"/>
                <c:pt idx="0">
                  <c:v>3.4400000000001102E-4</c:v>
                </c:pt>
                <c:pt idx="1">
                  <c:v>0</c:v>
                </c:pt>
                <c:pt idx="2">
                  <c:v>2.8799999999999659E-4</c:v>
                </c:pt>
                <c:pt idx="3">
                  <c:v>1.22000000000011E-4</c:v>
                </c:pt>
                <c:pt idx="4">
                  <c:v>2.319999999999961E-4</c:v>
                </c:pt>
                <c:pt idx="5">
                  <c:v>1.7800000000001151E-4</c:v>
                </c:pt>
                <c:pt idx="6">
                  <c:v>0</c:v>
                </c:pt>
                <c:pt idx="7">
                  <c:v>-4.8636970000034968E-4</c:v>
                </c:pt>
                <c:pt idx="8">
                  <c:v>3.6798570000043379E-4</c:v>
                </c:pt>
                <c:pt idx="9">
                  <c:v>4.9813745000001908E-4</c:v>
                </c:pt>
                <c:pt idx="10">
                  <c:v>3.2724776666548378E-4</c:v>
                </c:pt>
                <c:pt idx="11">
                  <c:v>4.1227053333459113E-4</c:v>
                </c:pt>
                <c:pt idx="12">
                  <c:v>-5.6768583334587668E-5</c:v>
                </c:pt>
                <c:pt idx="13">
                  <c:v>-2.3521766665091089E-5</c:v>
                </c:pt>
                <c:pt idx="14">
                  <c:v>-2.5052294999983182E-4</c:v>
                </c:pt>
                <c:pt idx="15">
                  <c:v>1.9950458333317661E-4</c:v>
                </c:pt>
                <c:pt idx="16">
                  <c:v>-1.206635556816668</c:v>
                </c:pt>
                <c:pt idx="17">
                  <c:v>-2.0794015669000001</c:v>
                </c:pt>
                <c:pt idx="18">
                  <c:v>-2.2859654423333349</c:v>
                </c:pt>
                <c:pt idx="19">
                  <c:v>-2.012222813699998</c:v>
                </c:pt>
                <c:pt idx="20">
                  <c:v>-1.7765444918500011</c:v>
                </c:pt>
                <c:pt idx="21">
                  <c:v>-2.8258919810499998</c:v>
                </c:pt>
                <c:pt idx="22">
                  <c:v>-2.806159684083334</c:v>
                </c:pt>
                <c:pt idx="23">
                  <c:v>-2.8591568702000001</c:v>
                </c:pt>
                <c:pt idx="24">
                  <c:v>-2.965171162933335</c:v>
                </c:pt>
                <c:pt idx="25">
                  <c:v>-2.808826129666667</c:v>
                </c:pt>
                <c:pt idx="26">
                  <c:v>-2.7434756717500002</c:v>
                </c:pt>
                <c:pt idx="27">
                  <c:v>-2.6945998698666682</c:v>
                </c:pt>
                <c:pt idx="28">
                  <c:v>-2.488643739883333</c:v>
                </c:pt>
                <c:pt idx="29">
                  <c:v>-2.4279164014333352</c:v>
                </c:pt>
                <c:pt idx="30">
                  <c:v>-2.1382194329500002</c:v>
                </c:pt>
                <c:pt idx="31">
                  <c:v>-1.9595078721333341</c:v>
                </c:pt>
                <c:pt idx="32">
                  <c:v>-1.767928816833332</c:v>
                </c:pt>
                <c:pt idx="33">
                  <c:v>-1.4860754304833319</c:v>
                </c:pt>
                <c:pt idx="34">
                  <c:v>-1.148626061416665</c:v>
                </c:pt>
                <c:pt idx="35">
                  <c:v>-0.95437271855000005</c:v>
                </c:pt>
                <c:pt idx="36">
                  <c:v>-0.53787131783333453</c:v>
                </c:pt>
                <c:pt idx="37">
                  <c:v>-0.18684755191666699</c:v>
                </c:pt>
                <c:pt idx="38">
                  <c:v>-6.6570654266666529E-2</c:v>
                </c:pt>
                <c:pt idx="39">
                  <c:v>4.1837848333298178E-4</c:v>
                </c:pt>
                <c:pt idx="40">
                  <c:v>3.0769576666678228E-4</c:v>
                </c:pt>
                <c:pt idx="41">
                  <c:v>3.1266666666696091E-4</c:v>
                </c:pt>
                <c:pt idx="42">
                  <c:v>0</c:v>
                </c:pt>
                <c:pt idx="43">
                  <c:v>4.639999999999922E-4</c:v>
                </c:pt>
                <c:pt idx="44">
                  <c:v>4.0800000000000558E-4</c:v>
                </c:pt>
                <c:pt idx="45">
                  <c:v>-7.7000000000000679E-5</c:v>
                </c:pt>
                <c:pt idx="46">
                  <c:v>4.870000000000152E-4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D99-454F-BBD8-208022A620A5}"/>
            </c:ext>
          </c:extLst>
        </c:ser>
        <c:ser>
          <c:idx val="57"/>
          <c:order val="57"/>
          <c:tx>
            <c:v>BES_TR2_six329_A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Net_kW!$BH$2:$BH$49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-4.4080346666666367E-4</c:v>
                </c:pt>
                <c:pt idx="8">
                  <c:v>2.6550746666679712E-4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8.1407333331728893E-5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-1.73362609</c:v>
                </c:pt>
                <c:pt idx="16">
                  <c:v>-2.2353293982666682</c:v>
                </c:pt>
                <c:pt idx="17">
                  <c:v>-2.5076509335999999</c:v>
                </c:pt>
                <c:pt idx="18">
                  <c:v>-2.7395753626666681</c:v>
                </c:pt>
                <c:pt idx="19">
                  <c:v>-2.9373834061333319</c:v>
                </c:pt>
                <c:pt idx="20">
                  <c:v>-3.1110089430666679</c:v>
                </c:pt>
                <c:pt idx="21">
                  <c:v>-3.2543051211999998</c:v>
                </c:pt>
                <c:pt idx="22">
                  <c:v>-3.3559779246666679</c:v>
                </c:pt>
                <c:pt idx="23">
                  <c:v>-3.4005667088</c:v>
                </c:pt>
                <c:pt idx="24">
                  <c:v>-3.4134813290666681</c:v>
                </c:pt>
                <c:pt idx="25">
                  <c:v>-2.739521672</c:v>
                </c:pt>
                <c:pt idx="26">
                  <c:v>-2.5456171486666661</c:v>
                </c:pt>
                <c:pt idx="27">
                  <c:v>-3.154201660800001</c:v>
                </c:pt>
                <c:pt idx="28">
                  <c:v>-3.0165078932</c:v>
                </c:pt>
                <c:pt idx="29">
                  <c:v>-2.8491901730666682</c:v>
                </c:pt>
                <c:pt idx="30">
                  <c:v>-2.6501284948000001</c:v>
                </c:pt>
                <c:pt idx="31">
                  <c:v>-2.410583853866668</c:v>
                </c:pt>
                <c:pt idx="32">
                  <c:v>-2.1408000573333319</c:v>
                </c:pt>
                <c:pt idx="33">
                  <c:v>-1.815071272933332</c:v>
                </c:pt>
                <c:pt idx="34">
                  <c:v>-1.510211727333332</c:v>
                </c:pt>
                <c:pt idx="35">
                  <c:v>-1.1969496211999999</c:v>
                </c:pt>
                <c:pt idx="36">
                  <c:v>-0.89391693466666799</c:v>
                </c:pt>
                <c:pt idx="37">
                  <c:v>-0.56275072599999998</c:v>
                </c:pt>
                <c:pt idx="38">
                  <c:v>-0.19617741440000019</c:v>
                </c:pt>
                <c:pt idx="39">
                  <c:v>-1.332817333301595E-4</c:v>
                </c:pt>
                <c:pt idx="40">
                  <c:v>-2.087762666666548E-4</c:v>
                </c:pt>
                <c:pt idx="41">
                  <c:v>-2.9033333333305927E-4</c:v>
                </c:pt>
                <c:pt idx="42">
                  <c:v>4.2333333333288698E-4</c:v>
                </c:pt>
                <c:pt idx="43">
                  <c:v>6.1333333333024598E-5</c:v>
                </c:pt>
                <c:pt idx="44">
                  <c:v>-9.3333333333001089E-5</c:v>
                </c:pt>
                <c:pt idx="45">
                  <c:v>-1.8166666666702411E-4</c:v>
                </c:pt>
                <c:pt idx="46">
                  <c:v>-2.066666666669936E-4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2D99-454F-BBD8-208022A620A5}"/>
            </c:ext>
          </c:extLst>
        </c:ser>
        <c:ser>
          <c:idx val="58"/>
          <c:order val="58"/>
          <c:tx>
            <c:v>BES_TR2_six342_A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Net_kW!$BI$2:$BI$49</c:f>
              <c:numCache>
                <c:formatCode>#,##0.000</c:formatCode>
                <c:ptCount val="48"/>
                <c:pt idx="0">
                  <c:v>2.093333333330061E-4</c:v>
                </c:pt>
                <c:pt idx="1">
                  <c:v>1.3533333333298761E-4</c:v>
                </c:pt>
                <c:pt idx="2">
                  <c:v>3.4133333333299931E-4</c:v>
                </c:pt>
                <c:pt idx="3">
                  <c:v>4.343333333329813E-4</c:v>
                </c:pt>
                <c:pt idx="4">
                  <c:v>2.436666666670029E-4</c:v>
                </c:pt>
                <c:pt idx="5">
                  <c:v>4.096666666669746E-4</c:v>
                </c:pt>
                <c:pt idx="6">
                  <c:v>0.22519366666666599</c:v>
                </c:pt>
                <c:pt idx="7">
                  <c:v>7.3473497833333332E-2</c:v>
                </c:pt>
                <c:pt idx="8">
                  <c:v>1.691594216666675E-2</c:v>
                </c:pt>
                <c:pt idx="9">
                  <c:v>-3.584732500000049E-4</c:v>
                </c:pt>
                <c:pt idx="10">
                  <c:v>-4.0568016666750473E-4</c:v>
                </c:pt>
                <c:pt idx="11">
                  <c:v>3.3876466666749039E-4</c:v>
                </c:pt>
                <c:pt idx="12">
                  <c:v>4.5287958333245498E-4</c:v>
                </c:pt>
                <c:pt idx="13">
                  <c:v>-5.822983333247933E-5</c:v>
                </c:pt>
                <c:pt idx="14">
                  <c:v>-2.5865925000012607E-4</c:v>
                </c:pt>
                <c:pt idx="15">
                  <c:v>-1.7530624999984029E-4</c:v>
                </c:pt>
                <c:pt idx="16">
                  <c:v>-2.0587391666793131E-4</c:v>
                </c:pt>
                <c:pt idx="17">
                  <c:v>1.2316649999988269E-4</c:v>
                </c:pt>
                <c:pt idx="18">
                  <c:v>-0.35095760166666801</c:v>
                </c:pt>
                <c:pt idx="19">
                  <c:v>-1.8059896288333319</c:v>
                </c:pt>
                <c:pt idx="20">
                  <c:v>-1.9145055894166669</c:v>
                </c:pt>
                <c:pt idx="21">
                  <c:v>-2.00406570075</c:v>
                </c:pt>
                <c:pt idx="22">
                  <c:v>-1.9156792029166669</c:v>
                </c:pt>
                <c:pt idx="23">
                  <c:v>-2.0954791930000001</c:v>
                </c:pt>
                <c:pt idx="24">
                  <c:v>-2.006866830666667</c:v>
                </c:pt>
                <c:pt idx="25">
                  <c:v>-2.033203045</c:v>
                </c:pt>
                <c:pt idx="26">
                  <c:v>-2.0377240512500001</c:v>
                </c:pt>
                <c:pt idx="27">
                  <c:v>-1.9188979546666669</c:v>
                </c:pt>
                <c:pt idx="28">
                  <c:v>-1.7574464332499999</c:v>
                </c:pt>
                <c:pt idx="29">
                  <c:v>-1.750868858166668</c:v>
                </c:pt>
                <c:pt idx="30">
                  <c:v>-1.62645530925</c:v>
                </c:pt>
                <c:pt idx="31">
                  <c:v>-1.324807908666668</c:v>
                </c:pt>
                <c:pt idx="32">
                  <c:v>-1.3081250358333321</c:v>
                </c:pt>
                <c:pt idx="33">
                  <c:v>-0.96642454558333291</c:v>
                </c:pt>
                <c:pt idx="34">
                  <c:v>-0.90019532958333248</c:v>
                </c:pt>
                <c:pt idx="35">
                  <c:v>-0.70744164658333331</c:v>
                </c:pt>
                <c:pt idx="36">
                  <c:v>-0.52882308416666746</c:v>
                </c:pt>
                <c:pt idx="37">
                  <c:v>-5.8870416667022862E-5</c:v>
                </c:pt>
                <c:pt idx="38">
                  <c:v>-7.2467333333183642E-5</c:v>
                </c:pt>
                <c:pt idx="39">
                  <c:v>4.1703225000000449E-4</c:v>
                </c:pt>
                <c:pt idx="40">
                  <c:v>-3.5026833333673402E-5</c:v>
                </c:pt>
                <c:pt idx="41">
                  <c:v>1.5999999999999351E-4</c:v>
                </c:pt>
                <c:pt idx="42">
                  <c:v>1.1533333333296759E-4</c:v>
                </c:pt>
                <c:pt idx="43">
                  <c:v>4.616666666670266E-4</c:v>
                </c:pt>
                <c:pt idx="44">
                  <c:v>-7.0000000000014495E-5</c:v>
                </c:pt>
                <c:pt idx="45">
                  <c:v>4.0666666666699941E-4</c:v>
                </c:pt>
                <c:pt idx="46">
                  <c:v>0</c:v>
                </c:pt>
                <c:pt idx="47">
                  <c:v>2.146666666669739E-4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D99-454F-BBD8-208022A620A5}"/>
            </c:ext>
          </c:extLst>
        </c:ser>
        <c:ser>
          <c:idx val="59"/>
          <c:order val="59"/>
          <c:tx>
            <c:v>BES_TR2_six349_A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Net_kW!$BJ$2:$BJ$49</c:f>
              <c:numCache>
                <c:formatCode>#,##0.000</c:formatCode>
                <c:ptCount val="48"/>
                <c:pt idx="0">
                  <c:v>-2.3200000000001E-4</c:v>
                </c:pt>
                <c:pt idx="1">
                  <c:v>1.2933333333298161E-4</c:v>
                </c:pt>
                <c:pt idx="2">
                  <c:v>0</c:v>
                </c:pt>
                <c:pt idx="3">
                  <c:v>-5.8000000000002487E-5</c:v>
                </c:pt>
                <c:pt idx="4">
                  <c:v>3.0533333333299112E-4</c:v>
                </c:pt>
                <c:pt idx="5">
                  <c:v>0</c:v>
                </c:pt>
                <c:pt idx="6">
                  <c:v>-4.1033333333301281E-4</c:v>
                </c:pt>
                <c:pt idx="7">
                  <c:v>-6.2735066667318762E-5</c:v>
                </c:pt>
                <c:pt idx="8">
                  <c:v>1.3275373333339861E-4</c:v>
                </c:pt>
                <c:pt idx="9">
                  <c:v>1.855473333299551E-5</c:v>
                </c:pt>
                <c:pt idx="10">
                  <c:v>2.7185586666600431E-4</c:v>
                </c:pt>
                <c:pt idx="11">
                  <c:v>7.1011733334014338E-5</c:v>
                </c:pt>
                <c:pt idx="12">
                  <c:v>-1.8296300000103521E-4</c:v>
                </c:pt>
                <c:pt idx="13">
                  <c:v>-3.9958386666594242E-4</c:v>
                </c:pt>
                <c:pt idx="14">
                  <c:v>2.89392666670274E-5</c:v>
                </c:pt>
                <c:pt idx="15">
                  <c:v>-7.4378333333013913E-5</c:v>
                </c:pt>
                <c:pt idx="16">
                  <c:v>1.6563419999937601E-4</c:v>
                </c:pt>
                <c:pt idx="17">
                  <c:v>-7.9466799999927673E-5</c:v>
                </c:pt>
                <c:pt idx="18">
                  <c:v>1.543186666659313E-4</c:v>
                </c:pt>
                <c:pt idx="19">
                  <c:v>-9.8169036399998966E-2</c:v>
                </c:pt>
                <c:pt idx="20">
                  <c:v>-1.3450571382000009</c:v>
                </c:pt>
                <c:pt idx="21">
                  <c:v>-1.3926325606000001</c:v>
                </c:pt>
                <c:pt idx="22">
                  <c:v>-1.5049789623333341</c:v>
                </c:pt>
                <c:pt idx="23">
                  <c:v>-1.1620676877333329</c:v>
                </c:pt>
                <c:pt idx="24">
                  <c:v>-1.533730664533334</c:v>
                </c:pt>
                <c:pt idx="25">
                  <c:v>-1.170810836</c:v>
                </c:pt>
                <c:pt idx="26">
                  <c:v>-1.414867574333333</c:v>
                </c:pt>
                <c:pt idx="27">
                  <c:v>-1.546489163733334</c:v>
                </c:pt>
                <c:pt idx="28">
                  <c:v>-1.2566846132666669</c:v>
                </c:pt>
                <c:pt idx="29">
                  <c:v>-1.4000950865333339</c:v>
                </c:pt>
                <c:pt idx="30">
                  <c:v>-1.1358502474000001</c:v>
                </c:pt>
                <c:pt idx="31">
                  <c:v>-1.087258593600001</c:v>
                </c:pt>
                <c:pt idx="32">
                  <c:v>-1.045900028666666</c:v>
                </c:pt>
                <c:pt idx="33">
                  <c:v>-0.653025636466666</c:v>
                </c:pt>
                <c:pt idx="34">
                  <c:v>-0.70236853033333269</c:v>
                </c:pt>
                <c:pt idx="35">
                  <c:v>-0.32858547726666698</c:v>
                </c:pt>
                <c:pt idx="36">
                  <c:v>-1.8186467333334011E-2</c:v>
                </c:pt>
                <c:pt idx="37">
                  <c:v>1.083036666700288E-4</c:v>
                </c:pt>
                <c:pt idx="38">
                  <c:v>3.4329280000036649E-4</c:v>
                </c:pt>
                <c:pt idx="39">
                  <c:v>-7.2307533333010321E-5</c:v>
                </c:pt>
                <c:pt idx="40">
                  <c:v>1.181118666666592E-4</c:v>
                </c:pt>
                <c:pt idx="41">
                  <c:v>-5.8000000000002487E-5</c:v>
                </c:pt>
                <c:pt idx="42">
                  <c:v>3.0533333333299112E-4</c:v>
                </c:pt>
                <c:pt idx="43">
                  <c:v>1.179999999999931E-4</c:v>
                </c:pt>
                <c:pt idx="44">
                  <c:v>1.999999999988122E-6</c:v>
                </c:pt>
                <c:pt idx="45">
                  <c:v>1.2733333333297961E-4</c:v>
                </c:pt>
                <c:pt idx="46">
                  <c:v>-5.8000000000002487E-5</c:v>
                </c:pt>
                <c:pt idx="47">
                  <c:v>-1.09999999999999E-4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2D99-454F-BBD8-208022A620A5}"/>
            </c:ext>
          </c:extLst>
        </c:ser>
        <c:ser>
          <c:idx val="60"/>
          <c:order val="60"/>
          <c:tx>
            <c:v>BES_TR2_six350_B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Net_kW!$BK$2:$BK$49</c:f>
              <c:numCache>
                <c:formatCode>#,##0.000</c:formatCode>
                <c:ptCount val="48"/>
                <c:pt idx="0">
                  <c:v>4.3233333333340262E-4</c:v>
                </c:pt>
                <c:pt idx="1">
                  <c:v>-1.2766666666699791E-4</c:v>
                </c:pt>
                <c:pt idx="2">
                  <c:v>0</c:v>
                </c:pt>
                <c:pt idx="3">
                  <c:v>4.766666666670138E-4</c:v>
                </c:pt>
                <c:pt idx="4">
                  <c:v>-1.7400000000000751E-4</c:v>
                </c:pt>
                <c:pt idx="5">
                  <c:v>0</c:v>
                </c:pt>
                <c:pt idx="6">
                  <c:v>4.573333333330043E-4</c:v>
                </c:pt>
                <c:pt idx="7">
                  <c:v>2.6473073333330149E-4</c:v>
                </c:pt>
                <c:pt idx="8">
                  <c:v>-3.2086939999992348E-4</c:v>
                </c:pt>
                <c:pt idx="9">
                  <c:v>6.6498766666714393E-5</c:v>
                </c:pt>
                <c:pt idx="10">
                  <c:v>-1.7921620000102559E-4</c:v>
                </c:pt>
                <c:pt idx="11">
                  <c:v>8.3184266668034912E-5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7.0755666667920991E-6</c:v>
                </c:pt>
                <c:pt idx="15">
                  <c:v>-1.4356750000010801E-4</c:v>
                </c:pt>
                <c:pt idx="16">
                  <c:v>-0.28024704870000111</c:v>
                </c:pt>
                <c:pt idx="17">
                  <c:v>-1.6861808668666669</c:v>
                </c:pt>
                <c:pt idx="18">
                  <c:v>-2.0384315220000011</c:v>
                </c:pt>
                <c:pt idx="19">
                  <c:v>-2.137297554599999</c:v>
                </c:pt>
                <c:pt idx="20">
                  <c:v>-2.2196070406333339</c:v>
                </c:pt>
                <c:pt idx="21">
                  <c:v>-2.3930658408999999</c:v>
                </c:pt>
                <c:pt idx="22">
                  <c:v>-2.3852567768333341</c:v>
                </c:pt>
                <c:pt idx="23">
                  <c:v>-2.5341750315999998</c:v>
                </c:pt>
                <c:pt idx="24">
                  <c:v>-2.4861226634666682</c:v>
                </c:pt>
                <c:pt idx="25">
                  <c:v>-2.4051769206666669</c:v>
                </c:pt>
                <c:pt idx="26">
                  <c:v>-2.4648688614999998</c:v>
                </c:pt>
                <c:pt idx="27">
                  <c:v>-2.2473190789333342</c:v>
                </c:pt>
                <c:pt idx="28">
                  <c:v>-2.2075079198999998</c:v>
                </c:pt>
                <c:pt idx="29">
                  <c:v>-2.0962102964666678</c:v>
                </c:pt>
                <c:pt idx="30">
                  <c:v>-1.858717704433333</c:v>
                </c:pt>
                <c:pt idx="31">
                  <c:v>-1.750446223733334</c:v>
                </c:pt>
                <c:pt idx="32">
                  <c:v>-1.557937042999999</c:v>
                </c:pt>
                <c:pt idx="33">
                  <c:v>-1.2888954546999991</c:v>
                </c:pt>
                <c:pt idx="34">
                  <c:v>-0.98379312883333214</c:v>
                </c:pt>
                <c:pt idx="35">
                  <c:v>-0.52777221590000012</c:v>
                </c:pt>
                <c:pt idx="36">
                  <c:v>-0.38720936766666803</c:v>
                </c:pt>
                <c:pt idx="37">
                  <c:v>-0.1967220445</c:v>
                </c:pt>
                <c:pt idx="38">
                  <c:v>-7.0795607999999399E-3</c:v>
                </c:pt>
                <c:pt idx="39">
                  <c:v>-4.7162796666599949E-4</c:v>
                </c:pt>
                <c:pt idx="40">
                  <c:v>1.468344666669674E-4</c:v>
                </c:pt>
                <c:pt idx="41">
                  <c:v>-1.749999999999807E-4</c:v>
                </c:pt>
                <c:pt idx="42">
                  <c:v>-6.066666666693088E-5</c:v>
                </c:pt>
                <c:pt idx="43">
                  <c:v>-1.0233333333298229E-4</c:v>
                </c:pt>
                <c:pt idx="44">
                  <c:v>-1.6599999999999951E-4</c:v>
                </c:pt>
                <c:pt idx="45">
                  <c:v>-1.140000000000585E-4</c:v>
                </c:pt>
                <c:pt idx="46">
                  <c:v>0</c:v>
                </c:pt>
                <c:pt idx="47">
                  <c:v>4.766666666670138E-4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D99-454F-BBD8-208022A620A5}"/>
            </c:ext>
          </c:extLst>
        </c:ser>
        <c:ser>
          <c:idx val="61"/>
          <c:order val="61"/>
          <c:tx>
            <c:v>BES_TR2_six362_C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Net_kW!$BL$2:$BL$49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-2.9030129999999682E-4</c:v>
                </c:pt>
                <c:pt idx="8">
                  <c:v>3.4956530000004871E-4</c:v>
                </c:pt>
                <c:pt idx="9">
                  <c:v>-2.150839499999932E-4</c:v>
                </c:pt>
                <c:pt idx="10">
                  <c:v>-2.6081000005229171E-6</c:v>
                </c:pt>
                <c:pt idx="11">
                  <c:v>-1.967411999994895E-4</c:v>
                </c:pt>
                <c:pt idx="12">
                  <c:v>3.0527749999398328E-5</c:v>
                </c:pt>
                <c:pt idx="13">
                  <c:v>-1.5293789999948351E-4</c:v>
                </c:pt>
                <c:pt idx="14">
                  <c:v>2.6520445000000059E-4</c:v>
                </c:pt>
                <c:pt idx="15">
                  <c:v>-1.3778374999984239E-4</c:v>
                </c:pt>
                <c:pt idx="16">
                  <c:v>-4.5002435000052188E-4</c:v>
                </c:pt>
                <c:pt idx="17">
                  <c:v>-2.4410009999997759E-4</c:v>
                </c:pt>
                <c:pt idx="18">
                  <c:v>-2.1576100000009199E-4</c:v>
                </c:pt>
                <c:pt idx="19">
                  <c:v>-0.45939377729999908</c:v>
                </c:pt>
                <c:pt idx="20">
                  <c:v>-1.13050335365</c:v>
                </c:pt>
                <c:pt idx="21">
                  <c:v>-1.17623942045</c:v>
                </c:pt>
                <c:pt idx="22">
                  <c:v>-1.1874007884166671</c:v>
                </c:pt>
                <c:pt idx="23">
                  <c:v>-1.2264345158000001</c:v>
                </c:pt>
                <c:pt idx="24">
                  <c:v>-1.2264606650666681</c:v>
                </c:pt>
                <c:pt idx="25">
                  <c:v>-1.2348706270000001</c:v>
                </c:pt>
                <c:pt idx="26">
                  <c:v>-1.1901344307499999</c:v>
                </c:pt>
                <c:pt idx="27">
                  <c:v>-1.137333706133334</c:v>
                </c:pt>
                <c:pt idx="28">
                  <c:v>-1.1025654599500001</c:v>
                </c:pt>
                <c:pt idx="29">
                  <c:v>-1.0323213148999999</c:v>
                </c:pt>
                <c:pt idx="30">
                  <c:v>-0.90617318554999993</c:v>
                </c:pt>
                <c:pt idx="31">
                  <c:v>-0.69949194520000046</c:v>
                </c:pt>
                <c:pt idx="32">
                  <c:v>-0.56231835483333248</c:v>
                </c:pt>
                <c:pt idx="33">
                  <c:v>-0.4388387273499994</c:v>
                </c:pt>
                <c:pt idx="34">
                  <c:v>-0.36585439774999939</c:v>
                </c:pt>
                <c:pt idx="35">
                  <c:v>-0.1737061079500001</c:v>
                </c:pt>
                <c:pt idx="36">
                  <c:v>-5.7493850500000498E-2</c:v>
                </c:pt>
                <c:pt idx="37">
                  <c:v>6.8477750000038584E-5</c:v>
                </c:pt>
                <c:pt idx="38">
                  <c:v>-2.702803999999337E-4</c:v>
                </c:pt>
                <c:pt idx="39">
                  <c:v>-4.2664731666697259E-4</c:v>
                </c:pt>
                <c:pt idx="40">
                  <c:v>3.8583899999999893E-5</c:v>
                </c:pt>
                <c:pt idx="41">
                  <c:v>-4.3500000000001871E-4</c:v>
                </c:pt>
                <c:pt idx="42">
                  <c:v>4.4666666666698379E-4</c:v>
                </c:pt>
                <c:pt idx="43">
                  <c:v>-3.649999999999487E-4</c:v>
                </c:pt>
                <c:pt idx="44">
                  <c:v>-4.9833333333298979E-4</c:v>
                </c:pt>
                <c:pt idx="45">
                  <c:v>4.333333333329803E-4</c:v>
                </c:pt>
                <c:pt idx="46">
                  <c:v>1.6666666666700911E-4</c:v>
                </c:pt>
                <c:pt idx="47">
                  <c:v>-2.1333333333295459E-4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2D99-454F-BBD8-208022A620A5}"/>
            </c:ext>
          </c:extLst>
        </c:ser>
        <c:ser>
          <c:idx val="62"/>
          <c:order val="62"/>
          <c:tx>
            <c:v>BES_TR2_six365_C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Net_kW!$BM$2:$BM$49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-1.6599999999999951E-4</c:v>
                </c:pt>
                <c:pt idx="3">
                  <c:v>-3.7700000000001621E-4</c:v>
                </c:pt>
                <c:pt idx="4">
                  <c:v>4.3466666666702741E-4</c:v>
                </c:pt>
                <c:pt idx="5">
                  <c:v>0.37447000000000008</c:v>
                </c:pt>
                <c:pt idx="6">
                  <c:v>1.7299</c:v>
                </c:pt>
                <c:pt idx="7">
                  <c:v>0.1828071965333333</c:v>
                </c:pt>
                <c:pt idx="8">
                  <c:v>2.655074666667988E-4</c:v>
                </c:pt>
                <c:pt idx="9">
                  <c:v>2.5444279999999042E-4</c:v>
                </c:pt>
                <c:pt idx="10">
                  <c:v>7.9711733331988555E-5</c:v>
                </c:pt>
                <c:pt idx="11">
                  <c:v>1.420234666680287E-4</c:v>
                </c:pt>
                <c:pt idx="12">
                  <c:v>5.7407333331926942E-5</c:v>
                </c:pt>
                <c:pt idx="13">
                  <c:v>-4.6916773333216533E-4</c:v>
                </c:pt>
                <c:pt idx="14">
                  <c:v>-3.3945480000019401E-4</c:v>
                </c:pt>
                <c:pt idx="15">
                  <c:v>3.7391000000019941E-4</c:v>
                </c:pt>
                <c:pt idx="16">
                  <c:v>-0.8641933982666683</c:v>
                </c:pt>
                <c:pt idx="17">
                  <c:v>-2.3755389336000001</c:v>
                </c:pt>
                <c:pt idx="18">
                  <c:v>-2.720575362666668</c:v>
                </c:pt>
                <c:pt idx="19">
                  <c:v>-2.750201406133332</c:v>
                </c:pt>
                <c:pt idx="20">
                  <c:v>-3.026071809733335</c:v>
                </c:pt>
                <c:pt idx="21">
                  <c:v>-2.2493604545333299</c:v>
                </c:pt>
                <c:pt idx="22">
                  <c:v>-2.5302652580000009</c:v>
                </c:pt>
                <c:pt idx="23">
                  <c:v>-1.98893337546667</c:v>
                </c:pt>
                <c:pt idx="24">
                  <c:v>-3.394481329066668</c:v>
                </c:pt>
                <c:pt idx="25">
                  <c:v>-3.217361672</c:v>
                </c:pt>
                <c:pt idx="26">
                  <c:v>-3.2021384820000001</c:v>
                </c:pt>
                <c:pt idx="27">
                  <c:v>-3.0514106608000011</c:v>
                </c:pt>
                <c:pt idx="28">
                  <c:v>-2.5973438932000001</c:v>
                </c:pt>
                <c:pt idx="29">
                  <c:v>-2.8301901730666681</c:v>
                </c:pt>
                <c:pt idx="30">
                  <c:v>-2.5305844947999998</c:v>
                </c:pt>
                <c:pt idx="31">
                  <c:v>-2.3538798538666681</c:v>
                </c:pt>
                <c:pt idx="32">
                  <c:v>-2.1218000573333322</c:v>
                </c:pt>
                <c:pt idx="33">
                  <c:v>-1.7646512729333319</c:v>
                </c:pt>
                <c:pt idx="34">
                  <c:v>-1.3843837273333319</c:v>
                </c:pt>
                <c:pt idx="35">
                  <c:v>-1.1779496212</c:v>
                </c:pt>
                <c:pt idx="36">
                  <c:v>-0.87491693466666798</c:v>
                </c:pt>
                <c:pt idx="37">
                  <c:v>-0.44450272600000013</c:v>
                </c:pt>
                <c:pt idx="38">
                  <c:v>-0.32032074773333319</c:v>
                </c:pt>
                <c:pt idx="39">
                  <c:v>-3.236150666698911E-4</c:v>
                </c:pt>
                <c:pt idx="40">
                  <c:v>1.3155706666623251E-4</c:v>
                </c:pt>
                <c:pt idx="41">
                  <c:v>-3.5066666666705443E-4</c:v>
                </c:pt>
                <c:pt idx="42">
                  <c:v>-4.3966666666706011E-4</c:v>
                </c:pt>
                <c:pt idx="43">
                  <c:v>1.936666666669806E-4</c:v>
                </c:pt>
                <c:pt idx="44">
                  <c:v>-4.4133333333296049E-4</c:v>
                </c:pt>
                <c:pt idx="45">
                  <c:v>3.1666666669982753E-5</c:v>
                </c:pt>
                <c:pt idx="46">
                  <c:v>-2.3400000000006749E-4</c:v>
                </c:pt>
                <c:pt idx="47">
                  <c:v>0.258755333333333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D99-454F-BBD8-208022A620A5}"/>
            </c:ext>
          </c:extLst>
        </c:ser>
        <c:ser>
          <c:idx val="63"/>
          <c:order val="63"/>
          <c:tx>
            <c:v>BES_TR2_six378_A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Net_kW!$BN$2:$BN$49</c:f>
              <c:numCache>
                <c:formatCode>#,##0.000</c:formatCode>
                <c:ptCount val="48"/>
                <c:pt idx="0">
                  <c:v>-4.9799999999999844E-4</c:v>
                </c:pt>
                <c:pt idx="1">
                  <c:v>-3.0399999999999872E-4</c:v>
                </c:pt>
                <c:pt idx="2">
                  <c:v>-1.1999999999998121E-4</c:v>
                </c:pt>
                <c:pt idx="3">
                  <c:v>-3.4666666666703649E-5</c:v>
                </c:pt>
                <c:pt idx="4">
                  <c:v>1.086666666670344E-4</c:v>
                </c:pt>
                <c:pt idx="5">
                  <c:v>-4.9799999999999844E-4</c:v>
                </c:pt>
                <c:pt idx="6">
                  <c:v>-3.2600000000002072E-4</c:v>
                </c:pt>
                <c:pt idx="7">
                  <c:v>-2.5060260000001061E-4</c:v>
                </c:pt>
                <c:pt idx="8">
                  <c:v>1.497972666670844E-4</c:v>
                </c:pt>
                <c:pt idx="9">
                  <c:v>-4.2383456666700292E-4</c:v>
                </c:pt>
                <c:pt idx="10">
                  <c:v>-3.8354953333402658E-4</c:v>
                </c:pt>
                <c:pt idx="11">
                  <c:v>3.6385093333396462E-4</c:v>
                </c:pt>
                <c:pt idx="12">
                  <c:v>7.0554999988536871E-6</c:v>
                </c:pt>
                <c:pt idx="13">
                  <c:v>3.2412420000094139E-4</c:v>
                </c:pt>
                <c:pt idx="14">
                  <c:v>9.74089000000955E-5</c:v>
                </c:pt>
                <c:pt idx="15">
                  <c:v>-4.9770083333017245E-4</c:v>
                </c:pt>
                <c:pt idx="16">
                  <c:v>3.8711796666612841E-4</c:v>
                </c:pt>
                <c:pt idx="17">
                  <c:v>-4.7453353333315462E-4</c:v>
                </c:pt>
                <c:pt idx="18">
                  <c:v>-1.3917821886666679</c:v>
                </c:pt>
                <c:pt idx="19">
                  <c:v>-2.0759709212666659</c:v>
                </c:pt>
                <c:pt idx="20">
                  <c:v>-1.916836040633334</c:v>
                </c:pt>
                <c:pt idx="21">
                  <c:v>-2.1990845742333329</c:v>
                </c:pt>
                <c:pt idx="22">
                  <c:v>-0.28045011016667099</c:v>
                </c:pt>
                <c:pt idx="23">
                  <c:v>1.949684000000784E-4</c:v>
                </c:pt>
                <c:pt idx="24">
                  <c:v>-1.084708996800001</c:v>
                </c:pt>
                <c:pt idx="25">
                  <c:v>-2.1777279206666669</c:v>
                </c:pt>
                <c:pt idx="26">
                  <c:v>-2.4528021948333341</c:v>
                </c:pt>
                <c:pt idx="27">
                  <c:v>-2.2519155122666681</c:v>
                </c:pt>
                <c:pt idx="28">
                  <c:v>-1.374868586566667</c:v>
                </c:pt>
                <c:pt idx="29">
                  <c:v>9.0703533328906349E-5</c:v>
                </c:pt>
                <c:pt idx="30">
                  <c:v>4.7696223332982512E-4</c:v>
                </c:pt>
                <c:pt idx="31">
                  <c:v>-0.10878522373333489</c:v>
                </c:pt>
                <c:pt idx="32">
                  <c:v>-1.522592709666666</c:v>
                </c:pt>
                <c:pt idx="33">
                  <c:v>-1.150984454699999</c:v>
                </c:pt>
                <c:pt idx="34">
                  <c:v>-0.92890179549999907</c:v>
                </c:pt>
                <c:pt idx="35">
                  <c:v>-0.80714821590000008</c:v>
                </c:pt>
                <c:pt idx="36">
                  <c:v>-0.34692570100000097</c:v>
                </c:pt>
                <c:pt idx="37">
                  <c:v>-0.42406304449999999</c:v>
                </c:pt>
                <c:pt idx="38">
                  <c:v>-2.8924560799999919E-2</c:v>
                </c:pt>
                <c:pt idx="39">
                  <c:v>-1.099612999999888E-4</c:v>
                </c:pt>
                <c:pt idx="40">
                  <c:v>1.771677999999888E-4</c:v>
                </c:pt>
                <c:pt idx="41">
                  <c:v>-2.5599999999997852E-4</c:v>
                </c:pt>
                <c:pt idx="42">
                  <c:v>-1.6800000000000151E-4</c:v>
                </c:pt>
                <c:pt idx="43">
                  <c:v>3.1500000000000972E-4</c:v>
                </c:pt>
                <c:pt idx="44">
                  <c:v>2.6100000000001122E-4</c:v>
                </c:pt>
                <c:pt idx="45">
                  <c:v>0</c:v>
                </c:pt>
                <c:pt idx="46">
                  <c:v>-2.9466666666699842E-4</c:v>
                </c:pt>
                <c:pt idx="47">
                  <c:v>3.6866666666698911E-4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2D99-454F-BBD8-208022A620A5}"/>
            </c:ext>
          </c:extLst>
        </c:ser>
        <c:ser>
          <c:idx val="64"/>
          <c:order val="64"/>
          <c:tx>
            <c:v>BES_TR2_six385_B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Net_kW!$BO$2:$BO$49</c:f>
              <c:numCache>
                <c:formatCode>#,##0.000</c:formatCode>
                <c:ptCount val="48"/>
                <c:pt idx="0">
                  <c:v>2.7333333333395832E-4</c:v>
                </c:pt>
                <c:pt idx="1">
                  <c:v>4.3000000000004151E-4</c:v>
                </c:pt>
                <c:pt idx="2">
                  <c:v>3.893333333329918E-4</c:v>
                </c:pt>
                <c:pt idx="3">
                  <c:v>0</c:v>
                </c:pt>
                <c:pt idx="4">
                  <c:v>1.03999999999993E-4</c:v>
                </c:pt>
                <c:pt idx="5">
                  <c:v>-3.1800000000001272E-4</c:v>
                </c:pt>
                <c:pt idx="6">
                  <c:v>0</c:v>
                </c:pt>
                <c:pt idx="7">
                  <c:v>-3.6450216666666918E-4</c:v>
                </c:pt>
                <c:pt idx="8">
                  <c:v>-8.4057833333251591E-5</c:v>
                </c:pt>
                <c:pt idx="9">
                  <c:v>-3.584732500000049E-4</c:v>
                </c:pt>
                <c:pt idx="10">
                  <c:v>-1.8168016666750281E-4</c:v>
                </c:pt>
                <c:pt idx="11">
                  <c:v>-3.1235333332435562E-5</c:v>
                </c:pt>
                <c:pt idx="12">
                  <c:v>5.0879583332497091E-5</c:v>
                </c:pt>
                <c:pt idx="13">
                  <c:v>1.9777016666755459E-4</c:v>
                </c:pt>
                <c:pt idx="14">
                  <c:v>-2.0132591667021421E-4</c:v>
                </c:pt>
                <c:pt idx="15">
                  <c:v>2.213604166701397E-4</c:v>
                </c:pt>
                <c:pt idx="16">
                  <c:v>-2.3654058333510969E-4</c:v>
                </c:pt>
                <c:pt idx="17">
                  <c:v>4.118331666667085E-4</c:v>
                </c:pt>
                <c:pt idx="18">
                  <c:v>3.9833333209671201E-7</c:v>
                </c:pt>
                <c:pt idx="19">
                  <c:v>-1.2262883333180599E-4</c:v>
                </c:pt>
                <c:pt idx="20">
                  <c:v>-0.27150558941666691</c:v>
                </c:pt>
                <c:pt idx="21">
                  <c:v>-1.8072797007500001</c:v>
                </c:pt>
                <c:pt idx="22">
                  <c:v>-1.8821712029166671</c:v>
                </c:pt>
                <c:pt idx="23">
                  <c:v>-1.941219193</c:v>
                </c:pt>
                <c:pt idx="24">
                  <c:v>-1.9000848306666669</c:v>
                </c:pt>
                <c:pt idx="25">
                  <c:v>-2.0700078450000001</c:v>
                </c:pt>
                <c:pt idx="26">
                  <c:v>-1.0161611179166701</c:v>
                </c:pt>
                <c:pt idx="27">
                  <c:v>-1.8562895546666669</c:v>
                </c:pt>
                <c:pt idx="28">
                  <c:v>-1.556744566583333</c:v>
                </c:pt>
                <c:pt idx="29">
                  <c:v>-1.620603524833335</c:v>
                </c:pt>
                <c:pt idx="30">
                  <c:v>-1.3973540425833331</c:v>
                </c:pt>
                <c:pt idx="31">
                  <c:v>-1.476524708666668</c:v>
                </c:pt>
                <c:pt idx="32">
                  <c:v>-1.204472702499999</c:v>
                </c:pt>
                <c:pt idx="33">
                  <c:v>-1.0356775455833329</c:v>
                </c:pt>
                <c:pt idx="34">
                  <c:v>-0.91500732958333242</c:v>
                </c:pt>
                <c:pt idx="35">
                  <c:v>-0.36199151325000001</c:v>
                </c:pt>
                <c:pt idx="36">
                  <c:v>-0.52141148416666749</c:v>
                </c:pt>
                <c:pt idx="37">
                  <c:v>-0.20377720375</c:v>
                </c:pt>
                <c:pt idx="38">
                  <c:v>-6.2371267333333168E-2</c:v>
                </c:pt>
                <c:pt idx="39">
                  <c:v>-6.9677500000309136E-6</c:v>
                </c:pt>
                <c:pt idx="40">
                  <c:v>-3.313601666665722E-4</c:v>
                </c:pt>
                <c:pt idx="41">
                  <c:v>3.6766666666698811E-4</c:v>
                </c:pt>
                <c:pt idx="42">
                  <c:v>-3.8199999999999351E-4</c:v>
                </c:pt>
                <c:pt idx="43">
                  <c:v>-2.8799999999995501E-4</c:v>
                </c:pt>
                <c:pt idx="44">
                  <c:v>1.113333333330191E-4</c:v>
                </c:pt>
                <c:pt idx="45">
                  <c:v>1.2633333333300631E-4</c:v>
                </c:pt>
                <c:pt idx="46">
                  <c:v>3.9300000000000451E-4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D99-454F-BBD8-208022A620A5}"/>
            </c:ext>
          </c:extLst>
        </c:ser>
        <c:ser>
          <c:idx val="65"/>
          <c:order val="65"/>
          <c:tx>
            <c:v>BES_TR2_six387_A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Net_kW!$BP$2:$BP$49</c:f>
              <c:numCache>
                <c:formatCode>#,##0.000</c:formatCode>
                <c:ptCount val="48"/>
                <c:pt idx="0">
                  <c:v>3.7399999999998551E-4</c:v>
                </c:pt>
                <c:pt idx="1">
                  <c:v>-4.6466666666700179E-4</c:v>
                </c:pt>
                <c:pt idx="2">
                  <c:v>0.23455333333333311</c:v>
                </c:pt>
                <c:pt idx="3">
                  <c:v>0.13014400000000001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0.1183538632000003</c:v>
                </c:pt>
                <c:pt idx="8">
                  <c:v>1.36148408000001E-2</c:v>
                </c:pt>
                <c:pt idx="9">
                  <c:v>-4.295571999999998E-4</c:v>
                </c:pt>
                <c:pt idx="10">
                  <c:v>-3.4028826666798739E-4</c:v>
                </c:pt>
                <c:pt idx="11">
                  <c:v>2.8602346666806172E-4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3.8987853333294348E-4</c:v>
                </c:pt>
                <c:pt idx="15">
                  <c:v>-3.4242333333289737E-4</c:v>
                </c:pt>
                <c:pt idx="16">
                  <c:v>-0.14317939826666801</c:v>
                </c:pt>
                <c:pt idx="17">
                  <c:v>-2.4816509336000001</c:v>
                </c:pt>
                <c:pt idx="18">
                  <c:v>-2.4780256960000009</c:v>
                </c:pt>
                <c:pt idx="19">
                  <c:v>-2.7646134061333321</c:v>
                </c:pt>
                <c:pt idx="20">
                  <c:v>-2.9385076097333349</c:v>
                </c:pt>
                <c:pt idx="21">
                  <c:v>-3.0210711211999999</c:v>
                </c:pt>
                <c:pt idx="22">
                  <c:v>-3.2237763580000012</c:v>
                </c:pt>
                <c:pt idx="23">
                  <c:v>-2.8909791754666672</c:v>
                </c:pt>
                <c:pt idx="24">
                  <c:v>-3.379337429066668</c:v>
                </c:pt>
                <c:pt idx="25">
                  <c:v>-3.0837496720000002</c:v>
                </c:pt>
                <c:pt idx="26">
                  <c:v>-3.0048418153333332</c:v>
                </c:pt>
                <c:pt idx="27">
                  <c:v>-3.046139460800001</c:v>
                </c:pt>
                <c:pt idx="28">
                  <c:v>-2.7040897598666671</c:v>
                </c:pt>
                <c:pt idx="29">
                  <c:v>-2.7899515064000009</c:v>
                </c:pt>
                <c:pt idx="30">
                  <c:v>-2.3251351614666671</c:v>
                </c:pt>
                <c:pt idx="31">
                  <c:v>-1.863055187200001</c:v>
                </c:pt>
                <c:pt idx="32">
                  <c:v>-1.6964850573333321</c:v>
                </c:pt>
                <c:pt idx="33">
                  <c:v>-1.683608739599999</c:v>
                </c:pt>
                <c:pt idx="34">
                  <c:v>-1.3728700606666651</c:v>
                </c:pt>
                <c:pt idx="35">
                  <c:v>-0.94223495453333306</c:v>
                </c:pt>
                <c:pt idx="36">
                  <c:v>-0.86791693466666797</c:v>
                </c:pt>
                <c:pt idx="37">
                  <c:v>-0.50767605933333304</c:v>
                </c:pt>
                <c:pt idx="38">
                  <c:v>2.7191893333383682E-4</c:v>
                </c:pt>
                <c:pt idx="39">
                  <c:v>2.1138493333305861E-4</c:v>
                </c:pt>
                <c:pt idx="40">
                  <c:v>7.7557066667344188E-5</c:v>
                </c:pt>
                <c:pt idx="41">
                  <c:v>-1.1733333333296959E-4</c:v>
                </c:pt>
                <c:pt idx="42">
                  <c:v>-1.260000000000705E-4</c:v>
                </c:pt>
                <c:pt idx="43">
                  <c:v>-1.403333333329648E-4</c:v>
                </c:pt>
                <c:pt idx="44">
                  <c:v>-1.2999999999996351E-4</c:v>
                </c:pt>
                <c:pt idx="45">
                  <c:v>-4.0333333333086863E-5</c:v>
                </c:pt>
                <c:pt idx="46">
                  <c:v>-1.569999999999627E-4</c:v>
                </c:pt>
                <c:pt idx="47">
                  <c:v>3.4933333333329869E-4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2D99-454F-BBD8-208022A620A5}"/>
            </c:ext>
          </c:extLst>
        </c:ser>
        <c:ser>
          <c:idx val="66"/>
          <c:order val="66"/>
          <c:tx>
            <c:v>BES_TR2_six392_C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Net_kW!$BQ$2:$BQ$49</c:f>
              <c:numCache>
                <c:formatCode>#,##0.000</c:formatCode>
                <c:ptCount val="48"/>
                <c:pt idx="0">
                  <c:v>4.3199999999998789E-4</c:v>
                </c:pt>
                <c:pt idx="1">
                  <c:v>0</c:v>
                </c:pt>
                <c:pt idx="2">
                  <c:v>-4.7400000000003001E-4</c:v>
                </c:pt>
                <c:pt idx="3">
                  <c:v>-1.2400000000001299E-4</c:v>
                </c:pt>
                <c:pt idx="4">
                  <c:v>4.200000000000037E-4</c:v>
                </c:pt>
                <c:pt idx="5">
                  <c:v>-1.20000000000009E-4</c:v>
                </c:pt>
                <c:pt idx="6">
                  <c:v>1.3333333333004351E-5</c:v>
                </c:pt>
                <c:pt idx="7">
                  <c:v>3.9729696666668263E-4</c:v>
                </c:pt>
                <c:pt idx="8">
                  <c:v>2.9298570000044211E-4</c:v>
                </c:pt>
                <c:pt idx="9">
                  <c:v>4.9813745000001908E-4</c:v>
                </c:pt>
                <c:pt idx="10">
                  <c:v>-7.5418900001483768E-5</c:v>
                </c:pt>
                <c:pt idx="11">
                  <c:v>2.5293720000119091E-4</c:v>
                </c:pt>
                <c:pt idx="12">
                  <c:v>3.3456474999882252E-4</c:v>
                </c:pt>
                <c:pt idx="13">
                  <c:v>-2.018843333195797E-5</c:v>
                </c:pt>
                <c:pt idx="14">
                  <c:v>1.788103833328947E-4</c:v>
                </c:pt>
                <c:pt idx="15">
                  <c:v>-2.5916208333298663E-4</c:v>
                </c:pt>
                <c:pt idx="16">
                  <c:v>-3.6653223483335003E-2</c:v>
                </c:pt>
                <c:pt idx="17">
                  <c:v>-1.957406900233333</c:v>
                </c:pt>
                <c:pt idx="18">
                  <c:v>-2.2224801090000019</c:v>
                </c:pt>
                <c:pt idx="19">
                  <c:v>-2.2900894803666652</c:v>
                </c:pt>
                <c:pt idx="20">
                  <c:v>-2.317722491850001</c:v>
                </c:pt>
                <c:pt idx="21">
                  <c:v>-2.5039173143833331</c:v>
                </c:pt>
                <c:pt idx="22">
                  <c:v>-2.499285684083334</c:v>
                </c:pt>
                <c:pt idx="23">
                  <c:v>-2.7243468702000002</c:v>
                </c:pt>
                <c:pt idx="24">
                  <c:v>-2.7194878296000011</c:v>
                </c:pt>
                <c:pt idx="25">
                  <c:v>-2.6900521296666668</c:v>
                </c:pt>
                <c:pt idx="26">
                  <c:v>-2.7412570050833329</c:v>
                </c:pt>
                <c:pt idx="27">
                  <c:v>-2.7113422032000019</c:v>
                </c:pt>
                <c:pt idx="28">
                  <c:v>-2.4529314065499999</c:v>
                </c:pt>
                <c:pt idx="29">
                  <c:v>-2.403330401433335</c:v>
                </c:pt>
                <c:pt idx="30">
                  <c:v>-2.0879420996166669</c:v>
                </c:pt>
                <c:pt idx="31">
                  <c:v>-1.7197918721333341</c:v>
                </c:pt>
                <c:pt idx="32">
                  <c:v>-1.689241050166665</c:v>
                </c:pt>
                <c:pt idx="33">
                  <c:v>-1.190191363816665</c:v>
                </c:pt>
                <c:pt idx="34">
                  <c:v>-1.0841162614166651</c:v>
                </c:pt>
                <c:pt idx="35">
                  <c:v>-0.77463225188333307</c:v>
                </c:pt>
                <c:pt idx="36">
                  <c:v>-0.29822065116666752</c:v>
                </c:pt>
                <c:pt idx="37">
                  <c:v>-0.37175855191666701</c:v>
                </c:pt>
                <c:pt idx="38">
                  <c:v>-4.5496320933333501E-2</c:v>
                </c:pt>
                <c:pt idx="39">
                  <c:v>2.1371181666701711E-4</c:v>
                </c:pt>
                <c:pt idx="40">
                  <c:v>3.6669576666667481E-4</c:v>
                </c:pt>
                <c:pt idx="41">
                  <c:v>-2.6733333333295311E-4</c:v>
                </c:pt>
                <c:pt idx="42">
                  <c:v>9.133333333399829E-5</c:v>
                </c:pt>
                <c:pt idx="43">
                  <c:v>-2.090000000000147E-4</c:v>
                </c:pt>
                <c:pt idx="44">
                  <c:v>3.6500000000017069E-4</c:v>
                </c:pt>
                <c:pt idx="45">
                  <c:v>4.8499999999995769E-4</c:v>
                </c:pt>
                <c:pt idx="46">
                  <c:v>-2.8600000000000852E-4</c:v>
                </c:pt>
                <c:pt idx="47">
                  <c:v>2.6333333333340009E-4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D99-454F-BBD8-208022A620A5}"/>
            </c:ext>
          </c:extLst>
        </c:ser>
        <c:ser>
          <c:idx val="67"/>
          <c:order val="67"/>
          <c:tx>
            <c:v>BES_TR2_six410_A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Net_kW!$BR$2:$BR$49</c:f>
              <c:numCache>
                <c:formatCode>#,##0.000</c:formatCode>
                <c:ptCount val="48"/>
                <c:pt idx="0">
                  <c:v>-1.546666666669694E-4</c:v>
                </c:pt>
                <c:pt idx="1">
                  <c:v>0.1140433333333299</c:v>
                </c:pt>
                <c:pt idx="2">
                  <c:v>0.25795600000000002</c:v>
                </c:pt>
                <c:pt idx="3">
                  <c:v>0.52382166666666696</c:v>
                </c:pt>
                <c:pt idx="4">
                  <c:v>0.30180499999999999</c:v>
                </c:pt>
                <c:pt idx="5">
                  <c:v>0.155168</c:v>
                </c:pt>
                <c:pt idx="6">
                  <c:v>5.7037333333333301E-2</c:v>
                </c:pt>
                <c:pt idx="7">
                  <c:v>2.5559196533333339E-2</c:v>
                </c:pt>
                <c:pt idx="8">
                  <c:v>0.12646150746666679</c:v>
                </c:pt>
                <c:pt idx="9">
                  <c:v>4.3577613333328769E-4</c:v>
                </c:pt>
                <c:pt idx="10">
                  <c:v>-2.6562160000132012E-4</c:v>
                </c:pt>
                <c:pt idx="11">
                  <c:v>2.72690133334974E-4</c:v>
                </c:pt>
                <c:pt idx="12">
                  <c:v>8.1407333331728893E-5</c:v>
                </c:pt>
                <c:pt idx="13">
                  <c:v>4.6416560000106521E-4</c:v>
                </c:pt>
                <c:pt idx="14">
                  <c:v>4.0545199999852948E-5</c:v>
                </c:pt>
                <c:pt idx="15">
                  <c:v>4.11243333333422E-4</c:v>
                </c:pt>
                <c:pt idx="16">
                  <c:v>-1.076161398266668</c:v>
                </c:pt>
                <c:pt idx="17">
                  <c:v>-2.5076509335999999</c:v>
                </c:pt>
                <c:pt idx="18">
                  <c:v>-2.7395753626666681</c:v>
                </c:pt>
                <c:pt idx="19">
                  <c:v>-2.888318072799998</c:v>
                </c:pt>
                <c:pt idx="20">
                  <c:v>-3.0058689430666679</c:v>
                </c:pt>
                <c:pt idx="21">
                  <c:v>-3.2543051211999998</c:v>
                </c:pt>
                <c:pt idx="22">
                  <c:v>-3.0440805913333349</c:v>
                </c:pt>
                <c:pt idx="23">
                  <c:v>-3.1241597088000002</c:v>
                </c:pt>
                <c:pt idx="24">
                  <c:v>-3.4064719957333351</c:v>
                </c:pt>
                <c:pt idx="25">
                  <c:v>-3.2421256719999998</c:v>
                </c:pt>
                <c:pt idx="26">
                  <c:v>-3.3081584820000001</c:v>
                </c:pt>
                <c:pt idx="27">
                  <c:v>-3.051156994133335</c:v>
                </c:pt>
                <c:pt idx="28">
                  <c:v>-2.763563226533333</c:v>
                </c:pt>
                <c:pt idx="29">
                  <c:v>-2.6222441730666679</c:v>
                </c:pt>
                <c:pt idx="30">
                  <c:v>-2.4915424948</c:v>
                </c:pt>
                <c:pt idx="31">
                  <c:v>-2.1277011872000009</c:v>
                </c:pt>
                <c:pt idx="32">
                  <c:v>-1.7744633906666649</c:v>
                </c:pt>
                <c:pt idx="33">
                  <c:v>-1.6010982729333321</c:v>
                </c:pt>
                <c:pt idx="34">
                  <c:v>-1.3558455273333321</c:v>
                </c:pt>
                <c:pt idx="35">
                  <c:v>-1.1124946212</c:v>
                </c:pt>
                <c:pt idx="36">
                  <c:v>-0.16872293466666799</c:v>
                </c:pt>
                <c:pt idx="37">
                  <c:v>-4.0724059333333007E-2</c:v>
                </c:pt>
                <c:pt idx="38">
                  <c:v>-3.4774773333316739E-4</c:v>
                </c:pt>
                <c:pt idx="39">
                  <c:v>-3.1028173332980907E-4</c:v>
                </c:pt>
                <c:pt idx="40">
                  <c:v>-4.5910959999972972E-4</c:v>
                </c:pt>
                <c:pt idx="41">
                  <c:v>-3.5366666666702962E-4</c:v>
                </c:pt>
                <c:pt idx="42">
                  <c:v>2.6399999999998652E-4</c:v>
                </c:pt>
                <c:pt idx="43">
                  <c:v>4.5000000000000601E-4</c:v>
                </c:pt>
                <c:pt idx="44">
                  <c:v>6.5333333334027799E-5</c:v>
                </c:pt>
                <c:pt idx="45">
                  <c:v>-4.06666666670219E-5</c:v>
                </c:pt>
                <c:pt idx="46">
                  <c:v>-1.5300000000001421E-4</c:v>
                </c:pt>
                <c:pt idx="47">
                  <c:v>2.8466666666668311E-4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2D99-454F-BBD8-208022A620A5}"/>
            </c:ext>
          </c:extLst>
        </c:ser>
        <c:ser>
          <c:idx val="68"/>
          <c:order val="68"/>
          <c:tx>
            <c:v>BES_TR2_six431_C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Net_kW!$BS$2:$BS$49</c:f>
              <c:numCache>
                <c:formatCode>#,##0.000</c:formatCode>
                <c:ptCount val="48"/>
                <c:pt idx="0">
                  <c:v>-2.03999999999982E-4</c:v>
                </c:pt>
                <c:pt idx="1">
                  <c:v>0</c:v>
                </c:pt>
                <c:pt idx="2">
                  <c:v>-2.4933333333299062E-4</c:v>
                </c:pt>
                <c:pt idx="3">
                  <c:v>0</c:v>
                </c:pt>
                <c:pt idx="4">
                  <c:v>-9.0666666667002516E-5</c:v>
                </c:pt>
                <c:pt idx="5">
                  <c:v>-1.5866666666700111E-4</c:v>
                </c:pt>
                <c:pt idx="6">
                  <c:v>0</c:v>
                </c:pt>
                <c:pt idx="7">
                  <c:v>-4.4080346666667408E-4</c:v>
                </c:pt>
                <c:pt idx="8">
                  <c:v>1.521741333337934E-4</c:v>
                </c:pt>
                <c:pt idx="9">
                  <c:v>2.9044280000001249E-4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-1.6792600000115071E-4</c:v>
                </c:pt>
                <c:pt idx="13">
                  <c:v>-4.7950106666187759E-4</c:v>
                </c:pt>
                <c:pt idx="14">
                  <c:v>-3.3245480000010369E-4</c:v>
                </c:pt>
                <c:pt idx="15">
                  <c:v>4.0576666667124783E-5</c:v>
                </c:pt>
                <c:pt idx="16">
                  <c:v>-3.473982666679643E-4</c:v>
                </c:pt>
                <c:pt idx="17">
                  <c:v>-1.8301202669333341</c:v>
                </c:pt>
                <c:pt idx="18">
                  <c:v>-2.5166853626666681</c:v>
                </c:pt>
                <c:pt idx="19">
                  <c:v>-2.5967427394666651</c:v>
                </c:pt>
                <c:pt idx="20">
                  <c:v>-1.645273609733338</c:v>
                </c:pt>
                <c:pt idx="21">
                  <c:v>-3.0644151212000001</c:v>
                </c:pt>
                <c:pt idx="22">
                  <c:v>-2.684619258000001</c:v>
                </c:pt>
                <c:pt idx="23">
                  <c:v>-1.5485600421333301</c:v>
                </c:pt>
                <c:pt idx="24">
                  <c:v>-3.362526662400001</c:v>
                </c:pt>
                <c:pt idx="25">
                  <c:v>-3.0525043386666662</c:v>
                </c:pt>
                <c:pt idx="26">
                  <c:v>-3.2784918153333331</c:v>
                </c:pt>
                <c:pt idx="27">
                  <c:v>-2.668806327466668</c:v>
                </c:pt>
                <c:pt idx="28">
                  <c:v>-2.9546892265333331</c:v>
                </c:pt>
                <c:pt idx="29">
                  <c:v>-2.4878161730666681</c:v>
                </c:pt>
                <c:pt idx="30">
                  <c:v>-1.2792744948000001</c:v>
                </c:pt>
                <c:pt idx="31">
                  <c:v>-1.652464187200001</c:v>
                </c:pt>
                <c:pt idx="32">
                  <c:v>-1.6066207239999979</c:v>
                </c:pt>
                <c:pt idx="33">
                  <c:v>-1.4011106062666649</c:v>
                </c:pt>
                <c:pt idx="34">
                  <c:v>-0.85148072733333191</c:v>
                </c:pt>
                <c:pt idx="35">
                  <c:v>-0.79582428786666704</c:v>
                </c:pt>
                <c:pt idx="36">
                  <c:v>-0.28297660133333502</c:v>
                </c:pt>
                <c:pt idx="37">
                  <c:v>-4.4392666670223242E-5</c:v>
                </c:pt>
                <c:pt idx="38">
                  <c:v>-2.8741440000290552E-4</c:v>
                </c:pt>
                <c:pt idx="39">
                  <c:v>2.1805159999988E-4</c:v>
                </c:pt>
                <c:pt idx="40">
                  <c:v>1.3290223733333269E-2</c:v>
                </c:pt>
                <c:pt idx="41">
                  <c:v>0.50479333333333298</c:v>
                </c:pt>
                <c:pt idx="42">
                  <c:v>1.6946383333333299</c:v>
                </c:pt>
                <c:pt idx="43">
                  <c:v>0.88264866666666697</c:v>
                </c:pt>
                <c:pt idx="44">
                  <c:v>0.87443666666666697</c:v>
                </c:pt>
                <c:pt idx="45">
                  <c:v>0.170231666666666</c:v>
                </c:pt>
                <c:pt idx="46">
                  <c:v>5.1999999999999998E-2</c:v>
                </c:pt>
                <c:pt idx="47">
                  <c:v>0.205750666666667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D99-454F-BBD8-208022A620A5}"/>
            </c:ext>
          </c:extLst>
        </c:ser>
        <c:ser>
          <c:idx val="69"/>
          <c:order val="69"/>
          <c:tx>
            <c:v>BES_TR2_six484_B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Net_kW!$BT$2:$BT$49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-4.099999999999937E-4</c:v>
                </c:pt>
                <c:pt idx="3">
                  <c:v>0</c:v>
                </c:pt>
                <c:pt idx="4">
                  <c:v>0</c:v>
                </c:pt>
                <c:pt idx="5">
                  <c:v>-4.099999999999937E-4</c:v>
                </c:pt>
                <c:pt idx="6">
                  <c:v>0</c:v>
                </c:pt>
                <c:pt idx="7">
                  <c:v>-1.505021666666703E-4</c:v>
                </c:pt>
                <c:pt idx="8">
                  <c:v>-4.940578333332557E-4</c:v>
                </c:pt>
                <c:pt idx="9">
                  <c:v>-3.584732500000049E-4</c:v>
                </c:pt>
                <c:pt idx="10">
                  <c:v>-3.3768016666751999E-4</c:v>
                </c:pt>
                <c:pt idx="11">
                  <c:v>-7.1235333332475559E-5</c:v>
                </c:pt>
                <c:pt idx="12">
                  <c:v>5.0879583332497091E-5</c:v>
                </c:pt>
                <c:pt idx="13">
                  <c:v>4.1177016666749111E-4</c:v>
                </c:pt>
                <c:pt idx="14">
                  <c:v>3.6534074999994282E-4</c:v>
                </c:pt>
                <c:pt idx="15">
                  <c:v>-1.413062499999729E-4</c:v>
                </c:pt>
                <c:pt idx="16">
                  <c:v>2.3732608333204561E-4</c:v>
                </c:pt>
                <c:pt idx="17">
                  <c:v>-1.9643349999995399E-4</c:v>
                </c:pt>
                <c:pt idx="18">
                  <c:v>-0.71015960166666814</c:v>
                </c:pt>
                <c:pt idx="19">
                  <c:v>-1.376922962166665</c:v>
                </c:pt>
                <c:pt idx="20">
                  <c:v>4.944105833329937E-4</c:v>
                </c:pt>
                <c:pt idx="21">
                  <c:v>-4.990340833301854E-4</c:v>
                </c:pt>
                <c:pt idx="22">
                  <c:v>-0.37211120291666711</c:v>
                </c:pt>
                <c:pt idx="23">
                  <c:v>-2.1054791929999999</c:v>
                </c:pt>
                <c:pt idx="24">
                  <c:v>-2.113550830666667</c:v>
                </c:pt>
                <c:pt idx="25">
                  <c:v>-1.9978610450000001</c:v>
                </c:pt>
                <c:pt idx="26">
                  <c:v>-2.0477240512499999</c:v>
                </c:pt>
                <c:pt idx="27">
                  <c:v>-1.905668954666667</c:v>
                </c:pt>
                <c:pt idx="28">
                  <c:v>-1.8420174332499999</c:v>
                </c:pt>
                <c:pt idx="29">
                  <c:v>-1.760868858166668</c:v>
                </c:pt>
                <c:pt idx="30">
                  <c:v>-1.5358653092500001</c:v>
                </c:pt>
                <c:pt idx="31">
                  <c:v>-1.4867399086666679</c:v>
                </c:pt>
                <c:pt idx="32">
                  <c:v>-1.2893850358333321</c:v>
                </c:pt>
                <c:pt idx="33">
                  <c:v>-1.042694545583333</c:v>
                </c:pt>
                <c:pt idx="34">
                  <c:v>-0.92400732958333243</c:v>
                </c:pt>
                <c:pt idx="35">
                  <c:v>-0.62762851325000002</c:v>
                </c:pt>
                <c:pt idx="36">
                  <c:v>-0.53882308416666747</c:v>
                </c:pt>
                <c:pt idx="37">
                  <c:v>-0.30070587041666669</c:v>
                </c:pt>
                <c:pt idx="38">
                  <c:v>3.0753266666682521E-4</c:v>
                </c:pt>
                <c:pt idx="39">
                  <c:v>-3.4163441666695832E-4</c:v>
                </c:pt>
                <c:pt idx="40">
                  <c:v>4.0973166666291583E-5</c:v>
                </c:pt>
                <c:pt idx="41">
                  <c:v>3.0766666666703912E-4</c:v>
                </c:pt>
                <c:pt idx="42">
                  <c:v>7.2666666666998392E-5</c:v>
                </c:pt>
                <c:pt idx="43">
                  <c:v>2.8600000000000852E-4</c:v>
                </c:pt>
                <c:pt idx="44">
                  <c:v>4.049999999999887E-4</c:v>
                </c:pt>
                <c:pt idx="45">
                  <c:v>0</c:v>
                </c:pt>
                <c:pt idx="46">
                  <c:v>-4.099999999999937E-4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2D99-454F-BBD8-208022A620A5}"/>
            </c:ext>
          </c:extLst>
        </c:ser>
        <c:ser>
          <c:idx val="70"/>
          <c:order val="70"/>
          <c:tx>
            <c:v>BES_TR2_six512_B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Net_kW!$BU$2:$BU$49</c:f>
              <c:numCache>
                <c:formatCode>#,##0.000</c:formatCode>
                <c:ptCount val="48"/>
                <c:pt idx="0">
                  <c:v>1.973333333339933E-4</c:v>
                </c:pt>
                <c:pt idx="1">
                  <c:v>-2.5900000000000922E-4</c:v>
                </c:pt>
                <c:pt idx="2">
                  <c:v>4.46000000000002E-4</c:v>
                </c:pt>
                <c:pt idx="3">
                  <c:v>1.466666666669891E-4</c:v>
                </c:pt>
                <c:pt idx="4">
                  <c:v>3.5266666666700092E-4</c:v>
                </c:pt>
                <c:pt idx="5">
                  <c:v>8.8000000000032497E-5</c:v>
                </c:pt>
                <c:pt idx="6">
                  <c:v>4.1133333333298611E-4</c:v>
                </c:pt>
                <c:pt idx="7">
                  <c:v>-4.4080346666666709E-4</c:v>
                </c:pt>
                <c:pt idx="8">
                  <c:v>-2.3515920000019561E-4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1.5669013333474699E-4</c:v>
                </c:pt>
                <c:pt idx="12">
                  <c:v>2.2807399999891231E-4</c:v>
                </c:pt>
                <c:pt idx="13">
                  <c:v>1.5083226666812169E-4</c:v>
                </c:pt>
                <c:pt idx="14">
                  <c:v>-4.9878813333359417E-4</c:v>
                </c:pt>
                <c:pt idx="15">
                  <c:v>-4.7942333333295117E-4</c:v>
                </c:pt>
                <c:pt idx="16">
                  <c:v>-1.7489233982666681</c:v>
                </c:pt>
                <c:pt idx="17">
                  <c:v>-2.330008800266667</c:v>
                </c:pt>
                <c:pt idx="18">
                  <c:v>-2.6800910293333349</c:v>
                </c:pt>
                <c:pt idx="19">
                  <c:v>-2.8054417394666649</c:v>
                </c:pt>
                <c:pt idx="20">
                  <c:v>-3.0102709430666681</c:v>
                </c:pt>
                <c:pt idx="21">
                  <c:v>-2.5252003545333328</c:v>
                </c:pt>
                <c:pt idx="22">
                  <c:v>-0.86206459133333802</c:v>
                </c:pt>
                <c:pt idx="23">
                  <c:v>-1.6443528087999999</c:v>
                </c:pt>
                <c:pt idx="24">
                  <c:v>-3.2805190624000011</c:v>
                </c:pt>
                <c:pt idx="25">
                  <c:v>-3.126907272</c:v>
                </c:pt>
                <c:pt idx="26">
                  <c:v>-3.2856447819999999</c:v>
                </c:pt>
                <c:pt idx="27">
                  <c:v>-3.0382023274666681</c:v>
                </c:pt>
                <c:pt idx="28">
                  <c:v>-2.9954785598666671</c:v>
                </c:pt>
                <c:pt idx="29">
                  <c:v>-2.7556095064000008</c:v>
                </c:pt>
                <c:pt idx="30">
                  <c:v>-2.5433248281333332</c:v>
                </c:pt>
                <c:pt idx="31">
                  <c:v>-2.3334688538666679</c:v>
                </c:pt>
                <c:pt idx="32">
                  <c:v>-1.9796533906666649</c:v>
                </c:pt>
                <c:pt idx="33">
                  <c:v>-1.755681006266665</c:v>
                </c:pt>
                <c:pt idx="34">
                  <c:v>-1.3518083273333319</c:v>
                </c:pt>
                <c:pt idx="35">
                  <c:v>-0.90224595453333301</c:v>
                </c:pt>
                <c:pt idx="36">
                  <c:v>-1.389346666680891E-4</c:v>
                </c:pt>
                <c:pt idx="37">
                  <c:v>-0.21109475933333299</c:v>
                </c:pt>
                <c:pt idx="38">
                  <c:v>-0.1803787144000002</c:v>
                </c:pt>
                <c:pt idx="39">
                  <c:v>3.2471826666702341E-4</c:v>
                </c:pt>
                <c:pt idx="40">
                  <c:v>3.4089040000034881E-4</c:v>
                </c:pt>
                <c:pt idx="41">
                  <c:v>8.3599999999989238E-5</c:v>
                </c:pt>
                <c:pt idx="42">
                  <c:v>-3.8319999999997251E-4</c:v>
                </c:pt>
                <c:pt idx="43">
                  <c:v>4.359999999999919E-4</c:v>
                </c:pt>
                <c:pt idx="44">
                  <c:v>-8.6000000000030496E-5</c:v>
                </c:pt>
                <c:pt idx="45">
                  <c:v>9.1666666666045948E-5</c:v>
                </c:pt>
                <c:pt idx="46">
                  <c:v>2.8066666666703988E-4</c:v>
                </c:pt>
                <c:pt idx="47">
                  <c:v>-3.5666666666700492E-4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D99-454F-BBD8-208022A620A5}"/>
            </c:ext>
          </c:extLst>
        </c:ser>
        <c:ser>
          <c:idx val="71"/>
          <c:order val="71"/>
          <c:tx>
            <c:v>BES_TR2_six518_B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Net_kW!$BV$2:$BV$49</c:f>
              <c:numCache>
                <c:formatCode>#,##0.000</c:formatCode>
                <c:ptCount val="48"/>
                <c:pt idx="0">
                  <c:v>-2.0000000000006121E-5</c:v>
                </c:pt>
                <c:pt idx="1">
                  <c:v>-4.733333333330203E-4</c:v>
                </c:pt>
                <c:pt idx="2">
                  <c:v>0</c:v>
                </c:pt>
                <c:pt idx="3">
                  <c:v>2.9999999999999472E-4</c:v>
                </c:pt>
                <c:pt idx="4">
                  <c:v>2.066666666670075E-4</c:v>
                </c:pt>
                <c:pt idx="5">
                  <c:v>0</c:v>
                </c:pt>
                <c:pt idx="6">
                  <c:v>0</c:v>
                </c:pt>
                <c:pt idx="7">
                  <c:v>2.5959826666666069E-4</c:v>
                </c:pt>
                <c:pt idx="8">
                  <c:v>-3.4057959999961312E-4</c:v>
                </c:pt>
                <c:pt idx="9">
                  <c:v>-2.8677860000000249E-4</c:v>
                </c:pt>
                <c:pt idx="10">
                  <c:v>-1.0144133334000219E-5</c:v>
                </c:pt>
                <c:pt idx="11">
                  <c:v>-8.2321599998991246E-5</c:v>
                </c:pt>
                <c:pt idx="12">
                  <c:v>4.0703666665919958E-5</c:v>
                </c:pt>
                <c:pt idx="13">
                  <c:v>-1.3725053333296661E-4</c:v>
                </c:pt>
                <c:pt idx="14">
                  <c:v>-2.0639406666678181E-4</c:v>
                </c:pt>
                <c:pt idx="15">
                  <c:v>-3.1304499999984531E-4</c:v>
                </c:pt>
                <c:pt idx="16">
                  <c:v>-1.646991333339454E-4</c:v>
                </c:pt>
                <c:pt idx="17">
                  <c:v>2.011998666671122E-4</c:v>
                </c:pt>
                <c:pt idx="18">
                  <c:v>1.649853333357543E-4</c:v>
                </c:pt>
                <c:pt idx="19">
                  <c:v>-4.819697333338091E-4</c:v>
                </c:pt>
                <c:pt idx="20">
                  <c:v>-0.49000900486666682</c:v>
                </c:pt>
                <c:pt idx="21">
                  <c:v>-1.3870558939333331</c:v>
                </c:pt>
                <c:pt idx="22">
                  <c:v>-1.504534295666667</c:v>
                </c:pt>
                <c:pt idx="23">
                  <c:v>-1.3793683543999999</c:v>
                </c:pt>
                <c:pt idx="24">
                  <c:v>-1.3082762978666671</c:v>
                </c:pt>
                <c:pt idx="25">
                  <c:v>-1.6551608360000001</c:v>
                </c:pt>
                <c:pt idx="26">
                  <c:v>-1.5043925743333331</c:v>
                </c:pt>
                <c:pt idx="27">
                  <c:v>-1.511347163733334</c:v>
                </c:pt>
                <c:pt idx="28">
                  <c:v>-1.4787539465999999</c:v>
                </c:pt>
                <c:pt idx="29">
                  <c:v>-1.2335884198666669</c:v>
                </c:pt>
                <c:pt idx="30">
                  <c:v>-1.2855642474</c:v>
                </c:pt>
                <c:pt idx="31">
                  <c:v>-1.1657919269333341</c:v>
                </c:pt>
                <c:pt idx="32">
                  <c:v>-0.86885416199999888</c:v>
                </c:pt>
                <c:pt idx="33">
                  <c:v>-0.81808636979999894</c:v>
                </c:pt>
                <c:pt idx="34">
                  <c:v>-0.46552953033333289</c:v>
                </c:pt>
                <c:pt idx="35">
                  <c:v>-0.55897481059999998</c:v>
                </c:pt>
                <c:pt idx="36">
                  <c:v>-0.338591800666667</c:v>
                </c:pt>
                <c:pt idx="37">
                  <c:v>2.7497033333295778E-4</c:v>
                </c:pt>
                <c:pt idx="38">
                  <c:v>2.9594666664523039E-6</c:v>
                </c:pt>
                <c:pt idx="39">
                  <c:v>-2.7640866667066891E-5</c:v>
                </c:pt>
                <c:pt idx="40">
                  <c:v>-1.188881333333835E-4</c:v>
                </c:pt>
                <c:pt idx="41">
                  <c:v>-1.753333333298634E-4</c:v>
                </c:pt>
                <c:pt idx="42">
                  <c:v>-4.183333333329653E-4</c:v>
                </c:pt>
                <c:pt idx="43">
                  <c:v>-2.186666666669779E-4</c:v>
                </c:pt>
                <c:pt idx="44">
                  <c:v>-2.7399999999988539E-4</c:v>
                </c:pt>
                <c:pt idx="45">
                  <c:v>-1.0000000000009999E-5</c:v>
                </c:pt>
                <c:pt idx="46">
                  <c:v>4.1566666666703611E-4</c:v>
                </c:pt>
                <c:pt idx="47">
                  <c:v>4.7133333333299049E-4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2D99-454F-BBD8-208022A620A5}"/>
            </c:ext>
          </c:extLst>
        </c:ser>
        <c:ser>
          <c:idx val="72"/>
          <c:order val="72"/>
          <c:tx>
            <c:v>BES_TR2_six523_C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Net_kW!$BW$2:$BW$49</c:f>
              <c:numCache>
                <c:formatCode>#,##0.000</c:formatCode>
                <c:ptCount val="48"/>
                <c:pt idx="0">
                  <c:v>0</c:v>
                </c:pt>
                <c:pt idx="1">
                  <c:v>4.7999999999999432E-4</c:v>
                </c:pt>
                <c:pt idx="2">
                  <c:v>-3.2533333333301112E-4</c:v>
                </c:pt>
                <c:pt idx="3">
                  <c:v>-6.7999999999998617E-5</c:v>
                </c:pt>
                <c:pt idx="4">
                  <c:v>3.2999999999999702E-4</c:v>
                </c:pt>
                <c:pt idx="5">
                  <c:v>2.3333333333042109E-5</c:v>
                </c:pt>
                <c:pt idx="6">
                  <c:v>1.993333333329961E-4</c:v>
                </c:pt>
                <c:pt idx="7">
                  <c:v>-2.9973506666633448E-4</c:v>
                </c:pt>
                <c:pt idx="8">
                  <c:v>3.327537333333852E-4</c:v>
                </c:pt>
                <c:pt idx="9">
                  <c:v>-2.8677859999999561E-4</c:v>
                </c:pt>
                <c:pt idx="10">
                  <c:v>4.5552253333297488E-4</c:v>
                </c:pt>
                <c:pt idx="11">
                  <c:v>4.3701173333403689E-4</c:v>
                </c:pt>
                <c:pt idx="12">
                  <c:v>1.273703333329324E-4</c:v>
                </c:pt>
                <c:pt idx="13">
                  <c:v>-2.9025053333608941E-4</c:v>
                </c:pt>
                <c:pt idx="14">
                  <c:v>4.5893926666695778E-4</c:v>
                </c:pt>
                <c:pt idx="15">
                  <c:v>-2.090449999999078E-4</c:v>
                </c:pt>
                <c:pt idx="16">
                  <c:v>2.4930086666585799E-4</c:v>
                </c:pt>
                <c:pt idx="17">
                  <c:v>-5.3466799999957182E-5</c:v>
                </c:pt>
                <c:pt idx="18">
                  <c:v>-5.3681333333943648E-5</c:v>
                </c:pt>
                <c:pt idx="19">
                  <c:v>3.1663026666706168E-4</c:v>
                </c:pt>
                <c:pt idx="20">
                  <c:v>3.0552846666620498E-4</c:v>
                </c:pt>
                <c:pt idx="21">
                  <c:v>-0.66828162726666607</c:v>
                </c:pt>
                <c:pt idx="22">
                  <c:v>-3.1962900000048761E-4</c:v>
                </c:pt>
                <c:pt idx="23">
                  <c:v>-1.0207833544</c:v>
                </c:pt>
                <c:pt idx="24">
                  <c:v>-1.4065267312000009</c:v>
                </c:pt>
                <c:pt idx="25">
                  <c:v>-1.1967281693333329</c:v>
                </c:pt>
                <c:pt idx="26">
                  <c:v>-1.6205792409999999</c:v>
                </c:pt>
                <c:pt idx="27">
                  <c:v>-1.322842497066667</c:v>
                </c:pt>
                <c:pt idx="28">
                  <c:v>-1.3834919466</c:v>
                </c:pt>
                <c:pt idx="29">
                  <c:v>-1.391095086533334</c:v>
                </c:pt>
                <c:pt idx="30">
                  <c:v>-0.97617658073333302</c:v>
                </c:pt>
                <c:pt idx="31">
                  <c:v>-1.150092926933334</c:v>
                </c:pt>
                <c:pt idx="32">
                  <c:v>-1.0369000286666661</c:v>
                </c:pt>
                <c:pt idx="33">
                  <c:v>-0.76050363646666597</c:v>
                </c:pt>
                <c:pt idx="34">
                  <c:v>-0.45020569699999902</c:v>
                </c:pt>
                <c:pt idx="35">
                  <c:v>-0.51869981060000003</c:v>
                </c:pt>
                <c:pt idx="36">
                  <c:v>-2.9134000003927522E-5</c:v>
                </c:pt>
                <c:pt idx="37">
                  <c:v>-4.320296666670137E-4</c:v>
                </c:pt>
                <c:pt idx="38">
                  <c:v>9.7892800000415336E-5</c:v>
                </c:pt>
                <c:pt idx="39">
                  <c:v>-5.730753333299532E-5</c:v>
                </c:pt>
                <c:pt idx="40">
                  <c:v>-1.935548000003284E-4</c:v>
                </c:pt>
                <c:pt idx="41">
                  <c:v>3.2499999999996421E-4</c:v>
                </c:pt>
                <c:pt idx="42">
                  <c:v>-2.4733333333304408E-4</c:v>
                </c:pt>
                <c:pt idx="43">
                  <c:v>-3.41333333330196E-4</c:v>
                </c:pt>
                <c:pt idx="44">
                  <c:v>-4.2433333333391499E-4</c:v>
                </c:pt>
                <c:pt idx="45">
                  <c:v>-1.4866666666701889E-4</c:v>
                </c:pt>
                <c:pt idx="46">
                  <c:v>4.7766666666693158E-4</c:v>
                </c:pt>
                <c:pt idx="47">
                  <c:v>-4.7299999999994569E-4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D99-454F-BBD8-208022A620A5}"/>
            </c:ext>
          </c:extLst>
        </c:ser>
        <c:ser>
          <c:idx val="73"/>
          <c:order val="73"/>
          <c:tx>
            <c:v>BES_TR2_six571_C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Net_kW!$BX$2:$BX$49</c:f>
              <c:numCache>
                <c:formatCode>#,##0.000</c:formatCode>
                <c:ptCount val="48"/>
                <c:pt idx="0">
                  <c:v>-2.5333333332988591E-5</c:v>
                </c:pt>
                <c:pt idx="1">
                  <c:v>0</c:v>
                </c:pt>
                <c:pt idx="2">
                  <c:v>1.2799999999996151E-4</c:v>
                </c:pt>
                <c:pt idx="3">
                  <c:v>-7.8333333333291399E-5</c:v>
                </c:pt>
                <c:pt idx="4">
                  <c:v>4.996666666670091E-4</c:v>
                </c:pt>
                <c:pt idx="5">
                  <c:v>4.089999999999927E-4</c:v>
                </c:pt>
                <c:pt idx="6">
                  <c:v>7.299999999998974E-5</c:v>
                </c:pt>
                <c:pt idx="7">
                  <c:v>1.140640666669746E-4</c:v>
                </c:pt>
                <c:pt idx="8">
                  <c:v>-9.2202733332907849E-5</c:v>
                </c:pt>
                <c:pt idx="9">
                  <c:v>3.3049876666700791E-4</c:v>
                </c:pt>
                <c:pt idx="10">
                  <c:v>-2.5388286666701287E-4</c:v>
                </c:pt>
                <c:pt idx="11">
                  <c:v>3.7851760000107149E-4</c:v>
                </c:pt>
                <c:pt idx="12">
                  <c:v>2.6038883333190382E-4</c:v>
                </c:pt>
                <c:pt idx="13">
                  <c:v>-3.9887579999897671E-4</c:v>
                </c:pt>
                <c:pt idx="14">
                  <c:v>-4.3659109999993889E-4</c:v>
                </c:pt>
                <c:pt idx="15">
                  <c:v>2.4509916666715093E-4</c:v>
                </c:pt>
                <c:pt idx="16">
                  <c:v>2.4295129999885029E-4</c:v>
                </c:pt>
                <c:pt idx="17">
                  <c:v>-3.8286686666699771E-4</c:v>
                </c:pt>
                <c:pt idx="18">
                  <c:v>-1.6262975220000011</c:v>
                </c:pt>
                <c:pt idx="19">
                  <c:v>-1.863497554599999</c:v>
                </c:pt>
                <c:pt idx="20">
                  <c:v>-1.9080313739666681</c:v>
                </c:pt>
                <c:pt idx="21">
                  <c:v>-0.25302450756666989</c:v>
                </c:pt>
                <c:pt idx="22">
                  <c:v>6.6556499999141649E-5</c:v>
                </c:pt>
                <c:pt idx="23">
                  <c:v>-0.55619203160000019</c:v>
                </c:pt>
                <c:pt idx="24">
                  <c:v>-2.3728633301333342</c:v>
                </c:pt>
                <c:pt idx="25">
                  <c:v>-2.2998415873333329</c:v>
                </c:pt>
                <c:pt idx="26">
                  <c:v>-2.2630228615000001</c:v>
                </c:pt>
                <c:pt idx="27">
                  <c:v>-1.2764984122666709</c:v>
                </c:pt>
                <c:pt idx="28">
                  <c:v>-1.693492586566667</c:v>
                </c:pt>
                <c:pt idx="29">
                  <c:v>-1.759022296466668</c:v>
                </c:pt>
                <c:pt idx="30">
                  <c:v>-1.763365037766667</c:v>
                </c:pt>
                <c:pt idx="31">
                  <c:v>-1.6870205570666681</c:v>
                </c:pt>
                <c:pt idx="32">
                  <c:v>-1.485510709666666</c:v>
                </c:pt>
                <c:pt idx="33">
                  <c:v>-0.67486345469999909</c:v>
                </c:pt>
                <c:pt idx="34">
                  <c:v>-0.44843379549999912</c:v>
                </c:pt>
                <c:pt idx="35">
                  <c:v>-0.20027821590000011</c:v>
                </c:pt>
                <c:pt idx="36">
                  <c:v>8.163233333194353E-5</c:v>
                </c:pt>
                <c:pt idx="37">
                  <c:v>2.0695550000001531E-4</c:v>
                </c:pt>
                <c:pt idx="38">
                  <c:v>-3.7689413333291682E-4</c:v>
                </c:pt>
                <c:pt idx="39">
                  <c:v>-2.6862796666704552E-4</c:v>
                </c:pt>
                <c:pt idx="40">
                  <c:v>2.4450113333396312E-4</c:v>
                </c:pt>
                <c:pt idx="41">
                  <c:v>3.0266666666697861E-4</c:v>
                </c:pt>
                <c:pt idx="42">
                  <c:v>-2.6866666666697242E-4</c:v>
                </c:pt>
                <c:pt idx="43">
                  <c:v>-7.2666666666609814E-5</c:v>
                </c:pt>
                <c:pt idx="44">
                  <c:v>-4.1600000000002751E-4</c:v>
                </c:pt>
                <c:pt idx="45">
                  <c:v>0</c:v>
                </c:pt>
                <c:pt idx="46">
                  <c:v>-1.070000000000237E-4</c:v>
                </c:pt>
                <c:pt idx="47">
                  <c:v>-4.7000000000005371E-5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2D99-454F-BBD8-208022A620A5}"/>
            </c:ext>
          </c:extLst>
        </c:ser>
        <c:ser>
          <c:idx val="74"/>
          <c:order val="74"/>
          <c:tx>
            <c:v>BES_TR2_six583_A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Net_kW!$BY$2:$BY$49</c:f>
              <c:numCache>
                <c:formatCode>#,##0.000</c:formatCode>
                <c:ptCount val="48"/>
                <c:pt idx="0">
                  <c:v>0</c:v>
                </c:pt>
                <c:pt idx="1">
                  <c:v>4.7233333333299149E-4</c:v>
                </c:pt>
                <c:pt idx="2">
                  <c:v>3.0299999999999772E-4</c:v>
                </c:pt>
                <c:pt idx="3">
                  <c:v>0</c:v>
                </c:pt>
                <c:pt idx="4">
                  <c:v>4.539999999999822E-4</c:v>
                </c:pt>
                <c:pt idx="5">
                  <c:v>3.1666666666699261E-4</c:v>
                </c:pt>
                <c:pt idx="6">
                  <c:v>0</c:v>
                </c:pt>
                <c:pt idx="7">
                  <c:v>-1.0703033333329949E-5</c:v>
                </c:pt>
                <c:pt idx="8">
                  <c:v>-2.0101429999953849E-4</c:v>
                </c:pt>
                <c:pt idx="9">
                  <c:v>4.3137450000008133E-5</c:v>
                </c:pt>
                <c:pt idx="10">
                  <c:v>-2.2208556666780679E-4</c:v>
                </c:pt>
                <c:pt idx="11">
                  <c:v>1.6427053333456509E-4</c:v>
                </c:pt>
                <c:pt idx="12">
                  <c:v>1.023141666534055E-5</c:v>
                </c:pt>
                <c:pt idx="13">
                  <c:v>-2.3521766664869052E-5</c:v>
                </c:pt>
                <c:pt idx="14">
                  <c:v>-3.9785628333288692E-4</c:v>
                </c:pt>
                <c:pt idx="15">
                  <c:v>2.0217124999999389E-4</c:v>
                </c:pt>
                <c:pt idx="16">
                  <c:v>-1.419834223483335</c:v>
                </c:pt>
                <c:pt idx="17">
                  <c:v>-2.0254163669</c:v>
                </c:pt>
                <c:pt idx="18">
                  <c:v>-0.7565998423333351</c:v>
                </c:pt>
                <c:pt idx="19">
                  <c:v>-1.1414571803666651</c:v>
                </c:pt>
                <c:pt idx="20">
                  <c:v>-1.6041734918500039</c:v>
                </c:pt>
                <c:pt idx="21">
                  <c:v>-2.6755266477166662</c:v>
                </c:pt>
                <c:pt idx="22">
                  <c:v>-2.7271116840833338</c:v>
                </c:pt>
                <c:pt idx="23">
                  <c:v>-2.3813532035333331</c:v>
                </c:pt>
                <c:pt idx="24">
                  <c:v>-2.457325829600002</c:v>
                </c:pt>
                <c:pt idx="25">
                  <c:v>-2.2636581296666658</c:v>
                </c:pt>
                <c:pt idx="26">
                  <c:v>-2.5191156717499998</c:v>
                </c:pt>
                <c:pt idx="27">
                  <c:v>-2.7027715365333349</c:v>
                </c:pt>
                <c:pt idx="28">
                  <c:v>-2.5170324065499998</c:v>
                </c:pt>
                <c:pt idx="29">
                  <c:v>-2.4162764014333349</c:v>
                </c:pt>
                <c:pt idx="30">
                  <c:v>-2.042200766283333</c:v>
                </c:pt>
                <c:pt idx="31">
                  <c:v>-1.4153405388000011</c:v>
                </c:pt>
                <c:pt idx="32">
                  <c:v>-1.741666050166665</c:v>
                </c:pt>
                <c:pt idx="33">
                  <c:v>-1.4695623638166651</c:v>
                </c:pt>
                <c:pt idx="34">
                  <c:v>-1.097037261416665</c:v>
                </c:pt>
                <c:pt idx="35">
                  <c:v>-1.01870591855</c:v>
                </c:pt>
                <c:pt idx="36">
                  <c:v>-0.52206965116666748</c:v>
                </c:pt>
                <c:pt idx="37">
                  <c:v>-0.49790688524999999</c:v>
                </c:pt>
                <c:pt idx="38">
                  <c:v>-0.17996398759999949</c:v>
                </c:pt>
                <c:pt idx="39">
                  <c:v>-3.1095485000001011E-4</c:v>
                </c:pt>
                <c:pt idx="40">
                  <c:v>-3.6830423333333862E-4</c:v>
                </c:pt>
                <c:pt idx="41">
                  <c:v>-1.5166666666702189E-4</c:v>
                </c:pt>
                <c:pt idx="42">
                  <c:v>3.0299999999999772E-4</c:v>
                </c:pt>
                <c:pt idx="43">
                  <c:v>3.869999999999707E-4</c:v>
                </c:pt>
                <c:pt idx="44">
                  <c:v>4.556666666670206E-4</c:v>
                </c:pt>
                <c:pt idx="45">
                  <c:v>-2.600000000008151E-5</c:v>
                </c:pt>
                <c:pt idx="46">
                  <c:v>-3.7900000000001821E-4</c:v>
                </c:pt>
                <c:pt idx="47">
                  <c:v>-2.8833333333300182E-4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D99-454F-BBD8-208022A620A5}"/>
            </c:ext>
          </c:extLst>
        </c:ser>
        <c:ser>
          <c:idx val="75"/>
          <c:order val="75"/>
          <c:tx>
            <c:v>BES_TR2_six625_A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Net_kW!$BZ$2:$BZ$49</c:f>
              <c:numCache>
                <c:formatCode>#,##0.000</c:formatCode>
                <c:ptCount val="48"/>
                <c:pt idx="0">
                  <c:v>-3.1199999999997902E-4</c:v>
                </c:pt>
                <c:pt idx="1">
                  <c:v>4.6133333333298049E-4</c:v>
                </c:pt>
                <c:pt idx="2">
                  <c:v>-8.2333333333073355E-5</c:v>
                </c:pt>
                <c:pt idx="3">
                  <c:v>0</c:v>
                </c:pt>
                <c:pt idx="4">
                  <c:v>-4.5033333333305281E-4</c:v>
                </c:pt>
                <c:pt idx="5">
                  <c:v>2.775557561562891E-17</c:v>
                </c:pt>
                <c:pt idx="6">
                  <c:v>2.8299999999999159E-4</c:v>
                </c:pt>
                <c:pt idx="7">
                  <c:v>0.23468973073333299</c:v>
                </c:pt>
                <c:pt idx="8">
                  <c:v>2.0699130600000101E-2</c:v>
                </c:pt>
                <c:pt idx="9">
                  <c:v>3.5569832099999997E-2</c:v>
                </c:pt>
                <c:pt idx="10">
                  <c:v>-4.5854953333401838E-4</c:v>
                </c:pt>
                <c:pt idx="11">
                  <c:v>-3.9348239999897888E-4</c:v>
                </c:pt>
                <c:pt idx="12">
                  <c:v>1.9772216666591461E-4</c:v>
                </c:pt>
                <c:pt idx="13">
                  <c:v>1.0412420000094349E-4</c:v>
                </c:pt>
                <c:pt idx="14">
                  <c:v>-4.6959109999988868E-4</c:v>
                </c:pt>
                <c:pt idx="15">
                  <c:v>-4.1790083333292932E-4</c:v>
                </c:pt>
                <c:pt idx="16">
                  <c:v>1.6461796666897291E-4</c:v>
                </c:pt>
                <c:pt idx="17">
                  <c:v>-2.722002000001833E-4</c:v>
                </c:pt>
                <c:pt idx="18">
                  <c:v>4.8914466666616363E-4</c:v>
                </c:pt>
                <c:pt idx="19">
                  <c:v>-1.442740221266666</c:v>
                </c:pt>
                <c:pt idx="20">
                  <c:v>-2.2890067073000009</c:v>
                </c:pt>
                <c:pt idx="21">
                  <c:v>-2.1079255075666672</c:v>
                </c:pt>
                <c:pt idx="22">
                  <c:v>-2.480733443500001</c:v>
                </c:pt>
                <c:pt idx="23">
                  <c:v>-2.4371823649333328</c:v>
                </c:pt>
                <c:pt idx="24">
                  <c:v>-2.2963013301333342</c:v>
                </c:pt>
                <c:pt idx="25">
                  <c:v>-2.5057412540000001</c:v>
                </c:pt>
                <c:pt idx="26">
                  <c:v>-2.1611708615</c:v>
                </c:pt>
                <c:pt idx="27">
                  <c:v>-2.286409078933334</c:v>
                </c:pt>
                <c:pt idx="28">
                  <c:v>-2.0079649199</c:v>
                </c:pt>
                <c:pt idx="29">
                  <c:v>-1.7900326298000011</c:v>
                </c:pt>
                <c:pt idx="30">
                  <c:v>-1.8130003711</c:v>
                </c:pt>
                <c:pt idx="31">
                  <c:v>-1.4245338904000009</c:v>
                </c:pt>
                <c:pt idx="32">
                  <c:v>-1.366980042999999</c:v>
                </c:pt>
                <c:pt idx="33">
                  <c:v>-0.98885612136666601</c:v>
                </c:pt>
                <c:pt idx="34">
                  <c:v>-0.87727579549999901</c:v>
                </c:pt>
                <c:pt idx="35">
                  <c:v>-0.71929221590000014</c:v>
                </c:pt>
                <c:pt idx="36">
                  <c:v>-0.55418770100000103</c:v>
                </c:pt>
                <c:pt idx="37">
                  <c:v>6.2622166667081203E-5</c:v>
                </c:pt>
                <c:pt idx="38">
                  <c:v>-3.1894133329712908E-5</c:v>
                </c:pt>
                <c:pt idx="39">
                  <c:v>3.6463869999997511E-4</c:v>
                </c:pt>
                <c:pt idx="40">
                  <c:v>-1.788321999999232E-4</c:v>
                </c:pt>
                <c:pt idx="41">
                  <c:v>3.603333333329628E-4</c:v>
                </c:pt>
                <c:pt idx="42">
                  <c:v>-2.8733333333297312E-4</c:v>
                </c:pt>
                <c:pt idx="43">
                  <c:v>0</c:v>
                </c:pt>
                <c:pt idx="44">
                  <c:v>0</c:v>
                </c:pt>
                <c:pt idx="45">
                  <c:v>-4.3600000000004751E-4</c:v>
                </c:pt>
                <c:pt idx="46">
                  <c:v>-1.733333333298059E-5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2D99-454F-BBD8-208022A620A5}"/>
            </c:ext>
          </c:extLst>
        </c:ser>
        <c:ser>
          <c:idx val="76"/>
          <c:order val="76"/>
          <c:tx>
            <c:v>BES_TR2_six646_B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Net_kW!$CA$2:$CA$49</c:f>
              <c:numCache>
                <c:formatCode>#,##0.000</c:formatCode>
                <c:ptCount val="48"/>
                <c:pt idx="0">
                  <c:v>8.6666666670176529E-6</c:v>
                </c:pt>
                <c:pt idx="1">
                  <c:v>0</c:v>
                </c:pt>
                <c:pt idx="2">
                  <c:v>3.5933333333298961E-4</c:v>
                </c:pt>
                <c:pt idx="3">
                  <c:v>4.2333333333330342E-4</c:v>
                </c:pt>
                <c:pt idx="4">
                  <c:v>4.2333333333340051E-4</c:v>
                </c:pt>
                <c:pt idx="5">
                  <c:v>8.7333333332995089E-5</c:v>
                </c:pt>
                <c:pt idx="6">
                  <c:v>2.7199999999999452E-4</c:v>
                </c:pt>
                <c:pt idx="7">
                  <c:v>-4.7936970000031498E-4</c:v>
                </c:pt>
                <c:pt idx="8">
                  <c:v>1.365236666645009E-5</c:v>
                </c:pt>
                <c:pt idx="9">
                  <c:v>4.9813745000001908E-4</c:v>
                </c:pt>
                <c:pt idx="10">
                  <c:v>-2.2475223333448541E-4</c:v>
                </c:pt>
                <c:pt idx="11">
                  <c:v>2.0893720000159099E-4</c:v>
                </c:pt>
                <c:pt idx="12">
                  <c:v>7.1231416665429315E-5</c:v>
                </c:pt>
                <c:pt idx="13">
                  <c:v>3.1114490000194728E-4</c:v>
                </c:pt>
                <c:pt idx="14">
                  <c:v>-2.6652294999984782E-4</c:v>
                </c:pt>
                <c:pt idx="15">
                  <c:v>4.1817124999998789E-4</c:v>
                </c:pt>
                <c:pt idx="16">
                  <c:v>-0.45994555681666821</c:v>
                </c:pt>
                <c:pt idx="17">
                  <c:v>-2.1028615669000001</c:v>
                </c:pt>
                <c:pt idx="18">
                  <c:v>-2.1779361090000018</c:v>
                </c:pt>
                <c:pt idx="19">
                  <c:v>-2.380820513699998</c:v>
                </c:pt>
                <c:pt idx="20">
                  <c:v>-1.613849025183334</c:v>
                </c:pt>
                <c:pt idx="21">
                  <c:v>-1.9564686477166671</c:v>
                </c:pt>
                <c:pt idx="22">
                  <c:v>-2.7482023507500011</c:v>
                </c:pt>
                <c:pt idx="23">
                  <c:v>-1.9863775368666701</c:v>
                </c:pt>
                <c:pt idx="24">
                  <c:v>-1.650863162933335</c:v>
                </c:pt>
                <c:pt idx="25">
                  <c:v>-2.5838621296666671</c:v>
                </c:pt>
                <c:pt idx="26">
                  <c:v>-2.5903030050833329</c:v>
                </c:pt>
                <c:pt idx="27">
                  <c:v>-2.2559905365333361</c:v>
                </c:pt>
                <c:pt idx="28">
                  <c:v>-2.5004172065499999</c:v>
                </c:pt>
                <c:pt idx="29">
                  <c:v>-2.3222534347666679</c:v>
                </c:pt>
                <c:pt idx="30">
                  <c:v>-2.0294980996166658</c:v>
                </c:pt>
                <c:pt idx="31">
                  <c:v>-0.83573053880000381</c:v>
                </c:pt>
                <c:pt idx="32">
                  <c:v>-1.457256383499999</c:v>
                </c:pt>
                <c:pt idx="33">
                  <c:v>-1.3735523638166649</c:v>
                </c:pt>
                <c:pt idx="34">
                  <c:v>-0.93742026141666512</c:v>
                </c:pt>
                <c:pt idx="35">
                  <c:v>-0.80107125188333306</c:v>
                </c:pt>
                <c:pt idx="36">
                  <c:v>-2.5698450000455342E-4</c:v>
                </c:pt>
                <c:pt idx="37">
                  <c:v>-7.4218583332952281E-5</c:v>
                </c:pt>
                <c:pt idx="38">
                  <c:v>-4.6465426666650322E-4</c:v>
                </c:pt>
                <c:pt idx="39">
                  <c:v>2.350451500000017E-4</c:v>
                </c:pt>
                <c:pt idx="40">
                  <c:v>-2.306375666663307E-4</c:v>
                </c:pt>
                <c:pt idx="41">
                  <c:v>4.0800000000000558E-4</c:v>
                </c:pt>
                <c:pt idx="42">
                  <c:v>4.1999999999997589E-4</c:v>
                </c:pt>
                <c:pt idx="43">
                  <c:v>3.6266666666698311E-4</c:v>
                </c:pt>
                <c:pt idx="44">
                  <c:v>3.1200000000000672E-4</c:v>
                </c:pt>
                <c:pt idx="45">
                  <c:v>5.3999999999998487E-5</c:v>
                </c:pt>
                <c:pt idx="46">
                  <c:v>-2.7133333333395632E-4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D99-454F-BBD8-208022A620A5}"/>
            </c:ext>
          </c:extLst>
        </c:ser>
        <c:ser>
          <c:idx val="77"/>
          <c:order val="77"/>
          <c:tx>
            <c:v>BES_TR2_six87_A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Net_kW!$CB$2:$CB$49</c:f>
              <c:numCache>
                <c:formatCode>#,##0.000</c:formatCode>
                <c:ptCount val="48"/>
                <c:pt idx="0">
                  <c:v>9.3333333330003487E-6</c:v>
                </c:pt>
                <c:pt idx="1">
                  <c:v>2.5200000000002998E-4</c:v>
                </c:pt>
                <c:pt idx="2">
                  <c:v>2.599999999999825E-5</c:v>
                </c:pt>
                <c:pt idx="3">
                  <c:v>2.1466666666702941E-4</c:v>
                </c:pt>
                <c:pt idx="4">
                  <c:v>3.0800000000000272E-4</c:v>
                </c:pt>
                <c:pt idx="5">
                  <c:v>1.1133333333299129E-4</c:v>
                </c:pt>
                <c:pt idx="6">
                  <c:v>-1.7866666666599421E-4</c:v>
                </c:pt>
                <c:pt idx="7">
                  <c:v>-1.2450216666665129E-4</c:v>
                </c:pt>
                <c:pt idx="8">
                  <c:v>-1.073911666662763E-4</c:v>
                </c:pt>
                <c:pt idx="9">
                  <c:v>-1.204732500000236E-4</c:v>
                </c:pt>
                <c:pt idx="10">
                  <c:v>-3.0034683333452367E-4</c:v>
                </c:pt>
                <c:pt idx="11">
                  <c:v>2.3409800000095959E-4</c:v>
                </c:pt>
                <c:pt idx="12">
                  <c:v>-1.017870833345258E-4</c:v>
                </c:pt>
                <c:pt idx="13">
                  <c:v>-1.9489649999859801E-4</c:v>
                </c:pt>
                <c:pt idx="14">
                  <c:v>-1.944592500000564E-4</c:v>
                </c:pt>
                <c:pt idx="15">
                  <c:v>3.2282708332997961E-4</c:v>
                </c:pt>
                <c:pt idx="16">
                  <c:v>-5.8072500019878959E-6</c:v>
                </c:pt>
                <c:pt idx="17">
                  <c:v>1.6683316666710191E-4</c:v>
                </c:pt>
                <c:pt idx="18">
                  <c:v>8.3398333331929919E-5</c:v>
                </c:pt>
                <c:pt idx="19">
                  <c:v>2.7037833334908609E-5</c:v>
                </c:pt>
                <c:pt idx="20">
                  <c:v>-0.2154729227500001</c:v>
                </c:pt>
                <c:pt idx="21">
                  <c:v>-1.95072020075</c:v>
                </c:pt>
                <c:pt idx="22">
                  <c:v>-1.749156702916667</c:v>
                </c:pt>
                <c:pt idx="23">
                  <c:v>-1.961648359666667</c:v>
                </c:pt>
                <c:pt idx="24">
                  <c:v>-1.793042830666667</c:v>
                </c:pt>
                <c:pt idx="25">
                  <c:v>-0.74527971166666984</c:v>
                </c:pt>
                <c:pt idx="26">
                  <c:v>-1.9997473845833329</c:v>
                </c:pt>
                <c:pt idx="27">
                  <c:v>-0.88303235466666696</c:v>
                </c:pt>
                <c:pt idx="28">
                  <c:v>-0.73852843324999995</c:v>
                </c:pt>
                <c:pt idx="29">
                  <c:v>-0.1142478581666682</c:v>
                </c:pt>
                <c:pt idx="30">
                  <c:v>-1.2014996425833331</c:v>
                </c:pt>
                <c:pt idx="31">
                  <c:v>-1.167331908666668</c:v>
                </c:pt>
                <c:pt idx="32">
                  <c:v>1.795641666677561E-4</c:v>
                </c:pt>
                <c:pt idx="33">
                  <c:v>-4.3477891666598989E-4</c:v>
                </c:pt>
                <c:pt idx="34">
                  <c:v>-0.19651199624999841</c:v>
                </c:pt>
                <c:pt idx="35">
                  <c:v>3.9082008333002349E-4</c:v>
                </c:pt>
                <c:pt idx="36">
                  <c:v>1.367158333324126E-4</c:v>
                </c:pt>
                <c:pt idx="37">
                  <c:v>3.776291666990339E-5</c:v>
                </c:pt>
                <c:pt idx="38">
                  <c:v>3.2153266666679059E-4</c:v>
                </c:pt>
                <c:pt idx="39">
                  <c:v>-1.056344166669998E-4</c:v>
                </c:pt>
                <c:pt idx="40">
                  <c:v>-7.2026833333682649E-5</c:v>
                </c:pt>
                <c:pt idx="41">
                  <c:v>-6.466666666693488E-5</c:v>
                </c:pt>
                <c:pt idx="42">
                  <c:v>9.7333333333060601E-5</c:v>
                </c:pt>
                <c:pt idx="43">
                  <c:v>0.13292733333333309</c:v>
                </c:pt>
                <c:pt idx="44">
                  <c:v>1.0649153333333301</c:v>
                </c:pt>
                <c:pt idx="45">
                  <c:v>0.93361666666666598</c:v>
                </c:pt>
                <c:pt idx="46">
                  <c:v>0.22395200000000001</c:v>
                </c:pt>
                <c:pt idx="47">
                  <c:v>0.29528866666666698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2D99-454F-BBD8-208022A620A5}"/>
            </c:ext>
          </c:extLst>
        </c:ser>
        <c:ser>
          <c:idx val="78"/>
          <c:order val="78"/>
          <c:tx>
            <c:v>BES_TR2_six652_A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Net_kW!$CC$2:$CC$49</c:f>
              <c:numCache>
                <c:formatCode>#,##0.000</c:formatCode>
                <c:ptCount val="48"/>
                <c:pt idx="0">
                  <c:v>3.5666666666989137E-5</c:v>
                </c:pt>
                <c:pt idx="1">
                  <c:v>3.5966666666698011E-4</c:v>
                </c:pt>
                <c:pt idx="2">
                  <c:v>2.046666666670055E-4</c:v>
                </c:pt>
                <c:pt idx="3">
                  <c:v>2.3399999999998419E-4</c:v>
                </c:pt>
                <c:pt idx="4">
                  <c:v>-1.5700000000000441E-4</c:v>
                </c:pt>
                <c:pt idx="5">
                  <c:v>-2.9799999999996501E-4</c:v>
                </c:pt>
                <c:pt idx="6">
                  <c:v>2.4600000000002398E-4</c:v>
                </c:pt>
                <c:pt idx="7">
                  <c:v>3.3019653333335452E-4</c:v>
                </c:pt>
                <c:pt idx="8">
                  <c:v>-9.4825866666203851E-5</c:v>
                </c:pt>
                <c:pt idx="9">
                  <c:v>-3.6455720000000408E-4</c:v>
                </c:pt>
                <c:pt idx="10">
                  <c:v>-1.8362160000101599E-4</c:v>
                </c:pt>
                <c:pt idx="11">
                  <c:v>3.0969013333503881E-4</c:v>
                </c:pt>
                <c:pt idx="12">
                  <c:v>3.2507399999859299E-4</c:v>
                </c:pt>
                <c:pt idx="13">
                  <c:v>1.4083226666783411E-4</c:v>
                </c:pt>
                <c:pt idx="14">
                  <c:v>-2.734548000000725E-4</c:v>
                </c:pt>
                <c:pt idx="15">
                  <c:v>3.1157666666703498E-4</c:v>
                </c:pt>
                <c:pt idx="16">
                  <c:v>-1.209598398266668</c:v>
                </c:pt>
                <c:pt idx="17">
                  <c:v>-2.1923016002666671</c:v>
                </c:pt>
                <c:pt idx="18">
                  <c:v>-2.6716096960000009</c:v>
                </c:pt>
                <c:pt idx="19">
                  <c:v>-2.8139720727999991</c:v>
                </c:pt>
                <c:pt idx="20">
                  <c:v>-2.8201359430666679</c:v>
                </c:pt>
                <c:pt idx="21">
                  <c:v>-3.1339574545333329</c:v>
                </c:pt>
                <c:pt idx="22">
                  <c:v>-3.2905159246666682</c:v>
                </c:pt>
                <c:pt idx="23">
                  <c:v>-3.3624073754666668</c:v>
                </c:pt>
                <c:pt idx="24">
                  <c:v>-3.0875373290666679</c:v>
                </c:pt>
                <c:pt idx="25">
                  <c:v>-3.326380672</c:v>
                </c:pt>
                <c:pt idx="26">
                  <c:v>-3.1154671486666672</c:v>
                </c:pt>
                <c:pt idx="27">
                  <c:v>-3.0226853274666681</c:v>
                </c:pt>
                <c:pt idx="28">
                  <c:v>-2.9638022265333328</c:v>
                </c:pt>
                <c:pt idx="29">
                  <c:v>-1.344845173066668</c:v>
                </c:pt>
                <c:pt idx="30">
                  <c:v>-1.7082884947999999</c:v>
                </c:pt>
                <c:pt idx="31">
                  <c:v>-0.78386852053333778</c:v>
                </c:pt>
                <c:pt idx="32">
                  <c:v>-1.8437800573333321</c:v>
                </c:pt>
                <c:pt idx="33">
                  <c:v>-1.709784772933332</c:v>
                </c:pt>
                <c:pt idx="34">
                  <c:v>-1.1308667273333319</c:v>
                </c:pt>
                <c:pt idx="35">
                  <c:v>-0.85257695453333304</c:v>
                </c:pt>
                <c:pt idx="36">
                  <c:v>-0.59720793466666799</c:v>
                </c:pt>
                <c:pt idx="37">
                  <c:v>-0.35300105933333298</c:v>
                </c:pt>
                <c:pt idx="38">
                  <c:v>-3.9474773333308949E-4</c:v>
                </c:pt>
                <c:pt idx="39">
                  <c:v>4.3384933334000841E-5</c:v>
                </c:pt>
                <c:pt idx="40">
                  <c:v>4.8155706666630488E-4</c:v>
                </c:pt>
                <c:pt idx="41">
                  <c:v>-4.056666666669706E-4</c:v>
                </c:pt>
                <c:pt idx="42">
                  <c:v>3.0433333333301782E-4</c:v>
                </c:pt>
                <c:pt idx="43">
                  <c:v>-5.8999999999892472E-5</c:v>
                </c:pt>
                <c:pt idx="44">
                  <c:v>-7.599999999999274E-5</c:v>
                </c:pt>
                <c:pt idx="45">
                  <c:v>-4.770000000000052E-4</c:v>
                </c:pt>
                <c:pt idx="46">
                  <c:v>-4.009999999999847E-4</c:v>
                </c:pt>
                <c:pt idx="47">
                  <c:v>-1.903333333330148E-4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D99-454F-BBD8-208022A620A5}"/>
            </c:ext>
          </c:extLst>
        </c:ser>
        <c:ser>
          <c:idx val="79"/>
          <c:order val="79"/>
          <c:tx>
            <c:v>BES_TR2_six665_B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Net_kW!$CD$2:$CD$49</c:f>
              <c:numCache>
                <c:formatCode>#,##0.000</c:formatCode>
                <c:ptCount val="48"/>
                <c:pt idx="0">
                  <c:v>0</c:v>
                </c:pt>
                <c:pt idx="1">
                  <c:v>2.006666666667031E-4</c:v>
                </c:pt>
                <c:pt idx="2">
                  <c:v>-3.9466666666701511E-4</c:v>
                </c:pt>
                <c:pt idx="3">
                  <c:v>2.006666666667031E-4</c:v>
                </c:pt>
                <c:pt idx="4">
                  <c:v>-3.9466666666701511E-4</c:v>
                </c:pt>
                <c:pt idx="5">
                  <c:v>0</c:v>
                </c:pt>
                <c:pt idx="6">
                  <c:v>-1.9733333333331329E-4</c:v>
                </c:pt>
                <c:pt idx="7">
                  <c:v>-4.3747013333336748E-4</c:v>
                </c:pt>
                <c:pt idx="8">
                  <c:v>2.6550746666679619E-4</c:v>
                </c:pt>
                <c:pt idx="9">
                  <c:v>2.324427999999962E-4</c:v>
                </c:pt>
                <c:pt idx="10">
                  <c:v>-3.402882666680429E-4</c:v>
                </c:pt>
                <c:pt idx="11">
                  <c:v>-5.1976533331998809E-5</c:v>
                </c:pt>
                <c:pt idx="12">
                  <c:v>8.1407333331950937E-5</c:v>
                </c:pt>
                <c:pt idx="13">
                  <c:v>6.4832266668091165E-5</c:v>
                </c:pt>
                <c:pt idx="14">
                  <c:v>4.0545199999852948E-5</c:v>
                </c:pt>
                <c:pt idx="15">
                  <c:v>-0.8032214233333328</c:v>
                </c:pt>
                <c:pt idx="16">
                  <c:v>-1.644861398266668</c:v>
                </c:pt>
                <c:pt idx="17">
                  <c:v>-1.797134266933333</c:v>
                </c:pt>
                <c:pt idx="18">
                  <c:v>-2.453108696000001</c:v>
                </c:pt>
                <c:pt idx="19">
                  <c:v>-2.6819134061333321</c:v>
                </c:pt>
                <c:pt idx="20">
                  <c:v>-3.0542062764000009</c:v>
                </c:pt>
                <c:pt idx="21">
                  <c:v>-3.5999037878666669</c:v>
                </c:pt>
                <c:pt idx="22">
                  <c:v>-3.2045732580000008</c:v>
                </c:pt>
                <c:pt idx="23">
                  <c:v>-3.0185667087999999</c:v>
                </c:pt>
                <c:pt idx="24">
                  <c:v>-3.8374813290666681</c:v>
                </c:pt>
                <c:pt idx="25">
                  <c:v>-2.9195156720000002</c:v>
                </c:pt>
                <c:pt idx="26">
                  <c:v>-3.234891815333333</c:v>
                </c:pt>
                <c:pt idx="27">
                  <c:v>-2.8740643274666682</c:v>
                </c:pt>
                <c:pt idx="28">
                  <c:v>-1.6458345598666699</c:v>
                </c:pt>
                <c:pt idx="29">
                  <c:v>-0.46570183973333812</c:v>
                </c:pt>
                <c:pt idx="30">
                  <c:v>-2.3883731614666668</c:v>
                </c:pt>
                <c:pt idx="31">
                  <c:v>-1.123537853866668</c:v>
                </c:pt>
                <c:pt idx="32">
                  <c:v>-2.1168000573333319</c:v>
                </c:pt>
                <c:pt idx="33">
                  <c:v>-1.699909939599999</c:v>
                </c:pt>
                <c:pt idx="34">
                  <c:v>-1.1935083939999991</c:v>
                </c:pt>
                <c:pt idx="35">
                  <c:v>-0.5568056212000001</c:v>
                </c:pt>
                <c:pt idx="36">
                  <c:v>-0.81571293466666805</c:v>
                </c:pt>
                <c:pt idx="37">
                  <c:v>-0.55016482600000005</c:v>
                </c:pt>
                <c:pt idx="38">
                  <c:v>-0.2484682477333332</c:v>
                </c:pt>
                <c:pt idx="39">
                  <c:v>4.6838493333306591E-4</c:v>
                </c:pt>
                <c:pt idx="40">
                  <c:v>-6.5442933333659248E-5</c:v>
                </c:pt>
                <c:pt idx="41">
                  <c:v>-2.5666666666601667E-4</c:v>
                </c:pt>
                <c:pt idx="42">
                  <c:v>5.5666666667064657E-5</c:v>
                </c:pt>
                <c:pt idx="43">
                  <c:v>-1.4900000000001021E-4</c:v>
                </c:pt>
                <c:pt idx="44">
                  <c:v>-2.0233333333297129E-4</c:v>
                </c:pt>
                <c:pt idx="45">
                  <c:v>-2.8500000000003523E-4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2D99-454F-BBD8-208022A620A5}"/>
            </c:ext>
          </c:extLst>
        </c:ser>
        <c:ser>
          <c:idx val="80"/>
          <c:order val="80"/>
          <c:tx>
            <c:v>BES_TR2_six667_A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Net_kW!$CE$2:$CE$49</c:f>
              <c:numCache>
                <c:formatCode>#,##0.000</c:formatCode>
                <c:ptCount val="48"/>
                <c:pt idx="0">
                  <c:v>0</c:v>
                </c:pt>
                <c:pt idx="1">
                  <c:v>-3.3199999999999902E-4</c:v>
                </c:pt>
                <c:pt idx="2">
                  <c:v>0</c:v>
                </c:pt>
                <c:pt idx="3">
                  <c:v>-4.5400000000001001E-4</c:v>
                </c:pt>
                <c:pt idx="4">
                  <c:v>1.2199999999998321E-4</c:v>
                </c:pt>
                <c:pt idx="5">
                  <c:v>0</c:v>
                </c:pt>
                <c:pt idx="6">
                  <c:v>-2.7199999999999452E-4</c:v>
                </c:pt>
                <c:pt idx="7">
                  <c:v>-2.10502166666654E-4</c:v>
                </c:pt>
                <c:pt idx="8">
                  <c:v>-8.4057833333251591E-5</c:v>
                </c:pt>
                <c:pt idx="9">
                  <c:v>1.2752675000000929E-4</c:v>
                </c:pt>
                <c:pt idx="10">
                  <c:v>-1.5568016666742121E-4</c:v>
                </c:pt>
                <c:pt idx="11">
                  <c:v>3.3876466666749039E-4</c:v>
                </c:pt>
                <c:pt idx="12">
                  <c:v>4.9221291666545763E-4</c:v>
                </c:pt>
                <c:pt idx="13">
                  <c:v>8.177016666754966E-5</c:v>
                </c:pt>
                <c:pt idx="14">
                  <c:v>-1.3259166670165361E-6</c:v>
                </c:pt>
                <c:pt idx="15">
                  <c:v>-1.413062499999729E-4</c:v>
                </c:pt>
                <c:pt idx="16">
                  <c:v>-8.5540583334875464E-5</c:v>
                </c:pt>
                <c:pt idx="17">
                  <c:v>-1.6483349999996119E-4</c:v>
                </c:pt>
                <c:pt idx="18">
                  <c:v>-0.58901760166666806</c:v>
                </c:pt>
                <c:pt idx="19">
                  <c:v>-1.663009628833332</c:v>
                </c:pt>
                <c:pt idx="20">
                  <c:v>-1.298142922750001</c:v>
                </c:pt>
                <c:pt idx="21">
                  <c:v>-1.5290557007500001</c:v>
                </c:pt>
                <c:pt idx="22">
                  <c:v>-1.632547536250001</c:v>
                </c:pt>
                <c:pt idx="23">
                  <c:v>-1.3251538596666661</c:v>
                </c:pt>
                <c:pt idx="24">
                  <c:v>-1.738859164</c:v>
                </c:pt>
                <c:pt idx="25">
                  <c:v>-1.7313340450000001</c:v>
                </c:pt>
                <c:pt idx="26">
                  <c:v>-1.91835005125</c:v>
                </c:pt>
                <c:pt idx="27">
                  <c:v>-1.418034621333333</c:v>
                </c:pt>
                <c:pt idx="28">
                  <c:v>-0.73163056658332981</c:v>
                </c:pt>
                <c:pt idx="29">
                  <c:v>-1.1119291248333349</c:v>
                </c:pt>
                <c:pt idx="30">
                  <c:v>-1.2817785759166671</c:v>
                </c:pt>
                <c:pt idx="31">
                  <c:v>-1.281268508666668</c:v>
                </c:pt>
                <c:pt idx="32">
                  <c:v>-1.110643635833332</c:v>
                </c:pt>
                <c:pt idx="33">
                  <c:v>-0.49054007891666601</c:v>
                </c:pt>
                <c:pt idx="34">
                  <c:v>-0.40786712958333249</c:v>
                </c:pt>
                <c:pt idx="35">
                  <c:v>-0.42842184658333299</c:v>
                </c:pt>
                <c:pt idx="36">
                  <c:v>-0.24322541750000051</c:v>
                </c:pt>
                <c:pt idx="37">
                  <c:v>-0.12942053708333301</c:v>
                </c:pt>
                <c:pt idx="38">
                  <c:v>4.5486599999700061E-4</c:v>
                </c:pt>
                <c:pt idx="39">
                  <c:v>2.176989166700061E-4</c:v>
                </c:pt>
                <c:pt idx="40">
                  <c:v>2.7763983333328751E-4</c:v>
                </c:pt>
                <c:pt idx="41">
                  <c:v>-1.210000000000377E-4</c:v>
                </c:pt>
                <c:pt idx="42">
                  <c:v>2.7499999999980318E-4</c:v>
                </c:pt>
                <c:pt idx="43">
                  <c:v>0.49279233333333311</c:v>
                </c:pt>
                <c:pt idx="44">
                  <c:v>0.70525633333333304</c:v>
                </c:pt>
                <c:pt idx="45">
                  <c:v>0.81346399999999996</c:v>
                </c:pt>
                <c:pt idx="46">
                  <c:v>0.55689866666666699</c:v>
                </c:pt>
                <c:pt idx="47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D99-454F-BBD8-208022A620A5}"/>
            </c:ext>
          </c:extLst>
        </c:ser>
        <c:ser>
          <c:idx val="81"/>
          <c:order val="81"/>
          <c:tx>
            <c:v>BES_TR2_six721_A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Net_kW!$CF$2:$CF$49</c:f>
              <c:numCache>
                <c:formatCode>#,##0.000</c:formatCode>
                <c:ptCount val="48"/>
                <c:pt idx="0">
                  <c:v>-4.1066666666611518E-4</c:v>
                </c:pt>
                <c:pt idx="1">
                  <c:v>-1.993333333329961E-4</c:v>
                </c:pt>
                <c:pt idx="2">
                  <c:v>-4.1066666666700341E-4</c:v>
                </c:pt>
                <c:pt idx="3">
                  <c:v>4.8733333333300649E-4</c:v>
                </c:pt>
                <c:pt idx="4">
                  <c:v>-1.333333333297659E-5</c:v>
                </c:pt>
                <c:pt idx="5">
                  <c:v>0</c:v>
                </c:pt>
                <c:pt idx="6">
                  <c:v>1.4699999999998051E-4</c:v>
                </c:pt>
                <c:pt idx="7">
                  <c:v>4.6259826666666948E-4</c:v>
                </c:pt>
                <c:pt idx="8">
                  <c:v>4.1420400000435897E-5</c:v>
                </c:pt>
                <c:pt idx="9">
                  <c:v>1.8255473333299131E-4</c:v>
                </c:pt>
                <c:pt idx="10">
                  <c:v>-4.3014413333400392E-4</c:v>
                </c:pt>
                <c:pt idx="11">
                  <c:v>-9.2321599999001247E-5</c:v>
                </c:pt>
                <c:pt idx="12">
                  <c:v>-3.219630000010909E-4</c:v>
                </c:pt>
                <c:pt idx="13">
                  <c:v>1.294161333340593E-4</c:v>
                </c:pt>
                <c:pt idx="14">
                  <c:v>6.227259999991297E-5</c:v>
                </c:pt>
                <c:pt idx="15">
                  <c:v>-3.0114500000000271E-4</c:v>
                </c:pt>
                <c:pt idx="16">
                  <c:v>-4.2476580000105901E-4</c:v>
                </c:pt>
                <c:pt idx="17">
                  <c:v>-4.4263346666695291E-4</c:v>
                </c:pt>
                <c:pt idx="18">
                  <c:v>-1.166813333342009E-4</c:v>
                </c:pt>
                <c:pt idx="19">
                  <c:v>4.8296933333968888E-5</c:v>
                </c:pt>
                <c:pt idx="20">
                  <c:v>-1.1817704715333339</c:v>
                </c:pt>
                <c:pt idx="21">
                  <c:v>-1.5946525605999999</c:v>
                </c:pt>
                <c:pt idx="22">
                  <c:v>-1.5884259623333341</c:v>
                </c:pt>
                <c:pt idx="23">
                  <c:v>-1.4238993544</c:v>
                </c:pt>
                <c:pt idx="24">
                  <c:v>-1.4590659312000009</c:v>
                </c:pt>
                <c:pt idx="25">
                  <c:v>-1.205017502666667</c:v>
                </c:pt>
                <c:pt idx="26">
                  <c:v>-1.6215792410000001</c:v>
                </c:pt>
                <c:pt idx="27">
                  <c:v>-1.542527563733334</c:v>
                </c:pt>
                <c:pt idx="28">
                  <c:v>-1.0350297466</c:v>
                </c:pt>
                <c:pt idx="29">
                  <c:v>-0.73396175320000012</c:v>
                </c:pt>
                <c:pt idx="30">
                  <c:v>-1.0686442474</c:v>
                </c:pt>
                <c:pt idx="31">
                  <c:v>-1.1242585936</c:v>
                </c:pt>
                <c:pt idx="32">
                  <c:v>-0.77142602866666588</c:v>
                </c:pt>
                <c:pt idx="33">
                  <c:v>-0.87503563646666593</c:v>
                </c:pt>
                <c:pt idx="34">
                  <c:v>-0.69720853033333263</c:v>
                </c:pt>
                <c:pt idx="35">
                  <c:v>-0.39464181059999998</c:v>
                </c:pt>
                <c:pt idx="36">
                  <c:v>-0.34471480066666699</c:v>
                </c:pt>
                <c:pt idx="37">
                  <c:v>-0.22393002966666661</c:v>
                </c:pt>
                <c:pt idx="38">
                  <c:v>-4.9304053333357883E-4</c:v>
                </c:pt>
                <c:pt idx="39">
                  <c:v>-2.1864086666669241E-4</c:v>
                </c:pt>
                <c:pt idx="40">
                  <c:v>1.0477853333365481E-4</c:v>
                </c:pt>
                <c:pt idx="41">
                  <c:v>4.8733333333300649E-4</c:v>
                </c:pt>
                <c:pt idx="42">
                  <c:v>-1.333333333297659E-5</c:v>
                </c:pt>
                <c:pt idx="43">
                  <c:v>4.2433333333299911E-4</c:v>
                </c:pt>
                <c:pt idx="44">
                  <c:v>-1.903333333330148E-4</c:v>
                </c:pt>
                <c:pt idx="45">
                  <c:v>2.3999999999999019E-4</c:v>
                </c:pt>
                <c:pt idx="46">
                  <c:v>1.04999999999994E-4</c:v>
                </c:pt>
                <c:pt idx="47">
                  <c:v>3.6899999999998051E-4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2D99-454F-BBD8-208022A620A5}"/>
            </c:ext>
          </c:extLst>
        </c:ser>
        <c:ser>
          <c:idx val="82"/>
          <c:order val="82"/>
          <c:tx>
            <c:v>BES_TR2_six740_A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Net_kW!$CG$2:$CG$49</c:f>
              <c:numCache>
                <c:formatCode>#,##0.000</c:formatCode>
                <c:ptCount val="48"/>
                <c:pt idx="0">
                  <c:v>1.3033333333298261E-4</c:v>
                </c:pt>
                <c:pt idx="1">
                  <c:v>4.383333333329853E-4</c:v>
                </c:pt>
                <c:pt idx="2">
                  <c:v>-4.4333333333330249E-4</c:v>
                </c:pt>
                <c:pt idx="3">
                  <c:v>4.7333333333399168E-5</c:v>
                </c:pt>
                <c:pt idx="4">
                  <c:v>7.9666666666686203E-5</c:v>
                </c:pt>
                <c:pt idx="5">
                  <c:v>-1.3366666666700391E-4</c:v>
                </c:pt>
                <c:pt idx="6">
                  <c:v>-3.7733333333329899E-4</c:v>
                </c:pt>
                <c:pt idx="7">
                  <c:v>-1.1203636666631819E-4</c:v>
                </c:pt>
                <c:pt idx="8">
                  <c:v>1.523190333334451E-4</c:v>
                </c:pt>
                <c:pt idx="9">
                  <c:v>4.9813745000001908E-4</c:v>
                </c:pt>
                <c:pt idx="10">
                  <c:v>-4.1608556666777868E-4</c:v>
                </c:pt>
                <c:pt idx="11">
                  <c:v>3.8427053333456312E-4</c:v>
                </c:pt>
                <c:pt idx="12">
                  <c:v>-1.267685833346022E-4</c:v>
                </c:pt>
                <c:pt idx="13">
                  <c:v>-2.3521766665091089E-5</c:v>
                </c:pt>
                <c:pt idx="14">
                  <c:v>3.2314371666708469E-4</c:v>
                </c:pt>
                <c:pt idx="15">
                  <c:v>8.4837916666691271E-5</c:v>
                </c:pt>
                <c:pt idx="16">
                  <c:v>-1.3169740568166679</c:v>
                </c:pt>
                <c:pt idx="17">
                  <c:v>-1.8679195668999999</c:v>
                </c:pt>
                <c:pt idx="18">
                  <c:v>-2.2119727756666681</c:v>
                </c:pt>
                <c:pt idx="19">
                  <c:v>-2.3874598136999978</c:v>
                </c:pt>
                <c:pt idx="20">
                  <c:v>-2.6773898251833339</c:v>
                </c:pt>
                <c:pt idx="21">
                  <c:v>-2.6617086477166669</c:v>
                </c:pt>
                <c:pt idx="22">
                  <c:v>-0.1351650174166639</c:v>
                </c:pt>
                <c:pt idx="23">
                  <c:v>-2.7598289368666671</c:v>
                </c:pt>
                <c:pt idx="24">
                  <c:v>-1.494014862933335</c:v>
                </c:pt>
                <c:pt idx="25">
                  <c:v>-2.360188763</c:v>
                </c:pt>
                <c:pt idx="26">
                  <c:v>-2.7481114050833328</c:v>
                </c:pt>
                <c:pt idx="27">
                  <c:v>-2.6937051365333349</c:v>
                </c:pt>
                <c:pt idx="28">
                  <c:v>-2.54359740655</c:v>
                </c:pt>
                <c:pt idx="29">
                  <c:v>-2.2755764014333351</c:v>
                </c:pt>
                <c:pt idx="30">
                  <c:v>-1.8893784329500001</c:v>
                </c:pt>
                <c:pt idx="31">
                  <c:v>-2.0091665388000011</c:v>
                </c:pt>
                <c:pt idx="32">
                  <c:v>-1.7876392501666649</c:v>
                </c:pt>
                <c:pt idx="33">
                  <c:v>-1.1040094304833321</c:v>
                </c:pt>
                <c:pt idx="34">
                  <c:v>-1.075687928083332</c:v>
                </c:pt>
                <c:pt idx="35">
                  <c:v>-0.81124391855</c:v>
                </c:pt>
                <c:pt idx="36">
                  <c:v>-0.64407131783333449</c:v>
                </c:pt>
                <c:pt idx="37">
                  <c:v>-0.34668221858333298</c:v>
                </c:pt>
                <c:pt idx="38">
                  <c:v>-0.19197665426666649</c:v>
                </c:pt>
                <c:pt idx="39">
                  <c:v>-4.7828818333300882E-4</c:v>
                </c:pt>
                <c:pt idx="40">
                  <c:v>-2.7163756666637168E-4</c:v>
                </c:pt>
                <c:pt idx="41">
                  <c:v>-3.6799999999992389E-4</c:v>
                </c:pt>
                <c:pt idx="42">
                  <c:v>-2.3233333332983719E-4</c:v>
                </c:pt>
                <c:pt idx="43">
                  <c:v>-3.219999999999335E-4</c:v>
                </c:pt>
                <c:pt idx="44">
                  <c:v>3.4800000000001502E-4</c:v>
                </c:pt>
                <c:pt idx="45">
                  <c:v>8.1999999999998741E-5</c:v>
                </c:pt>
                <c:pt idx="46">
                  <c:v>4.2466666666669822E-4</c:v>
                </c:pt>
                <c:pt idx="47">
                  <c:v>-4.5533333333297449E-4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D99-454F-BBD8-208022A620A5}"/>
            </c:ext>
          </c:extLst>
        </c:ser>
        <c:ser>
          <c:idx val="83"/>
          <c:order val="83"/>
          <c:tx>
            <c:v>BES_TR2_six758_B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Net_kW!$CH$2:$CH$49</c:f>
              <c:numCache>
                <c:formatCode>#,##0.000</c:formatCode>
                <c:ptCount val="48"/>
                <c:pt idx="0">
                  <c:v>0</c:v>
                </c:pt>
                <c:pt idx="1">
                  <c:v>3.5533333333298561E-4</c:v>
                </c:pt>
                <c:pt idx="2">
                  <c:v>0</c:v>
                </c:pt>
                <c:pt idx="3">
                  <c:v>-3.1933333333300512E-4</c:v>
                </c:pt>
                <c:pt idx="4">
                  <c:v>-3.2533333333298331E-4</c:v>
                </c:pt>
                <c:pt idx="5">
                  <c:v>-4.9699999999999744E-4</c:v>
                </c:pt>
                <c:pt idx="6">
                  <c:v>-1.4766666666701789E-4</c:v>
                </c:pt>
                <c:pt idx="7">
                  <c:v>-1.5050216666666341E-4</c:v>
                </c:pt>
                <c:pt idx="8">
                  <c:v>-8.4057833333248122E-5</c:v>
                </c:pt>
                <c:pt idx="9">
                  <c:v>-3.404732500000146E-4</c:v>
                </c:pt>
                <c:pt idx="10">
                  <c:v>-3.4683333419160972E-7</c:v>
                </c:pt>
                <c:pt idx="11">
                  <c:v>1.7309800000092629E-4</c:v>
                </c:pt>
                <c:pt idx="12">
                  <c:v>-4.2812041666756562E-4</c:v>
                </c:pt>
                <c:pt idx="13">
                  <c:v>4.1177016666760208E-4</c:v>
                </c:pt>
                <c:pt idx="14">
                  <c:v>2.8434074999994507E-4</c:v>
                </c:pt>
                <c:pt idx="15">
                  <c:v>-2.9497291666680248E-4</c:v>
                </c:pt>
                <c:pt idx="16">
                  <c:v>-2.0587391666793131E-4</c:v>
                </c:pt>
                <c:pt idx="17">
                  <c:v>-0.18205150016666691</c:v>
                </c:pt>
                <c:pt idx="18">
                  <c:v>-1.680359601666668</c:v>
                </c:pt>
                <c:pt idx="19">
                  <c:v>-1.7021432954999991</c:v>
                </c:pt>
                <c:pt idx="20">
                  <c:v>-1.841996589416667</c:v>
                </c:pt>
                <c:pt idx="21">
                  <c:v>-1.68880770075</c:v>
                </c:pt>
                <c:pt idx="22">
                  <c:v>-0.31418520291666702</c:v>
                </c:pt>
                <c:pt idx="23">
                  <c:v>-2.0778105263333329</c:v>
                </c:pt>
                <c:pt idx="24">
                  <c:v>-2.0232074973333338</c:v>
                </c:pt>
                <c:pt idx="25">
                  <c:v>-1.992439045</c:v>
                </c:pt>
                <c:pt idx="26">
                  <c:v>-2.0357240512499999</c:v>
                </c:pt>
                <c:pt idx="27">
                  <c:v>-1.953468954666667</c:v>
                </c:pt>
                <c:pt idx="28">
                  <c:v>-1.418193266583333</c:v>
                </c:pt>
                <c:pt idx="29">
                  <c:v>-0.78761069149999807</c:v>
                </c:pt>
                <c:pt idx="30">
                  <c:v>-1.4048966425833329</c:v>
                </c:pt>
                <c:pt idx="31">
                  <c:v>-1.412308908666668</c:v>
                </c:pt>
                <c:pt idx="32">
                  <c:v>-1.251531702499999</c:v>
                </c:pt>
                <c:pt idx="33">
                  <c:v>-0.90343671225</c:v>
                </c:pt>
                <c:pt idx="34">
                  <c:v>-0.50974066291666542</c:v>
                </c:pt>
                <c:pt idx="35">
                  <c:v>-1.6551325000001461E-4</c:v>
                </c:pt>
                <c:pt idx="36">
                  <c:v>-0.32375658416666753</c:v>
                </c:pt>
                <c:pt idx="37">
                  <c:v>-0.110380870416667</c:v>
                </c:pt>
                <c:pt idx="38">
                  <c:v>1.113659999998316E-4</c:v>
                </c:pt>
                <c:pt idx="39">
                  <c:v>2.8503224999998361E-4</c:v>
                </c:pt>
                <c:pt idx="40">
                  <c:v>-4.3602683333354708E-4</c:v>
                </c:pt>
                <c:pt idx="41">
                  <c:v>3.7133333333405632E-4</c:v>
                </c:pt>
                <c:pt idx="42">
                  <c:v>-4.056666666659714E-4</c:v>
                </c:pt>
                <c:pt idx="43">
                  <c:v>1.883333333330128E-4</c:v>
                </c:pt>
                <c:pt idx="44">
                  <c:v>-4.7333333333010603E-5</c:v>
                </c:pt>
                <c:pt idx="45">
                  <c:v>-4.9699999999999744E-4</c:v>
                </c:pt>
                <c:pt idx="46">
                  <c:v>-1.4766666666701789E-4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2D99-454F-BBD8-208022A620A5}"/>
            </c:ext>
          </c:extLst>
        </c:ser>
        <c:ser>
          <c:idx val="84"/>
          <c:order val="84"/>
          <c:tx>
            <c:v>BES_TR2_six784_B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Net_kW!$CI$2:$CI$49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3.2985586666600669E-4</c:v>
                </c:pt>
                <c:pt idx="11">
                  <c:v>1.9921173333398159E-4</c:v>
                </c:pt>
                <c:pt idx="12">
                  <c:v>4.0703666665975469E-5</c:v>
                </c:pt>
                <c:pt idx="13">
                  <c:v>1.294161333339483E-4</c:v>
                </c:pt>
                <c:pt idx="14">
                  <c:v>-2.2972740000004599E-4</c:v>
                </c:pt>
                <c:pt idx="15">
                  <c:v>-3.1304499999984531E-4</c:v>
                </c:pt>
                <c:pt idx="16">
                  <c:v>2.9530086666595961E-4</c:v>
                </c:pt>
                <c:pt idx="17">
                  <c:v>-3.2546679999989608E-4</c:v>
                </c:pt>
                <c:pt idx="18">
                  <c:v>-0.81528768133333407</c:v>
                </c:pt>
                <c:pt idx="19">
                  <c:v>-0.39985836973333599</c:v>
                </c:pt>
                <c:pt idx="20">
                  <c:v>-0.8108044715333339</c:v>
                </c:pt>
                <c:pt idx="21">
                  <c:v>-0.29175256059999999</c:v>
                </c:pt>
                <c:pt idx="22">
                  <c:v>-1.639288962333334</c:v>
                </c:pt>
                <c:pt idx="23">
                  <c:v>-1.6657833544</c:v>
                </c:pt>
                <c:pt idx="24">
                  <c:v>-1.6569073312000011</c:v>
                </c:pt>
                <c:pt idx="25">
                  <c:v>-1.625544102666667</c:v>
                </c:pt>
                <c:pt idx="26">
                  <c:v>-1.2960701743333329</c:v>
                </c:pt>
                <c:pt idx="27">
                  <c:v>-1.352687163733334</c:v>
                </c:pt>
                <c:pt idx="28">
                  <c:v>-1.214443279933334</c:v>
                </c:pt>
                <c:pt idx="29">
                  <c:v>-1.3900950865333339</c:v>
                </c:pt>
                <c:pt idx="30">
                  <c:v>-1.2905642474000001</c:v>
                </c:pt>
                <c:pt idx="31">
                  <c:v>-1.170791926933334</c:v>
                </c:pt>
                <c:pt idx="32">
                  <c:v>-0.88286002866666591</c:v>
                </c:pt>
                <c:pt idx="33">
                  <c:v>-0.67724163646666602</c:v>
                </c:pt>
                <c:pt idx="34">
                  <c:v>-0.26338853033333298</c:v>
                </c:pt>
                <c:pt idx="35">
                  <c:v>-2.614772666702514E-4</c:v>
                </c:pt>
                <c:pt idx="36">
                  <c:v>-7.1134000000999675E-5</c:v>
                </c:pt>
                <c:pt idx="37">
                  <c:v>-3.3336300000002048E-4</c:v>
                </c:pt>
                <c:pt idx="38">
                  <c:v>2.989594666633622E-4</c:v>
                </c:pt>
                <c:pt idx="39">
                  <c:v>2.8869246666984871E-4</c:v>
                </c:pt>
                <c:pt idx="40">
                  <c:v>-4.7221466666358403E-5</c:v>
                </c:pt>
                <c:pt idx="41">
                  <c:v>-2.7933333333302063E-4</c:v>
                </c:pt>
                <c:pt idx="42">
                  <c:v>-3.6300000000000221E-4</c:v>
                </c:pt>
                <c:pt idx="43">
                  <c:v>-9.3333333330836155E-6</c:v>
                </c:pt>
                <c:pt idx="44">
                  <c:v>-1.893333333329861E-4</c:v>
                </c:pt>
                <c:pt idx="45">
                  <c:v>-1.6499999999999851E-4</c:v>
                </c:pt>
                <c:pt idx="46">
                  <c:v>3.3266666666698091E-4</c:v>
                </c:pt>
                <c:pt idx="47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D99-454F-BBD8-208022A620A5}"/>
            </c:ext>
          </c:extLst>
        </c:ser>
        <c:ser>
          <c:idx val="85"/>
          <c:order val="85"/>
          <c:tx>
            <c:v>BES_TR2_six799_B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Net_kW!$CJ$2:$CJ$49</c:f>
              <c:numCache>
                <c:formatCode>#,##0.000</c:formatCode>
                <c:ptCount val="48"/>
                <c:pt idx="0">
                  <c:v>-4.9866666666997794E-4</c:v>
                </c:pt>
                <c:pt idx="1">
                  <c:v>3.1666666669760701E-5</c:v>
                </c:pt>
                <c:pt idx="2">
                  <c:v>3.8566666666669391E-4</c:v>
                </c:pt>
                <c:pt idx="3">
                  <c:v>1.006433333333301E-2</c:v>
                </c:pt>
                <c:pt idx="4">
                  <c:v>0.11711199999999999</c:v>
                </c:pt>
                <c:pt idx="5">
                  <c:v>0.14139933333333299</c:v>
                </c:pt>
                <c:pt idx="6">
                  <c:v>0.211162666666667</c:v>
                </c:pt>
                <c:pt idx="7">
                  <c:v>5.0279598266666663E-2</c:v>
                </c:pt>
                <c:pt idx="8">
                  <c:v>0.24675608706666741</c:v>
                </c:pt>
                <c:pt idx="9">
                  <c:v>-3.4811193333330459E-4</c:v>
                </c:pt>
                <c:pt idx="10">
                  <c:v>3.2985586666597899E-4</c:v>
                </c:pt>
                <c:pt idx="11">
                  <c:v>-3.6698826666599349E-4</c:v>
                </c:pt>
                <c:pt idx="12">
                  <c:v>4.0703666665919958E-5</c:v>
                </c:pt>
                <c:pt idx="13">
                  <c:v>-1.5058386666594309E-4</c:v>
                </c:pt>
                <c:pt idx="14">
                  <c:v>-9.7274000000480143E-6</c:v>
                </c:pt>
                <c:pt idx="15">
                  <c:v>-3.1304499999995627E-4</c:v>
                </c:pt>
                <c:pt idx="16">
                  <c:v>2.0596753333301801E-4</c:v>
                </c:pt>
                <c:pt idx="17">
                  <c:v>3.702332000000419E-4</c:v>
                </c:pt>
                <c:pt idx="18">
                  <c:v>-3.1351466666729172E-4</c:v>
                </c:pt>
                <c:pt idx="19">
                  <c:v>1.8263026666409671E-4</c:v>
                </c:pt>
                <c:pt idx="20">
                  <c:v>2.9552846666608401E-4</c:v>
                </c:pt>
                <c:pt idx="21">
                  <c:v>-2.5122726666726441E-4</c:v>
                </c:pt>
                <c:pt idx="22">
                  <c:v>-0.19579629566666679</c:v>
                </c:pt>
                <c:pt idx="23">
                  <c:v>-0.38955468773333002</c:v>
                </c:pt>
                <c:pt idx="24">
                  <c:v>-1.192312064533334</c:v>
                </c:pt>
                <c:pt idx="25">
                  <c:v>-1.3292168360000001</c:v>
                </c:pt>
                <c:pt idx="26">
                  <c:v>-1.4727192410000001</c:v>
                </c:pt>
                <c:pt idx="27">
                  <c:v>-1.421334497066667</c:v>
                </c:pt>
                <c:pt idx="28">
                  <c:v>-1.1744759466000001</c:v>
                </c:pt>
                <c:pt idx="29">
                  <c:v>-1.3551788865333341</c:v>
                </c:pt>
                <c:pt idx="30">
                  <c:v>-1.0564076473999999</c:v>
                </c:pt>
                <c:pt idx="31">
                  <c:v>-0.95879326026666689</c:v>
                </c:pt>
                <c:pt idx="32">
                  <c:v>-0.86375736199999897</c:v>
                </c:pt>
                <c:pt idx="33">
                  <c:v>-0.59157196979999904</c:v>
                </c:pt>
                <c:pt idx="34">
                  <c:v>-0.10159186366666589</c:v>
                </c:pt>
                <c:pt idx="35">
                  <c:v>2.0818940000000291E-4</c:v>
                </c:pt>
                <c:pt idx="36">
                  <c:v>9.0865999998995806E-5</c:v>
                </c:pt>
                <c:pt idx="37">
                  <c:v>-2.029666670066987E-6</c:v>
                </c:pt>
                <c:pt idx="38">
                  <c:v>-4.7604053333366592E-4</c:v>
                </c:pt>
                <c:pt idx="39">
                  <c:v>-1.9430753333330149E-4</c:v>
                </c:pt>
                <c:pt idx="40">
                  <c:v>-4.5622146666346453E-4</c:v>
                </c:pt>
                <c:pt idx="41">
                  <c:v>-4.033333333297584E-5</c:v>
                </c:pt>
                <c:pt idx="42">
                  <c:v>4.7133333332993738E-4</c:v>
                </c:pt>
                <c:pt idx="43">
                  <c:v>-3.9000000000000151E-4</c:v>
                </c:pt>
                <c:pt idx="44">
                  <c:v>0.29474400000000012</c:v>
                </c:pt>
                <c:pt idx="45">
                  <c:v>0.78822499999999995</c:v>
                </c:pt>
                <c:pt idx="46">
                  <c:v>0.81100933333333403</c:v>
                </c:pt>
                <c:pt idx="47">
                  <c:v>0.22821533333333299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2D99-454F-BBD8-208022A620A5}"/>
            </c:ext>
          </c:extLst>
        </c:ser>
        <c:ser>
          <c:idx val="86"/>
          <c:order val="86"/>
          <c:tx>
            <c:v>BES_TR2_six807_A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Net_kW!$CK$2:$CK$49</c:f>
              <c:numCache>
                <c:formatCode>#,##0.000</c:formatCode>
                <c:ptCount val="48"/>
                <c:pt idx="0">
                  <c:v>3.1866666666702242E-4</c:v>
                </c:pt>
                <c:pt idx="1">
                  <c:v>-4.5333333333297249E-4</c:v>
                </c:pt>
                <c:pt idx="2">
                  <c:v>-3.2400000000000479E-4</c:v>
                </c:pt>
                <c:pt idx="3">
                  <c:v>-2.4000000000023999E-5</c:v>
                </c:pt>
                <c:pt idx="4">
                  <c:v>3.4199999999998121E-4</c:v>
                </c:pt>
                <c:pt idx="5">
                  <c:v>0</c:v>
                </c:pt>
                <c:pt idx="6">
                  <c:v>3.1799999999998502E-4</c:v>
                </c:pt>
                <c:pt idx="7">
                  <c:v>-1.070303333333689E-5</c:v>
                </c:pt>
                <c:pt idx="8">
                  <c:v>7.4319033333436479E-5</c:v>
                </c:pt>
                <c:pt idx="9">
                  <c:v>2.241374500000087E-4</c:v>
                </c:pt>
                <c:pt idx="10">
                  <c:v>3.2724776666548378E-4</c:v>
                </c:pt>
                <c:pt idx="11">
                  <c:v>-3.0972946666540929E-4</c:v>
                </c:pt>
                <c:pt idx="12">
                  <c:v>-4.4076858333463859E-4</c:v>
                </c:pt>
                <c:pt idx="13">
                  <c:v>3.0447823333501489E-4</c:v>
                </c:pt>
                <c:pt idx="14">
                  <c:v>3.8347704999996962E-4</c:v>
                </c:pt>
                <c:pt idx="15">
                  <c:v>9.4171249999996931E-5</c:v>
                </c:pt>
                <c:pt idx="16">
                  <c:v>1.957765166646919E-4</c:v>
                </c:pt>
                <c:pt idx="17">
                  <c:v>-1.9037355669</c:v>
                </c:pt>
                <c:pt idx="18">
                  <c:v>-2.3745034423333351</c:v>
                </c:pt>
                <c:pt idx="19">
                  <c:v>-2.3302674803666652</c:v>
                </c:pt>
                <c:pt idx="20">
                  <c:v>-2.6995078251833342</c:v>
                </c:pt>
                <c:pt idx="21">
                  <c:v>-2.70813398105</c:v>
                </c:pt>
                <c:pt idx="22">
                  <c:v>-2.8132956840833341</c:v>
                </c:pt>
                <c:pt idx="23">
                  <c:v>-2.9106508702</c:v>
                </c:pt>
                <c:pt idx="24">
                  <c:v>-2.7392331629333349</c:v>
                </c:pt>
                <c:pt idx="25">
                  <c:v>-2.7642087963333331</c:v>
                </c:pt>
                <c:pt idx="26">
                  <c:v>-2.7739096717499998</c:v>
                </c:pt>
                <c:pt idx="27">
                  <c:v>-2.6593455365333352</c:v>
                </c:pt>
                <c:pt idx="28">
                  <c:v>-2.58964340655</c:v>
                </c:pt>
                <c:pt idx="29">
                  <c:v>-2.244091734766668</c:v>
                </c:pt>
                <c:pt idx="30">
                  <c:v>-2.0802974329500001</c:v>
                </c:pt>
                <c:pt idx="31">
                  <c:v>-1.7768965388000011</c:v>
                </c:pt>
                <c:pt idx="32">
                  <c:v>3.2194983333500021E-4</c:v>
                </c:pt>
                <c:pt idx="33">
                  <c:v>-0.62585336381666501</c:v>
                </c:pt>
                <c:pt idx="34">
                  <c:v>-0.93900526141666507</c:v>
                </c:pt>
                <c:pt idx="35">
                  <c:v>-0.88227291855000012</c:v>
                </c:pt>
                <c:pt idx="36">
                  <c:v>-0.47501631783333448</c:v>
                </c:pt>
                <c:pt idx="37">
                  <c:v>-0.32545521858333298</c:v>
                </c:pt>
                <c:pt idx="38">
                  <c:v>-0.13211465426666649</c:v>
                </c:pt>
                <c:pt idx="39">
                  <c:v>3.8704514999999759E-4</c:v>
                </c:pt>
                <c:pt idx="40">
                  <c:v>-2.7930423333333287E-4</c:v>
                </c:pt>
                <c:pt idx="41">
                  <c:v>3.0400000000002653E-4</c:v>
                </c:pt>
                <c:pt idx="42">
                  <c:v>-4.976666666670071E-4</c:v>
                </c:pt>
                <c:pt idx="43">
                  <c:v>-4.41999999999998E-4</c:v>
                </c:pt>
                <c:pt idx="44">
                  <c:v>1.8299999999993319E-4</c:v>
                </c:pt>
                <c:pt idx="45">
                  <c:v>-4.399999999999959E-4</c:v>
                </c:pt>
                <c:pt idx="46">
                  <c:v>-6.7333333332975087E-5</c:v>
                </c:pt>
                <c:pt idx="47">
                  <c:v>3.2800000000000879E-4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D99-454F-BBD8-208022A620A5}"/>
            </c:ext>
          </c:extLst>
        </c:ser>
        <c:ser>
          <c:idx val="87"/>
          <c:order val="87"/>
          <c:tx>
            <c:v>BES_TR2_six885_A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Net_kW!$CL$2:$CL$49</c:f>
              <c:numCache>
                <c:formatCode>#,##0.000</c:formatCode>
                <c:ptCount val="48"/>
                <c:pt idx="0">
                  <c:v>0</c:v>
                </c:pt>
                <c:pt idx="1">
                  <c:v>-1.5333333333300561E-4</c:v>
                </c:pt>
                <c:pt idx="2">
                  <c:v>3.1266666666698861E-4</c:v>
                </c:pt>
                <c:pt idx="3">
                  <c:v>-8.4666666667010393E-5</c:v>
                </c:pt>
                <c:pt idx="4">
                  <c:v>2.8466666666669688E-4</c:v>
                </c:pt>
                <c:pt idx="5">
                  <c:v>0</c:v>
                </c:pt>
                <c:pt idx="6">
                  <c:v>-3.5366666666700192E-4</c:v>
                </c:pt>
                <c:pt idx="7">
                  <c:v>-1.443697000003408E-4</c:v>
                </c:pt>
                <c:pt idx="8">
                  <c:v>1.931903333345086E-5</c:v>
                </c:pt>
                <c:pt idx="9">
                  <c:v>-4.1219588333329948E-4</c:v>
                </c:pt>
                <c:pt idx="10">
                  <c:v>-4.4608556666747567E-4</c:v>
                </c:pt>
                <c:pt idx="11">
                  <c:v>-4.190627999984819E-4</c:v>
                </c:pt>
                <c:pt idx="12">
                  <c:v>-1.5776858333460539E-4</c:v>
                </c:pt>
                <c:pt idx="13">
                  <c:v>4.7414490000197151E-4</c:v>
                </c:pt>
                <c:pt idx="14">
                  <c:v>-3.318562833327654E-4</c:v>
                </c:pt>
                <c:pt idx="15">
                  <c:v>-8.9828750000187085E-5</c:v>
                </c:pt>
                <c:pt idx="16">
                  <c:v>-0.63128822348333502</c:v>
                </c:pt>
                <c:pt idx="17">
                  <c:v>-2.0224979002333332</c:v>
                </c:pt>
                <c:pt idx="18">
                  <c:v>-2.2010664423333348</c:v>
                </c:pt>
                <c:pt idx="19">
                  <c:v>-2.515462147033332</c:v>
                </c:pt>
                <c:pt idx="20">
                  <c:v>-2.4156818251833339</c:v>
                </c:pt>
                <c:pt idx="21">
                  <c:v>-2.8203309810500001</c:v>
                </c:pt>
                <c:pt idx="22">
                  <c:v>-2.6943203507500009</c:v>
                </c:pt>
                <c:pt idx="23">
                  <c:v>-2.8498948702</c:v>
                </c:pt>
                <c:pt idx="24">
                  <c:v>-2.784000496266668</c:v>
                </c:pt>
                <c:pt idx="25">
                  <c:v>-2.8006894629999999</c:v>
                </c:pt>
                <c:pt idx="26">
                  <c:v>-2.8401596717499999</c:v>
                </c:pt>
                <c:pt idx="27">
                  <c:v>-2.5578755365333352</c:v>
                </c:pt>
                <c:pt idx="28">
                  <c:v>-2.5413910732166669</c:v>
                </c:pt>
                <c:pt idx="29">
                  <c:v>-2.1334632347666691</c:v>
                </c:pt>
                <c:pt idx="30">
                  <c:v>-2.058802599616667</c:v>
                </c:pt>
                <c:pt idx="31">
                  <c:v>-2.0231632054666671</c:v>
                </c:pt>
                <c:pt idx="32">
                  <c:v>-1.848723716833331</c:v>
                </c:pt>
                <c:pt idx="33">
                  <c:v>-1.515969430483332</c:v>
                </c:pt>
                <c:pt idx="34">
                  <c:v>-1.0665639947499981</c:v>
                </c:pt>
                <c:pt idx="35">
                  <c:v>-0.82933991855000011</c:v>
                </c:pt>
                <c:pt idx="36">
                  <c:v>-0.41508331783333452</c:v>
                </c:pt>
                <c:pt idx="37">
                  <c:v>-0.31303568524999997</c:v>
                </c:pt>
                <c:pt idx="38">
                  <c:v>-0.1381641209333335</c:v>
                </c:pt>
                <c:pt idx="39">
                  <c:v>-1.19954849999937E-4</c:v>
                </c:pt>
                <c:pt idx="40">
                  <c:v>4.5769576666665479E-4</c:v>
                </c:pt>
                <c:pt idx="41">
                  <c:v>3.2300000000001772E-4</c:v>
                </c:pt>
                <c:pt idx="42">
                  <c:v>-3.8400000000005102E-4</c:v>
                </c:pt>
                <c:pt idx="43">
                  <c:v>4.2533333333305562E-4</c:v>
                </c:pt>
                <c:pt idx="44">
                  <c:v>-2.6666666670394079E-6</c:v>
                </c:pt>
                <c:pt idx="45">
                  <c:v>4.536666666670186E-4</c:v>
                </c:pt>
                <c:pt idx="46">
                  <c:v>-4.6066666666699779E-4</c:v>
                </c:pt>
                <c:pt idx="47">
                  <c:v>4.386666666670036E-4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2D99-454F-BBD8-208022A620A5}"/>
            </c:ext>
          </c:extLst>
        </c:ser>
        <c:ser>
          <c:idx val="88"/>
          <c:order val="88"/>
          <c:tx>
            <c:v>BES_TR2_six894_B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Net_kW!$CM$2:$CM$49</c:f>
              <c:numCache>
                <c:formatCode>#,##0.000</c:formatCode>
                <c:ptCount val="48"/>
                <c:pt idx="0">
                  <c:v>-3.999999999999837E-5</c:v>
                </c:pt>
                <c:pt idx="1">
                  <c:v>3.2000000000000079E-4</c:v>
                </c:pt>
                <c:pt idx="2">
                  <c:v>4.4000000000000977E-4</c:v>
                </c:pt>
                <c:pt idx="3">
                  <c:v>0</c:v>
                </c:pt>
                <c:pt idx="4">
                  <c:v>-2.3999999999999019E-4</c:v>
                </c:pt>
                <c:pt idx="5">
                  <c:v>3.2000000000000079E-4</c:v>
                </c:pt>
                <c:pt idx="6">
                  <c:v>4.4000000000000977E-4</c:v>
                </c:pt>
                <c:pt idx="7">
                  <c:v>2.9698700000004019E-5</c:v>
                </c:pt>
                <c:pt idx="8">
                  <c:v>-2.1043469999994241E-4</c:v>
                </c:pt>
                <c:pt idx="9">
                  <c:v>-2.150839499999932E-4</c:v>
                </c:pt>
                <c:pt idx="10">
                  <c:v>-2.4260810000049929E-4</c:v>
                </c:pt>
                <c:pt idx="11">
                  <c:v>-1.967411999994895E-4</c:v>
                </c:pt>
                <c:pt idx="12">
                  <c:v>-9.4722500005861576E-6</c:v>
                </c:pt>
                <c:pt idx="13">
                  <c:v>-3.5293789999951702E-4</c:v>
                </c:pt>
                <c:pt idx="14">
                  <c:v>1.4520444999988061E-4</c:v>
                </c:pt>
                <c:pt idx="15">
                  <c:v>3.952162499999412E-4</c:v>
                </c:pt>
                <c:pt idx="16">
                  <c:v>-4.8352435000065253E-4</c:v>
                </c:pt>
                <c:pt idx="17">
                  <c:v>-1.241000999999686E-4</c:v>
                </c:pt>
                <c:pt idx="18">
                  <c:v>-2.15760999999981E-4</c:v>
                </c:pt>
                <c:pt idx="19">
                  <c:v>-3.9377729999889871E-4</c:v>
                </c:pt>
                <c:pt idx="20">
                  <c:v>-0.91650335364999991</c:v>
                </c:pt>
                <c:pt idx="21">
                  <c:v>-1.12275942045</c:v>
                </c:pt>
                <c:pt idx="22">
                  <c:v>-1.20408672175</c:v>
                </c:pt>
                <c:pt idx="23">
                  <c:v>-1.2251275157999999</c:v>
                </c:pt>
                <c:pt idx="24">
                  <c:v>-1.1781304984000009</c:v>
                </c:pt>
                <c:pt idx="25">
                  <c:v>-1.2338706269999999</c:v>
                </c:pt>
                <c:pt idx="26">
                  <c:v>-1.1904744307499999</c:v>
                </c:pt>
                <c:pt idx="27">
                  <c:v>-1.0922003728</c:v>
                </c:pt>
                <c:pt idx="28">
                  <c:v>-1.0713254599499999</c:v>
                </c:pt>
                <c:pt idx="29">
                  <c:v>-0.93853731490000003</c:v>
                </c:pt>
                <c:pt idx="30">
                  <c:v>-0.95667318554999992</c:v>
                </c:pt>
                <c:pt idx="31">
                  <c:v>-0.76581654520000042</c:v>
                </c:pt>
                <c:pt idx="32">
                  <c:v>-0.71629685483333283</c:v>
                </c:pt>
                <c:pt idx="33">
                  <c:v>-0.5192687273499994</c:v>
                </c:pt>
                <c:pt idx="34">
                  <c:v>-0.51491373108333272</c:v>
                </c:pt>
                <c:pt idx="35">
                  <c:v>-0.41173110795000012</c:v>
                </c:pt>
                <c:pt idx="36">
                  <c:v>-0.2452811838333335</c:v>
                </c:pt>
                <c:pt idx="37">
                  <c:v>-0.11077152225</c:v>
                </c:pt>
                <c:pt idx="38">
                  <c:v>-8.0908613733333204E-2</c:v>
                </c:pt>
                <c:pt idx="39">
                  <c:v>2.8835268333299302E-4</c:v>
                </c:pt>
                <c:pt idx="40">
                  <c:v>3.6583899999942382E-5</c:v>
                </c:pt>
                <c:pt idx="41">
                  <c:v>4.0000000000001151E-4</c:v>
                </c:pt>
                <c:pt idx="42">
                  <c:v>1.100000000000545E-4</c:v>
                </c:pt>
                <c:pt idx="43">
                  <c:v>1.6000000000000741E-4</c:v>
                </c:pt>
                <c:pt idx="44">
                  <c:v>0</c:v>
                </c:pt>
                <c:pt idx="45">
                  <c:v>2.8000000000001629E-4</c:v>
                </c:pt>
                <c:pt idx="46">
                  <c:v>4.7999999999999432E-4</c:v>
                </c:pt>
                <c:pt idx="47">
                  <c:v>2.400000000000041E-4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D99-454F-BBD8-208022A620A5}"/>
            </c:ext>
          </c:extLst>
        </c:ser>
        <c:ser>
          <c:idx val="89"/>
          <c:order val="89"/>
          <c:tx>
            <c:v>BES_TR2_six914_A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Net_kW!$CN$2:$CN$49</c:f>
              <c:numCache>
                <c:formatCode>#,##0.000</c:formatCode>
                <c:ptCount val="48"/>
                <c:pt idx="0">
                  <c:v>2.399999999999625E-5</c:v>
                </c:pt>
                <c:pt idx="1">
                  <c:v>6.4000000000008495E-5</c:v>
                </c:pt>
                <c:pt idx="2">
                  <c:v>0</c:v>
                </c:pt>
                <c:pt idx="3">
                  <c:v>8.8000000000004741E-5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-2.9030130000000381E-4</c:v>
                </c:pt>
                <c:pt idx="8">
                  <c:v>3.4956530000004518E-4</c:v>
                </c:pt>
                <c:pt idx="9">
                  <c:v>-1.5108394999997779E-4</c:v>
                </c:pt>
                <c:pt idx="10">
                  <c:v>2.1391899999487211E-5</c:v>
                </c:pt>
                <c:pt idx="11">
                  <c:v>-1.967411999995172E-4</c:v>
                </c:pt>
                <c:pt idx="12">
                  <c:v>1.145277499993991E-4</c:v>
                </c:pt>
                <c:pt idx="13">
                  <c:v>-1.4893789999947951E-4</c:v>
                </c:pt>
                <c:pt idx="14">
                  <c:v>4.6620445000000732E-4</c:v>
                </c:pt>
                <c:pt idx="15">
                  <c:v>1.9121625000007031E-4</c:v>
                </c:pt>
                <c:pt idx="16">
                  <c:v>-3.5524350000537552E-5</c:v>
                </c:pt>
                <c:pt idx="17">
                  <c:v>-2.4410009999986659E-4</c:v>
                </c:pt>
                <c:pt idx="18">
                  <c:v>2.9623900000008701E-4</c:v>
                </c:pt>
                <c:pt idx="19">
                  <c:v>-2.977729999886769E-5</c:v>
                </c:pt>
                <c:pt idx="20">
                  <c:v>-1.260335365000009E-2</c:v>
                </c:pt>
                <c:pt idx="21">
                  <c:v>-1.028540087116667</c:v>
                </c:pt>
                <c:pt idx="22">
                  <c:v>-1.2113587217499999</c:v>
                </c:pt>
                <c:pt idx="23">
                  <c:v>-1.2420875158</c:v>
                </c:pt>
                <c:pt idx="24">
                  <c:v>-1.069721165066668</c:v>
                </c:pt>
                <c:pt idx="25">
                  <c:v>-0.989777293666666</c:v>
                </c:pt>
                <c:pt idx="26">
                  <c:v>-1.20743443075</c:v>
                </c:pt>
                <c:pt idx="27">
                  <c:v>-1.1381950394666669</c:v>
                </c:pt>
                <c:pt idx="28">
                  <c:v>-1.0660087266166669</c:v>
                </c:pt>
                <c:pt idx="29">
                  <c:v>-0.95890484823333311</c:v>
                </c:pt>
                <c:pt idx="30">
                  <c:v>-0.48038618555000001</c:v>
                </c:pt>
                <c:pt idx="31">
                  <c:v>-0.64278081186666747</c:v>
                </c:pt>
                <c:pt idx="32">
                  <c:v>-0.50714548816666549</c:v>
                </c:pt>
                <c:pt idx="33">
                  <c:v>-0.32310239401666641</c:v>
                </c:pt>
                <c:pt idx="34">
                  <c:v>-0.4595543977499994</c:v>
                </c:pt>
                <c:pt idx="35">
                  <c:v>2.568920499997907E-4</c:v>
                </c:pt>
                <c:pt idx="36">
                  <c:v>-5.0317166667535052E-5</c:v>
                </c:pt>
                <c:pt idx="37">
                  <c:v>-8.6588916666990867E-5</c:v>
                </c:pt>
                <c:pt idx="38">
                  <c:v>4.7971960000003921E-4</c:v>
                </c:pt>
                <c:pt idx="39">
                  <c:v>-2.9806500000117971E-6</c:v>
                </c:pt>
                <c:pt idx="40">
                  <c:v>-2.1508276666593049E-4</c:v>
                </c:pt>
                <c:pt idx="41">
                  <c:v>-8.1999999999915474E-5</c:v>
                </c:pt>
                <c:pt idx="42">
                  <c:v>-2.146666666669739E-4</c:v>
                </c:pt>
                <c:pt idx="43">
                  <c:v>4.7533333333305011E-4</c:v>
                </c:pt>
                <c:pt idx="44">
                  <c:v>-8.2666666667008393E-5</c:v>
                </c:pt>
                <c:pt idx="45">
                  <c:v>-5.0999999999912227E-5</c:v>
                </c:pt>
                <c:pt idx="46">
                  <c:v>-4.7399999999997439E-4</c:v>
                </c:pt>
                <c:pt idx="47">
                  <c:v>1.5999999999988249E-5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2D99-454F-BBD8-208022A620A5}"/>
            </c:ext>
          </c:extLst>
        </c:ser>
        <c:ser>
          <c:idx val="90"/>
          <c:order val="90"/>
          <c:tx>
            <c:v>BES_TR2_six921_B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Net_kW!$CO$2:$CO$49</c:f>
              <c:numCache>
                <c:formatCode>#,##0.000</c:formatCode>
                <c:ptCount val="48"/>
                <c:pt idx="0">
                  <c:v>2.279999999999921E-4</c:v>
                </c:pt>
                <c:pt idx="1">
                  <c:v>1.9866666666701341E-4</c:v>
                </c:pt>
                <c:pt idx="2">
                  <c:v>3.7133333333339708E-4</c:v>
                </c:pt>
                <c:pt idx="3">
                  <c:v>5.5333333332990842E-5</c:v>
                </c:pt>
                <c:pt idx="4">
                  <c:v>0</c:v>
                </c:pt>
                <c:pt idx="5">
                  <c:v>-3.1599999999998302E-4</c:v>
                </c:pt>
                <c:pt idx="6">
                  <c:v>-2.5733333333329689E-4</c:v>
                </c:pt>
                <c:pt idx="7">
                  <c:v>-1.0703033333329949E-5</c:v>
                </c:pt>
                <c:pt idx="8">
                  <c:v>-9.1014299999567227E-5</c:v>
                </c:pt>
                <c:pt idx="9">
                  <c:v>4.9813745000001908E-4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-1.1896166669522761E-6</c:v>
                </c:pt>
                <c:pt idx="15">
                  <c:v>-8.4495416666774403E-5</c:v>
                </c:pt>
                <c:pt idx="16">
                  <c:v>-1.782288223483335</c:v>
                </c:pt>
                <c:pt idx="17">
                  <c:v>-2.002432900233333</c:v>
                </c:pt>
                <c:pt idx="18">
                  <c:v>-2.1613734423333351</c:v>
                </c:pt>
                <c:pt idx="19">
                  <c:v>-2.2402388136999982</c:v>
                </c:pt>
                <c:pt idx="20">
                  <c:v>-2.4488994918500011</c:v>
                </c:pt>
                <c:pt idx="21">
                  <c:v>-2.5941086477166668</c:v>
                </c:pt>
                <c:pt idx="22">
                  <c:v>-2.497349017416667</c:v>
                </c:pt>
                <c:pt idx="23">
                  <c:v>-2.6777835368666669</c:v>
                </c:pt>
                <c:pt idx="24">
                  <c:v>-2.5979974962666681</c:v>
                </c:pt>
                <c:pt idx="25">
                  <c:v>-2.6247941296666659</c:v>
                </c:pt>
                <c:pt idx="26">
                  <c:v>-2.80574567175</c:v>
                </c:pt>
                <c:pt idx="27">
                  <c:v>-2.5655509365333349</c:v>
                </c:pt>
                <c:pt idx="28">
                  <c:v>-2.6115520065500002</c:v>
                </c:pt>
                <c:pt idx="29">
                  <c:v>-2.091611068100002</c:v>
                </c:pt>
                <c:pt idx="30">
                  <c:v>-1.862633766283333</c:v>
                </c:pt>
                <c:pt idx="31">
                  <c:v>-1.7960212054666671</c:v>
                </c:pt>
                <c:pt idx="32">
                  <c:v>-1.6345950501666651</c:v>
                </c:pt>
                <c:pt idx="33">
                  <c:v>-0.93735736381666501</c:v>
                </c:pt>
                <c:pt idx="34">
                  <c:v>-1.0521049280833319</c:v>
                </c:pt>
                <c:pt idx="35">
                  <c:v>-0.82576291855000006</c:v>
                </c:pt>
                <c:pt idx="36">
                  <c:v>-0.24592865116666751</c:v>
                </c:pt>
                <c:pt idx="37">
                  <c:v>-3.6099218583332982E-2</c:v>
                </c:pt>
                <c:pt idx="38">
                  <c:v>-2.871532093333351E-2</c:v>
                </c:pt>
                <c:pt idx="39">
                  <c:v>3.9037848333300929E-4</c:v>
                </c:pt>
                <c:pt idx="40">
                  <c:v>-1.497090000035506E-5</c:v>
                </c:pt>
                <c:pt idx="41">
                  <c:v>-4.379999999999939E-4</c:v>
                </c:pt>
                <c:pt idx="42">
                  <c:v>-2.5599999999992301E-4</c:v>
                </c:pt>
                <c:pt idx="43">
                  <c:v>-3.1733333333305858E-4</c:v>
                </c:pt>
                <c:pt idx="44">
                  <c:v>4.846666666670219E-4</c:v>
                </c:pt>
                <c:pt idx="45">
                  <c:v>3.7799999999998951E-4</c:v>
                </c:pt>
                <c:pt idx="46">
                  <c:v>0</c:v>
                </c:pt>
                <c:pt idx="47">
                  <c:v>-4.0066666666668799E-4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D99-454F-BBD8-208022A620A5}"/>
            </c:ext>
          </c:extLst>
        </c:ser>
        <c:ser>
          <c:idx val="91"/>
          <c:order val="91"/>
          <c:tx>
            <c:v>BES_TR2_six929_A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Net_kW!$CP$2:$CP$49</c:f>
              <c:numCache>
                <c:formatCode>#,##0.000</c:formatCode>
                <c:ptCount val="48"/>
                <c:pt idx="0">
                  <c:v>-4.0600000000001751E-4</c:v>
                </c:pt>
                <c:pt idx="1">
                  <c:v>-9.8999999999960231E-5</c:v>
                </c:pt>
                <c:pt idx="2">
                  <c:v>-4.3066666666702341E-4</c:v>
                </c:pt>
                <c:pt idx="3">
                  <c:v>0</c:v>
                </c:pt>
                <c:pt idx="4">
                  <c:v>-4.766666666670138E-4</c:v>
                </c:pt>
                <c:pt idx="5">
                  <c:v>0</c:v>
                </c:pt>
                <c:pt idx="6">
                  <c:v>0</c:v>
                </c:pt>
                <c:pt idx="7">
                  <c:v>3.2033333013936627E-8</c:v>
                </c:pt>
                <c:pt idx="8">
                  <c:v>-4.2110136666665549E-4</c:v>
                </c:pt>
                <c:pt idx="9">
                  <c:v>-3.8575061666699939E-4</c:v>
                </c:pt>
                <c:pt idx="10">
                  <c:v>-3.0894143333351059E-4</c:v>
                </c:pt>
                <c:pt idx="11">
                  <c:v>-1.967411999994895E-4</c:v>
                </c:pt>
                <c:pt idx="12">
                  <c:v>4.2019441666638069E-4</c:v>
                </c:pt>
                <c:pt idx="13">
                  <c:v>-1.993789999948925E-5</c:v>
                </c:pt>
                <c:pt idx="14">
                  <c:v>2.6520445000000059E-4</c:v>
                </c:pt>
                <c:pt idx="15">
                  <c:v>-2.9045041666586607E-4</c:v>
                </c:pt>
                <c:pt idx="16">
                  <c:v>-1.4319101666715459E-4</c:v>
                </c:pt>
                <c:pt idx="17">
                  <c:v>3.6256656666711068E-4</c:v>
                </c:pt>
                <c:pt idx="18">
                  <c:v>3.6323900000001519E-4</c:v>
                </c:pt>
                <c:pt idx="19">
                  <c:v>-1.8511063332896091E-4</c:v>
                </c:pt>
                <c:pt idx="20">
                  <c:v>-3.8772031666700618E-4</c:v>
                </c:pt>
                <c:pt idx="21">
                  <c:v>4.6857955000012552E-4</c:v>
                </c:pt>
                <c:pt idx="22">
                  <c:v>-3.2338841666701418E-4</c:v>
                </c:pt>
                <c:pt idx="23">
                  <c:v>9.7717533329877426E-5</c:v>
                </c:pt>
                <c:pt idx="24">
                  <c:v>-4.9498400001013472E-5</c:v>
                </c:pt>
                <c:pt idx="25">
                  <c:v>4.4403966667005967E-4</c:v>
                </c:pt>
                <c:pt idx="26">
                  <c:v>-2.9843075000002273E-4</c:v>
                </c:pt>
                <c:pt idx="27">
                  <c:v>-4.5370613333306498E-4</c:v>
                </c:pt>
                <c:pt idx="28">
                  <c:v>-0.24100012661666681</c:v>
                </c:pt>
                <c:pt idx="29">
                  <c:v>-1.0088706482333329</c:v>
                </c:pt>
                <c:pt idx="30">
                  <c:v>-0.80461451888333291</c:v>
                </c:pt>
                <c:pt idx="31">
                  <c:v>-0.80138527853333341</c:v>
                </c:pt>
                <c:pt idx="32">
                  <c:v>-0.51723502149999945</c:v>
                </c:pt>
                <c:pt idx="33">
                  <c:v>-0.36047706068333241</c:v>
                </c:pt>
                <c:pt idx="34">
                  <c:v>-0.38381553108333238</c:v>
                </c:pt>
                <c:pt idx="35">
                  <c:v>-0.39504117461666682</c:v>
                </c:pt>
                <c:pt idx="36">
                  <c:v>1.8248283332944479E-4</c:v>
                </c:pt>
                <c:pt idx="37">
                  <c:v>-7.1522249999997345E-5</c:v>
                </c:pt>
                <c:pt idx="38">
                  <c:v>2.5838626666709053E-4</c:v>
                </c:pt>
                <c:pt idx="39">
                  <c:v>1.8568601666701931E-4</c:v>
                </c:pt>
                <c:pt idx="40">
                  <c:v>3.2505666670012978E-6</c:v>
                </c:pt>
                <c:pt idx="41">
                  <c:v>-3.3999999999978492E-5</c:v>
                </c:pt>
                <c:pt idx="42">
                  <c:v>-1.506666666670764E-4</c:v>
                </c:pt>
                <c:pt idx="43">
                  <c:v>-7.9666666666977637E-5</c:v>
                </c:pt>
                <c:pt idx="44">
                  <c:v>-2.1466666666702941E-4</c:v>
                </c:pt>
                <c:pt idx="45">
                  <c:v>-1.076666666669501E-4</c:v>
                </c:pt>
                <c:pt idx="46">
                  <c:v>4.9666666666697834E-4</c:v>
                </c:pt>
                <c:pt idx="47">
                  <c:v>4.133333333297684E-5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2D99-454F-BBD8-208022A620A5}"/>
            </c:ext>
          </c:extLst>
        </c:ser>
        <c:ser>
          <c:idx val="92"/>
          <c:order val="92"/>
          <c:tx>
            <c:v>BES_TR2_six938_A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Net_kW!$CQ$2:$CQ$49</c:f>
              <c:numCache>
                <c:formatCode>#,##0.000</c:formatCode>
                <c:ptCount val="48"/>
                <c:pt idx="0">
                  <c:v>4.6366666666700079E-4</c:v>
                </c:pt>
                <c:pt idx="1">
                  <c:v>0</c:v>
                </c:pt>
                <c:pt idx="2">
                  <c:v>-3.7033333333300061E-4</c:v>
                </c:pt>
                <c:pt idx="3">
                  <c:v>-2.6899999999999152E-4</c:v>
                </c:pt>
                <c:pt idx="4">
                  <c:v>0</c:v>
                </c:pt>
                <c:pt idx="5">
                  <c:v>-5.0666666666990268E-5</c:v>
                </c:pt>
                <c:pt idx="6">
                  <c:v>4.1133333333298611E-4</c:v>
                </c:pt>
                <c:pt idx="7">
                  <c:v>-4.4080346666667408E-4</c:v>
                </c:pt>
                <c:pt idx="8">
                  <c:v>2.6550746666679451E-4</c:v>
                </c:pt>
                <c:pt idx="9">
                  <c:v>4.2644279999998203E-4</c:v>
                </c:pt>
                <c:pt idx="10">
                  <c:v>2.0378399998993709E-5</c:v>
                </c:pt>
                <c:pt idx="11">
                  <c:v>1.420234666680287E-4</c:v>
                </c:pt>
                <c:pt idx="12">
                  <c:v>8.140733333206196E-5</c:v>
                </c:pt>
                <c:pt idx="13">
                  <c:v>-8.616773333192107E-5</c:v>
                </c:pt>
                <c:pt idx="14">
                  <c:v>-2.5378813333309941E-4</c:v>
                </c:pt>
                <c:pt idx="15">
                  <c:v>-0.42862608999999979</c:v>
                </c:pt>
                <c:pt idx="16">
                  <c:v>-2.1308927316000008</c:v>
                </c:pt>
                <c:pt idx="17">
                  <c:v>-2.3867269335999999</c:v>
                </c:pt>
                <c:pt idx="18">
                  <c:v>-2.6079383626666681</c:v>
                </c:pt>
                <c:pt idx="19">
                  <c:v>-2.7381590727999989</c:v>
                </c:pt>
                <c:pt idx="20">
                  <c:v>-1.9647909430666679</c:v>
                </c:pt>
                <c:pt idx="21">
                  <c:v>-2.4145921212000001</c:v>
                </c:pt>
                <c:pt idx="22">
                  <c:v>-2.1846129246666681</c:v>
                </c:pt>
                <c:pt idx="23">
                  <c:v>-2.3584887087999999</c:v>
                </c:pt>
                <c:pt idx="24">
                  <c:v>-2.5182893290666679</c:v>
                </c:pt>
                <c:pt idx="25">
                  <c:v>2.5832799999997441E-4</c:v>
                </c:pt>
                <c:pt idx="26">
                  <c:v>-0.37665848200000002</c:v>
                </c:pt>
                <c:pt idx="27">
                  <c:v>-2.744167660800001</c:v>
                </c:pt>
                <c:pt idx="28">
                  <c:v>-2.8331472265333328</c:v>
                </c:pt>
                <c:pt idx="29">
                  <c:v>-2.827190173066668</c:v>
                </c:pt>
                <c:pt idx="30">
                  <c:v>-2.6116411614666668</c:v>
                </c:pt>
                <c:pt idx="31">
                  <c:v>-2.2237105205333352</c:v>
                </c:pt>
                <c:pt idx="32">
                  <c:v>-2.1188000573333321</c:v>
                </c:pt>
                <c:pt idx="33">
                  <c:v>-1.685903606266665</c:v>
                </c:pt>
                <c:pt idx="34">
                  <c:v>-1.414018727333332</c:v>
                </c:pt>
                <c:pt idx="35">
                  <c:v>-1.133731287866667</c:v>
                </c:pt>
                <c:pt idx="36">
                  <c:v>-0.73177460133333505</c:v>
                </c:pt>
                <c:pt idx="37">
                  <c:v>-0.57975072599999999</c:v>
                </c:pt>
                <c:pt idx="38">
                  <c:v>-0.13596008106666621</c:v>
                </c:pt>
                <c:pt idx="39">
                  <c:v>-5.61599484E-2</c:v>
                </c:pt>
                <c:pt idx="40">
                  <c:v>-8.3442933333677249E-5</c:v>
                </c:pt>
                <c:pt idx="41">
                  <c:v>-3.1966666666702342E-4</c:v>
                </c:pt>
                <c:pt idx="42">
                  <c:v>0</c:v>
                </c:pt>
                <c:pt idx="43">
                  <c:v>1.4233333333299461E-4</c:v>
                </c:pt>
                <c:pt idx="44">
                  <c:v>2.1833333333340371E-4</c:v>
                </c:pt>
                <c:pt idx="45">
                  <c:v>0</c:v>
                </c:pt>
                <c:pt idx="46">
                  <c:v>4.1133333333298611E-4</c:v>
                </c:pt>
                <c:pt idx="47">
                  <c:v>-5.0666666666990268E-5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D99-454F-BBD8-208022A620A5}"/>
            </c:ext>
          </c:extLst>
        </c:ser>
        <c:ser>
          <c:idx val="93"/>
          <c:order val="93"/>
          <c:tx>
            <c:v>BES_TR2_six990_B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Net_kW!$CR$2:$CR$49</c:f>
              <c:numCache>
                <c:formatCode>#,##0.000</c:formatCode>
                <c:ptCount val="48"/>
                <c:pt idx="0">
                  <c:v>1.950000000000007E-4</c:v>
                </c:pt>
                <c:pt idx="1">
                  <c:v>0</c:v>
                </c:pt>
                <c:pt idx="2">
                  <c:v>-1.586666666669734E-4</c:v>
                </c:pt>
                <c:pt idx="3">
                  <c:v>-4.9499999999999544E-4</c:v>
                </c:pt>
                <c:pt idx="4">
                  <c:v>0</c:v>
                </c:pt>
                <c:pt idx="5">
                  <c:v>3.2433333333301012E-4</c:v>
                </c:pt>
                <c:pt idx="6">
                  <c:v>2.0000000000019998E-5</c:v>
                </c:pt>
                <c:pt idx="7">
                  <c:v>4.1939739999999342E-4</c:v>
                </c:pt>
                <c:pt idx="8">
                  <c:v>3.7879726666717461E-4</c:v>
                </c:pt>
                <c:pt idx="9">
                  <c:v>2.3983210000000371E-4</c:v>
                </c:pt>
                <c:pt idx="10">
                  <c:v>1.8945046666568599E-4</c:v>
                </c:pt>
                <c:pt idx="11">
                  <c:v>8.7184266667983401E-5</c:v>
                </c:pt>
                <c:pt idx="12">
                  <c:v>-2.6894450000103381E-4</c:v>
                </c:pt>
                <c:pt idx="13">
                  <c:v>-4.5087579999913968E-4</c:v>
                </c:pt>
                <c:pt idx="14">
                  <c:v>-3.0859110000003298E-4</c:v>
                </c:pt>
                <c:pt idx="15">
                  <c:v>3.5776583333291262E-4</c:v>
                </c:pt>
                <c:pt idx="16">
                  <c:v>1.2295129999895241E-4</c:v>
                </c:pt>
                <c:pt idx="17">
                  <c:v>-1.2534882002000001</c:v>
                </c:pt>
                <c:pt idx="18">
                  <c:v>-1.912236522000001</c:v>
                </c:pt>
                <c:pt idx="19">
                  <c:v>-2.0116392212666661</c:v>
                </c:pt>
                <c:pt idx="20">
                  <c:v>-2.3070067073000011</c:v>
                </c:pt>
                <c:pt idx="21">
                  <c:v>-2.2823588409000002</c:v>
                </c:pt>
                <c:pt idx="22">
                  <c:v>-2.3415074435000012</c:v>
                </c:pt>
                <c:pt idx="23">
                  <c:v>-2.5176263649333328</c:v>
                </c:pt>
                <c:pt idx="24">
                  <c:v>-2.2727333301333341</c:v>
                </c:pt>
                <c:pt idx="25">
                  <c:v>-2.5020712540000001</c:v>
                </c:pt>
                <c:pt idx="26">
                  <c:v>-2.2282028614999998</c:v>
                </c:pt>
                <c:pt idx="27">
                  <c:v>-2.2932432122666682</c:v>
                </c:pt>
                <c:pt idx="28">
                  <c:v>-1.9680751198999999</c:v>
                </c:pt>
                <c:pt idx="29">
                  <c:v>-1.8886634631333341</c:v>
                </c:pt>
                <c:pt idx="30">
                  <c:v>-1.9242513711</c:v>
                </c:pt>
                <c:pt idx="31">
                  <c:v>-1.674434057066668</c:v>
                </c:pt>
                <c:pt idx="32">
                  <c:v>-1.3712457096666659</c:v>
                </c:pt>
                <c:pt idx="33">
                  <c:v>-0.94078012136666511</c:v>
                </c:pt>
                <c:pt idx="34">
                  <c:v>-0.69761479549999916</c:v>
                </c:pt>
                <c:pt idx="35">
                  <c:v>-0.8293668825666668</c:v>
                </c:pt>
                <c:pt idx="36">
                  <c:v>-0.39229786766666802</c:v>
                </c:pt>
                <c:pt idx="37">
                  <c:v>-0.14642204449999999</c:v>
                </c:pt>
                <c:pt idx="38">
                  <c:v>-0.1202078941333329</c:v>
                </c:pt>
                <c:pt idx="39">
                  <c:v>-1.716279666670317E-4</c:v>
                </c:pt>
                <c:pt idx="40">
                  <c:v>-4.0926553333302251E-4</c:v>
                </c:pt>
                <c:pt idx="41">
                  <c:v>-3.7339999999999601E-4</c:v>
                </c:pt>
                <c:pt idx="42">
                  <c:v>-2.5133333333299262E-4</c:v>
                </c:pt>
                <c:pt idx="43">
                  <c:v>2.8599999999989739E-4</c:v>
                </c:pt>
                <c:pt idx="44">
                  <c:v>4.8333333333300249E-4</c:v>
                </c:pt>
                <c:pt idx="45">
                  <c:v>-4.1333333333298811E-4</c:v>
                </c:pt>
                <c:pt idx="46">
                  <c:v>1.4450000000001961E-4</c:v>
                </c:pt>
                <c:pt idx="47">
                  <c:v>-4.3533333333301011E-4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2D99-454F-BBD8-208022A620A5}"/>
            </c:ext>
          </c:extLst>
        </c:ser>
        <c:ser>
          <c:idx val="94"/>
          <c:order val="94"/>
          <c:tx>
            <c:v>BES_TR2_six1020_A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Net_kW!$CS$2:$CS$49</c:f>
              <c:numCache>
                <c:formatCode>#,##0.000</c:formatCode>
                <c:ptCount val="48"/>
                <c:pt idx="0">
                  <c:v>-3.2666666666958388E-5</c:v>
                </c:pt>
                <c:pt idx="1">
                  <c:v>3.0733333333299312E-4</c:v>
                </c:pt>
                <c:pt idx="2">
                  <c:v>-1.5600000000001721E-4</c:v>
                </c:pt>
                <c:pt idx="3">
                  <c:v>-3.2400000000000479E-4</c:v>
                </c:pt>
                <c:pt idx="4">
                  <c:v>2.24000000000002E-4</c:v>
                </c:pt>
                <c:pt idx="5">
                  <c:v>2.800000000000025E-5</c:v>
                </c:pt>
                <c:pt idx="6">
                  <c:v>4.0733333333328742E-4</c:v>
                </c:pt>
                <c:pt idx="7">
                  <c:v>1.2393159999968259E-4</c:v>
                </c:pt>
                <c:pt idx="8">
                  <c:v>1.3275373333339341E-4</c:v>
                </c:pt>
                <c:pt idx="9">
                  <c:v>9.8221400000000902E-5</c:v>
                </c:pt>
                <c:pt idx="10">
                  <c:v>4.6952253333298888E-4</c:v>
                </c:pt>
                <c:pt idx="11">
                  <c:v>-3.8365493333297751E-4</c:v>
                </c:pt>
                <c:pt idx="12">
                  <c:v>-3.5963000001082428E-5</c:v>
                </c:pt>
                <c:pt idx="13">
                  <c:v>1.294161333340593E-4</c:v>
                </c:pt>
                <c:pt idx="14">
                  <c:v>-1.637273999999245E-4</c:v>
                </c:pt>
                <c:pt idx="15">
                  <c:v>1.276216666670216E-4</c:v>
                </c:pt>
                <c:pt idx="16">
                  <c:v>-8.0699133334194428E-5</c:v>
                </c:pt>
                <c:pt idx="17">
                  <c:v>3.3866533333926092E-5</c:v>
                </c:pt>
                <c:pt idx="18">
                  <c:v>-4.7434800000090149E-4</c:v>
                </c:pt>
                <c:pt idx="19">
                  <c:v>-8.3862363999991363E-3</c:v>
                </c:pt>
                <c:pt idx="20">
                  <c:v>-0.53417813820000393</c:v>
                </c:pt>
                <c:pt idx="21">
                  <c:v>-1.5587725606</c:v>
                </c:pt>
                <c:pt idx="22">
                  <c:v>-1.539848962333334</c:v>
                </c:pt>
                <c:pt idx="23">
                  <c:v>-1.5334536877333329</c:v>
                </c:pt>
                <c:pt idx="24">
                  <c:v>-0.16128266453333409</c:v>
                </c:pt>
                <c:pt idx="25">
                  <c:v>-0.8261608360000009</c:v>
                </c:pt>
                <c:pt idx="26">
                  <c:v>4.0075899999991732E-4</c:v>
                </c:pt>
                <c:pt idx="27">
                  <c:v>-0.92643049706666725</c:v>
                </c:pt>
                <c:pt idx="28">
                  <c:v>3.5386733330367022E-5</c:v>
                </c:pt>
                <c:pt idx="29">
                  <c:v>3.1824679999603589E-4</c:v>
                </c:pt>
                <c:pt idx="30">
                  <c:v>-4.4558073333400561E-4</c:v>
                </c:pt>
                <c:pt idx="31">
                  <c:v>-5.5260266666801172E-5</c:v>
                </c:pt>
                <c:pt idx="32">
                  <c:v>-4.9802866666592838E-4</c:v>
                </c:pt>
                <c:pt idx="33">
                  <c:v>-0.56003563646666588</c:v>
                </c:pt>
                <c:pt idx="34">
                  <c:v>-0.59308586366666594</c:v>
                </c:pt>
                <c:pt idx="35">
                  <c:v>-0.34214521060000003</c:v>
                </c:pt>
                <c:pt idx="36">
                  <c:v>-0.38648806733333402</c:v>
                </c:pt>
                <c:pt idx="37">
                  <c:v>-0.109600829666667</c:v>
                </c:pt>
                <c:pt idx="38">
                  <c:v>-1.329999958391915E-8</c:v>
                </c:pt>
                <c:pt idx="39">
                  <c:v>-3.5764086666700828E-4</c:v>
                </c:pt>
                <c:pt idx="40">
                  <c:v>-4.1155480000037992E-4</c:v>
                </c:pt>
                <c:pt idx="41">
                  <c:v>-4.5133333333302611E-4</c:v>
                </c:pt>
                <c:pt idx="42">
                  <c:v>-2.1333333332984591E-5</c:v>
                </c:pt>
                <c:pt idx="43">
                  <c:v>4.750000000000032E-4</c:v>
                </c:pt>
                <c:pt idx="44">
                  <c:v>-1.6033333333304031E-4</c:v>
                </c:pt>
                <c:pt idx="45">
                  <c:v>-2.1666666666975139E-5</c:v>
                </c:pt>
                <c:pt idx="46">
                  <c:v>1.6800000000000151E-4</c:v>
                </c:pt>
                <c:pt idx="47">
                  <c:v>8.8666666666986638E-5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D99-454F-BBD8-208022A620A5}"/>
            </c:ext>
          </c:extLst>
        </c:ser>
        <c:ser>
          <c:idx val="95"/>
          <c:order val="95"/>
          <c:tx>
            <c:v>net zero target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2D99-454F-BBD8-208022A620A5}"/>
            </c:ext>
          </c:extLst>
        </c:ser>
        <c:ser>
          <c:idx val="96"/>
          <c:order val="96"/>
          <c:tx>
            <c:v>fleet average</c:v>
          </c:tx>
          <c:spPr>
            <a:ln w="30480">
              <a:solidFill>
                <a:srgbClr val="4B3FA8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ChartData!$AC$2:$AC$49</c:f>
              <c:numCache>
                <c:formatCode>#,##0.000</c:formatCode>
                <c:ptCount val="48"/>
                <c:pt idx="0">
                  <c:v>9.2912280701684669E-6</c:v>
                </c:pt>
                <c:pt idx="1">
                  <c:v>1.2323578947369407E-3</c:v>
                </c:pt>
                <c:pt idx="2">
                  <c:v>5.2052284210527544E-3</c:v>
                </c:pt>
                <c:pt idx="3">
                  <c:v>1.0122361403508751E-2</c:v>
                </c:pt>
                <c:pt idx="4">
                  <c:v>1.0331677192982558E-2</c:v>
                </c:pt>
                <c:pt idx="5">
                  <c:v>1.293604210526314E-2</c:v>
                </c:pt>
                <c:pt idx="6">
                  <c:v>3.0149354385964847E-2</c:v>
                </c:pt>
                <c:pt idx="7">
                  <c:v>9.695842585613984E-3</c:v>
                </c:pt>
                <c:pt idx="8">
                  <c:v>9.7156501382457544E-3</c:v>
                </c:pt>
                <c:pt idx="9">
                  <c:v>2.4643972678946875E-3</c:v>
                </c:pt>
                <c:pt idx="10">
                  <c:v>-7.4582297194015395E-5</c:v>
                </c:pt>
                <c:pt idx="11">
                  <c:v>5.0037949474557308E-5</c:v>
                </c:pt>
                <c:pt idx="12">
                  <c:v>8.0904885954025119E-6</c:v>
                </c:pt>
                <c:pt idx="13">
                  <c:v>6.5650971936004332E-6</c:v>
                </c:pt>
                <c:pt idx="14">
                  <c:v>-1.2157501228085565E-5</c:v>
                </c:pt>
                <c:pt idx="15">
                  <c:v>-0.13194082337280569</c:v>
                </c:pt>
                <c:pt idx="16">
                  <c:v>-0.6971556813805293</c:v>
                </c:pt>
                <c:pt idx="17">
                  <c:v>-1.221929014591929</c:v>
                </c:pt>
                <c:pt idx="18">
                  <c:v>-1.5346661961649135</c:v>
                </c:pt>
                <c:pt idx="19">
                  <c:v>-1.7083532451757855</c:v>
                </c:pt>
                <c:pt idx="20">
                  <c:v>-1.8802640624300015</c:v>
                </c:pt>
                <c:pt idx="21">
                  <c:v>-2.0921631063303501</c:v>
                </c:pt>
                <c:pt idx="22">
                  <c:v>-2.1270924300605261</c:v>
                </c:pt>
                <c:pt idx="23">
                  <c:v>-2.1907329571038598</c:v>
                </c:pt>
                <c:pt idx="24">
                  <c:v>-2.2611177030203526</c:v>
                </c:pt>
                <c:pt idx="25">
                  <c:v>-2.218265062978948</c:v>
                </c:pt>
                <c:pt idx="26">
                  <c:v>-2.27054491877281</c:v>
                </c:pt>
                <c:pt idx="27">
                  <c:v>-2.182460971345964</c:v>
                </c:pt>
                <c:pt idx="28">
                  <c:v>-2.0335206624233311</c:v>
                </c:pt>
                <c:pt idx="29">
                  <c:v>-1.8987395054256144</c:v>
                </c:pt>
                <c:pt idx="30">
                  <c:v>-1.7475624284836839</c:v>
                </c:pt>
                <c:pt idx="31">
                  <c:v>-1.5310415766049155</c:v>
                </c:pt>
                <c:pt idx="32">
                  <c:v>-1.4112038267385951</c:v>
                </c:pt>
                <c:pt idx="33">
                  <c:v>-1.1233693482612281</c:v>
                </c:pt>
                <c:pt idx="34">
                  <c:v>-0.87862331361140289</c:v>
                </c:pt>
                <c:pt idx="35">
                  <c:v>-0.6388086240935088</c:v>
                </c:pt>
                <c:pt idx="36">
                  <c:v>-0.41016795032807124</c:v>
                </c:pt>
                <c:pt idx="37">
                  <c:v>-0.22378072898508766</c:v>
                </c:pt>
                <c:pt idx="38">
                  <c:v>-6.8174170572280507E-2</c:v>
                </c:pt>
                <c:pt idx="39">
                  <c:v>-3.2651141808775486E-3</c:v>
                </c:pt>
                <c:pt idx="40">
                  <c:v>1.2526122561390407E-4</c:v>
                </c:pt>
                <c:pt idx="41">
                  <c:v>5.3239677192983836E-3</c:v>
                </c:pt>
                <c:pt idx="42">
                  <c:v>1.7877645964912481E-2</c:v>
                </c:pt>
                <c:pt idx="43">
                  <c:v>3.6852327368421034E-2</c:v>
                </c:pt>
                <c:pt idx="44">
                  <c:v>5.4804642105263202E-2</c:v>
                </c:pt>
                <c:pt idx="45">
                  <c:v>5.3238761403508805E-2</c:v>
                </c:pt>
                <c:pt idx="46">
                  <c:v>3.9759337192982358E-2</c:v>
                </c:pt>
                <c:pt idx="47">
                  <c:v>3.5562698245614033E-2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2D99-454F-BBD8-208022A62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"/>
          <c:min val="-5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Net grid exchange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Demand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BES_TR2_three312_A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Demand_kW!$C$2:$C$49</c:f>
              <c:numCache>
                <c:formatCode>#,##0.000</c:formatCode>
                <c:ptCount val="48"/>
                <c:pt idx="0">
                  <c:v>0.27143133333333302</c:v>
                </c:pt>
                <c:pt idx="1">
                  <c:v>8.3636000000000002E-2</c:v>
                </c:pt>
                <c:pt idx="2">
                  <c:v>0.183862</c:v>
                </c:pt>
                <c:pt idx="3">
                  <c:v>5.5E-2</c:v>
                </c:pt>
                <c:pt idx="4">
                  <c:v>0.14090800000000001</c:v>
                </c:pt>
                <c:pt idx="5">
                  <c:v>0.12659000000000001</c:v>
                </c:pt>
                <c:pt idx="6">
                  <c:v>5.5E-2</c:v>
                </c:pt>
                <c:pt idx="7">
                  <c:v>0.13374900000000001</c:v>
                </c:pt>
                <c:pt idx="8">
                  <c:v>0.13374900000000001</c:v>
                </c:pt>
                <c:pt idx="9">
                  <c:v>5.5E-2</c:v>
                </c:pt>
                <c:pt idx="10">
                  <c:v>0.176703</c:v>
                </c:pt>
                <c:pt idx="11">
                  <c:v>9.0795000000000001E-2</c:v>
                </c:pt>
                <c:pt idx="12">
                  <c:v>5.5E-2</c:v>
                </c:pt>
                <c:pt idx="13">
                  <c:v>0.162385</c:v>
                </c:pt>
                <c:pt idx="14">
                  <c:v>0.105113</c:v>
                </c:pt>
                <c:pt idx="15">
                  <c:v>0.100856666666667</c:v>
                </c:pt>
                <c:pt idx="16">
                  <c:v>1.177975</c:v>
                </c:pt>
                <c:pt idx="17">
                  <c:v>0.27131899999999998</c:v>
                </c:pt>
                <c:pt idx="18">
                  <c:v>1.36513366666667</c:v>
                </c:pt>
                <c:pt idx="19">
                  <c:v>2.9296150000000001</c:v>
                </c:pt>
                <c:pt idx="20">
                  <c:v>1.8908463333333301</c:v>
                </c:pt>
                <c:pt idx="21">
                  <c:v>1.6855946666666699</c:v>
                </c:pt>
                <c:pt idx="22">
                  <c:v>8.4704000000000002E-2</c:v>
                </c:pt>
                <c:pt idx="23">
                  <c:v>0.28084999999999999</c:v>
                </c:pt>
                <c:pt idx="24">
                  <c:v>0.14665966666666699</c:v>
                </c:pt>
                <c:pt idx="25">
                  <c:v>0.30598633333333303</c:v>
                </c:pt>
                <c:pt idx="26">
                  <c:v>0.22350400000000001</c:v>
                </c:pt>
                <c:pt idx="27">
                  <c:v>1.72858166666667</c:v>
                </c:pt>
                <c:pt idx="28">
                  <c:v>2.4446180000000002</c:v>
                </c:pt>
                <c:pt idx="29">
                  <c:v>0.94939466666666605</c:v>
                </c:pt>
                <c:pt idx="30">
                  <c:v>1.82686033333333</c:v>
                </c:pt>
                <c:pt idx="31">
                  <c:v>0.35682999999999998</c:v>
                </c:pt>
                <c:pt idx="32">
                  <c:v>0.35346</c:v>
                </c:pt>
                <c:pt idx="33">
                  <c:v>0.44747466666666702</c:v>
                </c:pt>
                <c:pt idx="34">
                  <c:v>0.61395666666666704</c:v>
                </c:pt>
                <c:pt idx="35">
                  <c:v>1.19795233333333</c:v>
                </c:pt>
                <c:pt idx="36">
                  <c:v>1.0537138666666701</c:v>
                </c:pt>
                <c:pt idx="37">
                  <c:v>0.23819173333333299</c:v>
                </c:pt>
                <c:pt idx="38">
                  <c:v>0.20078733333333301</c:v>
                </c:pt>
                <c:pt idx="39">
                  <c:v>0.169544</c:v>
                </c:pt>
                <c:pt idx="40">
                  <c:v>5.5E-2</c:v>
                </c:pt>
                <c:pt idx="41">
                  <c:v>0.21249799999999999</c:v>
                </c:pt>
                <c:pt idx="42">
                  <c:v>5.5E-2</c:v>
                </c:pt>
                <c:pt idx="43">
                  <c:v>5.5E-2</c:v>
                </c:pt>
                <c:pt idx="44">
                  <c:v>0.245608666666667</c:v>
                </c:pt>
                <c:pt idx="45">
                  <c:v>0.41196733333333302</c:v>
                </c:pt>
                <c:pt idx="46">
                  <c:v>0.24084666666666699</c:v>
                </c:pt>
                <c:pt idx="47">
                  <c:v>0.44744299999999998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B-4F34-81FA-962F66EDDE5B}"/>
            </c:ext>
          </c:extLst>
        </c:ser>
        <c:ser>
          <c:idx val="1"/>
          <c:order val="1"/>
          <c:tx>
            <c:v>BES_TR2_three321_B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Demand_kW!$D$2:$D$49</c:f>
              <c:numCache>
                <c:formatCode>#,##0.000</c:formatCode>
                <c:ptCount val="48"/>
                <c:pt idx="0">
                  <c:v>4.2999999999999997E-2</c:v>
                </c:pt>
                <c:pt idx="1">
                  <c:v>0.211454</c:v>
                </c:pt>
                <c:pt idx="2">
                  <c:v>4.2999999999999997E-2</c:v>
                </c:pt>
                <c:pt idx="3">
                  <c:v>0.16551199999999999</c:v>
                </c:pt>
                <c:pt idx="4">
                  <c:v>8.8942000000000104E-2</c:v>
                </c:pt>
                <c:pt idx="5">
                  <c:v>5.8313999999999998E-2</c:v>
                </c:pt>
                <c:pt idx="6">
                  <c:v>0.19614000000000001</c:v>
                </c:pt>
                <c:pt idx="7">
                  <c:v>4.2999999999999997E-2</c:v>
                </c:pt>
                <c:pt idx="8">
                  <c:v>0.211454</c:v>
                </c:pt>
                <c:pt idx="9">
                  <c:v>4.2999999999999997E-2</c:v>
                </c:pt>
                <c:pt idx="10">
                  <c:v>0.134884</c:v>
                </c:pt>
                <c:pt idx="11">
                  <c:v>0.11957</c:v>
                </c:pt>
                <c:pt idx="12">
                  <c:v>5.0657000000000001E-2</c:v>
                </c:pt>
                <c:pt idx="13">
                  <c:v>0.20379700000000001</c:v>
                </c:pt>
                <c:pt idx="14">
                  <c:v>5.3024666666666602E-2</c:v>
                </c:pt>
                <c:pt idx="15">
                  <c:v>0.152562633333333</c:v>
                </c:pt>
                <c:pt idx="16">
                  <c:v>0.16242166666666699</c:v>
                </c:pt>
                <c:pt idx="17">
                  <c:v>0.16505600000000001</c:v>
                </c:pt>
                <c:pt idx="18">
                  <c:v>0.28651450000000001</c:v>
                </c:pt>
                <c:pt idx="19">
                  <c:v>5.1520966666666598E-2</c:v>
                </c:pt>
                <c:pt idx="20">
                  <c:v>4.2999999999999997E-2</c:v>
                </c:pt>
                <c:pt idx="21">
                  <c:v>9.6599000000000004E-2</c:v>
                </c:pt>
                <c:pt idx="22">
                  <c:v>0.157855</c:v>
                </c:pt>
                <c:pt idx="23">
                  <c:v>4.2999999999999997E-2</c:v>
                </c:pt>
                <c:pt idx="24">
                  <c:v>0.267092</c:v>
                </c:pt>
                <c:pt idx="25">
                  <c:v>0.12249</c:v>
                </c:pt>
                <c:pt idx="26">
                  <c:v>1.1124130000000001</c:v>
                </c:pt>
                <c:pt idx="27">
                  <c:v>0.104256</c:v>
                </c:pt>
                <c:pt idx="28">
                  <c:v>4.2999999999999997E-2</c:v>
                </c:pt>
                <c:pt idx="29">
                  <c:v>4.2999999999999997E-2</c:v>
                </c:pt>
                <c:pt idx="30">
                  <c:v>0.16551199999999999</c:v>
                </c:pt>
                <c:pt idx="31">
                  <c:v>0.74804199999999998</c:v>
                </c:pt>
                <c:pt idx="32">
                  <c:v>0.27508126666666699</c:v>
                </c:pt>
                <c:pt idx="33">
                  <c:v>0.32783980000000001</c:v>
                </c:pt>
                <c:pt idx="34">
                  <c:v>0.161031333333333</c:v>
                </c:pt>
                <c:pt idx="35">
                  <c:v>0.23411933333333301</c:v>
                </c:pt>
                <c:pt idx="36">
                  <c:v>0.143136033333333</c:v>
                </c:pt>
                <c:pt idx="37">
                  <c:v>0.381774</c:v>
                </c:pt>
                <c:pt idx="38">
                  <c:v>0.50558756666666704</c:v>
                </c:pt>
                <c:pt idx="39">
                  <c:v>0.65409799999999996</c:v>
                </c:pt>
                <c:pt idx="40">
                  <c:v>1.07039366666667</c:v>
                </c:pt>
                <c:pt idx="41">
                  <c:v>0.201272333333333</c:v>
                </c:pt>
                <c:pt idx="42">
                  <c:v>0.34762733333333301</c:v>
                </c:pt>
                <c:pt idx="43">
                  <c:v>0.220323666666667</c:v>
                </c:pt>
                <c:pt idx="44">
                  <c:v>0.42357566666666702</c:v>
                </c:pt>
                <c:pt idx="45">
                  <c:v>0.262984</c:v>
                </c:pt>
                <c:pt idx="46">
                  <c:v>0.31655066666666698</c:v>
                </c:pt>
                <c:pt idx="47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1B-4F34-81FA-962F66EDDE5B}"/>
            </c:ext>
          </c:extLst>
        </c:ser>
        <c:ser>
          <c:idx val="2"/>
          <c:order val="2"/>
          <c:tx>
            <c:v>BES_TR2_three368_A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Demand_kW!$E$2:$E$49</c:f>
              <c:numCache>
                <c:formatCode>#,##0.000</c:formatCode>
                <c:ptCount val="48"/>
                <c:pt idx="0">
                  <c:v>0.20597333333333301</c:v>
                </c:pt>
                <c:pt idx="1">
                  <c:v>5.6000000000000001E-2</c:v>
                </c:pt>
                <c:pt idx="2">
                  <c:v>0.195842666666667</c:v>
                </c:pt>
                <c:pt idx="3">
                  <c:v>0.20597333333333301</c:v>
                </c:pt>
                <c:pt idx="4">
                  <c:v>5.6000000000000001E-2</c:v>
                </c:pt>
                <c:pt idx="5">
                  <c:v>0.34581933333333298</c:v>
                </c:pt>
                <c:pt idx="6">
                  <c:v>5.6000000000000001E-2</c:v>
                </c:pt>
                <c:pt idx="7">
                  <c:v>0.19808000000000001</c:v>
                </c:pt>
                <c:pt idx="8">
                  <c:v>0.203736</c:v>
                </c:pt>
                <c:pt idx="9">
                  <c:v>5.6000000000000001E-2</c:v>
                </c:pt>
                <c:pt idx="10">
                  <c:v>0.26284400000000002</c:v>
                </c:pt>
                <c:pt idx="11">
                  <c:v>0.138973333333333</c:v>
                </c:pt>
                <c:pt idx="12">
                  <c:v>0.14282666666666699</c:v>
                </c:pt>
                <c:pt idx="13">
                  <c:v>0.24707799999999999</c:v>
                </c:pt>
                <c:pt idx="14">
                  <c:v>0.29834699999999997</c:v>
                </c:pt>
                <c:pt idx="15">
                  <c:v>0.26565</c:v>
                </c:pt>
                <c:pt idx="16">
                  <c:v>0.122378666666667</c:v>
                </c:pt>
                <c:pt idx="17">
                  <c:v>0.247864</c:v>
                </c:pt>
                <c:pt idx="18">
                  <c:v>1.499018</c:v>
                </c:pt>
                <c:pt idx="19">
                  <c:v>0.60785800000000001</c:v>
                </c:pt>
                <c:pt idx="20">
                  <c:v>2.2167706666666702</c:v>
                </c:pt>
                <c:pt idx="21">
                  <c:v>0.45074799999999998</c:v>
                </c:pt>
                <c:pt idx="22">
                  <c:v>1.3429266666666699</c:v>
                </c:pt>
                <c:pt idx="23">
                  <c:v>0.18221733333333301</c:v>
                </c:pt>
                <c:pt idx="24">
                  <c:v>0.59880199999999995</c:v>
                </c:pt>
                <c:pt idx="25">
                  <c:v>0.33383400000000002</c:v>
                </c:pt>
                <c:pt idx="26">
                  <c:v>0.35181966666666697</c:v>
                </c:pt>
                <c:pt idx="27">
                  <c:v>0.56092866666666696</c:v>
                </c:pt>
                <c:pt idx="28">
                  <c:v>0.31702723333333299</c:v>
                </c:pt>
                <c:pt idx="29">
                  <c:v>0.26073433333333301</c:v>
                </c:pt>
                <c:pt idx="30">
                  <c:v>0.2535036</c:v>
                </c:pt>
                <c:pt idx="31">
                  <c:v>0.26948610000000001</c:v>
                </c:pt>
                <c:pt idx="32">
                  <c:v>0.295688333333333</c:v>
                </c:pt>
                <c:pt idx="33">
                  <c:v>0.41842333333333298</c:v>
                </c:pt>
                <c:pt idx="34">
                  <c:v>0.28165333333333298</c:v>
                </c:pt>
                <c:pt idx="35">
                  <c:v>1.0349873333333299</c:v>
                </c:pt>
                <c:pt idx="36">
                  <c:v>0.402221</c:v>
                </c:pt>
                <c:pt idx="37">
                  <c:v>1.0756030000000001</c:v>
                </c:pt>
                <c:pt idx="38">
                  <c:v>0.15536066666666701</c:v>
                </c:pt>
                <c:pt idx="39">
                  <c:v>0.47093600000000002</c:v>
                </c:pt>
                <c:pt idx="40">
                  <c:v>0.223346666666667</c:v>
                </c:pt>
                <c:pt idx="41">
                  <c:v>0.44524799999999998</c:v>
                </c:pt>
                <c:pt idx="42">
                  <c:v>0.506981666666667</c:v>
                </c:pt>
                <c:pt idx="43">
                  <c:v>0.40546266666666703</c:v>
                </c:pt>
                <c:pt idx="44">
                  <c:v>0.54935900000000004</c:v>
                </c:pt>
                <c:pt idx="45">
                  <c:v>0.27066533333333298</c:v>
                </c:pt>
                <c:pt idx="46">
                  <c:v>0.172736</c:v>
                </c:pt>
                <c:pt idx="47">
                  <c:v>0.345820666666667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1B-4F34-81FA-962F66EDDE5B}"/>
            </c:ext>
          </c:extLst>
        </c:ser>
        <c:ser>
          <c:idx val="3"/>
          <c:order val="3"/>
          <c:tx>
            <c:v>BES_TR2_three388_A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Demand_kW!$F$2:$F$49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5.7000000000000002E-2</c:v>
                </c:pt>
                <c:pt idx="10">
                  <c:v>5.7000000000000002E-2</c:v>
                </c:pt>
                <c:pt idx="11">
                  <c:v>5.7000000000000002E-2</c:v>
                </c:pt>
                <c:pt idx="12">
                  <c:v>5.7000000000000002E-2</c:v>
                </c:pt>
                <c:pt idx="13">
                  <c:v>7.0131666666666606E-2</c:v>
                </c:pt>
                <c:pt idx="14">
                  <c:v>0.163432666666667</c:v>
                </c:pt>
                <c:pt idx="15">
                  <c:v>0.14505000000000001</c:v>
                </c:pt>
                <c:pt idx="16">
                  <c:v>1.0587583333333299</c:v>
                </c:pt>
                <c:pt idx="17">
                  <c:v>0.239493333333333</c:v>
                </c:pt>
                <c:pt idx="18">
                  <c:v>0.19646</c:v>
                </c:pt>
                <c:pt idx="19">
                  <c:v>0.18645999999999999</c:v>
                </c:pt>
                <c:pt idx="20">
                  <c:v>5.7000000000000002E-2</c:v>
                </c:pt>
                <c:pt idx="21">
                  <c:v>5.7000000000000002E-2</c:v>
                </c:pt>
                <c:pt idx="22">
                  <c:v>5.7000000000000002E-2</c:v>
                </c:pt>
                <c:pt idx="23">
                  <c:v>5.7000000000000002E-2</c:v>
                </c:pt>
                <c:pt idx="24">
                  <c:v>5.7000000000000002E-2</c:v>
                </c:pt>
                <c:pt idx="25">
                  <c:v>5.7000000000000002E-2</c:v>
                </c:pt>
                <c:pt idx="26">
                  <c:v>5.7000000000000002E-2</c:v>
                </c:pt>
                <c:pt idx="27">
                  <c:v>5.7000000000000002E-2</c:v>
                </c:pt>
                <c:pt idx="28">
                  <c:v>5.7000000000000002E-2</c:v>
                </c:pt>
                <c:pt idx="29">
                  <c:v>0.210887666666667</c:v>
                </c:pt>
                <c:pt idx="30">
                  <c:v>0.20549999999999999</c:v>
                </c:pt>
                <c:pt idx="31">
                  <c:v>0.20815600000000001</c:v>
                </c:pt>
                <c:pt idx="32">
                  <c:v>0.18576400000000001</c:v>
                </c:pt>
                <c:pt idx="33">
                  <c:v>0.24176500000000001</c:v>
                </c:pt>
                <c:pt idx="34">
                  <c:v>0.252392333333333</c:v>
                </c:pt>
                <c:pt idx="35">
                  <c:v>0.22009999999999999</c:v>
                </c:pt>
                <c:pt idx="36">
                  <c:v>0.116369</c:v>
                </c:pt>
                <c:pt idx="37">
                  <c:v>0.146315466666667</c:v>
                </c:pt>
                <c:pt idx="38">
                  <c:v>0.333011733333333</c:v>
                </c:pt>
                <c:pt idx="39">
                  <c:v>0.41708299999999998</c:v>
                </c:pt>
                <c:pt idx="40">
                  <c:v>0.25171233333333298</c:v>
                </c:pt>
                <c:pt idx="41">
                  <c:v>0.187266666666667</c:v>
                </c:pt>
                <c:pt idx="42">
                  <c:v>0.30234533333333302</c:v>
                </c:pt>
                <c:pt idx="43">
                  <c:v>0.344856</c:v>
                </c:pt>
                <c:pt idx="44">
                  <c:v>0.299439333333333</c:v>
                </c:pt>
                <c:pt idx="45">
                  <c:v>0.32107666666666701</c:v>
                </c:pt>
                <c:pt idx="46">
                  <c:v>5.7000000000000002E-2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1B-4F34-81FA-962F66EDDE5B}"/>
            </c:ext>
          </c:extLst>
        </c:ser>
        <c:ser>
          <c:idx val="4"/>
          <c:order val="4"/>
          <c:tx>
            <c:v>BES_TR2_three409_C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Demand_kW!$G$2:$G$49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0.17182900000000001</c:v>
                </c:pt>
                <c:pt idx="2">
                  <c:v>0.21314433333333399</c:v>
                </c:pt>
                <c:pt idx="3">
                  <c:v>5.3999999999999999E-2</c:v>
                </c:pt>
                <c:pt idx="4">
                  <c:v>0.154394</c:v>
                </c:pt>
                <c:pt idx="5">
                  <c:v>0.230579333333333</c:v>
                </c:pt>
                <c:pt idx="6">
                  <c:v>0.104197</c:v>
                </c:pt>
                <c:pt idx="7">
                  <c:v>0.248671</c:v>
                </c:pt>
                <c:pt idx="8">
                  <c:v>8.6105333333333298E-2</c:v>
                </c:pt>
                <c:pt idx="9">
                  <c:v>0.154394</c:v>
                </c:pt>
                <c:pt idx="10">
                  <c:v>0.26510766666666702</c:v>
                </c:pt>
                <c:pt idx="11">
                  <c:v>0.132881</c:v>
                </c:pt>
                <c:pt idx="12">
                  <c:v>0.123671</c:v>
                </c:pt>
                <c:pt idx="13">
                  <c:v>0.189208933333333</c:v>
                </c:pt>
                <c:pt idx="14">
                  <c:v>5.3999999999999999E-2</c:v>
                </c:pt>
                <c:pt idx="15">
                  <c:v>0.154394</c:v>
                </c:pt>
                <c:pt idx="16">
                  <c:v>5.3999999999999999E-2</c:v>
                </c:pt>
                <c:pt idx="17">
                  <c:v>0.17439499999999999</c:v>
                </c:pt>
                <c:pt idx="18">
                  <c:v>0.21057833333333301</c:v>
                </c:pt>
                <c:pt idx="19">
                  <c:v>5.3999999999999999E-2</c:v>
                </c:pt>
                <c:pt idx="20">
                  <c:v>0.35969433333333301</c:v>
                </c:pt>
                <c:pt idx="21">
                  <c:v>0.29820400000000002</c:v>
                </c:pt>
                <c:pt idx="22">
                  <c:v>0.198781666666667</c:v>
                </c:pt>
                <c:pt idx="23">
                  <c:v>0.442052</c:v>
                </c:pt>
                <c:pt idx="24">
                  <c:v>0.25384133333333297</c:v>
                </c:pt>
                <c:pt idx="25">
                  <c:v>0.326239</c:v>
                </c:pt>
                <c:pt idx="26">
                  <c:v>0.74060899999999996</c:v>
                </c:pt>
                <c:pt idx="27">
                  <c:v>0.29783999999999999</c:v>
                </c:pt>
                <c:pt idx="28">
                  <c:v>0.36203733333333299</c:v>
                </c:pt>
                <c:pt idx="29">
                  <c:v>0.44844933333333298</c:v>
                </c:pt>
                <c:pt idx="30">
                  <c:v>0.49536233333333402</c:v>
                </c:pt>
                <c:pt idx="31">
                  <c:v>0.28564533333333397</c:v>
                </c:pt>
                <c:pt idx="32">
                  <c:v>0.30483766666666701</c:v>
                </c:pt>
                <c:pt idx="33">
                  <c:v>0.150317533333333</c:v>
                </c:pt>
                <c:pt idx="34">
                  <c:v>0.19324253333333299</c:v>
                </c:pt>
                <c:pt idx="35">
                  <c:v>0.29745280000000002</c:v>
                </c:pt>
                <c:pt idx="36">
                  <c:v>0.33985233333333298</c:v>
                </c:pt>
                <c:pt idx="37">
                  <c:v>0.28989366666666699</c:v>
                </c:pt>
                <c:pt idx="38">
                  <c:v>0.74839100000000003</c:v>
                </c:pt>
                <c:pt idx="39">
                  <c:v>1.8906179999999999</c:v>
                </c:pt>
                <c:pt idx="40">
                  <c:v>0.18242133333333299</c:v>
                </c:pt>
                <c:pt idx="41">
                  <c:v>5.3999999999999999E-2</c:v>
                </c:pt>
                <c:pt idx="42">
                  <c:v>0.225447333333333</c:v>
                </c:pt>
                <c:pt idx="43">
                  <c:v>0.159526</c:v>
                </c:pt>
                <c:pt idx="44">
                  <c:v>5.3999999999999999E-2</c:v>
                </c:pt>
                <c:pt idx="45">
                  <c:v>0.30228933333333302</c:v>
                </c:pt>
                <c:pt idx="46">
                  <c:v>8.2683999999999994E-2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1B-4F34-81FA-962F66EDDE5B}"/>
            </c:ext>
          </c:extLst>
        </c:ser>
        <c:ser>
          <c:idx val="5"/>
          <c:order val="5"/>
          <c:tx>
            <c:v>BES_TR2_three478_B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Demand_kW!$H$2:$H$49</c:f>
              <c:numCache>
                <c:formatCode>#,##0.000</c:formatCode>
                <c:ptCount val="48"/>
                <c:pt idx="0">
                  <c:v>0.16150666666666699</c:v>
                </c:pt>
                <c:pt idx="1">
                  <c:v>0.13958000000000001</c:v>
                </c:pt>
                <c:pt idx="2">
                  <c:v>0.193201333333333</c:v>
                </c:pt>
                <c:pt idx="3">
                  <c:v>0.15567666666666699</c:v>
                </c:pt>
                <c:pt idx="4">
                  <c:v>0.124928</c:v>
                </c:pt>
                <c:pt idx="5">
                  <c:v>0.17566000000000001</c:v>
                </c:pt>
                <c:pt idx="6">
                  <c:v>0.10494466666666701</c:v>
                </c:pt>
                <c:pt idx="7">
                  <c:v>0.17954666666666699</c:v>
                </c:pt>
                <c:pt idx="8">
                  <c:v>6.7144999999999996E-2</c:v>
                </c:pt>
                <c:pt idx="9">
                  <c:v>0.28173300000000001</c:v>
                </c:pt>
                <c:pt idx="10">
                  <c:v>4.2999999999999997E-2</c:v>
                </c:pt>
                <c:pt idx="11">
                  <c:v>0.24443200000000001</c:v>
                </c:pt>
                <c:pt idx="12">
                  <c:v>0.104446</c:v>
                </c:pt>
                <c:pt idx="13">
                  <c:v>4.2999999999999997E-2</c:v>
                </c:pt>
                <c:pt idx="14">
                  <c:v>0.21223866666666699</c:v>
                </c:pt>
                <c:pt idx="15">
                  <c:v>0.136639333333333</c:v>
                </c:pt>
                <c:pt idx="16">
                  <c:v>4.2999999999999997E-2</c:v>
                </c:pt>
                <c:pt idx="17">
                  <c:v>0.30587799999999998</c:v>
                </c:pt>
                <c:pt idx="18">
                  <c:v>0.26051999999999997</c:v>
                </c:pt>
                <c:pt idx="19">
                  <c:v>0.23832700000000001</c:v>
                </c:pt>
                <c:pt idx="20">
                  <c:v>0.110551</c:v>
                </c:pt>
                <c:pt idx="21">
                  <c:v>6.3481999999999997E-2</c:v>
                </c:pt>
                <c:pt idx="22">
                  <c:v>0.36749266666666702</c:v>
                </c:pt>
                <c:pt idx="23">
                  <c:v>1.55582</c:v>
                </c:pt>
                <c:pt idx="24">
                  <c:v>0.25452000000000002</c:v>
                </c:pt>
                <c:pt idx="25">
                  <c:v>0.30587799999999998</c:v>
                </c:pt>
                <c:pt idx="26">
                  <c:v>0.10689333333333299</c:v>
                </c:pt>
                <c:pt idx="27">
                  <c:v>0.22222</c:v>
                </c:pt>
                <c:pt idx="28">
                  <c:v>0.30403533333333299</c:v>
                </c:pt>
                <c:pt idx="29">
                  <c:v>5.7439866666666603E-2</c:v>
                </c:pt>
                <c:pt idx="30">
                  <c:v>0.147628333333333</c:v>
                </c:pt>
                <c:pt idx="31">
                  <c:v>5.10483333333333E-2</c:v>
                </c:pt>
                <c:pt idx="32">
                  <c:v>0.14541000000000001</c:v>
                </c:pt>
                <c:pt idx="33">
                  <c:v>0.14712966666666699</c:v>
                </c:pt>
                <c:pt idx="34">
                  <c:v>9.9338333333333501E-2</c:v>
                </c:pt>
                <c:pt idx="35">
                  <c:v>0.12358066666666701</c:v>
                </c:pt>
                <c:pt idx="36">
                  <c:v>0.24580866666666701</c:v>
                </c:pt>
                <c:pt idx="37">
                  <c:v>5.7166666666666699E-2</c:v>
                </c:pt>
                <c:pt idx="38">
                  <c:v>0.64743333333333397</c:v>
                </c:pt>
                <c:pt idx="39">
                  <c:v>1.0318750000000001</c:v>
                </c:pt>
                <c:pt idx="40">
                  <c:v>0.30369866666666701</c:v>
                </c:pt>
                <c:pt idx="41">
                  <c:v>0.52384866666666696</c:v>
                </c:pt>
                <c:pt idx="42">
                  <c:v>1.496116</c:v>
                </c:pt>
                <c:pt idx="43">
                  <c:v>0.19749466666666701</c:v>
                </c:pt>
                <c:pt idx="44">
                  <c:v>0.193201333333333</c:v>
                </c:pt>
                <c:pt idx="45">
                  <c:v>0.15567666666666699</c:v>
                </c:pt>
                <c:pt idx="46">
                  <c:v>4.98273333333333E-2</c:v>
                </c:pt>
                <c:pt idx="47">
                  <c:v>0.194422333333333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1B-4F34-81FA-962F66EDDE5B}"/>
            </c:ext>
          </c:extLst>
        </c:ser>
        <c:ser>
          <c:idx val="6"/>
          <c:order val="6"/>
          <c:tx>
            <c:v>BES_TR2_three97_B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Demand_kW!$I$2:$I$49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4.5999999999999999E-2</c:v>
                </c:pt>
                <c:pt idx="8">
                  <c:v>4.5999999999999999E-2</c:v>
                </c:pt>
                <c:pt idx="9">
                  <c:v>4.5999999999999999E-2</c:v>
                </c:pt>
                <c:pt idx="10">
                  <c:v>4.5999999999999999E-2</c:v>
                </c:pt>
                <c:pt idx="11">
                  <c:v>4.5999999999999999E-2</c:v>
                </c:pt>
                <c:pt idx="12">
                  <c:v>4.5999999999999999E-2</c:v>
                </c:pt>
                <c:pt idx="13">
                  <c:v>4.5999999999999999E-2</c:v>
                </c:pt>
                <c:pt idx="14">
                  <c:v>0.190826</c:v>
                </c:pt>
                <c:pt idx="15">
                  <c:v>4.9363499999999998E-2</c:v>
                </c:pt>
                <c:pt idx="16">
                  <c:v>4.5999999999999999E-2</c:v>
                </c:pt>
                <c:pt idx="17">
                  <c:v>4.5999999999999999E-2</c:v>
                </c:pt>
                <c:pt idx="18">
                  <c:v>4.5999999999999999E-2</c:v>
                </c:pt>
                <c:pt idx="19">
                  <c:v>4.5999999999999999E-2</c:v>
                </c:pt>
                <c:pt idx="20">
                  <c:v>4.5999999999999999E-2</c:v>
                </c:pt>
                <c:pt idx="21">
                  <c:v>4.5999999999999999E-2</c:v>
                </c:pt>
                <c:pt idx="22">
                  <c:v>4.5999999999999999E-2</c:v>
                </c:pt>
                <c:pt idx="23">
                  <c:v>4.5999999999999999E-2</c:v>
                </c:pt>
                <c:pt idx="24">
                  <c:v>4.5999999999999999E-2</c:v>
                </c:pt>
                <c:pt idx="25">
                  <c:v>4.5999999999999999E-2</c:v>
                </c:pt>
                <c:pt idx="26">
                  <c:v>4.5999999999999999E-2</c:v>
                </c:pt>
                <c:pt idx="27">
                  <c:v>4.5999999999999999E-2</c:v>
                </c:pt>
                <c:pt idx="28">
                  <c:v>4.5999999999999999E-2</c:v>
                </c:pt>
                <c:pt idx="29">
                  <c:v>4.5999999999999999E-2</c:v>
                </c:pt>
                <c:pt idx="30">
                  <c:v>4.5999999999999999E-2</c:v>
                </c:pt>
                <c:pt idx="31">
                  <c:v>4.5999999999999999E-2</c:v>
                </c:pt>
                <c:pt idx="32">
                  <c:v>4.5999999999999999E-2</c:v>
                </c:pt>
                <c:pt idx="33">
                  <c:v>4.5999999999999999E-2</c:v>
                </c:pt>
                <c:pt idx="34">
                  <c:v>4.5999999999999999E-2</c:v>
                </c:pt>
                <c:pt idx="35">
                  <c:v>4.5999999999999999E-2</c:v>
                </c:pt>
                <c:pt idx="36">
                  <c:v>4.5999999999999999E-2</c:v>
                </c:pt>
                <c:pt idx="37">
                  <c:v>4.5999999999999999E-2</c:v>
                </c:pt>
                <c:pt idx="38">
                  <c:v>4.5999999999999999E-2</c:v>
                </c:pt>
                <c:pt idx="39">
                  <c:v>4.5999999999999999E-2</c:v>
                </c:pt>
                <c:pt idx="40">
                  <c:v>4.5999999999999999E-2</c:v>
                </c:pt>
                <c:pt idx="41">
                  <c:v>4.5999999999999999E-2</c:v>
                </c:pt>
                <c:pt idx="42">
                  <c:v>4.5999999999999999E-2</c:v>
                </c:pt>
                <c:pt idx="43">
                  <c:v>0.100669333333333</c:v>
                </c:pt>
                <c:pt idx="44">
                  <c:v>0.23417333333333301</c:v>
                </c:pt>
                <c:pt idx="45">
                  <c:v>0.35162700000000002</c:v>
                </c:pt>
                <c:pt idx="46">
                  <c:v>0.13123000000000001</c:v>
                </c:pt>
                <c:pt idx="47">
                  <c:v>8.08796666666666E-2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1B-4F34-81FA-962F66EDDE5B}"/>
            </c:ext>
          </c:extLst>
        </c:ser>
        <c:ser>
          <c:idx val="7"/>
          <c:order val="7"/>
          <c:tx>
            <c:v>BES_TR2_three133_C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Demand_kW!$J$2:$J$49</c:f>
              <c:numCache>
                <c:formatCode>#,##0.000</c:formatCode>
                <c:ptCount val="48"/>
                <c:pt idx="0">
                  <c:v>5.5427333333333301E-2</c:v>
                </c:pt>
                <c:pt idx="1">
                  <c:v>0.11550000000000001</c:v>
                </c:pt>
                <c:pt idx="2">
                  <c:v>0.130692</c:v>
                </c:pt>
                <c:pt idx="3">
                  <c:v>5.0999999999999997E-2</c:v>
                </c:pt>
                <c:pt idx="4">
                  <c:v>0.11741</c:v>
                </c:pt>
                <c:pt idx="5">
                  <c:v>6.4282000000000006E-2</c:v>
                </c:pt>
                <c:pt idx="6">
                  <c:v>0.108555333333333</c:v>
                </c:pt>
                <c:pt idx="7">
                  <c:v>7.31366666666666E-2</c:v>
                </c:pt>
                <c:pt idx="8">
                  <c:v>0.126264666666667</c:v>
                </c:pt>
                <c:pt idx="9">
                  <c:v>5.5427333333333301E-2</c:v>
                </c:pt>
                <c:pt idx="10">
                  <c:v>6.4282000000000006E-2</c:v>
                </c:pt>
                <c:pt idx="11">
                  <c:v>0.11741</c:v>
                </c:pt>
                <c:pt idx="12">
                  <c:v>5.0999999999999997E-2</c:v>
                </c:pt>
                <c:pt idx="13">
                  <c:v>0.130692</c:v>
                </c:pt>
                <c:pt idx="14">
                  <c:v>5.0999999999999997E-2</c:v>
                </c:pt>
                <c:pt idx="15">
                  <c:v>5.0999999999999997E-2</c:v>
                </c:pt>
                <c:pt idx="16">
                  <c:v>0.31703199999999998</c:v>
                </c:pt>
                <c:pt idx="17">
                  <c:v>0.113113333333333</c:v>
                </c:pt>
                <c:pt idx="18">
                  <c:v>0.239728</c:v>
                </c:pt>
                <c:pt idx="19">
                  <c:v>0.1433594</c:v>
                </c:pt>
                <c:pt idx="20">
                  <c:v>5.9854666666666702E-2</c:v>
                </c:pt>
                <c:pt idx="21">
                  <c:v>0.12183733333333301</c:v>
                </c:pt>
                <c:pt idx="22">
                  <c:v>5.0999999999999997E-2</c:v>
                </c:pt>
                <c:pt idx="23">
                  <c:v>0.26208853333333398</c:v>
                </c:pt>
                <c:pt idx="24">
                  <c:v>0.159103666666667</c:v>
                </c:pt>
                <c:pt idx="25">
                  <c:v>0.151</c:v>
                </c:pt>
                <c:pt idx="26">
                  <c:v>0.46156666666666701</c:v>
                </c:pt>
                <c:pt idx="27">
                  <c:v>0.226395333333333</c:v>
                </c:pt>
                <c:pt idx="28">
                  <c:v>0.35512666666666698</c:v>
                </c:pt>
                <c:pt idx="29">
                  <c:v>0.14622853333333299</c:v>
                </c:pt>
                <c:pt idx="30">
                  <c:v>0.1857412</c:v>
                </c:pt>
                <c:pt idx="31">
                  <c:v>0.108119333333333</c:v>
                </c:pt>
                <c:pt idx="32">
                  <c:v>0.11741</c:v>
                </c:pt>
                <c:pt idx="33">
                  <c:v>5.5427333333333301E-2</c:v>
                </c:pt>
                <c:pt idx="34">
                  <c:v>0.131725333333333</c:v>
                </c:pt>
                <c:pt idx="35">
                  <c:v>0.83242366666666701</c:v>
                </c:pt>
                <c:pt idx="36">
                  <c:v>1.12929233333333</c:v>
                </c:pt>
                <c:pt idx="37">
                  <c:v>1.7010419999999999</c:v>
                </c:pt>
                <c:pt idx="38">
                  <c:v>0.33912066666666701</c:v>
                </c:pt>
                <c:pt idx="39">
                  <c:v>0.41419866666666699</c:v>
                </c:pt>
                <c:pt idx="40">
                  <c:v>0.35334733333333301</c:v>
                </c:pt>
                <c:pt idx="41">
                  <c:v>9.9700666666666798E-2</c:v>
                </c:pt>
                <c:pt idx="42">
                  <c:v>9.9700666666666701E-2</c:v>
                </c:pt>
                <c:pt idx="43">
                  <c:v>8.1991333333333402E-2</c:v>
                </c:pt>
                <c:pt idx="44">
                  <c:v>5.0999999999999997E-2</c:v>
                </c:pt>
                <c:pt idx="45">
                  <c:v>0.20503299999999999</c:v>
                </c:pt>
                <c:pt idx="46">
                  <c:v>0.103225333333333</c:v>
                </c:pt>
                <c:pt idx="47">
                  <c:v>5.5427333333333301E-2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1B-4F34-81FA-962F66EDDE5B}"/>
            </c:ext>
          </c:extLst>
        </c:ser>
        <c:ser>
          <c:idx val="8"/>
          <c:order val="8"/>
          <c:tx>
            <c:v>BES_TR2_three160_C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Demand_kW!$K$2:$K$49</c:f>
              <c:numCache>
                <c:formatCode>#,##0.000</c:formatCode>
                <c:ptCount val="48"/>
                <c:pt idx="0">
                  <c:v>0.67774833333333295</c:v>
                </c:pt>
                <c:pt idx="1">
                  <c:v>0.29747899999999999</c:v>
                </c:pt>
                <c:pt idx="2">
                  <c:v>0.13314266666666699</c:v>
                </c:pt>
                <c:pt idx="3">
                  <c:v>0.203416666666667</c:v>
                </c:pt>
                <c:pt idx="4">
                  <c:v>3.9E-2</c:v>
                </c:pt>
                <c:pt idx="5">
                  <c:v>0.15170666666666699</c:v>
                </c:pt>
                <c:pt idx="6">
                  <c:v>3.9E-2</c:v>
                </c:pt>
                <c:pt idx="7">
                  <c:v>0.17822299999999999</c:v>
                </c:pt>
                <c:pt idx="8">
                  <c:v>0.152701</c:v>
                </c:pt>
                <c:pt idx="9">
                  <c:v>6.4524333333333295E-2</c:v>
                </c:pt>
                <c:pt idx="10">
                  <c:v>0.170599</c:v>
                </c:pt>
                <c:pt idx="11">
                  <c:v>0.146071333333333</c:v>
                </c:pt>
                <c:pt idx="12">
                  <c:v>0.19048799999999999</c:v>
                </c:pt>
                <c:pt idx="13">
                  <c:v>0.146071333333333</c:v>
                </c:pt>
                <c:pt idx="14">
                  <c:v>0.29043566666666698</c:v>
                </c:pt>
                <c:pt idx="15">
                  <c:v>0.32352233333333302</c:v>
                </c:pt>
                <c:pt idx="16">
                  <c:v>0.17756166666666701</c:v>
                </c:pt>
                <c:pt idx="17">
                  <c:v>0.125185666666667</c:v>
                </c:pt>
                <c:pt idx="18">
                  <c:v>3.9E-2</c:v>
                </c:pt>
                <c:pt idx="19">
                  <c:v>0.125185666666667</c:v>
                </c:pt>
                <c:pt idx="20">
                  <c:v>0.21137366666666699</c:v>
                </c:pt>
                <c:pt idx="21">
                  <c:v>7.21483333333333E-2</c:v>
                </c:pt>
                <c:pt idx="22">
                  <c:v>0.26441100000000001</c:v>
                </c:pt>
                <c:pt idx="23">
                  <c:v>3.9E-2</c:v>
                </c:pt>
                <c:pt idx="24">
                  <c:v>0.204080333333333</c:v>
                </c:pt>
                <c:pt idx="25">
                  <c:v>0.13247900000000001</c:v>
                </c:pt>
                <c:pt idx="26">
                  <c:v>3.9E-2</c:v>
                </c:pt>
                <c:pt idx="27">
                  <c:v>0.207394</c:v>
                </c:pt>
                <c:pt idx="28">
                  <c:v>0.12916533333333299</c:v>
                </c:pt>
                <c:pt idx="29">
                  <c:v>6.1541333333333302E-2</c:v>
                </c:pt>
                <c:pt idx="30">
                  <c:v>1.192952</c:v>
                </c:pt>
                <c:pt idx="31">
                  <c:v>0.583716666666666</c:v>
                </c:pt>
                <c:pt idx="32">
                  <c:v>6.2904966666666604E-2</c:v>
                </c:pt>
                <c:pt idx="33">
                  <c:v>0.27448466666666699</c:v>
                </c:pt>
                <c:pt idx="34">
                  <c:v>0.27986499999999997</c:v>
                </c:pt>
                <c:pt idx="35">
                  <c:v>1.7069650000000001</c:v>
                </c:pt>
                <c:pt idx="36">
                  <c:v>0.61225133333333404</c:v>
                </c:pt>
                <c:pt idx="37">
                  <c:v>1.0008986666666699</c:v>
                </c:pt>
                <c:pt idx="38">
                  <c:v>2.8028266666666699</c:v>
                </c:pt>
                <c:pt idx="39">
                  <c:v>2.0250733333333302</c:v>
                </c:pt>
                <c:pt idx="40">
                  <c:v>0.47563499999999997</c:v>
                </c:pt>
                <c:pt idx="41">
                  <c:v>1.4461660000000001</c:v>
                </c:pt>
                <c:pt idx="42">
                  <c:v>9.5353333333333401E-2</c:v>
                </c:pt>
                <c:pt idx="43">
                  <c:v>0.208057666666667</c:v>
                </c:pt>
                <c:pt idx="44">
                  <c:v>0.117231</c:v>
                </c:pt>
                <c:pt idx="45">
                  <c:v>0.106624</c:v>
                </c:pt>
                <c:pt idx="46">
                  <c:v>0.2243</c:v>
                </c:pt>
                <c:pt idx="47">
                  <c:v>0.112259333333333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1B-4F34-81FA-962F66EDDE5B}"/>
            </c:ext>
          </c:extLst>
        </c:ser>
        <c:ser>
          <c:idx val="9"/>
          <c:order val="9"/>
          <c:tx>
            <c:v>BES_TR2_five58_C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Demand_kW!$L$2:$L$49</c:f>
              <c:numCache>
                <c:formatCode>#,##0.000</c:formatCode>
                <c:ptCount val="48"/>
                <c:pt idx="0">
                  <c:v>0.21273700000000001</c:v>
                </c:pt>
                <c:pt idx="1">
                  <c:v>0.28406999999999999</c:v>
                </c:pt>
                <c:pt idx="2">
                  <c:v>0.13477666666666699</c:v>
                </c:pt>
                <c:pt idx="3">
                  <c:v>4.1000000000000002E-2</c:v>
                </c:pt>
                <c:pt idx="4">
                  <c:v>0.259253333333333</c:v>
                </c:pt>
                <c:pt idx="5">
                  <c:v>4.1000000000000002E-2</c:v>
                </c:pt>
                <c:pt idx="6">
                  <c:v>4.1000000000000002E-2</c:v>
                </c:pt>
                <c:pt idx="7">
                  <c:v>4.1000000000000002E-2</c:v>
                </c:pt>
                <c:pt idx="8">
                  <c:v>0.13477666666666699</c:v>
                </c:pt>
                <c:pt idx="9">
                  <c:v>4.1000000000000002E-2</c:v>
                </c:pt>
                <c:pt idx="10">
                  <c:v>4.1000000000000002E-2</c:v>
                </c:pt>
                <c:pt idx="11">
                  <c:v>5.4396666666666697E-2</c:v>
                </c:pt>
                <c:pt idx="12">
                  <c:v>0.12138</c:v>
                </c:pt>
                <c:pt idx="13">
                  <c:v>4.1000000000000002E-2</c:v>
                </c:pt>
                <c:pt idx="14">
                  <c:v>4.1000000000000002E-2</c:v>
                </c:pt>
                <c:pt idx="15">
                  <c:v>0.13477666666666699</c:v>
                </c:pt>
                <c:pt idx="16">
                  <c:v>4.1000000000000002E-2</c:v>
                </c:pt>
                <c:pt idx="17">
                  <c:v>0.84151266666666702</c:v>
                </c:pt>
                <c:pt idx="18">
                  <c:v>1.6425670000000001</c:v>
                </c:pt>
                <c:pt idx="19">
                  <c:v>1.36056546666667</c:v>
                </c:pt>
                <c:pt idx="20">
                  <c:v>0.95986666666666598</c:v>
                </c:pt>
                <c:pt idx="21">
                  <c:v>0.95021666666666704</c:v>
                </c:pt>
                <c:pt idx="22">
                  <c:v>0.122896266666667</c:v>
                </c:pt>
                <c:pt idx="23">
                  <c:v>0.10024</c:v>
                </c:pt>
                <c:pt idx="24">
                  <c:v>0.200604</c:v>
                </c:pt>
                <c:pt idx="25">
                  <c:v>5.8484000000000001E-2</c:v>
                </c:pt>
                <c:pt idx="26">
                  <c:v>4.1000000000000002E-2</c:v>
                </c:pt>
                <c:pt idx="27">
                  <c:v>0.13477666666666699</c:v>
                </c:pt>
                <c:pt idx="28">
                  <c:v>4.1000000000000002E-2</c:v>
                </c:pt>
                <c:pt idx="29">
                  <c:v>0.12807833333333299</c:v>
                </c:pt>
                <c:pt idx="30">
                  <c:v>4.7698333333333301E-2</c:v>
                </c:pt>
                <c:pt idx="31">
                  <c:v>4.1000000000000002E-2</c:v>
                </c:pt>
                <c:pt idx="32">
                  <c:v>0.15226200000000001</c:v>
                </c:pt>
                <c:pt idx="33">
                  <c:v>0.17780509999999999</c:v>
                </c:pt>
                <c:pt idx="34">
                  <c:v>9.1271000000000005E-2</c:v>
                </c:pt>
                <c:pt idx="35">
                  <c:v>0.2381856</c:v>
                </c:pt>
                <c:pt idx="36">
                  <c:v>0.17338066666666699</c:v>
                </c:pt>
                <c:pt idx="37">
                  <c:v>0.25427866666666699</c:v>
                </c:pt>
                <c:pt idx="38">
                  <c:v>0.47475899999999999</c:v>
                </c:pt>
                <c:pt idx="39">
                  <c:v>0.31869666666666702</c:v>
                </c:pt>
                <c:pt idx="40">
                  <c:v>0.124885333333333</c:v>
                </c:pt>
                <c:pt idx="41">
                  <c:v>0.29409166666666697</c:v>
                </c:pt>
                <c:pt idx="42">
                  <c:v>0.17480599999999999</c:v>
                </c:pt>
                <c:pt idx="43">
                  <c:v>0.55447633333333302</c:v>
                </c:pt>
                <c:pt idx="44">
                  <c:v>0.24392666666666701</c:v>
                </c:pt>
                <c:pt idx="45">
                  <c:v>0.52915000000000001</c:v>
                </c:pt>
                <c:pt idx="46">
                  <c:v>0.32583800000000002</c:v>
                </c:pt>
                <c:pt idx="47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1B-4F34-81FA-962F66EDDE5B}"/>
            </c:ext>
          </c:extLst>
        </c:ser>
        <c:ser>
          <c:idx val="10"/>
          <c:order val="10"/>
          <c:tx>
            <c:v>BES_TR2_five147_C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Demand_kW!$M$2:$M$49</c:f>
              <c:numCache>
                <c:formatCode>#,##0.000</c:formatCode>
                <c:ptCount val="48"/>
                <c:pt idx="0">
                  <c:v>0.14226666666666701</c:v>
                </c:pt>
                <c:pt idx="1">
                  <c:v>8.7099999999999997E-2</c:v>
                </c:pt>
                <c:pt idx="2">
                  <c:v>7.0550000000000002E-2</c:v>
                </c:pt>
                <c:pt idx="3">
                  <c:v>0.15881666666666699</c:v>
                </c:pt>
                <c:pt idx="4">
                  <c:v>5.3999999999999999E-2</c:v>
                </c:pt>
                <c:pt idx="5">
                  <c:v>0.114683333333333</c:v>
                </c:pt>
                <c:pt idx="6">
                  <c:v>0.114683333333333</c:v>
                </c:pt>
                <c:pt idx="7">
                  <c:v>8.1583333333333397E-2</c:v>
                </c:pt>
                <c:pt idx="8">
                  <c:v>0.14778333333333299</c:v>
                </c:pt>
                <c:pt idx="9">
                  <c:v>5.3999999999999999E-2</c:v>
                </c:pt>
                <c:pt idx="10">
                  <c:v>0.175366666666667</c:v>
                </c:pt>
                <c:pt idx="11">
                  <c:v>5.3999999999999999E-2</c:v>
                </c:pt>
                <c:pt idx="12">
                  <c:v>6.5033333333333401E-2</c:v>
                </c:pt>
                <c:pt idx="13">
                  <c:v>0.164333333333333</c:v>
                </c:pt>
                <c:pt idx="14">
                  <c:v>5.3999999999999999E-2</c:v>
                </c:pt>
                <c:pt idx="15">
                  <c:v>7.6066666666666699E-2</c:v>
                </c:pt>
                <c:pt idx="16">
                  <c:v>0.442230333333333</c:v>
                </c:pt>
                <c:pt idx="17">
                  <c:v>0.353267</c:v>
                </c:pt>
                <c:pt idx="18">
                  <c:v>0.71044600000000002</c:v>
                </c:pt>
                <c:pt idx="19">
                  <c:v>0.63805333333333303</c:v>
                </c:pt>
                <c:pt idx="20">
                  <c:v>0.23707666666666699</c:v>
                </c:pt>
                <c:pt idx="21">
                  <c:v>0.1172</c:v>
                </c:pt>
                <c:pt idx="22">
                  <c:v>0.16985</c:v>
                </c:pt>
                <c:pt idx="23">
                  <c:v>5.9516666666666697E-2</c:v>
                </c:pt>
                <c:pt idx="24">
                  <c:v>5.3999999999999999E-2</c:v>
                </c:pt>
                <c:pt idx="25">
                  <c:v>0.114683333333333</c:v>
                </c:pt>
                <c:pt idx="26">
                  <c:v>0.114683333333333</c:v>
                </c:pt>
                <c:pt idx="27">
                  <c:v>5.3999999999999999E-2</c:v>
                </c:pt>
                <c:pt idx="28">
                  <c:v>0.13123333333333301</c:v>
                </c:pt>
                <c:pt idx="29">
                  <c:v>9.8133333333333198E-2</c:v>
                </c:pt>
                <c:pt idx="30">
                  <c:v>5.9516666666666697E-2</c:v>
                </c:pt>
                <c:pt idx="31">
                  <c:v>0.16985</c:v>
                </c:pt>
                <c:pt idx="32">
                  <c:v>5.3999999999999999E-2</c:v>
                </c:pt>
                <c:pt idx="33">
                  <c:v>0.100817333333333</c:v>
                </c:pt>
                <c:pt idx="34">
                  <c:v>0.17268646666666701</c:v>
                </c:pt>
                <c:pt idx="35">
                  <c:v>0.13281333333333301</c:v>
                </c:pt>
                <c:pt idx="36">
                  <c:v>0.29312666666666698</c:v>
                </c:pt>
                <c:pt idx="37">
                  <c:v>0.13000600000000001</c:v>
                </c:pt>
                <c:pt idx="38">
                  <c:v>0.24689333333333299</c:v>
                </c:pt>
                <c:pt idx="39">
                  <c:v>0.32511600000000002</c:v>
                </c:pt>
                <c:pt idx="40">
                  <c:v>0.41420499999999999</c:v>
                </c:pt>
                <c:pt idx="41">
                  <c:v>0.63946999999999998</c:v>
                </c:pt>
                <c:pt idx="42">
                  <c:v>0.68205066666666703</c:v>
                </c:pt>
                <c:pt idx="43">
                  <c:v>0.37208666666666701</c:v>
                </c:pt>
                <c:pt idx="44">
                  <c:v>0.58756799999999998</c:v>
                </c:pt>
                <c:pt idx="45">
                  <c:v>0.53553333333333297</c:v>
                </c:pt>
                <c:pt idx="46">
                  <c:v>0.34114866666666699</c:v>
                </c:pt>
                <c:pt idx="47">
                  <c:v>0.11694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1B-4F34-81FA-962F66EDDE5B}"/>
            </c:ext>
          </c:extLst>
        </c:ser>
        <c:ser>
          <c:idx val="11"/>
          <c:order val="11"/>
          <c:tx>
            <c:v>BES_TR2_five149_A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Demand_kW!$N$2:$N$49</c:f>
              <c:numCache>
                <c:formatCode>#,##0.000</c:formatCode>
                <c:ptCount val="48"/>
                <c:pt idx="0">
                  <c:v>0.11906799999999999</c:v>
                </c:pt>
                <c:pt idx="1">
                  <c:v>0.100124</c:v>
                </c:pt>
                <c:pt idx="2">
                  <c:v>0.19817733333333301</c:v>
                </c:pt>
                <c:pt idx="3">
                  <c:v>0.112116666666667</c:v>
                </c:pt>
                <c:pt idx="4">
                  <c:v>0.22045466666666699</c:v>
                </c:pt>
                <c:pt idx="5">
                  <c:v>0.106405</c:v>
                </c:pt>
                <c:pt idx="6">
                  <c:v>0.211409666666667</c:v>
                </c:pt>
                <c:pt idx="7">
                  <c:v>9.2603333333333399E-2</c:v>
                </c:pt>
                <c:pt idx="8">
                  <c:v>0.217690666666667</c:v>
                </c:pt>
                <c:pt idx="9">
                  <c:v>0.140188333333333</c:v>
                </c:pt>
                <c:pt idx="10">
                  <c:v>8.5082666666666695E-2</c:v>
                </c:pt>
                <c:pt idx="11">
                  <c:v>0.27033533333333298</c:v>
                </c:pt>
                <c:pt idx="12">
                  <c:v>5.5E-2</c:v>
                </c:pt>
                <c:pt idx="13">
                  <c:v>0.187608</c:v>
                </c:pt>
                <c:pt idx="14">
                  <c:v>0.16780999999999999</c:v>
                </c:pt>
                <c:pt idx="15">
                  <c:v>5.5E-2</c:v>
                </c:pt>
                <c:pt idx="16">
                  <c:v>0.20264933333333299</c:v>
                </c:pt>
                <c:pt idx="17">
                  <c:v>0.152768666666667</c:v>
                </c:pt>
                <c:pt idx="18">
                  <c:v>0.13496333333333299</c:v>
                </c:pt>
                <c:pt idx="19">
                  <c:v>0.22045466666666699</c:v>
                </c:pt>
                <c:pt idx="20">
                  <c:v>7.7846666666666703E-2</c:v>
                </c:pt>
                <c:pt idx="21">
                  <c:v>0.112116666666667</c:v>
                </c:pt>
                <c:pt idx="22">
                  <c:v>5.5E-2</c:v>
                </c:pt>
                <c:pt idx="23">
                  <c:v>0.20264933333333299</c:v>
                </c:pt>
                <c:pt idx="24">
                  <c:v>0.152768666666667</c:v>
                </c:pt>
                <c:pt idx="25">
                  <c:v>8.9270000000000002E-2</c:v>
                </c:pt>
                <c:pt idx="26">
                  <c:v>0.25110666666666698</c:v>
                </c:pt>
                <c:pt idx="27">
                  <c:v>7.0041333333333303E-2</c:v>
                </c:pt>
                <c:pt idx="28">
                  <c:v>0.136772333333333</c:v>
                </c:pt>
                <c:pt idx="29">
                  <c:v>0.21864566666666699</c:v>
                </c:pt>
                <c:pt idx="30">
                  <c:v>5.5E-2</c:v>
                </c:pt>
                <c:pt idx="31">
                  <c:v>0.13496333333333299</c:v>
                </c:pt>
                <c:pt idx="32">
                  <c:v>0.22045466666666699</c:v>
                </c:pt>
                <c:pt idx="33">
                  <c:v>0.13988800000000001</c:v>
                </c:pt>
                <c:pt idx="34">
                  <c:v>0.36914233333333302</c:v>
                </c:pt>
                <c:pt idx="35">
                  <c:v>0.18414066666666701</c:v>
                </c:pt>
                <c:pt idx="36">
                  <c:v>0.16252666666666701</c:v>
                </c:pt>
                <c:pt idx="37">
                  <c:v>0.37725666666666702</c:v>
                </c:pt>
                <c:pt idx="38">
                  <c:v>0.180308</c:v>
                </c:pt>
                <c:pt idx="39">
                  <c:v>0.307130666666667</c:v>
                </c:pt>
                <c:pt idx="40">
                  <c:v>0.49580466666666601</c:v>
                </c:pt>
                <c:pt idx="41">
                  <c:v>0.46517799999999998</c:v>
                </c:pt>
                <c:pt idx="42">
                  <c:v>0.76122966666666703</c:v>
                </c:pt>
                <c:pt idx="43">
                  <c:v>0.61374566666666697</c:v>
                </c:pt>
                <c:pt idx="44">
                  <c:v>0.40981099999999998</c:v>
                </c:pt>
                <c:pt idx="45">
                  <c:v>0.66788866666666702</c:v>
                </c:pt>
                <c:pt idx="46">
                  <c:v>0.38598500000000002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1B-4F34-81FA-962F66EDDE5B}"/>
            </c:ext>
          </c:extLst>
        </c:ser>
        <c:ser>
          <c:idx val="12"/>
          <c:order val="12"/>
          <c:tx>
            <c:v>BES_TR2_five160_C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Demand_kW!$O$2:$O$49</c:f>
              <c:numCache>
                <c:formatCode>#,##0.000</c:formatCode>
                <c:ptCount val="48"/>
                <c:pt idx="0">
                  <c:v>0.13864199999999999</c:v>
                </c:pt>
                <c:pt idx="1">
                  <c:v>5.3999999999999999E-2</c:v>
                </c:pt>
                <c:pt idx="2">
                  <c:v>0.10102333333333301</c:v>
                </c:pt>
                <c:pt idx="3">
                  <c:v>9.1618666666666598E-2</c:v>
                </c:pt>
                <c:pt idx="4">
                  <c:v>0.105725666666667</c:v>
                </c:pt>
                <c:pt idx="5">
                  <c:v>8.6916333333333304E-2</c:v>
                </c:pt>
                <c:pt idx="6">
                  <c:v>6.8107000000000001E-2</c:v>
                </c:pt>
                <c:pt idx="7">
                  <c:v>0.12453500000000001</c:v>
                </c:pt>
                <c:pt idx="8">
                  <c:v>5.3999999999999999E-2</c:v>
                </c:pt>
                <c:pt idx="9">
                  <c:v>0.13864199999999999</c:v>
                </c:pt>
                <c:pt idx="10">
                  <c:v>5.3999999999999999E-2</c:v>
                </c:pt>
                <c:pt idx="11">
                  <c:v>5.3999999999999999E-2</c:v>
                </c:pt>
                <c:pt idx="12">
                  <c:v>0.115130333333333</c:v>
                </c:pt>
                <c:pt idx="13">
                  <c:v>7.7511666666666701E-2</c:v>
                </c:pt>
                <c:pt idx="14">
                  <c:v>0.119832666666667</c:v>
                </c:pt>
                <c:pt idx="15">
                  <c:v>7.2809333333333295E-2</c:v>
                </c:pt>
                <c:pt idx="16">
                  <c:v>0.13864199999999999</c:v>
                </c:pt>
                <c:pt idx="17">
                  <c:v>0.14490800000000001</c:v>
                </c:pt>
                <c:pt idx="18">
                  <c:v>0.25865700000000003</c:v>
                </c:pt>
                <c:pt idx="19">
                  <c:v>0.96854799999999996</c:v>
                </c:pt>
                <c:pt idx="20">
                  <c:v>0.28237533333333298</c:v>
                </c:pt>
                <c:pt idx="21">
                  <c:v>0.237866666666667</c:v>
                </c:pt>
                <c:pt idx="22">
                  <c:v>0.175685333333333</c:v>
                </c:pt>
                <c:pt idx="23">
                  <c:v>0.18824733333333299</c:v>
                </c:pt>
                <c:pt idx="24">
                  <c:v>0.14846000000000001</c:v>
                </c:pt>
                <c:pt idx="25">
                  <c:v>0.33684120000000001</c:v>
                </c:pt>
                <c:pt idx="26">
                  <c:v>0.24566463333333299</c:v>
                </c:pt>
                <c:pt idx="27">
                  <c:v>0.18090816666666701</c:v>
                </c:pt>
                <c:pt idx="28">
                  <c:v>0.10313133333333301</c:v>
                </c:pt>
                <c:pt idx="29">
                  <c:v>0.26010183333333398</c:v>
                </c:pt>
                <c:pt idx="30">
                  <c:v>0.13864199999999999</c:v>
                </c:pt>
                <c:pt idx="31">
                  <c:v>5.3999999999999999E-2</c:v>
                </c:pt>
                <c:pt idx="32">
                  <c:v>5.3999999999999999E-2</c:v>
                </c:pt>
                <c:pt idx="33">
                  <c:v>0.13864199999999999</c:v>
                </c:pt>
                <c:pt idx="34">
                  <c:v>6.1640533333333303E-2</c:v>
                </c:pt>
                <c:pt idx="35">
                  <c:v>0.19611546666666699</c:v>
                </c:pt>
                <c:pt idx="36">
                  <c:v>0.36228466666666698</c:v>
                </c:pt>
                <c:pt idx="37">
                  <c:v>0.30087999999999998</c:v>
                </c:pt>
                <c:pt idx="38">
                  <c:v>0.42909000000000003</c:v>
                </c:pt>
                <c:pt idx="39">
                  <c:v>0.41743233333333302</c:v>
                </c:pt>
                <c:pt idx="40">
                  <c:v>0.42968966666666703</c:v>
                </c:pt>
                <c:pt idx="41">
                  <c:v>0.28520499999999999</c:v>
                </c:pt>
                <c:pt idx="42">
                  <c:v>0.115130333333333</c:v>
                </c:pt>
                <c:pt idx="43">
                  <c:v>9.6321000000000004E-2</c:v>
                </c:pt>
                <c:pt idx="44">
                  <c:v>9.6320999999999907E-2</c:v>
                </c:pt>
                <c:pt idx="45">
                  <c:v>0.21212666666666699</c:v>
                </c:pt>
                <c:pt idx="46">
                  <c:v>0.365842</c:v>
                </c:pt>
                <c:pt idx="47">
                  <c:v>0.42389266666666697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1B-4F34-81FA-962F66EDDE5B}"/>
            </c:ext>
          </c:extLst>
        </c:ser>
        <c:ser>
          <c:idx val="13"/>
          <c:order val="13"/>
          <c:tx>
            <c:v>BES_TR2_five170_A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Demand_kW!$P$2:$P$49</c:f>
              <c:numCache>
                <c:formatCode>#,##0.000</c:formatCode>
                <c:ptCount val="48"/>
                <c:pt idx="0">
                  <c:v>0.19029333333333301</c:v>
                </c:pt>
                <c:pt idx="1">
                  <c:v>4.7E-2</c:v>
                </c:pt>
                <c:pt idx="2">
                  <c:v>0.17726666666666699</c:v>
                </c:pt>
                <c:pt idx="3">
                  <c:v>6.0026666666666603E-2</c:v>
                </c:pt>
                <c:pt idx="4">
                  <c:v>0.13818666666666701</c:v>
                </c:pt>
                <c:pt idx="5">
                  <c:v>9.9106666666666801E-2</c:v>
                </c:pt>
                <c:pt idx="6">
                  <c:v>4.7E-2</c:v>
                </c:pt>
                <c:pt idx="7">
                  <c:v>0.19029333333333301</c:v>
                </c:pt>
                <c:pt idx="8">
                  <c:v>4.7E-2</c:v>
                </c:pt>
                <c:pt idx="9">
                  <c:v>7.3053333333333303E-2</c:v>
                </c:pt>
                <c:pt idx="10">
                  <c:v>0.16424</c:v>
                </c:pt>
                <c:pt idx="11">
                  <c:v>4.7E-2</c:v>
                </c:pt>
                <c:pt idx="12">
                  <c:v>0.18378</c:v>
                </c:pt>
                <c:pt idx="13">
                  <c:v>0.28452166666666701</c:v>
                </c:pt>
                <c:pt idx="14">
                  <c:v>4.7E-2</c:v>
                </c:pt>
                <c:pt idx="15">
                  <c:v>6.7278333333333301E-2</c:v>
                </c:pt>
                <c:pt idx="16">
                  <c:v>0.17726666666666699</c:v>
                </c:pt>
                <c:pt idx="17">
                  <c:v>0.27304166666666702</c:v>
                </c:pt>
                <c:pt idx="18">
                  <c:v>0.21006533333333299</c:v>
                </c:pt>
                <c:pt idx="19">
                  <c:v>8.4257600000000002E-2</c:v>
                </c:pt>
                <c:pt idx="20">
                  <c:v>0.155295033333333</c:v>
                </c:pt>
                <c:pt idx="21">
                  <c:v>9.9106666666666801E-2</c:v>
                </c:pt>
                <c:pt idx="22">
                  <c:v>4.7E-2</c:v>
                </c:pt>
                <c:pt idx="23">
                  <c:v>0.36807000000000001</c:v>
                </c:pt>
                <c:pt idx="24">
                  <c:v>9.6410000000000107E-2</c:v>
                </c:pt>
                <c:pt idx="25">
                  <c:v>0.28182499999999999</c:v>
                </c:pt>
                <c:pt idx="26">
                  <c:v>6.9934866666666706E-2</c:v>
                </c:pt>
                <c:pt idx="27">
                  <c:v>6.1286E-2</c:v>
                </c:pt>
                <c:pt idx="28">
                  <c:v>0.14394193333333299</c:v>
                </c:pt>
                <c:pt idx="29">
                  <c:v>0.379659466666667</c:v>
                </c:pt>
                <c:pt idx="30">
                  <c:v>9.1961433333333301E-2</c:v>
                </c:pt>
                <c:pt idx="31">
                  <c:v>0.235704466666667</c:v>
                </c:pt>
                <c:pt idx="32">
                  <c:v>7.5140999999999902E-2</c:v>
                </c:pt>
                <c:pt idx="33">
                  <c:v>0.18502976666666701</c:v>
                </c:pt>
                <c:pt idx="34">
                  <c:v>0.1024</c:v>
                </c:pt>
                <c:pt idx="35">
                  <c:v>0.19444946666666699</c:v>
                </c:pt>
                <c:pt idx="36">
                  <c:v>0.2918461</c:v>
                </c:pt>
                <c:pt idx="37">
                  <c:v>5.7336999999999999E-2</c:v>
                </c:pt>
                <c:pt idx="38">
                  <c:v>0.32775310000000002</c:v>
                </c:pt>
                <c:pt idx="39">
                  <c:v>0.37320399999999998</c:v>
                </c:pt>
                <c:pt idx="40">
                  <c:v>0.53986999999999996</c:v>
                </c:pt>
                <c:pt idx="41">
                  <c:v>0.47811666666666702</c:v>
                </c:pt>
                <c:pt idx="42">
                  <c:v>0.26111633333333301</c:v>
                </c:pt>
                <c:pt idx="43">
                  <c:v>4.7E-2</c:v>
                </c:pt>
                <c:pt idx="44">
                  <c:v>9.2593333333333305E-2</c:v>
                </c:pt>
                <c:pt idx="45">
                  <c:v>0.1447</c:v>
                </c:pt>
                <c:pt idx="46">
                  <c:v>4.7E-2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1B-4F34-81FA-962F66EDDE5B}"/>
            </c:ext>
          </c:extLst>
        </c:ser>
        <c:ser>
          <c:idx val="14"/>
          <c:order val="14"/>
          <c:tx>
            <c:v>BES_TR2_five177_A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Demand_kW!$Q$2:$Q$49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0.13195200000000001</c:v>
                </c:pt>
                <c:pt idx="2">
                  <c:v>5.3999999999999999E-2</c:v>
                </c:pt>
                <c:pt idx="3">
                  <c:v>0.12329066666666701</c:v>
                </c:pt>
                <c:pt idx="4">
                  <c:v>6.2661333333333402E-2</c:v>
                </c:pt>
                <c:pt idx="5">
                  <c:v>0.110298666666667</c:v>
                </c:pt>
                <c:pt idx="6">
                  <c:v>7.5653333333333295E-2</c:v>
                </c:pt>
                <c:pt idx="7">
                  <c:v>8.4314666666666704E-2</c:v>
                </c:pt>
                <c:pt idx="8">
                  <c:v>0.101637333333333</c:v>
                </c:pt>
                <c:pt idx="9">
                  <c:v>5.3999999999999999E-2</c:v>
                </c:pt>
                <c:pt idx="10">
                  <c:v>0.13195200000000001</c:v>
                </c:pt>
                <c:pt idx="11">
                  <c:v>5.3999999999999999E-2</c:v>
                </c:pt>
                <c:pt idx="12">
                  <c:v>5.3999999999999999E-2</c:v>
                </c:pt>
                <c:pt idx="13">
                  <c:v>5.3999999999999999E-2</c:v>
                </c:pt>
                <c:pt idx="14">
                  <c:v>0.10596800000000001</c:v>
                </c:pt>
                <c:pt idx="15">
                  <c:v>7.9984E-2</c:v>
                </c:pt>
                <c:pt idx="16">
                  <c:v>5.3999999999999999E-2</c:v>
                </c:pt>
                <c:pt idx="17">
                  <c:v>8.8645333333333395E-2</c:v>
                </c:pt>
                <c:pt idx="18">
                  <c:v>9.7306666666666597E-2</c:v>
                </c:pt>
                <c:pt idx="19">
                  <c:v>9.0796666666666706E-2</c:v>
                </c:pt>
                <c:pt idx="20">
                  <c:v>5.3999999999999999E-2</c:v>
                </c:pt>
                <c:pt idx="21">
                  <c:v>5.3999999999999999E-2</c:v>
                </c:pt>
                <c:pt idx="22">
                  <c:v>0.168751333333333</c:v>
                </c:pt>
                <c:pt idx="23">
                  <c:v>5.3999999999999999E-2</c:v>
                </c:pt>
                <c:pt idx="24">
                  <c:v>0.13568733333333299</c:v>
                </c:pt>
                <c:pt idx="25">
                  <c:v>0.48272433333333298</c:v>
                </c:pt>
                <c:pt idx="26">
                  <c:v>0.24502399999999999</c:v>
                </c:pt>
                <c:pt idx="27">
                  <c:v>0.184069333333333</c:v>
                </c:pt>
                <c:pt idx="28">
                  <c:v>0.458625</c:v>
                </c:pt>
                <c:pt idx="29">
                  <c:v>0.28657700000000003</c:v>
                </c:pt>
                <c:pt idx="30">
                  <c:v>0.24561366666666701</c:v>
                </c:pt>
                <c:pt idx="31">
                  <c:v>0.189632</c:v>
                </c:pt>
                <c:pt idx="32">
                  <c:v>0.184148333333333</c:v>
                </c:pt>
                <c:pt idx="33">
                  <c:v>8.3493066666666602E-2</c:v>
                </c:pt>
                <c:pt idx="34">
                  <c:v>0.243575133333333</c:v>
                </c:pt>
                <c:pt idx="35">
                  <c:v>5.6448199999999997E-2</c:v>
                </c:pt>
                <c:pt idx="36">
                  <c:v>5.3999999999999999E-2</c:v>
                </c:pt>
                <c:pt idx="37">
                  <c:v>0.14643800000000001</c:v>
                </c:pt>
                <c:pt idx="38">
                  <c:v>0.26475199999999999</c:v>
                </c:pt>
                <c:pt idx="39">
                  <c:v>0.27645766666666699</c:v>
                </c:pt>
                <c:pt idx="40">
                  <c:v>0.30853833333333303</c:v>
                </c:pt>
                <c:pt idx="41">
                  <c:v>0.392038</c:v>
                </c:pt>
                <c:pt idx="42">
                  <c:v>0.43500533333333302</c:v>
                </c:pt>
                <c:pt idx="43">
                  <c:v>0.362008</c:v>
                </c:pt>
                <c:pt idx="44">
                  <c:v>0.25557999999999997</c:v>
                </c:pt>
                <c:pt idx="45">
                  <c:v>0.35727799999999998</c:v>
                </c:pt>
                <c:pt idx="46">
                  <c:v>0.21658133333333299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1B-4F34-81FA-962F66EDDE5B}"/>
            </c:ext>
          </c:extLst>
        </c:ser>
        <c:ser>
          <c:idx val="15"/>
          <c:order val="15"/>
          <c:tx>
            <c:v>BES_TR2_five67_C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Demand_kW!$R$2:$R$49</c:f>
              <c:numCache>
                <c:formatCode>#,##0.000</c:formatCode>
                <c:ptCount val="48"/>
                <c:pt idx="0">
                  <c:v>9.4357333333333404E-2</c:v>
                </c:pt>
                <c:pt idx="1">
                  <c:v>0.14957400000000001</c:v>
                </c:pt>
                <c:pt idx="2">
                  <c:v>0.19324666666666701</c:v>
                </c:pt>
                <c:pt idx="3">
                  <c:v>0.18230666666666701</c:v>
                </c:pt>
                <c:pt idx="4">
                  <c:v>0.120123333333333</c:v>
                </c:pt>
                <c:pt idx="5">
                  <c:v>0.13474800000000001</c:v>
                </c:pt>
                <c:pt idx="6">
                  <c:v>0.134949333333333</c:v>
                </c:pt>
                <c:pt idx="7">
                  <c:v>0.25522866666666699</c:v>
                </c:pt>
                <c:pt idx="8">
                  <c:v>7.4061333333333298E-2</c:v>
                </c:pt>
                <c:pt idx="9">
                  <c:v>0.24299333333333301</c:v>
                </c:pt>
                <c:pt idx="10">
                  <c:v>0.120123333333333</c:v>
                </c:pt>
                <c:pt idx="11">
                  <c:v>4.7E-2</c:v>
                </c:pt>
                <c:pt idx="12">
                  <c:v>0.20787133333333299</c:v>
                </c:pt>
                <c:pt idx="13">
                  <c:v>4.7E-2</c:v>
                </c:pt>
                <c:pt idx="14">
                  <c:v>0.26090000000000002</c:v>
                </c:pt>
                <c:pt idx="15">
                  <c:v>0.129278</c:v>
                </c:pt>
                <c:pt idx="16">
                  <c:v>0.18155833333333299</c:v>
                </c:pt>
                <c:pt idx="17">
                  <c:v>0.20861966666666701</c:v>
                </c:pt>
                <c:pt idx="18">
                  <c:v>6.3816333333333294E-2</c:v>
                </c:pt>
                <c:pt idx="19">
                  <c:v>0.60128099999999995</c:v>
                </c:pt>
                <c:pt idx="20">
                  <c:v>8.5753333333333404E-2</c:v>
                </c:pt>
                <c:pt idx="21">
                  <c:v>1.0393653333333299</c:v>
                </c:pt>
                <c:pt idx="22">
                  <c:v>0.193964</c:v>
                </c:pt>
                <c:pt idx="23">
                  <c:v>0.61514643333333296</c:v>
                </c:pt>
                <c:pt idx="24">
                  <c:v>2.7439666666666702</c:v>
                </c:pt>
                <c:pt idx="25">
                  <c:v>2.6800199999999998</c:v>
                </c:pt>
                <c:pt idx="26">
                  <c:v>0.84068833333333304</c:v>
                </c:pt>
                <c:pt idx="27">
                  <c:v>0.50053966666666705</c:v>
                </c:pt>
                <c:pt idx="28">
                  <c:v>1.2633903333333301</c:v>
                </c:pt>
                <c:pt idx="29">
                  <c:v>0.49806400000000001</c:v>
                </c:pt>
                <c:pt idx="30">
                  <c:v>0.32151533333333399</c:v>
                </c:pt>
                <c:pt idx="31">
                  <c:v>0.19562399999999999</c:v>
                </c:pt>
                <c:pt idx="32">
                  <c:v>0.36419933333333299</c:v>
                </c:pt>
                <c:pt idx="33">
                  <c:v>0.416331333333333</c:v>
                </c:pt>
                <c:pt idx="34">
                  <c:v>0.77011766666666603</c:v>
                </c:pt>
                <c:pt idx="35">
                  <c:v>0.55092133333333304</c:v>
                </c:pt>
                <c:pt idx="36">
                  <c:v>0.200444333333333</c:v>
                </c:pt>
                <c:pt idx="37">
                  <c:v>0.39361566666666697</c:v>
                </c:pt>
                <c:pt idx="38">
                  <c:v>0.498873333333333</c:v>
                </c:pt>
                <c:pt idx="39">
                  <c:v>0.45987533333333303</c:v>
                </c:pt>
                <c:pt idx="40">
                  <c:v>0.32669433333333298</c:v>
                </c:pt>
                <c:pt idx="41">
                  <c:v>0.26409266666666698</c:v>
                </c:pt>
                <c:pt idx="42">
                  <c:v>4.7E-2</c:v>
                </c:pt>
                <c:pt idx="43">
                  <c:v>0.22379133333333301</c:v>
                </c:pt>
                <c:pt idx="44">
                  <c:v>0.16638666666666699</c:v>
                </c:pt>
                <c:pt idx="45">
                  <c:v>4.7E-2</c:v>
                </c:pt>
                <c:pt idx="46">
                  <c:v>4.7E-2</c:v>
                </c:pt>
                <c:pt idx="47">
                  <c:v>0.34317799999999998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1B-4F34-81FA-962F66EDDE5B}"/>
            </c:ext>
          </c:extLst>
        </c:ser>
        <c:ser>
          <c:idx val="16"/>
          <c:order val="16"/>
          <c:tx>
            <c:v>BES_TR2_five243_B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Demand_kW!$S$2:$S$49</c:f>
              <c:numCache>
                <c:formatCode>#,##0.000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0.09</c:v>
                </c:pt>
                <c:pt idx="17">
                  <c:v>0.85211999999999999</c:v>
                </c:pt>
                <c:pt idx="18">
                  <c:v>0.34744999999999998</c:v>
                </c:pt>
                <c:pt idx="19">
                  <c:v>0.15</c:v>
                </c:pt>
                <c:pt idx="20">
                  <c:v>0.179768333333333</c:v>
                </c:pt>
                <c:pt idx="21">
                  <c:v>8.3699999999999997E-2</c:v>
                </c:pt>
                <c:pt idx="22">
                  <c:v>0.32245000000000001</c:v>
                </c:pt>
                <c:pt idx="23">
                  <c:v>0.107736766666667</c:v>
                </c:pt>
                <c:pt idx="24">
                  <c:v>6.1728999999999999E-2</c:v>
                </c:pt>
                <c:pt idx="25">
                  <c:v>1.3952423</c:v>
                </c:pt>
                <c:pt idx="26">
                  <c:v>1.0523</c:v>
                </c:pt>
                <c:pt idx="27">
                  <c:v>0.75046666666666695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5.50825666666667E-2</c:v>
                </c:pt>
                <c:pt idx="38">
                  <c:v>6.0166666666666702E-2</c:v>
                </c:pt>
                <c:pt idx="39">
                  <c:v>0.16383413333333299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1B-4F34-81FA-962F66EDDE5B}"/>
            </c:ext>
          </c:extLst>
        </c:ser>
        <c:ser>
          <c:idx val="17"/>
          <c:order val="17"/>
          <c:tx>
            <c:v>BES_TR2_five284_C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Demand_kW!$T$2:$T$49</c:f>
              <c:numCache>
                <c:formatCode>#,##0.000</c:formatCode>
                <c:ptCount val="48"/>
                <c:pt idx="0">
                  <c:v>0.05</c:v>
                </c:pt>
                <c:pt idx="1">
                  <c:v>0.12900200000000001</c:v>
                </c:pt>
                <c:pt idx="2">
                  <c:v>0.195086333333333</c:v>
                </c:pt>
                <c:pt idx="3">
                  <c:v>0.10406899999999999</c:v>
                </c:pt>
                <c:pt idx="4">
                  <c:v>9.8061333333333403E-2</c:v>
                </c:pt>
                <c:pt idx="5">
                  <c:v>0.28009600000000001</c:v>
                </c:pt>
                <c:pt idx="6">
                  <c:v>0.05</c:v>
                </c:pt>
                <c:pt idx="7">
                  <c:v>0.194950333333333</c:v>
                </c:pt>
                <c:pt idx="8">
                  <c:v>0.18320700000000001</c:v>
                </c:pt>
                <c:pt idx="9">
                  <c:v>0.100274</c:v>
                </c:pt>
                <c:pt idx="10">
                  <c:v>0.27788333333333298</c:v>
                </c:pt>
                <c:pt idx="11">
                  <c:v>5.7181999999999997E-2</c:v>
                </c:pt>
                <c:pt idx="12">
                  <c:v>0.200822</c:v>
                </c:pt>
                <c:pt idx="13">
                  <c:v>0.05</c:v>
                </c:pt>
                <c:pt idx="14">
                  <c:v>0.32815733333333302</c:v>
                </c:pt>
                <c:pt idx="15">
                  <c:v>9.9152833333333301E-2</c:v>
                </c:pt>
                <c:pt idx="16">
                  <c:v>0.49935833333333302</c:v>
                </c:pt>
                <c:pt idx="17">
                  <c:v>1.3634090000000001</c:v>
                </c:pt>
                <c:pt idx="18">
                  <c:v>0.28247666666666699</c:v>
                </c:pt>
                <c:pt idx="19">
                  <c:v>0.115891333333333</c:v>
                </c:pt>
                <c:pt idx="20">
                  <c:v>0.257375666666667</c:v>
                </c:pt>
                <c:pt idx="21">
                  <c:v>9.2053666666666603E-2</c:v>
                </c:pt>
                <c:pt idx="22">
                  <c:v>9.3091999999999994E-2</c:v>
                </c:pt>
                <c:pt idx="23">
                  <c:v>0.23700399999999999</c:v>
                </c:pt>
                <c:pt idx="24">
                  <c:v>0.110115133333333</c:v>
                </c:pt>
                <c:pt idx="25">
                  <c:v>1.48520733333333</c:v>
                </c:pt>
                <c:pt idx="26">
                  <c:v>8.75214666666667E-2</c:v>
                </c:pt>
                <c:pt idx="27">
                  <c:v>0.449378533333334</c:v>
                </c:pt>
                <c:pt idx="28">
                  <c:v>0.134107333333333</c:v>
                </c:pt>
                <c:pt idx="29">
                  <c:v>0.24404999999999999</c:v>
                </c:pt>
                <c:pt idx="30">
                  <c:v>0.116084333333333</c:v>
                </c:pt>
                <c:pt idx="31">
                  <c:v>0.19025300000000001</c:v>
                </c:pt>
                <c:pt idx="32">
                  <c:v>0.12182</c:v>
                </c:pt>
                <c:pt idx="33">
                  <c:v>0.05</c:v>
                </c:pt>
                <c:pt idx="34">
                  <c:v>0.17015333333333299</c:v>
                </c:pt>
                <c:pt idx="35">
                  <c:v>0.05</c:v>
                </c:pt>
                <c:pt idx="36">
                  <c:v>0.34812866666666697</c:v>
                </c:pt>
                <c:pt idx="37">
                  <c:v>6.73406E-2</c:v>
                </c:pt>
                <c:pt idx="38">
                  <c:v>0.108068</c:v>
                </c:pt>
                <c:pt idx="39">
                  <c:v>0.43325666666666701</c:v>
                </c:pt>
                <c:pt idx="40">
                  <c:v>0.50489200000000001</c:v>
                </c:pt>
                <c:pt idx="41">
                  <c:v>0.48047166666666602</c:v>
                </c:pt>
                <c:pt idx="42">
                  <c:v>0.60334866666666698</c:v>
                </c:pt>
                <c:pt idx="43">
                  <c:v>0.57610533333333303</c:v>
                </c:pt>
                <c:pt idx="44">
                  <c:v>0.494259333333333</c:v>
                </c:pt>
                <c:pt idx="45">
                  <c:v>0.58638933333333298</c:v>
                </c:pt>
                <c:pt idx="46">
                  <c:v>0.49533700000000003</c:v>
                </c:pt>
                <c:pt idx="47">
                  <c:v>0.32815733333333302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1B-4F34-81FA-962F66EDDE5B}"/>
            </c:ext>
          </c:extLst>
        </c:ser>
        <c:ser>
          <c:idx val="18"/>
          <c:order val="18"/>
          <c:tx>
            <c:v>BES_TR2_five285_B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Demand_kW!$U$2:$U$49</c:f>
              <c:numCache>
                <c:formatCode>#,##0.000</c:formatCode>
                <c:ptCount val="48"/>
                <c:pt idx="0">
                  <c:v>0.409841333333333</c:v>
                </c:pt>
                <c:pt idx="1">
                  <c:v>0.485933333333333</c:v>
                </c:pt>
                <c:pt idx="2">
                  <c:v>0.58344133333333303</c:v>
                </c:pt>
                <c:pt idx="3">
                  <c:v>0.63846766666666699</c:v>
                </c:pt>
                <c:pt idx="4">
                  <c:v>0.172584666666667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5.6000000000000001E-2</c:v>
                </c:pt>
                <c:pt idx="13">
                  <c:v>5.6000000000000001E-2</c:v>
                </c:pt>
                <c:pt idx="14">
                  <c:v>5.6000000000000001E-2</c:v>
                </c:pt>
                <c:pt idx="15">
                  <c:v>5.6000000000000001E-2</c:v>
                </c:pt>
                <c:pt idx="16">
                  <c:v>5.6000000000000001E-2</c:v>
                </c:pt>
                <c:pt idx="17">
                  <c:v>5.6000000000000001E-2</c:v>
                </c:pt>
                <c:pt idx="18">
                  <c:v>5.6000000000000001E-2</c:v>
                </c:pt>
                <c:pt idx="19">
                  <c:v>6.0095333333333403E-2</c:v>
                </c:pt>
                <c:pt idx="20">
                  <c:v>7.7915200000000004E-2</c:v>
                </c:pt>
                <c:pt idx="21">
                  <c:v>0.1087572</c:v>
                </c:pt>
                <c:pt idx="22">
                  <c:v>9.1343766666666701E-2</c:v>
                </c:pt>
                <c:pt idx="23">
                  <c:v>0.14603713333333301</c:v>
                </c:pt>
                <c:pt idx="24">
                  <c:v>0.21989666666666699</c:v>
                </c:pt>
                <c:pt idx="25">
                  <c:v>0.25448866666666697</c:v>
                </c:pt>
                <c:pt idx="26">
                  <c:v>0.20494999999999999</c:v>
                </c:pt>
                <c:pt idx="27">
                  <c:v>0.22947000000000001</c:v>
                </c:pt>
                <c:pt idx="28">
                  <c:v>5.6000000000000001E-2</c:v>
                </c:pt>
                <c:pt idx="29">
                  <c:v>5.6000000000000001E-2</c:v>
                </c:pt>
                <c:pt idx="30">
                  <c:v>5.6000000000000001E-2</c:v>
                </c:pt>
                <c:pt idx="31">
                  <c:v>5.6000000000000001E-2</c:v>
                </c:pt>
                <c:pt idx="32">
                  <c:v>5.6000000000000001E-2</c:v>
                </c:pt>
                <c:pt idx="33">
                  <c:v>5.6000000000000001E-2</c:v>
                </c:pt>
                <c:pt idx="34">
                  <c:v>0.176024666666667</c:v>
                </c:pt>
                <c:pt idx="35">
                  <c:v>0.26615</c:v>
                </c:pt>
                <c:pt idx="36">
                  <c:v>0.44358500000000001</c:v>
                </c:pt>
                <c:pt idx="37">
                  <c:v>0.28963666666666699</c:v>
                </c:pt>
                <c:pt idx="38">
                  <c:v>0.15033666666666701</c:v>
                </c:pt>
                <c:pt idx="39">
                  <c:v>5.6000000000000001E-2</c:v>
                </c:pt>
                <c:pt idx="40">
                  <c:v>5.6000000000000001E-2</c:v>
                </c:pt>
                <c:pt idx="41">
                  <c:v>5.6000000000000001E-2</c:v>
                </c:pt>
                <c:pt idx="42">
                  <c:v>5.6000000000000001E-2</c:v>
                </c:pt>
                <c:pt idx="43">
                  <c:v>5.6000000000000001E-2</c:v>
                </c:pt>
                <c:pt idx="44">
                  <c:v>0.47768866666666698</c:v>
                </c:pt>
                <c:pt idx="45">
                  <c:v>0.39021866666666699</c:v>
                </c:pt>
                <c:pt idx="46">
                  <c:v>2.0329333333333302</c:v>
                </c:pt>
                <c:pt idx="47">
                  <c:v>0.48597733333333298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1B-4F34-81FA-962F66EDDE5B}"/>
            </c:ext>
          </c:extLst>
        </c:ser>
        <c:ser>
          <c:idx val="19"/>
          <c:order val="19"/>
          <c:tx>
            <c:v>BES_TR2_five303_B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Demand_kW!$V$2:$V$49</c:f>
              <c:numCache>
                <c:formatCode>#,##0.000</c:formatCode>
                <c:ptCount val="48"/>
                <c:pt idx="0">
                  <c:v>0.148716666666667</c:v>
                </c:pt>
                <c:pt idx="1">
                  <c:v>0.1431</c:v>
                </c:pt>
                <c:pt idx="2">
                  <c:v>4.1000000000000002E-2</c:v>
                </c:pt>
                <c:pt idx="3">
                  <c:v>8.1839999999999996E-2</c:v>
                </c:pt>
                <c:pt idx="4">
                  <c:v>0.14990666666666699</c:v>
                </c:pt>
                <c:pt idx="5">
                  <c:v>4.1000000000000002E-2</c:v>
                </c:pt>
                <c:pt idx="6">
                  <c:v>0.19074666666666701</c:v>
                </c:pt>
                <c:pt idx="7">
                  <c:v>4.1000000000000002E-2</c:v>
                </c:pt>
                <c:pt idx="8">
                  <c:v>0.17032666666666699</c:v>
                </c:pt>
                <c:pt idx="9">
                  <c:v>6.1420000000000002E-2</c:v>
                </c:pt>
                <c:pt idx="10">
                  <c:v>4.1000000000000002E-2</c:v>
                </c:pt>
                <c:pt idx="11">
                  <c:v>4.1000000000000002E-2</c:v>
                </c:pt>
                <c:pt idx="12">
                  <c:v>0.14990666666666699</c:v>
                </c:pt>
                <c:pt idx="13">
                  <c:v>8.1839999999999899E-2</c:v>
                </c:pt>
                <c:pt idx="14">
                  <c:v>5.1140666666666702E-2</c:v>
                </c:pt>
                <c:pt idx="15">
                  <c:v>1.2043856666666699</c:v>
                </c:pt>
                <c:pt idx="16">
                  <c:v>0.20368773333333301</c:v>
                </c:pt>
                <c:pt idx="17">
                  <c:v>4.9593999999999999E-2</c:v>
                </c:pt>
                <c:pt idx="18">
                  <c:v>0.259555166666667</c:v>
                </c:pt>
                <c:pt idx="19">
                  <c:v>0.14951666666666699</c:v>
                </c:pt>
                <c:pt idx="20">
                  <c:v>0.22007133333333301</c:v>
                </c:pt>
                <c:pt idx="21">
                  <c:v>0.31248666666666602</c:v>
                </c:pt>
                <c:pt idx="22">
                  <c:v>1.91319533333333</c:v>
                </c:pt>
                <c:pt idx="23">
                  <c:v>1.1067973333333301</c:v>
                </c:pt>
                <c:pt idx="24">
                  <c:v>1.3464993333333299</c:v>
                </c:pt>
                <c:pt idx="25">
                  <c:v>0.16274</c:v>
                </c:pt>
                <c:pt idx="26">
                  <c:v>0.32993600000000001</c:v>
                </c:pt>
                <c:pt idx="27">
                  <c:v>0.395625333333333</c:v>
                </c:pt>
                <c:pt idx="28">
                  <c:v>0.39454499999999998</c:v>
                </c:pt>
                <c:pt idx="29">
                  <c:v>0.172818</c:v>
                </c:pt>
                <c:pt idx="30">
                  <c:v>7.7095833333333294E-2</c:v>
                </c:pt>
                <c:pt idx="31">
                  <c:v>0.57470833333333304</c:v>
                </c:pt>
                <c:pt idx="32">
                  <c:v>7.4817966666666597E-2</c:v>
                </c:pt>
                <c:pt idx="33">
                  <c:v>0.23899000000000001</c:v>
                </c:pt>
                <c:pt idx="34">
                  <c:v>0.31386333333333399</c:v>
                </c:pt>
                <c:pt idx="35">
                  <c:v>0.13984533333333299</c:v>
                </c:pt>
                <c:pt idx="36">
                  <c:v>0.12042310000000001</c:v>
                </c:pt>
                <c:pt idx="37">
                  <c:v>0.47158603333333299</c:v>
                </c:pt>
                <c:pt idx="38">
                  <c:v>0.15582733333333301</c:v>
                </c:pt>
                <c:pt idx="39">
                  <c:v>0.44711466666666699</c:v>
                </c:pt>
                <c:pt idx="40">
                  <c:v>0.646000666666667</c:v>
                </c:pt>
                <c:pt idx="41">
                  <c:v>0.74403166666666598</c:v>
                </c:pt>
                <c:pt idx="42">
                  <c:v>0.58533999999999997</c:v>
                </c:pt>
                <c:pt idx="43">
                  <c:v>0.67420833333333297</c:v>
                </c:pt>
                <c:pt idx="44">
                  <c:v>0.50304533333333301</c:v>
                </c:pt>
                <c:pt idx="45">
                  <c:v>1.8848703333333301</c:v>
                </c:pt>
                <c:pt idx="46">
                  <c:v>0.18393999999999999</c:v>
                </c:pt>
                <c:pt idx="47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1B-4F34-81FA-962F66EDDE5B}"/>
            </c:ext>
          </c:extLst>
        </c:ser>
        <c:ser>
          <c:idx val="20"/>
          <c:order val="20"/>
          <c:tx>
            <c:v>BES_TR2_five324_B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Demand_kW!$W$2:$W$49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0.10996</c:v>
                </c:pt>
                <c:pt idx="2">
                  <c:v>4.9000000000000002E-2</c:v>
                </c:pt>
                <c:pt idx="3">
                  <c:v>0.10996</c:v>
                </c:pt>
                <c:pt idx="4">
                  <c:v>4.9000000000000002E-2</c:v>
                </c:pt>
                <c:pt idx="5">
                  <c:v>8.6253333333333307E-2</c:v>
                </c:pt>
                <c:pt idx="6">
                  <c:v>7.27066666666666E-2</c:v>
                </c:pt>
                <c:pt idx="7">
                  <c:v>4.9000000000000002E-2</c:v>
                </c:pt>
                <c:pt idx="8">
                  <c:v>4.9000000000000002E-2</c:v>
                </c:pt>
                <c:pt idx="9">
                  <c:v>0.10996</c:v>
                </c:pt>
                <c:pt idx="10">
                  <c:v>4.9000000000000002E-2</c:v>
                </c:pt>
                <c:pt idx="11">
                  <c:v>4.9000000000000002E-2</c:v>
                </c:pt>
                <c:pt idx="12">
                  <c:v>5.9181999999999998E-2</c:v>
                </c:pt>
                <c:pt idx="13">
                  <c:v>4.9000000000000002E-2</c:v>
                </c:pt>
                <c:pt idx="14">
                  <c:v>0.10996</c:v>
                </c:pt>
                <c:pt idx="15">
                  <c:v>6.2546666666666695E-2</c:v>
                </c:pt>
                <c:pt idx="16">
                  <c:v>9.6413333333333295E-2</c:v>
                </c:pt>
                <c:pt idx="17">
                  <c:v>4.9000000000000002E-2</c:v>
                </c:pt>
                <c:pt idx="18">
                  <c:v>9.3026666666666702E-2</c:v>
                </c:pt>
                <c:pt idx="19">
                  <c:v>6.5933333333333302E-2</c:v>
                </c:pt>
                <c:pt idx="20">
                  <c:v>4.9000000000000002E-2</c:v>
                </c:pt>
                <c:pt idx="21">
                  <c:v>5.4091E-2</c:v>
                </c:pt>
                <c:pt idx="22">
                  <c:v>7.9546000000000103E-2</c:v>
                </c:pt>
                <c:pt idx="23">
                  <c:v>0.38130380000000003</c:v>
                </c:pt>
                <c:pt idx="24">
                  <c:v>7.0480000000000001E-2</c:v>
                </c:pt>
                <c:pt idx="25">
                  <c:v>0.10996</c:v>
                </c:pt>
                <c:pt idx="26">
                  <c:v>4.9000000000000002E-2</c:v>
                </c:pt>
                <c:pt idx="27">
                  <c:v>0.10996</c:v>
                </c:pt>
                <c:pt idx="28">
                  <c:v>4.9000000000000002E-2</c:v>
                </c:pt>
                <c:pt idx="29">
                  <c:v>4.9000000000000002E-2</c:v>
                </c:pt>
                <c:pt idx="30">
                  <c:v>0.10996</c:v>
                </c:pt>
                <c:pt idx="31">
                  <c:v>4.9000000000000002E-2</c:v>
                </c:pt>
                <c:pt idx="32">
                  <c:v>5.0799999999999998E-2</c:v>
                </c:pt>
                <c:pt idx="33">
                  <c:v>0.11355999999999999</c:v>
                </c:pt>
                <c:pt idx="34">
                  <c:v>4.9000000000000002E-2</c:v>
                </c:pt>
                <c:pt idx="35">
                  <c:v>0.10996</c:v>
                </c:pt>
                <c:pt idx="36">
                  <c:v>0.15405466666666701</c:v>
                </c:pt>
                <c:pt idx="37">
                  <c:v>0.21987999999999999</c:v>
                </c:pt>
                <c:pt idx="38">
                  <c:v>0.1535685</c:v>
                </c:pt>
                <c:pt idx="39">
                  <c:v>0.4225604</c:v>
                </c:pt>
                <c:pt idx="40">
                  <c:v>0.75875866666666703</c:v>
                </c:pt>
                <c:pt idx="41">
                  <c:v>2.7296</c:v>
                </c:pt>
                <c:pt idx="42">
                  <c:v>2.9558266666666699</c:v>
                </c:pt>
                <c:pt idx="43">
                  <c:v>0.52078599999999997</c:v>
                </c:pt>
                <c:pt idx="44">
                  <c:v>0.25866866666666699</c:v>
                </c:pt>
                <c:pt idx="45">
                  <c:v>0.231713</c:v>
                </c:pt>
                <c:pt idx="46">
                  <c:v>0.52397333333333296</c:v>
                </c:pt>
                <c:pt idx="47">
                  <c:v>0.3624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1B-4F34-81FA-962F66EDDE5B}"/>
            </c:ext>
          </c:extLst>
        </c:ser>
        <c:ser>
          <c:idx val="21"/>
          <c:order val="21"/>
          <c:tx>
            <c:v>BES_TR2_five355_A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Demand_kW!$X$2:$X$49</c:f>
              <c:numCache>
                <c:formatCode>#,##0.000</c:formatCode>
                <c:ptCount val="48"/>
                <c:pt idx="0">
                  <c:v>0.18490799999999999</c:v>
                </c:pt>
                <c:pt idx="1">
                  <c:v>0.128048</c:v>
                </c:pt>
                <c:pt idx="2">
                  <c:v>0.275326666666667</c:v>
                </c:pt>
                <c:pt idx="3">
                  <c:v>8.3524000000000001E-2</c:v>
                </c:pt>
                <c:pt idx="4">
                  <c:v>0.24689666666666699</c:v>
                </c:pt>
                <c:pt idx="5">
                  <c:v>0.111954</c:v>
                </c:pt>
                <c:pt idx="6">
                  <c:v>3.9E-2</c:v>
                </c:pt>
                <c:pt idx="7">
                  <c:v>0.15031</c:v>
                </c:pt>
                <c:pt idx="8">
                  <c:v>0.25306466666666699</c:v>
                </c:pt>
                <c:pt idx="9">
                  <c:v>8.3524000000000001E-2</c:v>
                </c:pt>
                <c:pt idx="10">
                  <c:v>0.15773066666666699</c:v>
                </c:pt>
                <c:pt idx="11">
                  <c:v>3.9E-2</c:v>
                </c:pt>
                <c:pt idx="12">
                  <c:v>0.15031</c:v>
                </c:pt>
                <c:pt idx="13">
                  <c:v>0.24495866666666699</c:v>
                </c:pt>
                <c:pt idx="14">
                  <c:v>8.4209333333333303E-2</c:v>
                </c:pt>
                <c:pt idx="15">
                  <c:v>0.28674133333333401</c:v>
                </c:pt>
                <c:pt idx="16">
                  <c:v>0.141978733333333</c:v>
                </c:pt>
                <c:pt idx="17">
                  <c:v>0.1250358</c:v>
                </c:pt>
                <c:pt idx="18">
                  <c:v>0.85274799999999995</c:v>
                </c:pt>
                <c:pt idx="19">
                  <c:v>0.30086533333333298</c:v>
                </c:pt>
                <c:pt idx="20">
                  <c:v>0.15099533333333301</c:v>
                </c:pt>
                <c:pt idx="21">
                  <c:v>0.25237933333333301</c:v>
                </c:pt>
                <c:pt idx="22">
                  <c:v>5.3841333333333297E-2</c:v>
                </c:pt>
                <c:pt idx="23">
                  <c:v>0.34953333333333297</c:v>
                </c:pt>
                <c:pt idx="24">
                  <c:v>3.9E-2</c:v>
                </c:pt>
                <c:pt idx="25">
                  <c:v>3.9E-2</c:v>
                </c:pt>
                <c:pt idx="26">
                  <c:v>0.103848</c:v>
                </c:pt>
                <c:pt idx="27">
                  <c:v>0.299526666666667</c:v>
                </c:pt>
                <c:pt idx="28">
                  <c:v>3.9E-2</c:v>
                </c:pt>
                <c:pt idx="29">
                  <c:v>0.20111999999999999</c:v>
                </c:pt>
                <c:pt idx="30">
                  <c:v>4.27236E-2</c:v>
                </c:pt>
                <c:pt idx="31">
                  <c:v>0.20111999999999999</c:v>
                </c:pt>
                <c:pt idx="32">
                  <c:v>0.19483400000000001</c:v>
                </c:pt>
                <c:pt idx="33">
                  <c:v>4.64206666666667E-2</c:v>
                </c:pt>
                <c:pt idx="34">
                  <c:v>0.223382</c:v>
                </c:pt>
                <c:pt idx="35">
                  <c:v>0.17999266666666699</c:v>
                </c:pt>
                <c:pt idx="36">
                  <c:v>3.9E-2</c:v>
                </c:pt>
                <c:pt idx="37">
                  <c:v>0.109212666666667</c:v>
                </c:pt>
                <c:pt idx="38">
                  <c:v>0.29416199999999998</c:v>
                </c:pt>
                <c:pt idx="39">
                  <c:v>3.9E-2</c:v>
                </c:pt>
                <c:pt idx="40">
                  <c:v>0.24824940000000001</c:v>
                </c:pt>
                <c:pt idx="41">
                  <c:v>0.50812666666666695</c:v>
                </c:pt>
                <c:pt idx="42">
                  <c:v>0.472314333333333</c:v>
                </c:pt>
                <c:pt idx="43">
                  <c:v>0.28126000000000001</c:v>
                </c:pt>
                <c:pt idx="44">
                  <c:v>0.24605866666666601</c:v>
                </c:pt>
                <c:pt idx="45">
                  <c:v>0.14288933333333301</c:v>
                </c:pt>
                <c:pt idx="46">
                  <c:v>0.15248400000000001</c:v>
                </c:pt>
                <c:pt idx="47">
                  <c:v>8.7636000000000103E-2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1B-4F34-81FA-962F66EDDE5B}"/>
            </c:ext>
          </c:extLst>
        </c:ser>
        <c:ser>
          <c:idx val="22"/>
          <c:order val="22"/>
          <c:tx>
            <c:v>BES_TR2_five394_C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Demand_kW!$Y$2:$Y$49</c:f>
              <c:numCache>
                <c:formatCode>#,##0.000</c:formatCode>
                <c:ptCount val="48"/>
                <c:pt idx="0">
                  <c:v>1.5652170000000001</c:v>
                </c:pt>
                <c:pt idx="1">
                  <c:v>5.8000000000000003E-2</c:v>
                </c:pt>
                <c:pt idx="2">
                  <c:v>0.10128</c:v>
                </c:pt>
                <c:pt idx="3">
                  <c:v>0.173413333333333</c:v>
                </c:pt>
                <c:pt idx="4">
                  <c:v>5.8000000000000003E-2</c:v>
                </c:pt>
                <c:pt idx="5">
                  <c:v>0.21669333333333299</c:v>
                </c:pt>
                <c:pt idx="6">
                  <c:v>5.8000000000000003E-2</c:v>
                </c:pt>
                <c:pt idx="7">
                  <c:v>0.18062666666666699</c:v>
                </c:pt>
                <c:pt idx="8">
                  <c:v>9.4066666666666604E-2</c:v>
                </c:pt>
                <c:pt idx="9">
                  <c:v>5.8000000000000003E-2</c:v>
                </c:pt>
                <c:pt idx="10">
                  <c:v>0.21669333333333299</c:v>
                </c:pt>
                <c:pt idx="11">
                  <c:v>5.8000000000000003E-2</c:v>
                </c:pt>
                <c:pt idx="12">
                  <c:v>0.195053333333333</c:v>
                </c:pt>
                <c:pt idx="13">
                  <c:v>7.9640000000000002E-2</c:v>
                </c:pt>
                <c:pt idx="14">
                  <c:v>5.8000000000000003E-2</c:v>
                </c:pt>
                <c:pt idx="15">
                  <c:v>5.8000000000000003E-2</c:v>
                </c:pt>
                <c:pt idx="16">
                  <c:v>0.18062666666666699</c:v>
                </c:pt>
                <c:pt idx="17">
                  <c:v>9.4066666666666604E-2</c:v>
                </c:pt>
                <c:pt idx="18">
                  <c:v>0.15746933333333299</c:v>
                </c:pt>
                <c:pt idx="19">
                  <c:v>0.173413333333333</c:v>
                </c:pt>
                <c:pt idx="20">
                  <c:v>5.8000000000000003E-2</c:v>
                </c:pt>
                <c:pt idx="21">
                  <c:v>0.25118119999999999</c:v>
                </c:pt>
                <c:pt idx="22">
                  <c:v>0.1290472</c:v>
                </c:pt>
                <c:pt idx="23">
                  <c:v>0.24882699999999999</c:v>
                </c:pt>
                <c:pt idx="24">
                  <c:v>0.109803333333333</c:v>
                </c:pt>
                <c:pt idx="25">
                  <c:v>0.21669333333333299</c:v>
                </c:pt>
                <c:pt idx="26">
                  <c:v>5.8000000000000003E-2</c:v>
                </c:pt>
                <c:pt idx="27">
                  <c:v>8.6853333333333393E-2</c:v>
                </c:pt>
                <c:pt idx="28">
                  <c:v>0.18784000000000001</c:v>
                </c:pt>
                <c:pt idx="29">
                  <c:v>5.8000000000000003E-2</c:v>
                </c:pt>
                <c:pt idx="30">
                  <c:v>5.8000000000000003E-2</c:v>
                </c:pt>
                <c:pt idx="31">
                  <c:v>0.20226666666666701</c:v>
                </c:pt>
                <c:pt idx="32">
                  <c:v>0.12422999999999999</c:v>
                </c:pt>
                <c:pt idx="33">
                  <c:v>0.385492</c:v>
                </c:pt>
                <c:pt idx="34">
                  <c:v>0.64297833333333299</c:v>
                </c:pt>
                <c:pt idx="35">
                  <c:v>0.32454033333333299</c:v>
                </c:pt>
                <c:pt idx="36">
                  <c:v>0.24185000000000001</c:v>
                </c:pt>
                <c:pt idx="37">
                  <c:v>0.252016666666667</c:v>
                </c:pt>
                <c:pt idx="38">
                  <c:v>0.39286700000000002</c:v>
                </c:pt>
                <c:pt idx="39">
                  <c:v>0.65873333333333295</c:v>
                </c:pt>
                <c:pt idx="40">
                  <c:v>0.55633233333333298</c:v>
                </c:pt>
                <c:pt idx="41">
                  <c:v>0.73277099999999995</c:v>
                </c:pt>
                <c:pt idx="42">
                  <c:v>0.53134400000000004</c:v>
                </c:pt>
                <c:pt idx="43">
                  <c:v>0.62215799999999999</c:v>
                </c:pt>
                <c:pt idx="44">
                  <c:v>0.43307200000000001</c:v>
                </c:pt>
                <c:pt idx="45">
                  <c:v>0.14404</c:v>
                </c:pt>
                <c:pt idx="46">
                  <c:v>0.21669333333333299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A1B-4F34-81FA-962F66EDDE5B}"/>
            </c:ext>
          </c:extLst>
        </c:ser>
        <c:ser>
          <c:idx val="23"/>
          <c:order val="23"/>
          <c:tx>
            <c:v>BES_TR2_five451_A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Demand_kW!$Z$2:$Z$49</c:f>
              <c:numCache>
                <c:formatCode>#,##0.000</c:formatCode>
                <c:ptCount val="48"/>
                <c:pt idx="0">
                  <c:v>0.181925</c:v>
                </c:pt>
                <c:pt idx="1">
                  <c:v>0.16109499999999999</c:v>
                </c:pt>
                <c:pt idx="2">
                  <c:v>4.7E-2</c:v>
                </c:pt>
                <c:pt idx="3">
                  <c:v>0.128680666666667</c:v>
                </c:pt>
                <c:pt idx="4">
                  <c:v>0.107850666666667</c:v>
                </c:pt>
                <c:pt idx="5">
                  <c:v>0.153488666666667</c:v>
                </c:pt>
                <c:pt idx="6">
                  <c:v>0.11117766666666699</c:v>
                </c:pt>
                <c:pt idx="7">
                  <c:v>7.9715666666666601E-2</c:v>
                </c:pt>
                <c:pt idx="8">
                  <c:v>0.19912666666666701</c:v>
                </c:pt>
                <c:pt idx="9">
                  <c:v>0.128680666666667</c:v>
                </c:pt>
                <c:pt idx="10">
                  <c:v>4.7E-2</c:v>
                </c:pt>
                <c:pt idx="11">
                  <c:v>0.23767533333333299</c:v>
                </c:pt>
                <c:pt idx="12">
                  <c:v>0.105343333333333</c:v>
                </c:pt>
                <c:pt idx="13">
                  <c:v>0.13827600000000001</c:v>
                </c:pt>
                <c:pt idx="14">
                  <c:v>0.21380126666666699</c:v>
                </c:pt>
                <c:pt idx="15">
                  <c:v>4.7E-2</c:v>
                </c:pt>
                <c:pt idx="16">
                  <c:v>0.100244333333333</c:v>
                </c:pt>
                <c:pt idx="17">
                  <c:v>0.24277199999999999</c:v>
                </c:pt>
                <c:pt idx="18">
                  <c:v>9.9451800000000007E-2</c:v>
                </c:pt>
                <c:pt idx="19">
                  <c:v>2.1965986666666701</c:v>
                </c:pt>
                <c:pt idx="20">
                  <c:v>0.35342576666666697</c:v>
                </c:pt>
                <c:pt idx="21">
                  <c:v>0.41366239999999999</c:v>
                </c:pt>
                <c:pt idx="22">
                  <c:v>0.208576066666667</c:v>
                </c:pt>
                <c:pt idx="23">
                  <c:v>1.0992026666666701</c:v>
                </c:pt>
                <c:pt idx="24">
                  <c:v>1.0082599999999999</c:v>
                </c:pt>
                <c:pt idx="25">
                  <c:v>0.22346833333333299</c:v>
                </c:pt>
                <c:pt idx="26">
                  <c:v>0.168321</c:v>
                </c:pt>
                <c:pt idx="27">
                  <c:v>0.102553066666667</c:v>
                </c:pt>
                <c:pt idx="28">
                  <c:v>0.33359739999999999</c:v>
                </c:pt>
                <c:pt idx="29">
                  <c:v>0.1241028</c:v>
                </c:pt>
                <c:pt idx="30">
                  <c:v>0.272697666666667</c:v>
                </c:pt>
                <c:pt idx="31">
                  <c:v>0.50398633333333398</c:v>
                </c:pt>
                <c:pt idx="32">
                  <c:v>0.213580666666667</c:v>
                </c:pt>
                <c:pt idx="33">
                  <c:v>0.1235</c:v>
                </c:pt>
                <c:pt idx="34">
                  <c:v>0.12220399999999999</c:v>
                </c:pt>
                <c:pt idx="35">
                  <c:v>0.33946159999999997</c:v>
                </c:pt>
                <c:pt idx="36">
                  <c:v>0.34741613333333299</c:v>
                </c:pt>
                <c:pt idx="37">
                  <c:v>0.41773533333333301</c:v>
                </c:pt>
                <c:pt idx="38">
                  <c:v>0.157471</c:v>
                </c:pt>
                <c:pt idx="39">
                  <c:v>5.8668666666666702E-2</c:v>
                </c:pt>
                <c:pt idx="40">
                  <c:v>0.28434933333333401</c:v>
                </c:pt>
                <c:pt idx="41">
                  <c:v>4.7E-2</c:v>
                </c:pt>
                <c:pt idx="42">
                  <c:v>0.19026499999999999</c:v>
                </c:pt>
                <c:pt idx="43">
                  <c:v>0.152751</c:v>
                </c:pt>
                <c:pt idx="44">
                  <c:v>0.100244333333333</c:v>
                </c:pt>
                <c:pt idx="45">
                  <c:v>0.196101</c:v>
                </c:pt>
                <c:pt idx="46">
                  <c:v>0.37622100000000003</c:v>
                </c:pt>
                <c:pt idx="47">
                  <c:v>0.47811166666666699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1B-4F34-81FA-962F66EDDE5B}"/>
            </c:ext>
          </c:extLst>
        </c:ser>
        <c:ser>
          <c:idx val="24"/>
          <c:order val="24"/>
          <c:tx>
            <c:v>BES_TR2_five466_A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Demand_kW!$AA$2:$AA$49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0.186419</c:v>
                </c:pt>
                <c:pt idx="2">
                  <c:v>6.0305666666666702E-2</c:v>
                </c:pt>
                <c:pt idx="3">
                  <c:v>5.3999999999999999E-2</c:v>
                </c:pt>
                <c:pt idx="4">
                  <c:v>0.186419</c:v>
                </c:pt>
                <c:pt idx="5">
                  <c:v>6.0305666666666702E-2</c:v>
                </c:pt>
                <c:pt idx="6">
                  <c:v>6.6611333333333397E-2</c:v>
                </c:pt>
                <c:pt idx="7">
                  <c:v>0.18011333333333299</c:v>
                </c:pt>
                <c:pt idx="8">
                  <c:v>5.3999999999999999E-2</c:v>
                </c:pt>
                <c:pt idx="9">
                  <c:v>0.18011333333333299</c:v>
                </c:pt>
                <c:pt idx="10">
                  <c:v>6.6611333333333397E-2</c:v>
                </c:pt>
                <c:pt idx="11">
                  <c:v>5.3999999999999999E-2</c:v>
                </c:pt>
                <c:pt idx="12">
                  <c:v>0.19272466666666699</c:v>
                </c:pt>
                <c:pt idx="13">
                  <c:v>5.3999999999999999E-2</c:v>
                </c:pt>
                <c:pt idx="14">
                  <c:v>5.3999999999999999E-2</c:v>
                </c:pt>
                <c:pt idx="15">
                  <c:v>0.19272466666666699</c:v>
                </c:pt>
                <c:pt idx="16">
                  <c:v>0.49510599999999999</c:v>
                </c:pt>
                <c:pt idx="17">
                  <c:v>0.20030999999999999</c:v>
                </c:pt>
                <c:pt idx="18">
                  <c:v>0.21669633333333299</c:v>
                </c:pt>
                <c:pt idx="19">
                  <c:v>0.505419333333333</c:v>
                </c:pt>
                <c:pt idx="20">
                  <c:v>0.24293999999999999</c:v>
                </c:pt>
                <c:pt idx="21">
                  <c:v>0.249746</c:v>
                </c:pt>
                <c:pt idx="22">
                  <c:v>0.104445333333333</c:v>
                </c:pt>
                <c:pt idx="23">
                  <c:v>9.8139666666666694E-2</c:v>
                </c:pt>
                <c:pt idx="24">
                  <c:v>0.32039499999999999</c:v>
                </c:pt>
                <c:pt idx="25">
                  <c:v>0.155266666666667</c:v>
                </c:pt>
                <c:pt idx="26">
                  <c:v>0.197730566666667</c:v>
                </c:pt>
                <c:pt idx="27">
                  <c:v>0.20443220000000001</c:v>
                </c:pt>
                <c:pt idx="28">
                  <c:v>0.30983300000000003</c:v>
                </c:pt>
                <c:pt idx="29">
                  <c:v>0.173807666666667</c:v>
                </c:pt>
                <c:pt idx="30">
                  <c:v>0.12605773333333301</c:v>
                </c:pt>
                <c:pt idx="31">
                  <c:v>0.25061800000000001</c:v>
                </c:pt>
                <c:pt idx="32">
                  <c:v>0.21586</c:v>
                </c:pt>
                <c:pt idx="33">
                  <c:v>0.88271333333333402</c:v>
                </c:pt>
                <c:pt idx="34">
                  <c:v>1.0172713333333301</c:v>
                </c:pt>
                <c:pt idx="35">
                  <c:v>5.3999999999999999E-2</c:v>
                </c:pt>
                <c:pt idx="36">
                  <c:v>6.6611333333333397E-2</c:v>
                </c:pt>
                <c:pt idx="37">
                  <c:v>0.18011333333333299</c:v>
                </c:pt>
                <c:pt idx="38">
                  <c:v>5.3999999999999999E-2</c:v>
                </c:pt>
                <c:pt idx="39">
                  <c:v>0.19272466666666699</c:v>
                </c:pt>
                <c:pt idx="40">
                  <c:v>5.3999999999999999E-2</c:v>
                </c:pt>
                <c:pt idx="41">
                  <c:v>5.3999999999999999E-2</c:v>
                </c:pt>
                <c:pt idx="42">
                  <c:v>0.123362333333333</c:v>
                </c:pt>
                <c:pt idx="43">
                  <c:v>0.123362333333333</c:v>
                </c:pt>
                <c:pt idx="44">
                  <c:v>0.135717</c:v>
                </c:pt>
                <c:pt idx="45">
                  <c:v>0.50165733333333395</c:v>
                </c:pt>
                <c:pt idx="46">
                  <c:v>5.3999999999999999E-2</c:v>
                </c:pt>
                <c:pt idx="47">
                  <c:v>0.173807666666667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A1B-4F34-81FA-962F66EDDE5B}"/>
            </c:ext>
          </c:extLst>
        </c:ser>
        <c:ser>
          <c:idx val="25"/>
          <c:order val="25"/>
          <c:tx>
            <c:v>BES_TR2_five494_B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Demand_kW!$AB$2:$AB$49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0.18836</c:v>
                </c:pt>
                <c:pt idx="2">
                  <c:v>5.3999999999999999E-2</c:v>
                </c:pt>
                <c:pt idx="3">
                  <c:v>0.18836</c:v>
                </c:pt>
                <c:pt idx="4">
                  <c:v>5.3999999999999999E-2</c:v>
                </c:pt>
                <c:pt idx="5">
                  <c:v>0.15476999999999999</c:v>
                </c:pt>
                <c:pt idx="6">
                  <c:v>8.7590000000000001E-2</c:v>
                </c:pt>
                <c:pt idx="7">
                  <c:v>0.10774400000000001</c:v>
                </c:pt>
                <c:pt idx="8">
                  <c:v>0.13461600000000001</c:v>
                </c:pt>
                <c:pt idx="9">
                  <c:v>5.3999999999999999E-2</c:v>
                </c:pt>
                <c:pt idx="10">
                  <c:v>5.3999999999999999E-2</c:v>
                </c:pt>
                <c:pt idx="11">
                  <c:v>5.3999999999999999E-2</c:v>
                </c:pt>
                <c:pt idx="12">
                  <c:v>0.18836</c:v>
                </c:pt>
                <c:pt idx="13">
                  <c:v>5.3999999999999999E-2</c:v>
                </c:pt>
                <c:pt idx="14">
                  <c:v>8.7590000000000001E-2</c:v>
                </c:pt>
                <c:pt idx="15">
                  <c:v>0.22341666666666701</c:v>
                </c:pt>
                <c:pt idx="16">
                  <c:v>5.3999999999999999E-2</c:v>
                </c:pt>
                <c:pt idx="17">
                  <c:v>0.174924</c:v>
                </c:pt>
                <c:pt idx="18">
                  <c:v>6.7435999999999996E-2</c:v>
                </c:pt>
                <c:pt idx="19">
                  <c:v>0.22425300000000001</c:v>
                </c:pt>
                <c:pt idx="20">
                  <c:v>0.31490899999999999</c:v>
                </c:pt>
                <c:pt idx="21">
                  <c:v>0.29946666666666699</c:v>
                </c:pt>
                <c:pt idx="22">
                  <c:v>0.25000600000000001</c:v>
                </c:pt>
                <c:pt idx="23">
                  <c:v>0.56579299999999999</c:v>
                </c:pt>
                <c:pt idx="24">
                  <c:v>0.23608399999999999</c:v>
                </c:pt>
                <c:pt idx="25">
                  <c:v>0.161953333333333</c:v>
                </c:pt>
                <c:pt idx="26">
                  <c:v>5.3999999999999999E-2</c:v>
                </c:pt>
                <c:pt idx="27">
                  <c:v>5.3999999999999999E-2</c:v>
                </c:pt>
                <c:pt idx="28">
                  <c:v>0.34427000000000002</c:v>
                </c:pt>
                <c:pt idx="29">
                  <c:v>0.36744066666666603</c:v>
                </c:pt>
                <c:pt idx="30">
                  <c:v>1.34894133333333</c:v>
                </c:pt>
                <c:pt idx="31">
                  <c:v>0.756002333333333</c:v>
                </c:pt>
                <c:pt idx="32">
                  <c:v>1.5053673333333299</c:v>
                </c:pt>
                <c:pt idx="33">
                  <c:v>1.69577933333333</c:v>
                </c:pt>
                <c:pt idx="34">
                  <c:v>0.318745</c:v>
                </c:pt>
                <c:pt idx="35">
                  <c:v>0.30637266666666702</c:v>
                </c:pt>
                <c:pt idx="36">
                  <c:v>0.17204166666666701</c:v>
                </c:pt>
                <c:pt idx="37">
                  <c:v>0.16386066666666699</c:v>
                </c:pt>
                <c:pt idx="38">
                  <c:v>8.62666666666667E-2</c:v>
                </c:pt>
                <c:pt idx="39">
                  <c:v>0.36263499999999999</c:v>
                </c:pt>
                <c:pt idx="40">
                  <c:v>0.28338000000000002</c:v>
                </c:pt>
                <c:pt idx="41">
                  <c:v>0.35232833333333302</c:v>
                </c:pt>
                <c:pt idx="42">
                  <c:v>0.50089499999999998</c:v>
                </c:pt>
                <c:pt idx="43">
                  <c:v>0.58557599999999999</c:v>
                </c:pt>
                <c:pt idx="44">
                  <c:v>0.69588633333333405</c:v>
                </c:pt>
                <c:pt idx="45">
                  <c:v>0.46088499999999999</c:v>
                </c:pt>
                <c:pt idx="46">
                  <c:v>0.37022699999999997</c:v>
                </c:pt>
                <c:pt idx="47">
                  <c:v>0.19189800000000001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1B-4F34-81FA-962F66EDDE5B}"/>
            </c:ext>
          </c:extLst>
        </c:ser>
        <c:ser>
          <c:idx val="26"/>
          <c:order val="26"/>
          <c:tx>
            <c:v>BES_TR2_five512_A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Demand_kW!$AC$2:$AC$49</c:f>
              <c:numCache>
                <c:formatCode>#,##0.000</c:formatCode>
                <c:ptCount val="48"/>
                <c:pt idx="0">
                  <c:v>0.25707999999999998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9.2560000000000003E-2</c:v>
                </c:pt>
                <c:pt idx="5">
                  <c:v>0.22051999999999999</c:v>
                </c:pt>
                <c:pt idx="6">
                  <c:v>5.6000000000000001E-2</c:v>
                </c:pt>
                <c:pt idx="7">
                  <c:v>0.25707999999999998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0.16567999999999999</c:v>
                </c:pt>
                <c:pt idx="11">
                  <c:v>0.1474</c:v>
                </c:pt>
                <c:pt idx="12">
                  <c:v>5.6000000000000001E-2</c:v>
                </c:pt>
                <c:pt idx="13">
                  <c:v>9.47842666666667E-2</c:v>
                </c:pt>
                <c:pt idx="14">
                  <c:v>0.22966</c:v>
                </c:pt>
                <c:pt idx="15">
                  <c:v>5.6000000000000001E-2</c:v>
                </c:pt>
                <c:pt idx="16">
                  <c:v>0.22051999999999999</c:v>
                </c:pt>
                <c:pt idx="17">
                  <c:v>9.2560000000000003E-2</c:v>
                </c:pt>
                <c:pt idx="18">
                  <c:v>0.13825999999999999</c:v>
                </c:pt>
                <c:pt idx="19">
                  <c:v>0.17482</c:v>
                </c:pt>
                <c:pt idx="20">
                  <c:v>0.100976133333333</c:v>
                </c:pt>
                <c:pt idx="21">
                  <c:v>0.30922713333333302</c:v>
                </c:pt>
                <c:pt idx="22">
                  <c:v>1.54791533333333</c:v>
                </c:pt>
                <c:pt idx="23">
                  <c:v>0.533897333333333</c:v>
                </c:pt>
                <c:pt idx="24">
                  <c:v>0.42896766666666603</c:v>
                </c:pt>
                <c:pt idx="25">
                  <c:v>0.39076699999999998</c:v>
                </c:pt>
                <c:pt idx="26">
                  <c:v>0.19696333333333299</c:v>
                </c:pt>
                <c:pt idx="27">
                  <c:v>1.9930540000000001</c:v>
                </c:pt>
                <c:pt idx="28">
                  <c:v>9.8243333333333405E-2</c:v>
                </c:pt>
                <c:pt idx="29">
                  <c:v>5.6000000000000001E-2</c:v>
                </c:pt>
                <c:pt idx="30">
                  <c:v>0.299323333333333</c:v>
                </c:pt>
                <c:pt idx="31">
                  <c:v>0.18273</c:v>
                </c:pt>
                <c:pt idx="32">
                  <c:v>0.26494066666666699</c:v>
                </c:pt>
                <c:pt idx="33">
                  <c:v>0.42299433333333297</c:v>
                </c:pt>
                <c:pt idx="34">
                  <c:v>0.25078766666666702</c:v>
                </c:pt>
                <c:pt idx="35">
                  <c:v>0.293771</c:v>
                </c:pt>
                <c:pt idx="36">
                  <c:v>0.23880879999999999</c:v>
                </c:pt>
                <c:pt idx="37">
                  <c:v>0.1073808</c:v>
                </c:pt>
                <c:pt idx="38">
                  <c:v>0.1625838</c:v>
                </c:pt>
                <c:pt idx="39">
                  <c:v>0.757676666666667</c:v>
                </c:pt>
                <c:pt idx="40">
                  <c:v>1.1895233333333299</c:v>
                </c:pt>
                <c:pt idx="41">
                  <c:v>1.14997533333333</c:v>
                </c:pt>
                <c:pt idx="42">
                  <c:v>0.66165133333333304</c:v>
                </c:pt>
                <c:pt idx="43">
                  <c:v>0.60735666666666599</c:v>
                </c:pt>
                <c:pt idx="44">
                  <c:v>0.459853333333333</c:v>
                </c:pt>
                <c:pt idx="45">
                  <c:v>5.6000000000000001E-2</c:v>
                </c:pt>
                <c:pt idx="46">
                  <c:v>5.6000000000000001E-2</c:v>
                </c:pt>
                <c:pt idx="47">
                  <c:v>0.12912000000000001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A1B-4F34-81FA-962F66EDDE5B}"/>
            </c:ext>
          </c:extLst>
        </c:ser>
        <c:ser>
          <c:idx val="27"/>
          <c:order val="27"/>
          <c:tx>
            <c:v>BES_TR2_five520_C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Demand_kW!$AD$2:$AD$49</c:f>
              <c:numCache>
                <c:formatCode>#,##0.000</c:formatCode>
                <c:ptCount val="48"/>
                <c:pt idx="0">
                  <c:v>8.6457999999999993E-2</c:v>
                </c:pt>
                <c:pt idx="1">
                  <c:v>0.15555466666666701</c:v>
                </c:pt>
                <c:pt idx="2">
                  <c:v>4.4999999999999998E-2</c:v>
                </c:pt>
                <c:pt idx="3">
                  <c:v>0.197012666666667</c:v>
                </c:pt>
                <c:pt idx="4">
                  <c:v>4.4999999999999998E-2</c:v>
                </c:pt>
                <c:pt idx="5">
                  <c:v>4.4999999999999998E-2</c:v>
                </c:pt>
                <c:pt idx="6">
                  <c:v>0.197012666666667</c:v>
                </c:pt>
                <c:pt idx="7">
                  <c:v>4.4999999999999998E-2</c:v>
                </c:pt>
                <c:pt idx="8">
                  <c:v>0.114096666666667</c:v>
                </c:pt>
                <c:pt idx="9">
                  <c:v>0.127916</c:v>
                </c:pt>
                <c:pt idx="10">
                  <c:v>4.4999999999999998E-2</c:v>
                </c:pt>
                <c:pt idx="11">
                  <c:v>0.197012666666667</c:v>
                </c:pt>
                <c:pt idx="12">
                  <c:v>4.4999999999999998E-2</c:v>
                </c:pt>
                <c:pt idx="13">
                  <c:v>7.0836666666666701E-2</c:v>
                </c:pt>
                <c:pt idx="14">
                  <c:v>0.10012600000000001</c:v>
                </c:pt>
                <c:pt idx="15">
                  <c:v>0.15555466666666701</c:v>
                </c:pt>
                <c:pt idx="16">
                  <c:v>8.1173333333333403E-2</c:v>
                </c:pt>
                <c:pt idx="17">
                  <c:v>0.213108666666667</c:v>
                </c:pt>
                <c:pt idx="18">
                  <c:v>0.60905399999999998</c:v>
                </c:pt>
                <c:pt idx="19">
                  <c:v>2.1789733333333299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0.197012666666667</c:v>
                </c:pt>
                <c:pt idx="23">
                  <c:v>4.4999999999999998E-2</c:v>
                </c:pt>
                <c:pt idx="24">
                  <c:v>0.127916</c:v>
                </c:pt>
                <c:pt idx="25">
                  <c:v>0.114096666666667</c:v>
                </c:pt>
                <c:pt idx="26">
                  <c:v>5.1909666666666701E-2</c:v>
                </c:pt>
                <c:pt idx="27">
                  <c:v>0.19010299999999999</c:v>
                </c:pt>
                <c:pt idx="28">
                  <c:v>4.4999999999999998E-2</c:v>
                </c:pt>
                <c:pt idx="29">
                  <c:v>0.197012666666667</c:v>
                </c:pt>
                <c:pt idx="30">
                  <c:v>4.4999999999999998E-2</c:v>
                </c:pt>
                <c:pt idx="31">
                  <c:v>8.6880333333333407E-2</c:v>
                </c:pt>
                <c:pt idx="32">
                  <c:v>0.234138333333333</c:v>
                </c:pt>
                <c:pt idx="33">
                  <c:v>2.172688</c:v>
                </c:pt>
                <c:pt idx="34">
                  <c:v>0.80673266666666599</c:v>
                </c:pt>
                <c:pt idx="35">
                  <c:v>0.22319333333333299</c:v>
                </c:pt>
                <c:pt idx="36">
                  <c:v>6.5605666666666701E-2</c:v>
                </c:pt>
                <c:pt idx="37">
                  <c:v>0.25086639999999999</c:v>
                </c:pt>
                <c:pt idx="38">
                  <c:v>7.5755400000000001E-2</c:v>
                </c:pt>
                <c:pt idx="39">
                  <c:v>0.32505166666666702</c:v>
                </c:pt>
                <c:pt idx="40">
                  <c:v>0.412476333333333</c:v>
                </c:pt>
                <c:pt idx="41">
                  <c:v>0.30530333333333298</c:v>
                </c:pt>
                <c:pt idx="42">
                  <c:v>0.52101333333333399</c:v>
                </c:pt>
                <c:pt idx="43">
                  <c:v>0.73957566666666696</c:v>
                </c:pt>
                <c:pt idx="44">
                  <c:v>0.82415933333333402</c:v>
                </c:pt>
                <c:pt idx="45">
                  <c:v>0.49907233333333301</c:v>
                </c:pt>
                <c:pt idx="46">
                  <c:v>0.43492599999999998</c:v>
                </c:pt>
                <c:pt idx="47">
                  <c:v>0.54793999999999998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1B-4F34-81FA-962F66EDDE5B}"/>
            </c:ext>
          </c:extLst>
        </c:ser>
        <c:ser>
          <c:idx val="28"/>
          <c:order val="28"/>
          <c:tx>
            <c:v>BES_TR2_five540_A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Demand_kW!$AE$2:$AE$49</c:f>
              <c:numCache>
                <c:formatCode>#,##0.000</c:formatCode>
                <c:ptCount val="48"/>
                <c:pt idx="0">
                  <c:v>0.124353666666667</c:v>
                </c:pt>
                <c:pt idx="1">
                  <c:v>0.102091</c:v>
                </c:pt>
                <c:pt idx="2">
                  <c:v>5.1999999999999998E-2</c:v>
                </c:pt>
                <c:pt idx="3">
                  <c:v>9.0959666666666703E-2</c:v>
                </c:pt>
                <c:pt idx="4">
                  <c:v>0.13548499999999999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0.118788</c:v>
                </c:pt>
                <c:pt idx="8">
                  <c:v>0.107656666666667</c:v>
                </c:pt>
                <c:pt idx="9">
                  <c:v>8.5393999999999998E-2</c:v>
                </c:pt>
                <c:pt idx="10">
                  <c:v>0.14105066666666699</c:v>
                </c:pt>
                <c:pt idx="11">
                  <c:v>5.1999999999999998E-2</c:v>
                </c:pt>
                <c:pt idx="12">
                  <c:v>0.206051333333333</c:v>
                </c:pt>
                <c:pt idx="13">
                  <c:v>5.1999999999999998E-2</c:v>
                </c:pt>
                <c:pt idx="14">
                  <c:v>0.107656666666667</c:v>
                </c:pt>
                <c:pt idx="15">
                  <c:v>0.1312556</c:v>
                </c:pt>
                <c:pt idx="16">
                  <c:v>5.3662133333333403E-2</c:v>
                </c:pt>
                <c:pt idx="17">
                  <c:v>0.21352699999999999</c:v>
                </c:pt>
                <c:pt idx="18">
                  <c:v>8.36103333333333E-2</c:v>
                </c:pt>
                <c:pt idx="19">
                  <c:v>0.30299666666666702</c:v>
                </c:pt>
                <c:pt idx="20">
                  <c:v>0.12618799999999999</c:v>
                </c:pt>
                <c:pt idx="21">
                  <c:v>6.1981333333333402E-2</c:v>
                </c:pt>
                <c:pt idx="22">
                  <c:v>0.1813478</c:v>
                </c:pt>
                <c:pt idx="23">
                  <c:v>0.13698206666666701</c:v>
                </c:pt>
                <c:pt idx="24">
                  <c:v>0.23296</c:v>
                </c:pt>
                <c:pt idx="25">
                  <c:v>0.29896</c:v>
                </c:pt>
                <c:pt idx="26">
                  <c:v>0.34540466666666703</c:v>
                </c:pt>
                <c:pt idx="27">
                  <c:v>0.37430400000000003</c:v>
                </c:pt>
                <c:pt idx="28">
                  <c:v>0.285742</c:v>
                </c:pt>
                <c:pt idx="29">
                  <c:v>0.20378933333333299</c:v>
                </c:pt>
                <c:pt idx="30">
                  <c:v>0.21791966666666701</c:v>
                </c:pt>
                <c:pt idx="31">
                  <c:v>0.51306799999999997</c:v>
                </c:pt>
                <c:pt idx="32">
                  <c:v>0.234236</c:v>
                </c:pt>
                <c:pt idx="33">
                  <c:v>0.34704866666666701</c:v>
                </c:pt>
                <c:pt idx="34">
                  <c:v>1.9508813333333299</c:v>
                </c:pt>
                <c:pt idx="35">
                  <c:v>1.97315</c:v>
                </c:pt>
                <c:pt idx="36">
                  <c:v>0.44309466666666703</c:v>
                </c:pt>
                <c:pt idx="37">
                  <c:v>0.14810999999999999</c:v>
                </c:pt>
                <c:pt idx="38">
                  <c:v>0.1825541</c:v>
                </c:pt>
                <c:pt idx="39">
                  <c:v>5.1999999999999998E-2</c:v>
                </c:pt>
                <c:pt idx="40">
                  <c:v>0.15774766666666701</c:v>
                </c:pt>
                <c:pt idx="41">
                  <c:v>6.8696999999999994E-2</c:v>
                </c:pt>
                <c:pt idx="42">
                  <c:v>5.1999999999999998E-2</c:v>
                </c:pt>
                <c:pt idx="43">
                  <c:v>7.1640800000000004E-2</c:v>
                </c:pt>
                <c:pt idx="44">
                  <c:v>0.36753999999999998</c:v>
                </c:pt>
                <c:pt idx="45">
                  <c:v>0.37385800000000002</c:v>
                </c:pt>
                <c:pt idx="46">
                  <c:v>0.43035600000000002</c:v>
                </c:pt>
                <c:pt idx="47">
                  <c:v>0.40925666666666599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A1B-4F34-81FA-962F66EDDE5B}"/>
            </c:ext>
          </c:extLst>
        </c:ser>
        <c:ser>
          <c:idx val="29"/>
          <c:order val="29"/>
          <c:tx>
            <c:v>BES_TR2_five588_A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Demand_kW!$AF$2:$AF$49</c:f>
              <c:numCache>
                <c:formatCode>#,##0.000</c:formatCode>
                <c:ptCount val="48"/>
                <c:pt idx="0">
                  <c:v>0.28161700000000001</c:v>
                </c:pt>
                <c:pt idx="1">
                  <c:v>0.20332</c:v>
                </c:pt>
                <c:pt idx="2">
                  <c:v>0.129149666666667</c:v>
                </c:pt>
                <c:pt idx="3">
                  <c:v>0.103269</c:v>
                </c:pt>
                <c:pt idx="4">
                  <c:v>0.20978466666666701</c:v>
                </c:pt>
                <c:pt idx="5">
                  <c:v>0.171954</c:v>
                </c:pt>
                <c:pt idx="6">
                  <c:v>7.6397999999999994E-2</c:v>
                </c:pt>
                <c:pt idx="7">
                  <c:v>0.29439199999999999</c:v>
                </c:pt>
                <c:pt idx="8">
                  <c:v>6.4948666666666696E-2</c:v>
                </c:pt>
                <c:pt idx="9">
                  <c:v>0.218252</c:v>
                </c:pt>
                <c:pt idx="10">
                  <c:v>0.163486666666667</c:v>
                </c:pt>
                <c:pt idx="11">
                  <c:v>7.6397999999999994E-2</c:v>
                </c:pt>
                <c:pt idx="12">
                  <c:v>0.27796900000000002</c:v>
                </c:pt>
                <c:pt idx="13">
                  <c:v>8.1371666666666703E-2</c:v>
                </c:pt>
                <c:pt idx="14">
                  <c:v>5.3999999999999999E-2</c:v>
                </c:pt>
                <c:pt idx="15">
                  <c:v>0.25307866666666701</c:v>
                </c:pt>
                <c:pt idx="16">
                  <c:v>0.12866</c:v>
                </c:pt>
                <c:pt idx="17">
                  <c:v>8.3863999999999994E-2</c:v>
                </c:pt>
                <c:pt idx="18">
                  <c:v>0.50264699999999995</c:v>
                </c:pt>
                <c:pt idx="19">
                  <c:v>0.27756799999999998</c:v>
                </c:pt>
                <c:pt idx="20">
                  <c:v>0.33923599999999998</c:v>
                </c:pt>
                <c:pt idx="21">
                  <c:v>0.167402666666667</c:v>
                </c:pt>
                <c:pt idx="22">
                  <c:v>0.15253800000000001</c:v>
                </c:pt>
                <c:pt idx="23">
                  <c:v>6.4948666666666696E-2</c:v>
                </c:pt>
                <c:pt idx="24">
                  <c:v>0.218252</c:v>
                </c:pt>
                <c:pt idx="25">
                  <c:v>0.163486666666667</c:v>
                </c:pt>
                <c:pt idx="26">
                  <c:v>5.3999999999999999E-2</c:v>
                </c:pt>
                <c:pt idx="27">
                  <c:v>0.17295533333333299</c:v>
                </c:pt>
                <c:pt idx="28">
                  <c:v>0.20878333333333399</c:v>
                </c:pt>
                <c:pt idx="29">
                  <c:v>5.3999999999999999E-2</c:v>
                </c:pt>
                <c:pt idx="30">
                  <c:v>0.185884666666667</c:v>
                </c:pt>
                <c:pt idx="31">
                  <c:v>0.223854</c:v>
                </c:pt>
                <c:pt idx="32">
                  <c:v>0.18047233333333301</c:v>
                </c:pt>
                <c:pt idx="33">
                  <c:v>0.37943933333333402</c:v>
                </c:pt>
                <c:pt idx="34">
                  <c:v>0.59554669999999998</c:v>
                </c:pt>
                <c:pt idx="35">
                  <c:v>1.35083833333333</c:v>
                </c:pt>
                <c:pt idx="36">
                  <c:v>3.745924</c:v>
                </c:pt>
                <c:pt idx="37">
                  <c:v>0.10403333333333301</c:v>
                </c:pt>
                <c:pt idx="38">
                  <c:v>6.8931999999999993E-2</c:v>
                </c:pt>
                <c:pt idx="39">
                  <c:v>0.31280666666666701</c:v>
                </c:pt>
                <c:pt idx="40">
                  <c:v>5.3999999999999999E-2</c:v>
                </c:pt>
                <c:pt idx="41">
                  <c:v>5.3999999999999999E-2</c:v>
                </c:pt>
                <c:pt idx="42">
                  <c:v>0.218252</c:v>
                </c:pt>
                <c:pt idx="43">
                  <c:v>0.163486666666667</c:v>
                </c:pt>
                <c:pt idx="44">
                  <c:v>6.8931999999999993E-2</c:v>
                </c:pt>
                <c:pt idx="45">
                  <c:v>0.31280666666666701</c:v>
                </c:pt>
                <c:pt idx="46">
                  <c:v>5.3999999999999999E-2</c:v>
                </c:pt>
                <c:pt idx="47">
                  <c:v>0.32027266666666698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1B-4F34-81FA-962F66EDDE5B}"/>
            </c:ext>
          </c:extLst>
        </c:ser>
        <c:ser>
          <c:idx val="30"/>
          <c:order val="30"/>
          <c:tx>
            <c:v>BES_TR2_five649_A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Demand_kW!$AG$2:$AG$49</c:f>
              <c:numCache>
                <c:formatCode>#,##0.000</c:formatCode>
                <c:ptCount val="48"/>
                <c:pt idx="0">
                  <c:v>3.5999999999999997E-2</c:v>
                </c:pt>
                <c:pt idx="1">
                  <c:v>0.152686666666667</c:v>
                </c:pt>
                <c:pt idx="2">
                  <c:v>3.5999999999999997E-2</c:v>
                </c:pt>
                <c:pt idx="3">
                  <c:v>3.5999999999999997E-2</c:v>
                </c:pt>
                <c:pt idx="4">
                  <c:v>0.11184633333333301</c:v>
                </c:pt>
                <c:pt idx="5">
                  <c:v>7.6840333333333399E-2</c:v>
                </c:pt>
                <c:pt idx="6">
                  <c:v>4.7668666666666699E-2</c:v>
                </c:pt>
                <c:pt idx="7">
                  <c:v>0.141018</c:v>
                </c:pt>
                <c:pt idx="8">
                  <c:v>3.5999999999999997E-2</c:v>
                </c:pt>
                <c:pt idx="9">
                  <c:v>0.152686666666667</c:v>
                </c:pt>
                <c:pt idx="10">
                  <c:v>3.5999999999999997E-2</c:v>
                </c:pt>
                <c:pt idx="11">
                  <c:v>0.106012</c:v>
                </c:pt>
                <c:pt idx="12">
                  <c:v>8.2674666666666702E-2</c:v>
                </c:pt>
                <c:pt idx="13">
                  <c:v>7.6840333333333302E-2</c:v>
                </c:pt>
                <c:pt idx="14">
                  <c:v>0.11184633333333301</c:v>
                </c:pt>
                <c:pt idx="15">
                  <c:v>0.19563466666666701</c:v>
                </c:pt>
                <c:pt idx="16">
                  <c:v>0.24732599999999999</c:v>
                </c:pt>
                <c:pt idx="17">
                  <c:v>0.30150066666666703</c:v>
                </c:pt>
                <c:pt idx="18">
                  <c:v>9.4773333333333404E-2</c:v>
                </c:pt>
                <c:pt idx="19">
                  <c:v>0.152686666666667</c:v>
                </c:pt>
                <c:pt idx="20">
                  <c:v>3.5999999999999997E-2</c:v>
                </c:pt>
                <c:pt idx="21">
                  <c:v>1.7484236666666699</c:v>
                </c:pt>
                <c:pt idx="22">
                  <c:v>0.21560099999999999</c:v>
                </c:pt>
                <c:pt idx="23">
                  <c:v>0.28233200000000003</c:v>
                </c:pt>
                <c:pt idx="24">
                  <c:v>0.25899466666666698</c:v>
                </c:pt>
                <c:pt idx="25">
                  <c:v>0.25825399999999998</c:v>
                </c:pt>
                <c:pt idx="26">
                  <c:v>0.35853566666666697</c:v>
                </c:pt>
                <c:pt idx="27">
                  <c:v>0.17738633333333301</c:v>
                </c:pt>
                <c:pt idx="28">
                  <c:v>0.28368966666666701</c:v>
                </c:pt>
                <c:pt idx="29">
                  <c:v>3.5999999999999997E-2</c:v>
                </c:pt>
                <c:pt idx="30">
                  <c:v>3.5999999999999997E-2</c:v>
                </c:pt>
                <c:pt idx="31">
                  <c:v>3.5999999999999997E-2</c:v>
                </c:pt>
                <c:pt idx="32">
                  <c:v>0.152686666666667</c:v>
                </c:pt>
                <c:pt idx="33">
                  <c:v>3.5999999999999997E-2</c:v>
                </c:pt>
                <c:pt idx="34">
                  <c:v>0.18753366666666699</c:v>
                </c:pt>
                <c:pt idx="35">
                  <c:v>6.8232666666666705E-2</c:v>
                </c:pt>
                <c:pt idx="36">
                  <c:v>0.206324333333333</c:v>
                </c:pt>
                <c:pt idx="37">
                  <c:v>0.35774</c:v>
                </c:pt>
                <c:pt idx="38">
                  <c:v>0.26150366666666702</c:v>
                </c:pt>
                <c:pt idx="39">
                  <c:v>0.25305466666666698</c:v>
                </c:pt>
                <c:pt idx="40">
                  <c:v>0.28553533333333297</c:v>
                </c:pt>
                <c:pt idx="41">
                  <c:v>0.36987466666666702</c:v>
                </c:pt>
                <c:pt idx="42">
                  <c:v>0.50274799999999997</c:v>
                </c:pt>
                <c:pt idx="43">
                  <c:v>0.61143766666666699</c:v>
                </c:pt>
                <c:pt idx="44">
                  <c:v>0.216296666666666</c:v>
                </c:pt>
                <c:pt idx="45">
                  <c:v>0.152686666666667</c:v>
                </c:pt>
                <c:pt idx="46">
                  <c:v>3.5999999999999997E-2</c:v>
                </c:pt>
                <c:pt idx="47">
                  <c:v>4.7668666666666699E-2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A1B-4F34-81FA-962F66EDDE5B}"/>
            </c:ext>
          </c:extLst>
        </c:ser>
        <c:ser>
          <c:idx val="31"/>
          <c:order val="31"/>
          <c:tx>
            <c:v>BES_TR2_five663_C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Demand_kW!$AH$2:$AH$49</c:f>
              <c:numCache>
                <c:formatCode>#,##0.000</c:formatCode>
                <c:ptCount val="48"/>
                <c:pt idx="0">
                  <c:v>0.209183333333333</c:v>
                </c:pt>
                <c:pt idx="1">
                  <c:v>0.10343266666666701</c:v>
                </c:pt>
                <c:pt idx="2">
                  <c:v>0.222336333333333</c:v>
                </c:pt>
                <c:pt idx="3">
                  <c:v>0.103127</c:v>
                </c:pt>
                <c:pt idx="4">
                  <c:v>0.15386533333333299</c:v>
                </c:pt>
                <c:pt idx="5">
                  <c:v>0.21646099999999999</c:v>
                </c:pt>
                <c:pt idx="6">
                  <c:v>8.7388333333333304E-2</c:v>
                </c:pt>
                <c:pt idx="7">
                  <c:v>0.18268400000000001</c:v>
                </c:pt>
                <c:pt idx="8">
                  <c:v>5.2999999999999999E-2</c:v>
                </c:pt>
                <c:pt idx="9">
                  <c:v>0.21150266666666701</c:v>
                </c:pt>
                <c:pt idx="10">
                  <c:v>0.164393333333333</c:v>
                </c:pt>
                <c:pt idx="11">
                  <c:v>0.132251333333333</c:v>
                </c:pt>
                <c:pt idx="12">
                  <c:v>0.24364466666666701</c:v>
                </c:pt>
                <c:pt idx="13">
                  <c:v>5.2999999999999999E-2</c:v>
                </c:pt>
                <c:pt idx="14">
                  <c:v>0.20205166666666699</c:v>
                </c:pt>
                <c:pt idx="15">
                  <c:v>0.17384433333333299</c:v>
                </c:pt>
                <c:pt idx="16">
                  <c:v>5.2999999999999999E-2</c:v>
                </c:pt>
                <c:pt idx="17">
                  <c:v>0.44857999999999998</c:v>
                </c:pt>
                <c:pt idx="18">
                  <c:v>0.164393333333333</c:v>
                </c:pt>
                <c:pt idx="19">
                  <c:v>0.125046666666667</c:v>
                </c:pt>
                <c:pt idx="20">
                  <c:v>0.25084933333333298</c:v>
                </c:pt>
                <c:pt idx="21">
                  <c:v>5.2999999999999999E-2</c:v>
                </c:pt>
                <c:pt idx="22">
                  <c:v>0.125405666666667</c:v>
                </c:pt>
                <c:pt idx="23">
                  <c:v>0.25049033333333298</c:v>
                </c:pt>
                <c:pt idx="24">
                  <c:v>5.85696666666667E-2</c:v>
                </c:pt>
                <c:pt idx="25">
                  <c:v>0.158823666666667</c:v>
                </c:pt>
                <c:pt idx="26">
                  <c:v>0.117842</c:v>
                </c:pt>
                <c:pt idx="27">
                  <c:v>0.14666066666666699</c:v>
                </c:pt>
                <c:pt idx="28">
                  <c:v>5.2999999999999999E-2</c:v>
                </c:pt>
                <c:pt idx="29">
                  <c:v>0.29504766666666699</c:v>
                </c:pt>
                <c:pt idx="30">
                  <c:v>8.08483333333333E-2</c:v>
                </c:pt>
                <c:pt idx="31">
                  <c:v>5.2999999999999999E-2</c:v>
                </c:pt>
                <c:pt idx="32">
                  <c:v>0.12580566666666701</c:v>
                </c:pt>
                <c:pt idx="33">
                  <c:v>9.1987666666666607E-2</c:v>
                </c:pt>
                <c:pt idx="34">
                  <c:v>0.25835966666666699</c:v>
                </c:pt>
                <c:pt idx="35">
                  <c:v>0.11753633333333301</c:v>
                </c:pt>
                <c:pt idx="36">
                  <c:v>0.15028966666666699</c:v>
                </c:pt>
                <c:pt idx="37">
                  <c:v>0.22560633333333299</c:v>
                </c:pt>
                <c:pt idx="38">
                  <c:v>0.11766699999999999</c:v>
                </c:pt>
                <c:pt idx="39">
                  <c:v>0.20429800000000001</c:v>
                </c:pt>
                <c:pt idx="40">
                  <c:v>0.171598</c:v>
                </c:pt>
                <c:pt idx="41">
                  <c:v>9.6227999999999994E-2</c:v>
                </c:pt>
                <c:pt idx="42">
                  <c:v>0.16827466666666699</c:v>
                </c:pt>
                <c:pt idx="43">
                  <c:v>5.2999999999999999E-2</c:v>
                </c:pt>
                <c:pt idx="44">
                  <c:v>0.23378133333333301</c:v>
                </c:pt>
                <c:pt idx="45">
                  <c:v>0.142114666666667</c:v>
                </c:pt>
                <c:pt idx="46">
                  <c:v>0.19709333333333301</c:v>
                </c:pt>
                <c:pt idx="47">
                  <c:v>0.178802666666667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A1B-4F34-81FA-962F66EDDE5B}"/>
            </c:ext>
          </c:extLst>
        </c:ser>
        <c:ser>
          <c:idx val="32"/>
          <c:order val="32"/>
          <c:tx>
            <c:v>BES_TR2_five685_B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Demand_kW!$AI$2:$AI$49</c:f>
              <c:numCache>
                <c:formatCode>#,##0.000</c:formatCode>
                <c:ptCount val="48"/>
                <c:pt idx="0">
                  <c:v>0.271893</c:v>
                </c:pt>
                <c:pt idx="1">
                  <c:v>5.1999999999999998E-2</c:v>
                </c:pt>
                <c:pt idx="2">
                  <c:v>0.17924200000000001</c:v>
                </c:pt>
                <c:pt idx="3">
                  <c:v>0.119849333333333</c:v>
                </c:pt>
                <c:pt idx="4">
                  <c:v>0.101466666666667</c:v>
                </c:pt>
                <c:pt idx="5">
                  <c:v>0.20751800000000001</c:v>
                </c:pt>
                <c:pt idx="6">
                  <c:v>9.6519999999999995E-2</c:v>
                </c:pt>
                <c:pt idx="7">
                  <c:v>0.103589</c:v>
                </c:pt>
                <c:pt idx="8">
                  <c:v>0.20044899999999999</c:v>
                </c:pt>
                <c:pt idx="9">
                  <c:v>5.1999999999999998E-2</c:v>
                </c:pt>
                <c:pt idx="10">
                  <c:v>0.184188666666667</c:v>
                </c:pt>
                <c:pt idx="11">
                  <c:v>0.16436933333333301</c:v>
                </c:pt>
                <c:pt idx="12">
                  <c:v>0.12268999999999999</c:v>
                </c:pt>
                <c:pt idx="13">
                  <c:v>0.13682800000000001</c:v>
                </c:pt>
                <c:pt idx="14">
                  <c:v>5.1999999999999998E-2</c:v>
                </c:pt>
                <c:pt idx="15">
                  <c:v>8.0276E-2</c:v>
                </c:pt>
                <c:pt idx="16">
                  <c:v>0.17924200000000001</c:v>
                </c:pt>
                <c:pt idx="17">
                  <c:v>5.1999999999999998E-2</c:v>
                </c:pt>
                <c:pt idx="18">
                  <c:v>5.1999999999999998E-2</c:v>
                </c:pt>
                <c:pt idx="19">
                  <c:v>0.14104</c:v>
                </c:pt>
                <c:pt idx="20">
                  <c:v>0.33206833333333302</c:v>
                </c:pt>
                <c:pt idx="21">
                  <c:v>1.3661540000000001</c:v>
                </c:pt>
                <c:pt idx="22">
                  <c:v>0.333901</c:v>
                </c:pt>
                <c:pt idx="23">
                  <c:v>0.104815933333333</c:v>
                </c:pt>
                <c:pt idx="24">
                  <c:v>0.67362460000000002</c:v>
                </c:pt>
                <c:pt idx="25">
                  <c:v>1.22933</c:v>
                </c:pt>
                <c:pt idx="26">
                  <c:v>0.33641933333333301</c:v>
                </c:pt>
                <c:pt idx="27">
                  <c:v>0.38512666666666701</c:v>
                </c:pt>
                <c:pt idx="28">
                  <c:v>0.22695000000000001</c:v>
                </c:pt>
                <c:pt idx="29">
                  <c:v>0.42037666666666701</c:v>
                </c:pt>
                <c:pt idx="30">
                  <c:v>2.5258416666666701</c:v>
                </c:pt>
                <c:pt idx="31">
                  <c:v>1.3898726666666701</c:v>
                </c:pt>
                <c:pt idx="32">
                  <c:v>2.0774189999999999</c:v>
                </c:pt>
                <c:pt idx="33">
                  <c:v>1.0047429999999999</c:v>
                </c:pt>
                <c:pt idx="34">
                  <c:v>0.793366666666666</c:v>
                </c:pt>
                <c:pt idx="35">
                  <c:v>0.20751800000000001</c:v>
                </c:pt>
                <c:pt idx="36">
                  <c:v>5.1999999999999998E-2</c:v>
                </c:pt>
                <c:pt idx="37">
                  <c:v>0.14104</c:v>
                </c:pt>
                <c:pt idx="38">
                  <c:v>0.15096599999999999</c:v>
                </c:pt>
                <c:pt idx="39">
                  <c:v>0.118445333333333</c:v>
                </c:pt>
                <c:pt idx="40">
                  <c:v>0.13114666666666699</c:v>
                </c:pt>
                <c:pt idx="41">
                  <c:v>0.17924200000000001</c:v>
                </c:pt>
                <c:pt idx="42">
                  <c:v>8.0276E-2</c:v>
                </c:pt>
                <c:pt idx="43">
                  <c:v>0.77243666666666699</c:v>
                </c:pt>
                <c:pt idx="44">
                  <c:v>0.29655799999999999</c:v>
                </c:pt>
                <c:pt idx="45">
                  <c:v>5.6946666666666701E-2</c:v>
                </c:pt>
                <c:pt idx="46">
                  <c:v>0.192645333333333</c:v>
                </c:pt>
                <c:pt idx="47">
                  <c:v>0.15096599999999999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A1B-4F34-81FA-962F66EDDE5B}"/>
            </c:ext>
          </c:extLst>
        </c:ser>
        <c:ser>
          <c:idx val="33"/>
          <c:order val="33"/>
          <c:tx>
            <c:v>BES_TR2_five695_A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Demand_kW!$AJ$2:$AJ$49</c:f>
              <c:numCache>
                <c:formatCode>#,##0.000</c:formatCode>
                <c:ptCount val="48"/>
                <c:pt idx="0">
                  <c:v>0.157516666666667</c:v>
                </c:pt>
                <c:pt idx="1">
                  <c:v>4.9000000000000002E-2</c:v>
                </c:pt>
                <c:pt idx="2">
                  <c:v>0.22476633333333301</c:v>
                </c:pt>
                <c:pt idx="3">
                  <c:v>8.0916666666666595E-2</c:v>
                </c:pt>
                <c:pt idx="4">
                  <c:v>0.17369799999999999</c:v>
                </c:pt>
                <c:pt idx="5">
                  <c:v>0.13198333333333301</c:v>
                </c:pt>
                <c:pt idx="6">
                  <c:v>0.116248</c:v>
                </c:pt>
                <c:pt idx="7">
                  <c:v>0.18943333333333301</c:v>
                </c:pt>
                <c:pt idx="8">
                  <c:v>4.9000000000000002E-2</c:v>
                </c:pt>
                <c:pt idx="9">
                  <c:v>4.9000000000000002E-2</c:v>
                </c:pt>
                <c:pt idx="10">
                  <c:v>0.25668733333333299</c:v>
                </c:pt>
                <c:pt idx="11">
                  <c:v>4.9000000000000002E-2</c:v>
                </c:pt>
                <c:pt idx="12">
                  <c:v>0.157516666666667</c:v>
                </c:pt>
                <c:pt idx="13">
                  <c:v>0.26087666666666698</c:v>
                </c:pt>
                <c:pt idx="14">
                  <c:v>0.22897366666666699</c:v>
                </c:pt>
                <c:pt idx="15">
                  <c:v>0.15629673333333299</c:v>
                </c:pt>
                <c:pt idx="16">
                  <c:v>7.4141399999999996E-2</c:v>
                </c:pt>
                <c:pt idx="17">
                  <c:v>0.224024</c:v>
                </c:pt>
                <c:pt idx="18">
                  <c:v>0.171043633333333</c:v>
                </c:pt>
                <c:pt idx="19">
                  <c:v>0.13709253333333299</c:v>
                </c:pt>
                <c:pt idx="20">
                  <c:v>1.2344241</c:v>
                </c:pt>
                <c:pt idx="21">
                  <c:v>0.56330800000000003</c:v>
                </c:pt>
                <c:pt idx="22">
                  <c:v>0.154</c:v>
                </c:pt>
                <c:pt idx="23">
                  <c:v>0.31699866666666698</c:v>
                </c:pt>
                <c:pt idx="24">
                  <c:v>0.33289233333333301</c:v>
                </c:pt>
                <c:pt idx="25">
                  <c:v>0.14633733333333299</c:v>
                </c:pt>
                <c:pt idx="26">
                  <c:v>0.24921399999999999</c:v>
                </c:pt>
                <c:pt idx="27">
                  <c:v>7.1415999999999993E-2</c:v>
                </c:pt>
                <c:pt idx="28">
                  <c:v>9.3831999999999999E-2</c:v>
                </c:pt>
                <c:pt idx="29">
                  <c:v>0.18943333333333301</c:v>
                </c:pt>
                <c:pt idx="30">
                  <c:v>0.116248</c:v>
                </c:pt>
                <c:pt idx="31">
                  <c:v>0.23004040000000001</c:v>
                </c:pt>
                <c:pt idx="32">
                  <c:v>0.12790799999999999</c:v>
                </c:pt>
                <c:pt idx="33">
                  <c:v>5.0999999999999997E-2</c:v>
                </c:pt>
                <c:pt idx="34">
                  <c:v>0.30900333333333302</c:v>
                </c:pt>
                <c:pt idx="35">
                  <c:v>0.371103666666666</c:v>
                </c:pt>
                <c:pt idx="36">
                  <c:v>0.30718899999999999</c:v>
                </c:pt>
                <c:pt idx="37">
                  <c:v>9.6949333333333304E-2</c:v>
                </c:pt>
                <c:pt idx="38">
                  <c:v>0.178258</c:v>
                </c:pt>
                <c:pt idx="39">
                  <c:v>1.8632773333333299</c:v>
                </c:pt>
                <c:pt idx="40">
                  <c:v>0.54219666666666699</c:v>
                </c:pt>
                <c:pt idx="41">
                  <c:v>0.23092833333333301</c:v>
                </c:pt>
                <c:pt idx="42">
                  <c:v>0.32948499999999997</c:v>
                </c:pt>
                <c:pt idx="43">
                  <c:v>0.28073599999999999</c:v>
                </c:pt>
                <c:pt idx="44">
                  <c:v>0.30658933333333299</c:v>
                </c:pt>
                <c:pt idx="45">
                  <c:v>0.42267700000000002</c:v>
                </c:pt>
                <c:pt idx="46">
                  <c:v>0.85711333333333295</c:v>
                </c:pt>
                <c:pt idx="47">
                  <c:v>0.74342799999999998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A1B-4F34-81FA-962F66EDDE5B}"/>
            </c:ext>
          </c:extLst>
        </c:ser>
        <c:ser>
          <c:idx val="34"/>
          <c:order val="34"/>
          <c:tx>
            <c:v>BES_TR2_five704_A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Demand_kW!$AK$2:$AK$49</c:f>
              <c:numCache>
                <c:formatCode>#,##0.000</c:formatCode>
                <c:ptCount val="48"/>
                <c:pt idx="0">
                  <c:v>0.70850900000000006</c:v>
                </c:pt>
                <c:pt idx="1">
                  <c:v>0.85611833333333298</c:v>
                </c:pt>
                <c:pt idx="2">
                  <c:v>0.67911666666666703</c:v>
                </c:pt>
                <c:pt idx="3">
                  <c:v>0.44452766666666699</c:v>
                </c:pt>
                <c:pt idx="4">
                  <c:v>0.50465166666666705</c:v>
                </c:pt>
                <c:pt idx="5">
                  <c:v>0.50461533333333297</c:v>
                </c:pt>
                <c:pt idx="6">
                  <c:v>0.45461133333333298</c:v>
                </c:pt>
                <c:pt idx="7">
                  <c:v>5.2999999999999999E-2</c:v>
                </c:pt>
                <c:pt idx="8">
                  <c:v>0.103047</c:v>
                </c:pt>
                <c:pt idx="9">
                  <c:v>0.37022500000000003</c:v>
                </c:pt>
                <c:pt idx="10">
                  <c:v>7.0627999999999996E-2</c:v>
                </c:pt>
                <c:pt idx="11">
                  <c:v>0.14617133333333299</c:v>
                </c:pt>
                <c:pt idx="12">
                  <c:v>0.220578</c:v>
                </c:pt>
                <c:pt idx="13">
                  <c:v>0.141894666666667</c:v>
                </c:pt>
                <c:pt idx="14">
                  <c:v>0.24248266666666701</c:v>
                </c:pt>
                <c:pt idx="15">
                  <c:v>7.7243999999999993E-2</c:v>
                </c:pt>
                <c:pt idx="16">
                  <c:v>0.29859933333333299</c:v>
                </c:pt>
                <c:pt idx="17">
                  <c:v>0.332357333333333</c:v>
                </c:pt>
                <c:pt idx="18">
                  <c:v>0.21902706666666699</c:v>
                </c:pt>
                <c:pt idx="19">
                  <c:v>0.23608066666666699</c:v>
                </c:pt>
                <c:pt idx="20">
                  <c:v>1.31003266666667</c:v>
                </c:pt>
                <c:pt idx="21">
                  <c:v>0.17627366666666699</c:v>
                </c:pt>
                <c:pt idx="22">
                  <c:v>1.1441686666666699</c:v>
                </c:pt>
                <c:pt idx="23">
                  <c:v>1.6590986666666701</c:v>
                </c:pt>
                <c:pt idx="24">
                  <c:v>2.9719133333333301</c:v>
                </c:pt>
                <c:pt idx="25">
                  <c:v>2.5166406666666701</c:v>
                </c:pt>
                <c:pt idx="26">
                  <c:v>0.38865033333333299</c:v>
                </c:pt>
                <c:pt idx="27">
                  <c:v>0.45312533333333299</c:v>
                </c:pt>
                <c:pt idx="28">
                  <c:v>1.1196763333333299</c:v>
                </c:pt>
                <c:pt idx="29">
                  <c:v>1.8655600000000001</c:v>
                </c:pt>
                <c:pt idx="30">
                  <c:v>0.70429133333333405</c:v>
                </c:pt>
                <c:pt idx="31">
                  <c:v>0.86190199999999995</c:v>
                </c:pt>
                <c:pt idx="32">
                  <c:v>0.421920666666667</c:v>
                </c:pt>
                <c:pt idx="33">
                  <c:v>0.120975</c:v>
                </c:pt>
                <c:pt idx="34">
                  <c:v>0.33443366666666702</c:v>
                </c:pt>
                <c:pt idx="35">
                  <c:v>0.53498699999999999</c:v>
                </c:pt>
                <c:pt idx="36">
                  <c:v>0.288578</c:v>
                </c:pt>
                <c:pt idx="37">
                  <c:v>0.405355666666667</c:v>
                </c:pt>
                <c:pt idx="38">
                  <c:v>1.8024516666666699</c:v>
                </c:pt>
                <c:pt idx="39">
                  <c:v>1.428674</c:v>
                </c:pt>
                <c:pt idx="40">
                  <c:v>0.61833499999999997</c:v>
                </c:pt>
                <c:pt idx="41">
                  <c:v>0.93475699999999995</c:v>
                </c:pt>
                <c:pt idx="42">
                  <c:v>0.74340700000000004</c:v>
                </c:pt>
                <c:pt idx="43">
                  <c:v>1.0701816666666699</c:v>
                </c:pt>
                <c:pt idx="44">
                  <c:v>1.0687056666666701</c:v>
                </c:pt>
                <c:pt idx="45">
                  <c:v>1.0089366666666699</c:v>
                </c:pt>
                <c:pt idx="46">
                  <c:v>0.92588066666666702</c:v>
                </c:pt>
                <c:pt idx="47">
                  <c:v>0.93216066666666697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A1B-4F34-81FA-962F66EDDE5B}"/>
            </c:ext>
          </c:extLst>
        </c:ser>
        <c:ser>
          <c:idx val="35"/>
          <c:order val="35"/>
          <c:tx>
            <c:v>BES_TR2_five733_C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Demand_kW!$AL$2:$AL$49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5.1999999999999998E-2</c:v>
                </c:pt>
                <c:pt idx="8">
                  <c:v>5.1999999999999998E-2</c:v>
                </c:pt>
                <c:pt idx="9">
                  <c:v>5.1999999999999998E-2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5.1999999999999998E-2</c:v>
                </c:pt>
                <c:pt idx="13">
                  <c:v>5.1999999999999998E-2</c:v>
                </c:pt>
                <c:pt idx="14">
                  <c:v>5.1999999999999998E-2</c:v>
                </c:pt>
                <c:pt idx="15">
                  <c:v>5.1999999999999998E-2</c:v>
                </c:pt>
                <c:pt idx="16">
                  <c:v>5.1999999999999998E-2</c:v>
                </c:pt>
                <c:pt idx="17">
                  <c:v>5.1999999999999998E-2</c:v>
                </c:pt>
                <c:pt idx="18">
                  <c:v>5.1999999999999998E-2</c:v>
                </c:pt>
                <c:pt idx="19">
                  <c:v>5.1999999999999998E-2</c:v>
                </c:pt>
                <c:pt idx="20">
                  <c:v>5.1999999999999998E-2</c:v>
                </c:pt>
                <c:pt idx="21">
                  <c:v>5.1999999999999998E-2</c:v>
                </c:pt>
                <c:pt idx="22">
                  <c:v>5.1999999999999998E-2</c:v>
                </c:pt>
                <c:pt idx="23">
                  <c:v>5.1999999999999998E-2</c:v>
                </c:pt>
                <c:pt idx="24">
                  <c:v>5.1999999999999998E-2</c:v>
                </c:pt>
                <c:pt idx="25">
                  <c:v>5.1999999999999998E-2</c:v>
                </c:pt>
                <c:pt idx="26">
                  <c:v>5.1999999999999998E-2</c:v>
                </c:pt>
                <c:pt idx="27">
                  <c:v>5.1999999999999998E-2</c:v>
                </c:pt>
                <c:pt idx="28">
                  <c:v>5.1999999999999998E-2</c:v>
                </c:pt>
                <c:pt idx="29">
                  <c:v>5.1999999999999998E-2</c:v>
                </c:pt>
                <c:pt idx="30">
                  <c:v>5.1999999999999998E-2</c:v>
                </c:pt>
                <c:pt idx="31">
                  <c:v>5.1999999999999998E-2</c:v>
                </c:pt>
                <c:pt idx="32">
                  <c:v>5.1999999999999998E-2</c:v>
                </c:pt>
                <c:pt idx="33">
                  <c:v>5.1999999999999998E-2</c:v>
                </c:pt>
                <c:pt idx="34">
                  <c:v>5.1999999999999998E-2</c:v>
                </c:pt>
                <c:pt idx="35">
                  <c:v>5.1999999999999998E-2</c:v>
                </c:pt>
                <c:pt idx="36">
                  <c:v>5.1999999999999998E-2</c:v>
                </c:pt>
                <c:pt idx="37">
                  <c:v>5.1999999999999998E-2</c:v>
                </c:pt>
                <c:pt idx="38">
                  <c:v>5.1999999999999998E-2</c:v>
                </c:pt>
                <c:pt idx="39">
                  <c:v>5.1999999999999998E-2</c:v>
                </c:pt>
                <c:pt idx="40">
                  <c:v>5.1999999999999998E-2</c:v>
                </c:pt>
                <c:pt idx="41">
                  <c:v>5.1999999999999998E-2</c:v>
                </c:pt>
                <c:pt idx="42">
                  <c:v>5.1999999999999998E-2</c:v>
                </c:pt>
                <c:pt idx="43">
                  <c:v>0.222014666666667</c:v>
                </c:pt>
                <c:pt idx="44">
                  <c:v>0.42647400000000002</c:v>
                </c:pt>
                <c:pt idx="45">
                  <c:v>0.56059999999999999</c:v>
                </c:pt>
                <c:pt idx="46">
                  <c:v>0.51596366666666704</c:v>
                </c:pt>
                <c:pt idx="47">
                  <c:v>0.15925300000000001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A1B-4F34-81FA-962F66EDDE5B}"/>
            </c:ext>
          </c:extLst>
        </c:ser>
        <c:ser>
          <c:idx val="36"/>
          <c:order val="36"/>
          <c:tx>
            <c:v>BES_TR2_five117_B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Demand_kW!$AM$2:$AM$49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0.22719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0.22719</c:v>
                </c:pt>
                <c:pt idx="5">
                  <c:v>4.8000000000000001E-2</c:v>
                </c:pt>
                <c:pt idx="6">
                  <c:v>0.15388499999999999</c:v>
                </c:pt>
                <c:pt idx="7">
                  <c:v>0.121305</c:v>
                </c:pt>
                <c:pt idx="8">
                  <c:v>4.8000000000000001E-2</c:v>
                </c:pt>
                <c:pt idx="9">
                  <c:v>0.22719</c:v>
                </c:pt>
                <c:pt idx="10">
                  <c:v>4.8000000000000001E-2</c:v>
                </c:pt>
                <c:pt idx="11">
                  <c:v>0.22719</c:v>
                </c:pt>
                <c:pt idx="12">
                  <c:v>4.8000000000000001E-2</c:v>
                </c:pt>
                <c:pt idx="13">
                  <c:v>9.6869999999999998E-2</c:v>
                </c:pt>
                <c:pt idx="14">
                  <c:v>0.17832000000000001</c:v>
                </c:pt>
                <c:pt idx="15">
                  <c:v>4.8000000000000001E-2</c:v>
                </c:pt>
                <c:pt idx="16">
                  <c:v>4.8000000000000001E-2</c:v>
                </c:pt>
                <c:pt idx="17">
                  <c:v>4.8000000000000001E-2</c:v>
                </c:pt>
                <c:pt idx="18">
                  <c:v>0.22719</c:v>
                </c:pt>
                <c:pt idx="19">
                  <c:v>4.8000000000000001E-2</c:v>
                </c:pt>
                <c:pt idx="20">
                  <c:v>1.02115</c:v>
                </c:pt>
                <c:pt idx="21">
                  <c:v>9.6869999999999998E-2</c:v>
                </c:pt>
                <c:pt idx="22">
                  <c:v>6.429E-2</c:v>
                </c:pt>
                <c:pt idx="23">
                  <c:v>0.2109</c:v>
                </c:pt>
                <c:pt idx="24">
                  <c:v>4.8000000000000001E-2</c:v>
                </c:pt>
                <c:pt idx="25">
                  <c:v>0.22719</c:v>
                </c:pt>
                <c:pt idx="26">
                  <c:v>4.8000000000000001E-2</c:v>
                </c:pt>
                <c:pt idx="27">
                  <c:v>4.8000000000000001E-2</c:v>
                </c:pt>
                <c:pt idx="28">
                  <c:v>0.327710733333333</c:v>
                </c:pt>
                <c:pt idx="29">
                  <c:v>0.19726199999999999</c:v>
                </c:pt>
                <c:pt idx="30">
                  <c:v>0.15093733333333301</c:v>
                </c:pt>
                <c:pt idx="31">
                  <c:v>0.2423932</c:v>
                </c:pt>
                <c:pt idx="32">
                  <c:v>6.4218999999999998E-2</c:v>
                </c:pt>
                <c:pt idx="33">
                  <c:v>8.5090166666666703E-2</c:v>
                </c:pt>
                <c:pt idx="34">
                  <c:v>0.27871166666666702</c:v>
                </c:pt>
                <c:pt idx="35">
                  <c:v>0.303760266666667</c:v>
                </c:pt>
                <c:pt idx="36">
                  <c:v>5.8378666666666697E-2</c:v>
                </c:pt>
                <c:pt idx="37">
                  <c:v>0.14535473333333301</c:v>
                </c:pt>
                <c:pt idx="38">
                  <c:v>6.429E-2</c:v>
                </c:pt>
                <c:pt idx="39">
                  <c:v>0.27163890000000002</c:v>
                </c:pt>
                <c:pt idx="40">
                  <c:v>8.0181266666666598E-2</c:v>
                </c:pt>
                <c:pt idx="41">
                  <c:v>0.28852333333333302</c:v>
                </c:pt>
                <c:pt idx="42">
                  <c:v>0.248978</c:v>
                </c:pt>
                <c:pt idx="43">
                  <c:v>0.433916366666667</c:v>
                </c:pt>
                <c:pt idx="44">
                  <c:v>1.4475023333333299</c:v>
                </c:pt>
                <c:pt idx="45">
                  <c:v>0.59286133333333402</c:v>
                </c:pt>
                <c:pt idx="46">
                  <c:v>0.22334899999999999</c:v>
                </c:pt>
                <c:pt idx="47">
                  <c:v>0.16203000000000001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A1B-4F34-81FA-962F66EDDE5B}"/>
            </c:ext>
          </c:extLst>
        </c:ser>
        <c:ser>
          <c:idx val="37"/>
          <c:order val="37"/>
          <c:tx>
            <c:v>BES_TR2_five778_B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Demand_kW!$AN$2:$AN$49</c:f>
              <c:numCache>
                <c:formatCode>#,##0.000</c:formatCode>
                <c:ptCount val="48"/>
                <c:pt idx="0">
                  <c:v>0.21375733333333299</c:v>
                </c:pt>
                <c:pt idx="1">
                  <c:v>4.5999999999999999E-2</c:v>
                </c:pt>
                <c:pt idx="2">
                  <c:v>0.183256</c:v>
                </c:pt>
                <c:pt idx="3">
                  <c:v>7.6501333333333296E-2</c:v>
                </c:pt>
                <c:pt idx="4">
                  <c:v>0.11462799999999999</c:v>
                </c:pt>
                <c:pt idx="5">
                  <c:v>0.145129333333333</c:v>
                </c:pt>
                <c:pt idx="6">
                  <c:v>4.5999999999999999E-2</c:v>
                </c:pt>
                <c:pt idx="7">
                  <c:v>0.21375733333333299</c:v>
                </c:pt>
                <c:pt idx="8">
                  <c:v>4.5999999999999999E-2</c:v>
                </c:pt>
                <c:pt idx="9">
                  <c:v>0.16037999999999999</c:v>
                </c:pt>
                <c:pt idx="10">
                  <c:v>9.9377333333333207E-2</c:v>
                </c:pt>
                <c:pt idx="11">
                  <c:v>4.5999999999999999E-2</c:v>
                </c:pt>
                <c:pt idx="12">
                  <c:v>4.5999999999999999E-2</c:v>
                </c:pt>
                <c:pt idx="13">
                  <c:v>0.13750399999999999</c:v>
                </c:pt>
                <c:pt idx="14">
                  <c:v>0.26073966666666698</c:v>
                </c:pt>
                <c:pt idx="15">
                  <c:v>7.0680000000000007E-2</c:v>
                </c:pt>
                <c:pt idx="16">
                  <c:v>0.216798666666667</c:v>
                </c:pt>
                <c:pt idx="17">
                  <c:v>0.381533333333333</c:v>
                </c:pt>
                <c:pt idx="18">
                  <c:v>0.11462799999999999</c:v>
                </c:pt>
                <c:pt idx="19">
                  <c:v>2.0723066666666701</c:v>
                </c:pt>
                <c:pt idx="20">
                  <c:v>0.60986320000000105</c:v>
                </c:pt>
                <c:pt idx="21">
                  <c:v>0.20303733333333299</c:v>
                </c:pt>
                <c:pt idx="22">
                  <c:v>8.6149600000000007E-2</c:v>
                </c:pt>
                <c:pt idx="23">
                  <c:v>0.13750399999999999</c:v>
                </c:pt>
                <c:pt idx="24">
                  <c:v>0.12225333333333301</c:v>
                </c:pt>
                <c:pt idx="25">
                  <c:v>4.5999999999999999E-2</c:v>
                </c:pt>
                <c:pt idx="26">
                  <c:v>0.19088133333333299</c:v>
                </c:pt>
                <c:pt idx="27">
                  <c:v>1.1295786666666701</c:v>
                </c:pt>
                <c:pt idx="28">
                  <c:v>0.206726466666667</c:v>
                </c:pt>
                <c:pt idx="29">
                  <c:v>0.327891933333333</c:v>
                </c:pt>
                <c:pt idx="30">
                  <c:v>0.10789133333333301</c:v>
                </c:pt>
                <c:pt idx="31">
                  <c:v>0.14866596666666701</c:v>
                </c:pt>
                <c:pt idx="32">
                  <c:v>0.37601433333333301</c:v>
                </c:pt>
                <c:pt idx="33">
                  <c:v>0.296619666666667</c:v>
                </c:pt>
                <c:pt idx="34">
                  <c:v>0.30601133333333302</c:v>
                </c:pt>
                <c:pt idx="35">
                  <c:v>0.1231288</c:v>
                </c:pt>
                <c:pt idx="36">
                  <c:v>0.123611866666667</c:v>
                </c:pt>
                <c:pt idx="37">
                  <c:v>4.5999999999999999E-2</c:v>
                </c:pt>
                <c:pt idx="38">
                  <c:v>4.5999999999999999E-2</c:v>
                </c:pt>
                <c:pt idx="39">
                  <c:v>4.5999999999999999E-2</c:v>
                </c:pt>
                <c:pt idx="40">
                  <c:v>0.21375733333333299</c:v>
                </c:pt>
                <c:pt idx="41">
                  <c:v>4.5999999999999999E-2</c:v>
                </c:pt>
                <c:pt idx="42">
                  <c:v>0.145129333333333</c:v>
                </c:pt>
                <c:pt idx="43">
                  <c:v>0.11462799999999999</c:v>
                </c:pt>
                <c:pt idx="44">
                  <c:v>4.5999999999999999E-2</c:v>
                </c:pt>
                <c:pt idx="45">
                  <c:v>4.5999999999999999E-2</c:v>
                </c:pt>
                <c:pt idx="46">
                  <c:v>0.19236420000000001</c:v>
                </c:pt>
                <c:pt idx="47">
                  <c:v>0.725223333333333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A1B-4F34-81FA-962F66EDDE5B}"/>
            </c:ext>
          </c:extLst>
        </c:ser>
        <c:ser>
          <c:idx val="38"/>
          <c:order val="38"/>
          <c:tx>
            <c:v>BES_TR2_five799_C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Demand_kW!$AO$2:$AO$49</c:f>
              <c:numCache>
                <c:formatCode>#,##0.000</c:formatCode>
                <c:ptCount val="48"/>
                <c:pt idx="0">
                  <c:v>0.85998733333333299</c:v>
                </c:pt>
                <c:pt idx="1">
                  <c:v>0.63928300000000005</c:v>
                </c:pt>
                <c:pt idx="2">
                  <c:v>0.38714166666666699</c:v>
                </c:pt>
                <c:pt idx="3">
                  <c:v>0.191924333333333</c:v>
                </c:pt>
                <c:pt idx="4">
                  <c:v>0.17951900000000001</c:v>
                </c:pt>
                <c:pt idx="5">
                  <c:v>6.3834333333333299E-2</c:v>
                </c:pt>
                <c:pt idx="6">
                  <c:v>0.18871033333333301</c:v>
                </c:pt>
                <c:pt idx="7">
                  <c:v>9.8269999999999996E-2</c:v>
                </c:pt>
                <c:pt idx="8">
                  <c:v>0.27960166666666703</c:v>
                </c:pt>
                <c:pt idx="9">
                  <c:v>4.7E-2</c:v>
                </c:pt>
                <c:pt idx="10">
                  <c:v>0.13362399999999999</c:v>
                </c:pt>
                <c:pt idx="11">
                  <c:v>0.24425133333333299</c:v>
                </c:pt>
                <c:pt idx="12">
                  <c:v>7.9140000000000002E-2</c:v>
                </c:pt>
                <c:pt idx="13">
                  <c:v>0.19234200000000001</c:v>
                </c:pt>
                <c:pt idx="14">
                  <c:v>0.166245333333333</c:v>
                </c:pt>
                <c:pt idx="15">
                  <c:v>0.143266</c:v>
                </c:pt>
                <c:pt idx="16">
                  <c:v>0.22181600000000001</c:v>
                </c:pt>
                <c:pt idx="17">
                  <c:v>0.193538666666667</c:v>
                </c:pt>
                <c:pt idx="18">
                  <c:v>0.203594466666667</c:v>
                </c:pt>
                <c:pt idx="19">
                  <c:v>0.21037373333333301</c:v>
                </c:pt>
                <c:pt idx="20">
                  <c:v>0.12792493333333299</c:v>
                </c:pt>
                <c:pt idx="21">
                  <c:v>0.21856200000000001</c:v>
                </c:pt>
                <c:pt idx="22">
                  <c:v>0.17048033333333301</c:v>
                </c:pt>
                <c:pt idx="23">
                  <c:v>5.0723999999999998E-2</c:v>
                </c:pt>
                <c:pt idx="24">
                  <c:v>0.308748666666667</c:v>
                </c:pt>
                <c:pt idx="25">
                  <c:v>0.25542316666666698</c:v>
                </c:pt>
                <c:pt idx="26">
                  <c:v>0.238875266666667</c:v>
                </c:pt>
                <c:pt idx="27">
                  <c:v>0.50852066666666695</c:v>
                </c:pt>
                <c:pt idx="28">
                  <c:v>0.13832533333333299</c:v>
                </c:pt>
                <c:pt idx="29">
                  <c:v>6.3070000000000001E-2</c:v>
                </c:pt>
                <c:pt idx="30">
                  <c:v>0.187569333333333</c:v>
                </c:pt>
                <c:pt idx="31">
                  <c:v>0.138878</c:v>
                </c:pt>
                <c:pt idx="32">
                  <c:v>9.8423999999999998E-2</c:v>
                </c:pt>
                <c:pt idx="33">
                  <c:v>5.8393333333333297E-2</c:v>
                </c:pt>
                <c:pt idx="34">
                  <c:v>0.29783933333333301</c:v>
                </c:pt>
                <c:pt idx="35">
                  <c:v>0.15562999999999999</c:v>
                </c:pt>
                <c:pt idx="36">
                  <c:v>0.41613866666666699</c:v>
                </c:pt>
                <c:pt idx="37">
                  <c:v>0.25021606666666701</c:v>
                </c:pt>
                <c:pt idx="38">
                  <c:v>0.29599799999999998</c:v>
                </c:pt>
                <c:pt idx="39">
                  <c:v>0.49878466666666699</c:v>
                </c:pt>
                <c:pt idx="40">
                  <c:v>0.457828333333333</c:v>
                </c:pt>
                <c:pt idx="41">
                  <c:v>0.53724566666666695</c:v>
                </c:pt>
                <c:pt idx="42">
                  <c:v>0.60222600000000004</c:v>
                </c:pt>
                <c:pt idx="43">
                  <c:v>0.46479633333333398</c:v>
                </c:pt>
                <c:pt idx="44">
                  <c:v>5.9855999999999999E-2</c:v>
                </c:pt>
                <c:pt idx="45">
                  <c:v>0.110837333333333</c:v>
                </c:pt>
                <c:pt idx="46">
                  <c:v>0.267038</c:v>
                </c:pt>
                <c:pt idx="47">
                  <c:v>6.3070000000000001E-2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A1B-4F34-81FA-962F66EDDE5B}"/>
            </c:ext>
          </c:extLst>
        </c:ser>
        <c:ser>
          <c:idx val="39"/>
          <c:order val="39"/>
          <c:tx>
            <c:v>BES_TR2_five801_C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Demand_kW!$AP$2:$AP$49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0.12088400000000001</c:v>
                </c:pt>
                <c:pt idx="2">
                  <c:v>5.2999999999999999E-2</c:v>
                </c:pt>
                <c:pt idx="3">
                  <c:v>8.3170666666666698E-2</c:v>
                </c:pt>
                <c:pt idx="4">
                  <c:v>9.0713333333333299E-2</c:v>
                </c:pt>
                <c:pt idx="5">
                  <c:v>5.2999999999999999E-2</c:v>
                </c:pt>
                <c:pt idx="6">
                  <c:v>0.12088400000000001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9.0713333333333299E-2</c:v>
                </c:pt>
                <c:pt idx="10">
                  <c:v>8.3170666666666601E-2</c:v>
                </c:pt>
                <c:pt idx="11">
                  <c:v>0.16966999999999999</c:v>
                </c:pt>
                <c:pt idx="12">
                  <c:v>0.33398033333333299</c:v>
                </c:pt>
                <c:pt idx="13">
                  <c:v>0.12088400000000001</c:v>
                </c:pt>
                <c:pt idx="14">
                  <c:v>5.2999999999999999E-2</c:v>
                </c:pt>
                <c:pt idx="15">
                  <c:v>8.6942000000000005E-2</c:v>
                </c:pt>
                <c:pt idx="16">
                  <c:v>0.27016200000000001</c:v>
                </c:pt>
                <c:pt idx="17">
                  <c:v>0.26051999999999997</c:v>
                </c:pt>
                <c:pt idx="18">
                  <c:v>0.42158833333333301</c:v>
                </c:pt>
                <c:pt idx="19">
                  <c:v>0.25036000000000003</c:v>
                </c:pt>
                <c:pt idx="20">
                  <c:v>0.32934733333333399</c:v>
                </c:pt>
                <c:pt idx="21">
                  <c:v>6.4313999999999996E-2</c:v>
                </c:pt>
                <c:pt idx="22">
                  <c:v>6.8085333333333303E-2</c:v>
                </c:pt>
                <c:pt idx="23">
                  <c:v>0.105798666666667</c:v>
                </c:pt>
                <c:pt idx="24">
                  <c:v>0.333372</c:v>
                </c:pt>
                <c:pt idx="25">
                  <c:v>8.3170666666666601E-2</c:v>
                </c:pt>
                <c:pt idx="26">
                  <c:v>5.2999999999999999E-2</c:v>
                </c:pt>
                <c:pt idx="27">
                  <c:v>0.12088400000000001</c:v>
                </c:pt>
                <c:pt idx="28">
                  <c:v>6.4313999999999996E-2</c:v>
                </c:pt>
                <c:pt idx="29">
                  <c:v>0.10957</c:v>
                </c:pt>
                <c:pt idx="30">
                  <c:v>7.5628000000000001E-2</c:v>
                </c:pt>
                <c:pt idx="31">
                  <c:v>9.8255999999999996E-2</c:v>
                </c:pt>
                <c:pt idx="32">
                  <c:v>5.2999999999999999E-2</c:v>
                </c:pt>
                <c:pt idx="33">
                  <c:v>5.2999999999999999E-2</c:v>
                </c:pt>
                <c:pt idx="34">
                  <c:v>9.4484666666666703E-2</c:v>
                </c:pt>
                <c:pt idx="35">
                  <c:v>7.9399333333333294E-2</c:v>
                </c:pt>
                <c:pt idx="36">
                  <c:v>0.15501466666666699</c:v>
                </c:pt>
                <c:pt idx="37">
                  <c:v>0.35222900000000001</c:v>
                </c:pt>
                <c:pt idx="38">
                  <c:v>8.3342666666666704E-2</c:v>
                </c:pt>
                <c:pt idx="39">
                  <c:v>0.45383200000000001</c:v>
                </c:pt>
                <c:pt idx="40">
                  <c:v>0.78062200000000004</c:v>
                </c:pt>
                <c:pt idx="41">
                  <c:v>0.71694400000000003</c:v>
                </c:pt>
                <c:pt idx="42">
                  <c:v>0.51738099999999998</c:v>
                </c:pt>
                <c:pt idx="43">
                  <c:v>0.61869700000000005</c:v>
                </c:pt>
                <c:pt idx="44">
                  <c:v>0.81846533333333304</c:v>
                </c:pt>
                <c:pt idx="45">
                  <c:v>0.73734866666666699</c:v>
                </c:pt>
                <c:pt idx="46">
                  <c:v>0.702193333333333</c:v>
                </c:pt>
                <c:pt idx="47">
                  <c:v>0.32139466666666699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A1B-4F34-81FA-962F66EDDE5B}"/>
            </c:ext>
          </c:extLst>
        </c:ser>
        <c:ser>
          <c:idx val="40"/>
          <c:order val="40"/>
          <c:tx>
            <c:v>BES_TR2_five831_C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Demand_kW!$AQ$2:$AQ$49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5.8000000000000003E-2</c:v>
                </c:pt>
                <c:pt idx="2">
                  <c:v>0.16072500000000001</c:v>
                </c:pt>
                <c:pt idx="3">
                  <c:v>0.105938333333333</c:v>
                </c:pt>
                <c:pt idx="4">
                  <c:v>9.2241666666666694E-2</c:v>
                </c:pt>
                <c:pt idx="5">
                  <c:v>0.174421666666667</c:v>
                </c:pt>
                <c:pt idx="6">
                  <c:v>5.8000000000000003E-2</c:v>
                </c:pt>
                <c:pt idx="7">
                  <c:v>0.20181499999999999</c:v>
                </c:pt>
                <c:pt idx="8">
                  <c:v>6.4848333333333397E-2</c:v>
                </c:pt>
                <c:pt idx="9">
                  <c:v>0.14702833333333301</c:v>
                </c:pt>
                <c:pt idx="10">
                  <c:v>0.11963500000000001</c:v>
                </c:pt>
                <c:pt idx="11">
                  <c:v>5.8000000000000003E-2</c:v>
                </c:pt>
                <c:pt idx="12">
                  <c:v>0.13333166666666699</c:v>
                </c:pt>
                <c:pt idx="13">
                  <c:v>0.13333166666666699</c:v>
                </c:pt>
                <c:pt idx="14">
                  <c:v>5.8000000000000003E-2</c:v>
                </c:pt>
                <c:pt idx="15">
                  <c:v>0.174421666666667</c:v>
                </c:pt>
                <c:pt idx="16">
                  <c:v>9.2241666666666597E-2</c:v>
                </c:pt>
                <c:pt idx="17">
                  <c:v>5.8000000000000003E-2</c:v>
                </c:pt>
                <c:pt idx="18">
                  <c:v>0.20866333333333301</c:v>
                </c:pt>
                <c:pt idx="19">
                  <c:v>0.21133866666666701</c:v>
                </c:pt>
                <c:pt idx="20">
                  <c:v>0.366759</c:v>
                </c:pt>
                <c:pt idx="21">
                  <c:v>0.42779266666666699</c:v>
                </c:pt>
                <c:pt idx="22">
                  <c:v>0.42492400000000002</c:v>
                </c:pt>
                <c:pt idx="23">
                  <c:v>4.2310333333333299</c:v>
                </c:pt>
                <c:pt idx="24">
                  <c:v>3.2232266666666698</c:v>
                </c:pt>
                <c:pt idx="25">
                  <c:v>0.65944733333333305</c:v>
                </c:pt>
                <c:pt idx="26">
                  <c:v>0.33349499999999999</c:v>
                </c:pt>
                <c:pt idx="27">
                  <c:v>0.888459</c:v>
                </c:pt>
                <c:pt idx="28">
                  <c:v>0.93435900000000005</c:v>
                </c:pt>
                <c:pt idx="29">
                  <c:v>0.37534066666666699</c:v>
                </c:pt>
                <c:pt idx="30">
                  <c:v>0.35594799999999999</c:v>
                </c:pt>
                <c:pt idx="31">
                  <c:v>0.82942866666666704</c:v>
                </c:pt>
                <c:pt idx="32">
                  <c:v>0.269704</c:v>
                </c:pt>
                <c:pt idx="33">
                  <c:v>0.28670400000000001</c:v>
                </c:pt>
                <c:pt idx="34">
                  <c:v>0.364375333333333</c:v>
                </c:pt>
                <c:pt idx="35">
                  <c:v>0.23426</c:v>
                </c:pt>
                <c:pt idx="36">
                  <c:v>0.38604066666666698</c:v>
                </c:pt>
                <c:pt idx="37">
                  <c:v>0.45374266666666702</c:v>
                </c:pt>
                <c:pt idx="38">
                  <c:v>0.14018</c:v>
                </c:pt>
                <c:pt idx="39">
                  <c:v>5.8000000000000003E-2</c:v>
                </c:pt>
                <c:pt idx="40">
                  <c:v>0.16072500000000001</c:v>
                </c:pt>
                <c:pt idx="41">
                  <c:v>0.105938333333333</c:v>
                </c:pt>
                <c:pt idx="42">
                  <c:v>1.0090625666666699</c:v>
                </c:pt>
                <c:pt idx="43">
                  <c:v>1.06174793333333</c:v>
                </c:pt>
                <c:pt idx="44">
                  <c:v>5.8000000000000003E-2</c:v>
                </c:pt>
                <c:pt idx="45">
                  <c:v>0.188118333333333</c:v>
                </c:pt>
                <c:pt idx="46">
                  <c:v>7.8545000000000004E-2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A1B-4F34-81FA-962F66EDDE5B}"/>
            </c:ext>
          </c:extLst>
        </c:ser>
        <c:ser>
          <c:idx val="41"/>
          <c:order val="41"/>
          <c:tx>
            <c:v>BES_TR2_five881_C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Demand_kW!$AR$2:$AR$49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4.9000000000000002E-2</c:v>
                </c:pt>
                <c:pt idx="2">
                  <c:v>0.14787466666666699</c:v>
                </c:pt>
                <c:pt idx="3">
                  <c:v>7.3718666666666599E-2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0.17259333333333299</c:v>
                </c:pt>
                <c:pt idx="7">
                  <c:v>4.9000000000000002E-2</c:v>
                </c:pt>
                <c:pt idx="8">
                  <c:v>4.9000000000000002E-2</c:v>
                </c:pt>
                <c:pt idx="9">
                  <c:v>0.15405433333333299</c:v>
                </c:pt>
                <c:pt idx="10">
                  <c:v>6.7539000000000002E-2</c:v>
                </c:pt>
                <c:pt idx="11">
                  <c:v>4.9000000000000002E-2</c:v>
                </c:pt>
                <c:pt idx="12">
                  <c:v>0.17259333333333299</c:v>
                </c:pt>
                <c:pt idx="13">
                  <c:v>4.9000000000000002E-2</c:v>
                </c:pt>
                <c:pt idx="14">
                  <c:v>4.9000000000000002E-2</c:v>
                </c:pt>
                <c:pt idx="15">
                  <c:v>5.9495733333333398E-2</c:v>
                </c:pt>
                <c:pt idx="16">
                  <c:v>1.36009333333333</c:v>
                </c:pt>
                <c:pt idx="17">
                  <c:v>0.91597333333333397</c:v>
                </c:pt>
                <c:pt idx="18">
                  <c:v>1.1712199999999999</c:v>
                </c:pt>
                <c:pt idx="19">
                  <c:v>4.9000000000000002E-2</c:v>
                </c:pt>
                <c:pt idx="20">
                  <c:v>0.17259333333333299</c:v>
                </c:pt>
                <c:pt idx="21">
                  <c:v>4.9000000000000002E-2</c:v>
                </c:pt>
                <c:pt idx="22">
                  <c:v>0.14787466666666699</c:v>
                </c:pt>
                <c:pt idx="23">
                  <c:v>7.3718666666666599E-2</c:v>
                </c:pt>
                <c:pt idx="24">
                  <c:v>4.9000000000000002E-2</c:v>
                </c:pt>
                <c:pt idx="25">
                  <c:v>9.2257666666666599E-2</c:v>
                </c:pt>
                <c:pt idx="26">
                  <c:v>0.12933566666666699</c:v>
                </c:pt>
                <c:pt idx="27">
                  <c:v>9.2257666666666599E-2</c:v>
                </c:pt>
                <c:pt idx="28">
                  <c:v>0.12933566666666699</c:v>
                </c:pt>
                <c:pt idx="29">
                  <c:v>5.7028000000000002E-2</c:v>
                </c:pt>
                <c:pt idx="30">
                  <c:v>0.31199333333333301</c:v>
                </c:pt>
                <c:pt idx="31">
                  <c:v>1.88269333333333</c:v>
                </c:pt>
                <c:pt idx="32">
                  <c:v>2.6090599999999999</c:v>
                </c:pt>
                <c:pt idx="33">
                  <c:v>2.8746999999999998</c:v>
                </c:pt>
                <c:pt idx="34">
                  <c:v>0.39444936666666702</c:v>
                </c:pt>
                <c:pt idx="35">
                  <c:v>0.10025766666666699</c:v>
                </c:pt>
                <c:pt idx="36">
                  <c:v>0.36056333333333301</c:v>
                </c:pt>
                <c:pt idx="37">
                  <c:v>4.9000000000000002E-2</c:v>
                </c:pt>
                <c:pt idx="38">
                  <c:v>4.9000000000000002E-2</c:v>
                </c:pt>
                <c:pt idx="39">
                  <c:v>0.16023399999999999</c:v>
                </c:pt>
                <c:pt idx="40">
                  <c:v>6.13593333333333E-2</c:v>
                </c:pt>
                <c:pt idx="41">
                  <c:v>5.5179666666666703E-2</c:v>
                </c:pt>
                <c:pt idx="42">
                  <c:v>0.16641366666666699</c:v>
                </c:pt>
                <c:pt idx="43">
                  <c:v>5.5179666666666703E-2</c:v>
                </c:pt>
                <c:pt idx="44">
                  <c:v>0.16641366666666699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6.7539000000000002E-2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A1B-4F34-81FA-962F66EDDE5B}"/>
            </c:ext>
          </c:extLst>
        </c:ser>
        <c:ser>
          <c:idx val="42"/>
          <c:order val="42"/>
          <c:tx>
            <c:v>BES_TR2_five118_B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Demand_kW!$AS$2:$AS$49</c:f>
              <c:numCache>
                <c:formatCode>#,##0.000</c:formatCode>
                <c:ptCount val="48"/>
                <c:pt idx="0">
                  <c:v>0.23492099999999999</c:v>
                </c:pt>
                <c:pt idx="1">
                  <c:v>0.202722666666667</c:v>
                </c:pt>
                <c:pt idx="2">
                  <c:v>9.9667333333333302E-2</c:v>
                </c:pt>
                <c:pt idx="3">
                  <c:v>0.20261899999999999</c:v>
                </c:pt>
                <c:pt idx="4">
                  <c:v>0.27069733333333301</c:v>
                </c:pt>
                <c:pt idx="5">
                  <c:v>0.24806566666666699</c:v>
                </c:pt>
                <c:pt idx="6">
                  <c:v>6.2142000000000003E-2</c:v>
                </c:pt>
                <c:pt idx="7">
                  <c:v>0.32745733333333299</c:v>
                </c:pt>
                <c:pt idx="8">
                  <c:v>0.16519900000000001</c:v>
                </c:pt>
                <c:pt idx="9">
                  <c:v>0.24469866666666701</c:v>
                </c:pt>
                <c:pt idx="10">
                  <c:v>0.15486866666666699</c:v>
                </c:pt>
                <c:pt idx="11">
                  <c:v>0.218207333333333</c:v>
                </c:pt>
                <c:pt idx="12">
                  <c:v>0.110568</c:v>
                </c:pt>
                <c:pt idx="13">
                  <c:v>0.15167800000000001</c:v>
                </c:pt>
                <c:pt idx="14">
                  <c:v>0.28596133333333301</c:v>
                </c:pt>
                <c:pt idx="15">
                  <c:v>0.117063866666667</c:v>
                </c:pt>
                <c:pt idx="16">
                  <c:v>0.93210999999999999</c:v>
                </c:pt>
                <c:pt idx="17">
                  <c:v>0.65608100000000003</c:v>
                </c:pt>
                <c:pt idx="18">
                  <c:v>0.32242466666666703</c:v>
                </c:pt>
                <c:pt idx="19">
                  <c:v>0.18558133333333299</c:v>
                </c:pt>
                <c:pt idx="20">
                  <c:v>0.27749200000000002</c:v>
                </c:pt>
                <c:pt idx="21">
                  <c:v>0.22572</c:v>
                </c:pt>
                <c:pt idx="22">
                  <c:v>0.12623733333333301</c:v>
                </c:pt>
                <c:pt idx="23">
                  <c:v>0.37100666666666698</c:v>
                </c:pt>
                <c:pt idx="24">
                  <c:v>6.7522666666666703E-2</c:v>
                </c:pt>
                <c:pt idx="25">
                  <c:v>0.150449</c:v>
                </c:pt>
                <c:pt idx="26">
                  <c:v>0.33603100000000002</c:v>
                </c:pt>
                <c:pt idx="27">
                  <c:v>0.15940399999999999</c:v>
                </c:pt>
                <c:pt idx="28">
                  <c:v>0.15486866666666699</c:v>
                </c:pt>
                <c:pt idx="29">
                  <c:v>0.15361333333333299</c:v>
                </c:pt>
                <c:pt idx="30">
                  <c:v>0.110581</c:v>
                </c:pt>
                <c:pt idx="31">
                  <c:v>0.238506</c:v>
                </c:pt>
                <c:pt idx="32">
                  <c:v>0.24998300000000001</c:v>
                </c:pt>
                <c:pt idx="33">
                  <c:v>0.42558233333333301</c:v>
                </c:pt>
                <c:pt idx="34">
                  <c:v>0.11182549999999999</c:v>
                </c:pt>
                <c:pt idx="35">
                  <c:v>0.34419633333333299</c:v>
                </c:pt>
                <c:pt idx="36">
                  <c:v>0.15386966666666699</c:v>
                </c:pt>
                <c:pt idx="37">
                  <c:v>0.23881720000000001</c:v>
                </c:pt>
                <c:pt idx="38">
                  <c:v>0.34876000000000001</c:v>
                </c:pt>
                <c:pt idx="39">
                  <c:v>0.78481833333333295</c:v>
                </c:pt>
                <c:pt idx="40">
                  <c:v>0.91732666666666696</c:v>
                </c:pt>
                <c:pt idx="41">
                  <c:v>0.63498966666666701</c:v>
                </c:pt>
                <c:pt idx="42">
                  <c:v>0.878363</c:v>
                </c:pt>
                <c:pt idx="43">
                  <c:v>0.63217366666666697</c:v>
                </c:pt>
                <c:pt idx="44">
                  <c:v>0.69299699999999997</c:v>
                </c:pt>
                <c:pt idx="45">
                  <c:v>0.84284300000000001</c:v>
                </c:pt>
                <c:pt idx="46">
                  <c:v>0.70148100000000002</c:v>
                </c:pt>
                <c:pt idx="47">
                  <c:v>0.685066333333333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A1B-4F34-81FA-962F66EDDE5B}"/>
            </c:ext>
          </c:extLst>
        </c:ser>
        <c:ser>
          <c:idx val="43"/>
          <c:order val="43"/>
          <c:tx>
            <c:v>BES_TR2_six64_A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Demand_kW!$AT$2:$AT$49</c:f>
              <c:numCache>
                <c:formatCode>#,##0.000</c:formatCode>
                <c:ptCount val="48"/>
                <c:pt idx="0">
                  <c:v>0.27314066666666698</c:v>
                </c:pt>
                <c:pt idx="1">
                  <c:v>0.24962799999999999</c:v>
                </c:pt>
                <c:pt idx="2">
                  <c:v>0.16691066666666701</c:v>
                </c:pt>
                <c:pt idx="3">
                  <c:v>7.6396000000000006E-2</c:v>
                </c:pt>
                <c:pt idx="4">
                  <c:v>0.39235666666666702</c:v>
                </c:pt>
                <c:pt idx="5">
                  <c:v>0.130412</c:v>
                </c:pt>
                <c:pt idx="6">
                  <c:v>0.122789333333333</c:v>
                </c:pt>
                <c:pt idx="7">
                  <c:v>0.27067266666666701</c:v>
                </c:pt>
                <c:pt idx="8">
                  <c:v>0.18630666666666701</c:v>
                </c:pt>
                <c:pt idx="9">
                  <c:v>0.27311400000000002</c:v>
                </c:pt>
                <c:pt idx="10">
                  <c:v>0.120348</c:v>
                </c:pt>
                <c:pt idx="11">
                  <c:v>5.7000000000000002E-2</c:v>
                </c:pt>
                <c:pt idx="12">
                  <c:v>0.21372933333333299</c:v>
                </c:pt>
                <c:pt idx="13">
                  <c:v>0.22680266666666701</c:v>
                </c:pt>
                <c:pt idx="14">
                  <c:v>0.188507333333333</c:v>
                </c:pt>
                <c:pt idx="15">
                  <c:v>0.112736</c:v>
                </c:pt>
                <c:pt idx="16">
                  <c:v>0.17984133333333399</c:v>
                </c:pt>
                <c:pt idx="17">
                  <c:v>0.33646199999999998</c:v>
                </c:pt>
                <c:pt idx="18">
                  <c:v>5.7000000000000002E-2</c:v>
                </c:pt>
                <c:pt idx="19">
                  <c:v>0.169237</c:v>
                </c:pt>
                <c:pt idx="20">
                  <c:v>0.35353166666666702</c:v>
                </c:pt>
                <c:pt idx="21">
                  <c:v>5.7000000000000002E-2</c:v>
                </c:pt>
                <c:pt idx="22">
                  <c:v>0.16390766666666701</c:v>
                </c:pt>
                <c:pt idx="23">
                  <c:v>0.25541566666666699</c:v>
                </c:pt>
                <c:pt idx="24">
                  <c:v>0.22718866666666701</c:v>
                </c:pt>
                <c:pt idx="25">
                  <c:v>0.37794499999999998</c:v>
                </c:pt>
                <c:pt idx="26">
                  <c:v>0.53743200000000002</c:v>
                </c:pt>
                <c:pt idx="27">
                  <c:v>0.33463700000000002</c:v>
                </c:pt>
                <c:pt idx="28">
                  <c:v>1.7766439999999999</c:v>
                </c:pt>
                <c:pt idx="29">
                  <c:v>0.1970981</c:v>
                </c:pt>
                <c:pt idx="30">
                  <c:v>0.45529140000000001</c:v>
                </c:pt>
                <c:pt idx="31">
                  <c:v>0.18674263333333299</c:v>
                </c:pt>
                <c:pt idx="32">
                  <c:v>5.7000000000000002E-2</c:v>
                </c:pt>
                <c:pt idx="33">
                  <c:v>0.32238466666666699</c:v>
                </c:pt>
                <c:pt idx="34">
                  <c:v>7.1077333333333298E-2</c:v>
                </c:pt>
                <c:pt idx="35">
                  <c:v>0.12811866666666699</c:v>
                </c:pt>
                <c:pt idx="36">
                  <c:v>0.29596600000000001</c:v>
                </c:pt>
                <c:pt idx="37">
                  <c:v>0.181545333333333</c:v>
                </c:pt>
                <c:pt idx="38">
                  <c:v>0.25898666666666698</c:v>
                </c:pt>
                <c:pt idx="39">
                  <c:v>0.237920666666667</c:v>
                </c:pt>
                <c:pt idx="40">
                  <c:v>0.11044266666666699</c:v>
                </c:pt>
                <c:pt idx="41">
                  <c:v>0.40410233333333401</c:v>
                </c:pt>
                <c:pt idx="42">
                  <c:v>9.1084999999999999E-2</c:v>
                </c:pt>
                <c:pt idx="43">
                  <c:v>0.25898666666666698</c:v>
                </c:pt>
                <c:pt idx="44">
                  <c:v>0.237920666666667</c:v>
                </c:pt>
                <c:pt idx="45">
                  <c:v>0.208569333333333</c:v>
                </c:pt>
                <c:pt idx="46">
                  <c:v>0.264857333333333</c:v>
                </c:pt>
                <c:pt idx="47">
                  <c:v>0.21279400000000001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FA1B-4F34-81FA-962F66EDDE5B}"/>
            </c:ext>
          </c:extLst>
        </c:ser>
        <c:ser>
          <c:idx val="44"/>
          <c:order val="44"/>
          <c:tx>
            <c:v>BES_TR2_six154_C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Demand_kW!$AU$2:$AU$49</c:f>
              <c:numCache>
                <c:formatCode>#,##0.000</c:formatCode>
                <c:ptCount val="48"/>
                <c:pt idx="0">
                  <c:v>0.156162666666667</c:v>
                </c:pt>
                <c:pt idx="1">
                  <c:v>5.3999999999999999E-2</c:v>
                </c:pt>
                <c:pt idx="2">
                  <c:v>5.3999999999999999E-2</c:v>
                </c:pt>
                <c:pt idx="3">
                  <c:v>0.16402133333333399</c:v>
                </c:pt>
                <c:pt idx="4">
                  <c:v>5.3999999999999999E-2</c:v>
                </c:pt>
                <c:pt idx="5">
                  <c:v>0.16402133333333299</c:v>
                </c:pt>
                <c:pt idx="6">
                  <c:v>5.3999999999999999E-2</c:v>
                </c:pt>
                <c:pt idx="7">
                  <c:v>5.3999999999999999E-2</c:v>
                </c:pt>
                <c:pt idx="8">
                  <c:v>0.10901066666666701</c:v>
                </c:pt>
                <c:pt idx="9">
                  <c:v>0.10901066666666701</c:v>
                </c:pt>
                <c:pt idx="10">
                  <c:v>5.3999999999999999E-2</c:v>
                </c:pt>
                <c:pt idx="11">
                  <c:v>0.16402133333333299</c:v>
                </c:pt>
                <c:pt idx="12">
                  <c:v>5.3999999999999999E-2</c:v>
                </c:pt>
                <c:pt idx="13">
                  <c:v>5.3999999999999999E-2</c:v>
                </c:pt>
                <c:pt idx="14">
                  <c:v>0.39997389999999999</c:v>
                </c:pt>
                <c:pt idx="15">
                  <c:v>0.26613999999999999</c:v>
                </c:pt>
                <c:pt idx="16">
                  <c:v>0.19777666666666699</c:v>
                </c:pt>
                <c:pt idx="17">
                  <c:v>0.19370999999999999</c:v>
                </c:pt>
                <c:pt idx="18">
                  <c:v>0.23300499999999999</c:v>
                </c:pt>
                <c:pt idx="19">
                  <c:v>0.26817433333333301</c:v>
                </c:pt>
                <c:pt idx="20">
                  <c:v>0.19691</c:v>
                </c:pt>
                <c:pt idx="21">
                  <c:v>0.308802666666667</c:v>
                </c:pt>
                <c:pt idx="22">
                  <c:v>0.23811233333333401</c:v>
                </c:pt>
                <c:pt idx="23">
                  <c:v>5.3999999999999999E-2</c:v>
                </c:pt>
                <c:pt idx="24">
                  <c:v>0.25716366666666701</c:v>
                </c:pt>
                <c:pt idx="25">
                  <c:v>0.31151400000000001</c:v>
                </c:pt>
                <c:pt idx="26">
                  <c:v>5.3999999999999999E-2</c:v>
                </c:pt>
                <c:pt idx="27">
                  <c:v>0.16402133333333299</c:v>
                </c:pt>
                <c:pt idx="28">
                  <c:v>5.3999999999999999E-2</c:v>
                </c:pt>
                <c:pt idx="29">
                  <c:v>5.3999999999999999E-2</c:v>
                </c:pt>
                <c:pt idx="30">
                  <c:v>5.3999999999999999E-2</c:v>
                </c:pt>
                <c:pt idx="31">
                  <c:v>0.16402133333333299</c:v>
                </c:pt>
                <c:pt idx="32">
                  <c:v>5.3999999999999999E-2</c:v>
                </c:pt>
                <c:pt idx="33">
                  <c:v>9.3293333333333395E-2</c:v>
                </c:pt>
                <c:pt idx="34">
                  <c:v>0.12472800000000001</c:v>
                </c:pt>
                <c:pt idx="35">
                  <c:v>5.3999999999999999E-2</c:v>
                </c:pt>
                <c:pt idx="36">
                  <c:v>0.296314666666667</c:v>
                </c:pt>
                <c:pt idx="37">
                  <c:v>1.7298453333333299</c:v>
                </c:pt>
                <c:pt idx="38">
                  <c:v>2.3109933333333301</c:v>
                </c:pt>
                <c:pt idx="39">
                  <c:v>1.0316593333333299</c:v>
                </c:pt>
                <c:pt idx="40">
                  <c:v>0.40942833333333301</c:v>
                </c:pt>
                <c:pt idx="41">
                  <c:v>1.2764486666666699</c:v>
                </c:pt>
                <c:pt idx="42">
                  <c:v>0.66434533333333301</c:v>
                </c:pt>
                <c:pt idx="43">
                  <c:v>0.685875666666666</c:v>
                </c:pt>
                <c:pt idx="44">
                  <c:v>0.63255799999999995</c:v>
                </c:pt>
                <c:pt idx="45">
                  <c:v>0.61160999999999999</c:v>
                </c:pt>
                <c:pt idx="46">
                  <c:v>0.33025933333333302</c:v>
                </c:pt>
                <c:pt idx="47">
                  <c:v>0.70146533333333405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A1B-4F34-81FA-962F66EDDE5B}"/>
            </c:ext>
          </c:extLst>
        </c:ser>
        <c:ser>
          <c:idx val="45"/>
          <c:order val="45"/>
          <c:tx>
            <c:v>BES_TR2_six173_C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Demand_kW!$AV$2:$AV$49</c:f>
              <c:numCache>
                <c:formatCode>#,##0.000</c:formatCode>
                <c:ptCount val="48"/>
                <c:pt idx="0">
                  <c:v>0.53006033333333302</c:v>
                </c:pt>
                <c:pt idx="1">
                  <c:v>0.36332166666666699</c:v>
                </c:pt>
                <c:pt idx="2">
                  <c:v>0.87092566666666604</c:v>
                </c:pt>
                <c:pt idx="3">
                  <c:v>0.30933233333333399</c:v>
                </c:pt>
                <c:pt idx="4">
                  <c:v>4.3999999999999997E-2</c:v>
                </c:pt>
                <c:pt idx="5">
                  <c:v>0.19152233333333299</c:v>
                </c:pt>
                <c:pt idx="6">
                  <c:v>6.7293000000000006E-2</c:v>
                </c:pt>
                <c:pt idx="7">
                  <c:v>4.3999999999999997E-2</c:v>
                </c:pt>
                <c:pt idx="8">
                  <c:v>0.19152233333333299</c:v>
                </c:pt>
                <c:pt idx="9">
                  <c:v>6.7293000000000006E-2</c:v>
                </c:pt>
                <c:pt idx="10">
                  <c:v>4.3999999999999997E-2</c:v>
                </c:pt>
                <c:pt idx="11">
                  <c:v>0.20705100000000001</c:v>
                </c:pt>
                <c:pt idx="12">
                  <c:v>5.1764333333333398E-2</c:v>
                </c:pt>
                <c:pt idx="13">
                  <c:v>5.3620666666666601E-2</c:v>
                </c:pt>
                <c:pt idx="14">
                  <c:v>0.14366899999999999</c:v>
                </c:pt>
                <c:pt idx="15">
                  <c:v>0.15717200000000001</c:v>
                </c:pt>
                <c:pt idx="16">
                  <c:v>4.3999999999999997E-2</c:v>
                </c:pt>
                <c:pt idx="17">
                  <c:v>9.0586E-2</c:v>
                </c:pt>
                <c:pt idx="18">
                  <c:v>0.17422933333333299</c:v>
                </c:pt>
                <c:pt idx="19">
                  <c:v>1.7139926666666701</c:v>
                </c:pt>
                <c:pt idx="20">
                  <c:v>0.26606400000000002</c:v>
                </c:pt>
                <c:pt idx="21">
                  <c:v>8.8872833333333401E-2</c:v>
                </c:pt>
                <c:pt idx="22">
                  <c:v>0.15853666666666699</c:v>
                </c:pt>
                <c:pt idx="23">
                  <c:v>0.24402099999999999</c:v>
                </c:pt>
                <c:pt idx="24">
                  <c:v>0.37146966666666698</c:v>
                </c:pt>
                <c:pt idx="25">
                  <c:v>0.25856166666666702</c:v>
                </c:pt>
                <c:pt idx="26">
                  <c:v>0.20378599999999999</c:v>
                </c:pt>
                <c:pt idx="27">
                  <c:v>0.28729933333333302</c:v>
                </c:pt>
                <c:pt idx="28">
                  <c:v>0.39665</c:v>
                </c:pt>
                <c:pt idx="29">
                  <c:v>0.410248</c:v>
                </c:pt>
                <c:pt idx="30">
                  <c:v>0.40204200000000001</c:v>
                </c:pt>
                <c:pt idx="31">
                  <c:v>0.308939666666667</c:v>
                </c:pt>
                <c:pt idx="32">
                  <c:v>0.2364</c:v>
                </c:pt>
                <c:pt idx="33">
                  <c:v>0.31926233333333298</c:v>
                </c:pt>
                <c:pt idx="34">
                  <c:v>0.20555433333333301</c:v>
                </c:pt>
                <c:pt idx="35">
                  <c:v>0.29891933333333298</c:v>
                </c:pt>
                <c:pt idx="36">
                  <c:v>0.32964399999999999</c:v>
                </c:pt>
                <c:pt idx="37">
                  <c:v>0.320637333333333</c:v>
                </c:pt>
                <c:pt idx="38">
                  <c:v>0.34595666666666702</c:v>
                </c:pt>
                <c:pt idx="39">
                  <c:v>0.518797333333333</c:v>
                </c:pt>
                <c:pt idx="40">
                  <c:v>0.73798333333333399</c:v>
                </c:pt>
                <c:pt idx="41">
                  <c:v>0.78270066666666704</c:v>
                </c:pt>
                <c:pt idx="42">
                  <c:v>0.58010499999999998</c:v>
                </c:pt>
                <c:pt idx="43">
                  <c:v>1.0080769999999999</c:v>
                </c:pt>
                <c:pt idx="44">
                  <c:v>0.72938766666666699</c:v>
                </c:pt>
                <c:pt idx="45">
                  <c:v>0.85342533333333404</c:v>
                </c:pt>
                <c:pt idx="46">
                  <c:v>0.67639233333333304</c:v>
                </c:pt>
                <c:pt idx="47">
                  <c:v>0.60894666666666597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A1B-4F34-81FA-962F66EDDE5B}"/>
            </c:ext>
          </c:extLst>
        </c:ser>
        <c:ser>
          <c:idx val="46"/>
          <c:order val="46"/>
          <c:tx>
            <c:v>BES_TR2_six186_A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Demand_kW!$AW$2:$AW$49</c:f>
              <c:numCache>
                <c:formatCode>#,##0.000</c:formatCode>
                <c:ptCount val="48"/>
                <c:pt idx="0">
                  <c:v>0.19210933333333299</c:v>
                </c:pt>
                <c:pt idx="1">
                  <c:v>0.17419333333333301</c:v>
                </c:pt>
                <c:pt idx="2">
                  <c:v>7.9206666666666703E-2</c:v>
                </c:pt>
                <c:pt idx="3">
                  <c:v>0.229409</c:v>
                </c:pt>
                <c:pt idx="4">
                  <c:v>0.103687</c:v>
                </c:pt>
                <c:pt idx="5">
                  <c:v>0.197590666666667</c:v>
                </c:pt>
                <c:pt idx="6">
                  <c:v>0.168709</c:v>
                </c:pt>
                <c:pt idx="7">
                  <c:v>4.5999999999999999E-2</c:v>
                </c:pt>
                <c:pt idx="8">
                  <c:v>0.31388700000000003</c:v>
                </c:pt>
                <c:pt idx="9">
                  <c:v>0.10096883333333299</c:v>
                </c:pt>
                <c:pt idx="10">
                  <c:v>7.9782666666666696E-2</c:v>
                </c:pt>
                <c:pt idx="11">
                  <c:v>0.29419800000000002</c:v>
                </c:pt>
                <c:pt idx="12">
                  <c:v>5.8819333333333397E-2</c:v>
                </c:pt>
                <c:pt idx="13">
                  <c:v>0.195273</c:v>
                </c:pt>
                <c:pt idx="14">
                  <c:v>0.171025333333333</c:v>
                </c:pt>
                <c:pt idx="15">
                  <c:v>4.5999999999999999E-2</c:v>
                </c:pt>
                <c:pt idx="16">
                  <c:v>0.320297</c:v>
                </c:pt>
                <c:pt idx="17">
                  <c:v>4.5999999999999999E-2</c:v>
                </c:pt>
                <c:pt idx="18">
                  <c:v>1.14009433333333</c:v>
                </c:pt>
                <c:pt idx="19">
                  <c:v>1.524756</c:v>
                </c:pt>
                <c:pt idx="20">
                  <c:v>1.88673</c:v>
                </c:pt>
                <c:pt idx="21">
                  <c:v>0.29237933333333299</c:v>
                </c:pt>
                <c:pt idx="22">
                  <c:v>0.17604400000000001</c:v>
                </c:pt>
                <c:pt idx="23">
                  <c:v>6.5692E-2</c:v>
                </c:pt>
                <c:pt idx="24">
                  <c:v>0.31090200000000001</c:v>
                </c:pt>
                <c:pt idx="25">
                  <c:v>6.1445E-2</c:v>
                </c:pt>
                <c:pt idx="26">
                  <c:v>0.18603149999999999</c:v>
                </c:pt>
                <c:pt idx="27">
                  <c:v>5.11483333333334E-2</c:v>
                </c:pt>
                <c:pt idx="28">
                  <c:v>0.32029766666666698</c:v>
                </c:pt>
                <c:pt idx="29">
                  <c:v>4.5999999999999999E-2</c:v>
                </c:pt>
                <c:pt idx="30">
                  <c:v>0.164384</c:v>
                </c:pt>
                <c:pt idx="31">
                  <c:v>0.20191400000000001</c:v>
                </c:pt>
                <c:pt idx="32">
                  <c:v>5.2641333333333297E-2</c:v>
                </c:pt>
                <c:pt idx="33">
                  <c:v>0.31365533333333301</c:v>
                </c:pt>
                <c:pt idx="34">
                  <c:v>4.5999999999999999E-2</c:v>
                </c:pt>
                <c:pt idx="35">
                  <c:v>0.32029633333333302</c:v>
                </c:pt>
                <c:pt idx="36">
                  <c:v>5.6296666666666703E-2</c:v>
                </c:pt>
                <c:pt idx="37">
                  <c:v>5.6296666666666703E-2</c:v>
                </c:pt>
                <c:pt idx="38">
                  <c:v>0.25042166666666699</c:v>
                </c:pt>
                <c:pt idx="39">
                  <c:v>0.45713433333333298</c:v>
                </c:pt>
                <c:pt idx="40">
                  <c:v>0.39103866666666698</c:v>
                </c:pt>
                <c:pt idx="41">
                  <c:v>0.75370933333333301</c:v>
                </c:pt>
                <c:pt idx="42">
                  <c:v>0.41452466666666699</c:v>
                </c:pt>
                <c:pt idx="43">
                  <c:v>0.52410033333333295</c:v>
                </c:pt>
                <c:pt idx="44">
                  <c:v>0.69550366666666696</c:v>
                </c:pt>
                <c:pt idx="45">
                  <c:v>0.33016766666666703</c:v>
                </c:pt>
                <c:pt idx="46">
                  <c:v>0.26076133333333301</c:v>
                </c:pt>
                <c:pt idx="47">
                  <c:v>0.164163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A1B-4F34-81FA-962F66EDDE5B}"/>
            </c:ext>
          </c:extLst>
        </c:ser>
        <c:ser>
          <c:idx val="47"/>
          <c:order val="47"/>
          <c:tx>
            <c:v>BES_TR2_six191_B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Demand_kW!$AX$2:$AX$49</c:f>
              <c:numCache>
                <c:formatCode>#,##0.000</c:formatCode>
                <c:ptCount val="48"/>
                <c:pt idx="0">
                  <c:v>0.16683400000000001</c:v>
                </c:pt>
                <c:pt idx="1">
                  <c:v>0.26204666666666698</c:v>
                </c:pt>
                <c:pt idx="2">
                  <c:v>0.188247366666667</c:v>
                </c:pt>
                <c:pt idx="3">
                  <c:v>0.236883333333333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8.9663000000000007E-2</c:v>
                </c:pt>
                <c:pt idx="23">
                  <c:v>9.86740333333333E-2</c:v>
                </c:pt>
                <c:pt idx="24">
                  <c:v>0.06</c:v>
                </c:pt>
                <c:pt idx="25">
                  <c:v>0.10165766666666699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0.15685716666666699</c:v>
                </c:pt>
                <c:pt idx="35">
                  <c:v>0.113001166666667</c:v>
                </c:pt>
                <c:pt idx="36">
                  <c:v>8.5000000000000006E-2</c:v>
                </c:pt>
                <c:pt idx="37">
                  <c:v>8.8954666666666696E-2</c:v>
                </c:pt>
                <c:pt idx="38">
                  <c:v>0.24246266666666699</c:v>
                </c:pt>
                <c:pt idx="39">
                  <c:v>0.37961933333333397</c:v>
                </c:pt>
                <c:pt idx="40">
                  <c:v>0.50418466666666695</c:v>
                </c:pt>
                <c:pt idx="41">
                  <c:v>0.53860333333333299</c:v>
                </c:pt>
                <c:pt idx="42">
                  <c:v>0.73285933333333297</c:v>
                </c:pt>
                <c:pt idx="43">
                  <c:v>0.36871999999999999</c:v>
                </c:pt>
                <c:pt idx="44">
                  <c:v>0.48834100000000003</c:v>
                </c:pt>
                <c:pt idx="45">
                  <c:v>0.59799999999999998</c:v>
                </c:pt>
                <c:pt idx="46">
                  <c:v>0.55483333333333296</c:v>
                </c:pt>
                <c:pt idx="47">
                  <c:v>0.62299066666666703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FA1B-4F34-81FA-962F66EDDE5B}"/>
            </c:ext>
          </c:extLst>
        </c:ser>
        <c:ser>
          <c:idx val="48"/>
          <c:order val="48"/>
          <c:tx>
            <c:v>BES_TR2_six203_A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Demand_kW!$AY$2:$AY$49</c:f>
              <c:numCache>
                <c:formatCode>#,##0.000</c:formatCode>
                <c:ptCount val="48"/>
                <c:pt idx="0">
                  <c:v>0.143946666666667</c:v>
                </c:pt>
                <c:pt idx="1">
                  <c:v>4.9000000000000002E-2</c:v>
                </c:pt>
                <c:pt idx="2">
                  <c:v>0.143946666666667</c:v>
                </c:pt>
                <c:pt idx="3">
                  <c:v>4.9000000000000002E-2</c:v>
                </c:pt>
                <c:pt idx="4">
                  <c:v>0.110715333333333</c:v>
                </c:pt>
                <c:pt idx="5">
                  <c:v>8.2231333333333295E-2</c:v>
                </c:pt>
                <c:pt idx="6">
                  <c:v>4.9000000000000002E-2</c:v>
                </c:pt>
                <c:pt idx="7">
                  <c:v>0.143946666666667</c:v>
                </c:pt>
                <c:pt idx="8">
                  <c:v>4.9000000000000002E-2</c:v>
                </c:pt>
                <c:pt idx="9">
                  <c:v>0.143946666666667</c:v>
                </c:pt>
                <c:pt idx="10">
                  <c:v>4.9000000000000002E-2</c:v>
                </c:pt>
                <c:pt idx="11">
                  <c:v>0.293553433333333</c:v>
                </c:pt>
                <c:pt idx="12">
                  <c:v>0.119202666666667</c:v>
                </c:pt>
                <c:pt idx="13">
                  <c:v>4.9000000000000002E-2</c:v>
                </c:pt>
                <c:pt idx="14">
                  <c:v>0.143946666666667</c:v>
                </c:pt>
                <c:pt idx="15">
                  <c:v>4.9000000000000002E-2</c:v>
                </c:pt>
                <c:pt idx="16">
                  <c:v>0.126828833333333</c:v>
                </c:pt>
                <c:pt idx="17">
                  <c:v>0.54051866666666704</c:v>
                </c:pt>
                <c:pt idx="18">
                  <c:v>0.29130386666666702</c:v>
                </c:pt>
                <c:pt idx="19">
                  <c:v>0.25569199999999997</c:v>
                </c:pt>
                <c:pt idx="20">
                  <c:v>4.9000000000000002E-2</c:v>
                </c:pt>
                <c:pt idx="21">
                  <c:v>0.110715333333333</c:v>
                </c:pt>
                <c:pt idx="22">
                  <c:v>0.39117566666666698</c:v>
                </c:pt>
                <c:pt idx="23">
                  <c:v>4.9000000000000002E-2</c:v>
                </c:pt>
                <c:pt idx="24">
                  <c:v>8.2231333333333295E-2</c:v>
                </c:pt>
                <c:pt idx="25">
                  <c:v>0.110715333333333</c:v>
                </c:pt>
                <c:pt idx="26">
                  <c:v>4.9000000000000002E-2</c:v>
                </c:pt>
                <c:pt idx="27">
                  <c:v>0.35262333333333301</c:v>
                </c:pt>
                <c:pt idx="28">
                  <c:v>0.25661866666666699</c:v>
                </c:pt>
                <c:pt idx="29">
                  <c:v>0.22069566666666701</c:v>
                </c:pt>
                <c:pt idx="30">
                  <c:v>0.289833333333333</c:v>
                </c:pt>
                <c:pt idx="31">
                  <c:v>8.7519666666666607E-2</c:v>
                </c:pt>
                <c:pt idx="32">
                  <c:v>9.2635999999999996E-2</c:v>
                </c:pt>
                <c:pt idx="33">
                  <c:v>0.23457586666666699</c:v>
                </c:pt>
                <c:pt idx="34">
                  <c:v>1.1075069333333301</c:v>
                </c:pt>
                <c:pt idx="35">
                  <c:v>0.394655066666666</c:v>
                </c:pt>
                <c:pt idx="36">
                  <c:v>0.28397499999999998</c:v>
                </c:pt>
                <c:pt idx="37">
                  <c:v>0.25403700000000001</c:v>
                </c:pt>
                <c:pt idx="38">
                  <c:v>0.75903133333333295</c:v>
                </c:pt>
                <c:pt idx="39">
                  <c:v>1.43633066666667</c:v>
                </c:pt>
                <c:pt idx="40">
                  <c:v>2.0407023333333298</c:v>
                </c:pt>
                <c:pt idx="41">
                  <c:v>0.526953</c:v>
                </c:pt>
                <c:pt idx="42">
                  <c:v>0.44555400000000001</c:v>
                </c:pt>
                <c:pt idx="43">
                  <c:v>0.35036333333333303</c:v>
                </c:pt>
                <c:pt idx="44">
                  <c:v>0.12021</c:v>
                </c:pt>
                <c:pt idx="45">
                  <c:v>4.9000000000000002E-2</c:v>
                </c:pt>
                <c:pt idx="46">
                  <c:v>0.143946666666667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A1B-4F34-81FA-962F66EDDE5B}"/>
            </c:ext>
          </c:extLst>
        </c:ser>
        <c:ser>
          <c:idx val="49"/>
          <c:order val="49"/>
          <c:tx>
            <c:v>BES_TR2_six232_C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Demand_kW!$AZ$2:$AZ$49</c:f>
              <c:numCache>
                <c:formatCode>#,##0.000</c:formatCode>
                <c:ptCount val="48"/>
                <c:pt idx="0">
                  <c:v>0.16659933333333299</c:v>
                </c:pt>
                <c:pt idx="1">
                  <c:v>0.12880466666666701</c:v>
                </c:pt>
                <c:pt idx="2">
                  <c:v>5.0497666666666698E-2</c:v>
                </c:pt>
                <c:pt idx="3">
                  <c:v>0.108793</c:v>
                </c:pt>
                <c:pt idx="4">
                  <c:v>0.18784733333333301</c:v>
                </c:pt>
                <c:pt idx="5">
                  <c:v>6.4843333333333406E-2</c:v>
                </c:pt>
                <c:pt idx="6">
                  <c:v>0.119317333333333</c:v>
                </c:pt>
                <c:pt idx="7">
                  <c:v>0.112722</c:v>
                </c:pt>
                <c:pt idx="8">
                  <c:v>4.2000000000000003E-2</c:v>
                </c:pt>
                <c:pt idx="9">
                  <c:v>0.210693666666667</c:v>
                </c:pt>
                <c:pt idx="10">
                  <c:v>0.112722</c:v>
                </c:pt>
                <c:pt idx="11">
                  <c:v>0.13337333333333301</c:v>
                </c:pt>
                <c:pt idx="12">
                  <c:v>0.154678333333333</c:v>
                </c:pt>
                <c:pt idx="13">
                  <c:v>0.136753666666667</c:v>
                </c:pt>
                <c:pt idx="14">
                  <c:v>0.15129799999999999</c:v>
                </c:pt>
                <c:pt idx="15">
                  <c:v>0.26937133333333302</c:v>
                </c:pt>
                <c:pt idx="16">
                  <c:v>0.36018933333333297</c:v>
                </c:pt>
                <c:pt idx="17">
                  <c:v>0.370813333333333</c:v>
                </c:pt>
                <c:pt idx="18">
                  <c:v>0.26543666666666699</c:v>
                </c:pt>
                <c:pt idx="19">
                  <c:v>0.27068466666666702</c:v>
                </c:pt>
                <c:pt idx="20">
                  <c:v>0.33039733333333299</c:v>
                </c:pt>
                <c:pt idx="21">
                  <c:v>0.258826</c:v>
                </c:pt>
                <c:pt idx="22">
                  <c:v>0.28309066666666699</c:v>
                </c:pt>
                <c:pt idx="23">
                  <c:v>0.15077866666666701</c:v>
                </c:pt>
                <c:pt idx="24">
                  <c:v>1.0042546666666701</c:v>
                </c:pt>
                <c:pt idx="25">
                  <c:v>0.12614400000000001</c:v>
                </c:pt>
                <c:pt idx="26">
                  <c:v>0.10827199999999999</c:v>
                </c:pt>
                <c:pt idx="27">
                  <c:v>0.13337333333333301</c:v>
                </c:pt>
                <c:pt idx="28">
                  <c:v>0.117613333333333</c:v>
                </c:pt>
                <c:pt idx="29">
                  <c:v>0.114426</c:v>
                </c:pt>
                <c:pt idx="30">
                  <c:v>0.13337333333333301</c:v>
                </c:pt>
                <c:pt idx="31">
                  <c:v>0.146820333333333</c:v>
                </c:pt>
                <c:pt idx="32">
                  <c:v>9.8924999999999902E-2</c:v>
                </c:pt>
                <c:pt idx="33">
                  <c:v>0.19698533333333301</c:v>
                </c:pt>
                <c:pt idx="34">
                  <c:v>0.15143066666666699</c:v>
                </c:pt>
                <c:pt idx="35">
                  <c:v>0.182174</c:v>
                </c:pt>
                <c:pt idx="36">
                  <c:v>0.18688133333333301</c:v>
                </c:pt>
                <c:pt idx="37">
                  <c:v>0.29544583333333302</c:v>
                </c:pt>
                <c:pt idx="38">
                  <c:v>0.4106804</c:v>
                </c:pt>
                <c:pt idx="39">
                  <c:v>0.30555199999999999</c:v>
                </c:pt>
                <c:pt idx="40">
                  <c:v>0.52184333333333299</c:v>
                </c:pt>
                <c:pt idx="41">
                  <c:v>0.70912399999999998</c:v>
                </c:pt>
                <c:pt idx="42">
                  <c:v>0.61315133333333305</c:v>
                </c:pt>
                <c:pt idx="43">
                  <c:v>0.13663966666666699</c:v>
                </c:pt>
                <c:pt idx="44">
                  <c:v>0.10609</c:v>
                </c:pt>
                <c:pt idx="45">
                  <c:v>0.190039333333333</c:v>
                </c:pt>
                <c:pt idx="46">
                  <c:v>0.13337333333333301</c:v>
                </c:pt>
                <c:pt idx="47">
                  <c:v>0.112722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A1B-4F34-81FA-962F66EDDE5B}"/>
            </c:ext>
          </c:extLst>
        </c:ser>
        <c:ser>
          <c:idx val="50"/>
          <c:order val="50"/>
          <c:tx>
            <c:v>BES_TR2_six238_A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Demand_kW!$BA$2:$BA$49</c:f>
              <c:numCache>
                <c:formatCode>#,##0.000</c:formatCode>
                <c:ptCount val="48"/>
                <c:pt idx="0">
                  <c:v>3.4000000000000002E-2</c:v>
                </c:pt>
                <c:pt idx="1">
                  <c:v>3.4000000000000002E-2</c:v>
                </c:pt>
                <c:pt idx="2">
                  <c:v>0.15091499999999999</c:v>
                </c:pt>
                <c:pt idx="3">
                  <c:v>8.8560333333333199E-2</c:v>
                </c:pt>
                <c:pt idx="4">
                  <c:v>3.4000000000000002E-2</c:v>
                </c:pt>
                <c:pt idx="5">
                  <c:v>3.4000000000000002E-2</c:v>
                </c:pt>
                <c:pt idx="6">
                  <c:v>3.4000000000000002E-2</c:v>
                </c:pt>
                <c:pt idx="7">
                  <c:v>0.182092333333333</c:v>
                </c:pt>
                <c:pt idx="8">
                  <c:v>5.7383000000000003E-2</c:v>
                </c:pt>
                <c:pt idx="9">
                  <c:v>8.0766000000000004E-2</c:v>
                </c:pt>
                <c:pt idx="10">
                  <c:v>0.15870933333333301</c:v>
                </c:pt>
                <c:pt idx="11">
                  <c:v>3.4000000000000002E-2</c:v>
                </c:pt>
                <c:pt idx="12">
                  <c:v>3.4000000000000002E-2</c:v>
                </c:pt>
                <c:pt idx="13">
                  <c:v>0.20547533333333301</c:v>
                </c:pt>
                <c:pt idx="14">
                  <c:v>3.4000000000000002E-2</c:v>
                </c:pt>
                <c:pt idx="15">
                  <c:v>0.15870933333333301</c:v>
                </c:pt>
                <c:pt idx="16">
                  <c:v>8.0765999999999893E-2</c:v>
                </c:pt>
                <c:pt idx="17">
                  <c:v>3.4000000000000002E-2</c:v>
                </c:pt>
                <c:pt idx="18">
                  <c:v>0.34542200000000001</c:v>
                </c:pt>
                <c:pt idx="19">
                  <c:v>3.4000000000000002E-2</c:v>
                </c:pt>
                <c:pt idx="20">
                  <c:v>0.18988666666666701</c:v>
                </c:pt>
                <c:pt idx="21">
                  <c:v>0.14905333333333301</c:v>
                </c:pt>
                <c:pt idx="22">
                  <c:v>3.4000000000000002E-2</c:v>
                </c:pt>
                <c:pt idx="23">
                  <c:v>0.255948333333333</c:v>
                </c:pt>
                <c:pt idx="24">
                  <c:v>0.33553539999999998</c:v>
                </c:pt>
                <c:pt idx="25">
                  <c:v>1.3298666666666701</c:v>
                </c:pt>
                <c:pt idx="26">
                  <c:v>0.18673653333333301</c:v>
                </c:pt>
                <c:pt idx="27">
                  <c:v>0.24959000000000001</c:v>
                </c:pt>
                <c:pt idx="28">
                  <c:v>0.40449433333333301</c:v>
                </c:pt>
                <c:pt idx="29">
                  <c:v>0.52964366666666696</c:v>
                </c:pt>
                <c:pt idx="30">
                  <c:v>0.36727799999999999</c:v>
                </c:pt>
                <c:pt idx="31">
                  <c:v>1.67241</c:v>
                </c:pt>
                <c:pt idx="32">
                  <c:v>1.17133333333333</c:v>
                </c:pt>
                <c:pt idx="33">
                  <c:v>1.7739036666666701</c:v>
                </c:pt>
                <c:pt idx="34">
                  <c:v>0.24282466666666699</c:v>
                </c:pt>
                <c:pt idx="35">
                  <c:v>1.2951600000000001</c:v>
                </c:pt>
                <c:pt idx="36">
                  <c:v>0.97460166666666703</c:v>
                </c:pt>
                <c:pt idx="37">
                  <c:v>1.667038</c:v>
                </c:pt>
                <c:pt idx="38">
                  <c:v>0.46143833333333301</c:v>
                </c:pt>
                <c:pt idx="39">
                  <c:v>0.26026033333333298</c:v>
                </c:pt>
                <c:pt idx="40">
                  <c:v>0.43400433333333399</c:v>
                </c:pt>
                <c:pt idx="41">
                  <c:v>0.355090666666666</c:v>
                </c:pt>
                <c:pt idx="42">
                  <c:v>0.55572699999999997</c:v>
                </c:pt>
                <c:pt idx="43">
                  <c:v>0.75896166666666698</c:v>
                </c:pt>
                <c:pt idx="44">
                  <c:v>0.50089099999999998</c:v>
                </c:pt>
                <c:pt idx="45">
                  <c:v>0.37142766666666699</c:v>
                </c:pt>
                <c:pt idx="46">
                  <c:v>0.38933133333333297</c:v>
                </c:pt>
                <c:pt idx="47">
                  <c:v>0.33706166666666698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A1B-4F34-81FA-962F66EDDE5B}"/>
            </c:ext>
          </c:extLst>
        </c:ser>
        <c:ser>
          <c:idx val="51"/>
          <c:order val="51"/>
          <c:tx>
            <c:v>BES_TR2_six249_B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Demand_kW!$BB$2:$BB$49</c:f>
              <c:numCache>
                <c:formatCode>#,##0.000</c:formatCode>
                <c:ptCount val="48"/>
                <c:pt idx="0">
                  <c:v>3.7999999999999999E-2</c:v>
                </c:pt>
                <c:pt idx="1">
                  <c:v>0.138258666666667</c:v>
                </c:pt>
                <c:pt idx="2">
                  <c:v>8.4082000000000004E-2</c:v>
                </c:pt>
                <c:pt idx="3">
                  <c:v>0.26114233333333298</c:v>
                </c:pt>
                <c:pt idx="4">
                  <c:v>3.7999999999999999E-2</c:v>
                </c:pt>
                <c:pt idx="5">
                  <c:v>0.206967333333333</c:v>
                </c:pt>
                <c:pt idx="6">
                  <c:v>0.138258666666667</c:v>
                </c:pt>
                <c:pt idx="7">
                  <c:v>0.17624600000000001</c:v>
                </c:pt>
                <c:pt idx="8">
                  <c:v>0.14749599999999999</c:v>
                </c:pt>
                <c:pt idx="9">
                  <c:v>5.9484000000000002E-2</c:v>
                </c:pt>
                <c:pt idx="10">
                  <c:v>0.16036600000000001</c:v>
                </c:pt>
                <c:pt idx="11">
                  <c:v>0.18485733333333301</c:v>
                </c:pt>
                <c:pt idx="12">
                  <c:v>3.7999999999999999E-2</c:v>
                </c:pt>
                <c:pt idx="13">
                  <c:v>0.138258666666667</c:v>
                </c:pt>
                <c:pt idx="14">
                  <c:v>0.206967333333333</c:v>
                </c:pt>
                <c:pt idx="15">
                  <c:v>3.7999999999999999E-2</c:v>
                </c:pt>
                <c:pt idx="16">
                  <c:v>0.158808</c:v>
                </c:pt>
                <c:pt idx="17">
                  <c:v>0.18641333333333401</c:v>
                </c:pt>
                <c:pt idx="18">
                  <c:v>3.7999999999999999E-2</c:v>
                </c:pt>
                <c:pt idx="19">
                  <c:v>9.1762333333333307E-2</c:v>
                </c:pt>
                <c:pt idx="20">
                  <c:v>0.231979666666667</c:v>
                </c:pt>
                <c:pt idx="21">
                  <c:v>5.9484000000000002E-2</c:v>
                </c:pt>
                <c:pt idx="22">
                  <c:v>0.206967333333333</c:v>
                </c:pt>
                <c:pt idx="23">
                  <c:v>0.18686866666666699</c:v>
                </c:pt>
                <c:pt idx="24">
                  <c:v>0.29650700000000002</c:v>
                </c:pt>
                <c:pt idx="25">
                  <c:v>0.124455</c:v>
                </c:pt>
                <c:pt idx="26">
                  <c:v>6.7164333333333395E-2</c:v>
                </c:pt>
                <c:pt idx="27">
                  <c:v>0.19928699999999999</c:v>
                </c:pt>
                <c:pt idx="28">
                  <c:v>0.138258666666667</c:v>
                </c:pt>
                <c:pt idx="29">
                  <c:v>0.16088533333333299</c:v>
                </c:pt>
                <c:pt idx="30">
                  <c:v>8.4081999999999907E-2</c:v>
                </c:pt>
                <c:pt idx="31">
                  <c:v>0.138258666666667</c:v>
                </c:pt>
                <c:pt idx="32">
                  <c:v>0.19160666666666701</c:v>
                </c:pt>
                <c:pt idx="33">
                  <c:v>0.10349</c:v>
                </c:pt>
                <c:pt idx="34">
                  <c:v>0.11885066666666699</c:v>
                </c:pt>
                <c:pt idx="35">
                  <c:v>0.17624600000000001</c:v>
                </c:pt>
                <c:pt idx="36">
                  <c:v>0.27692733333333303</c:v>
                </c:pt>
                <c:pt idx="37">
                  <c:v>0.35642533333333298</c:v>
                </c:pt>
                <c:pt idx="38">
                  <c:v>0.43745133333333303</c:v>
                </c:pt>
                <c:pt idx="39">
                  <c:v>0.56458699999999995</c:v>
                </c:pt>
                <c:pt idx="40">
                  <c:v>0.375462666666667</c:v>
                </c:pt>
                <c:pt idx="41">
                  <c:v>0.24578166666666701</c:v>
                </c:pt>
                <c:pt idx="42">
                  <c:v>3.7999999999999999E-2</c:v>
                </c:pt>
                <c:pt idx="43">
                  <c:v>6.6645333333333404E-2</c:v>
                </c:pt>
                <c:pt idx="44">
                  <c:v>0.240179</c:v>
                </c:pt>
                <c:pt idx="45">
                  <c:v>7.6401666666666701E-2</c:v>
                </c:pt>
                <c:pt idx="46">
                  <c:v>0.138258666666667</c:v>
                </c:pt>
                <c:pt idx="47">
                  <c:v>0.206967333333333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FA1B-4F34-81FA-962F66EDDE5B}"/>
            </c:ext>
          </c:extLst>
        </c:ser>
        <c:ser>
          <c:idx val="52"/>
          <c:order val="52"/>
          <c:tx>
            <c:v>BES_TR2_six254_B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Demand_kW!$BC$2:$BC$49</c:f>
              <c:numCache>
                <c:formatCode>#,##0.000</c:formatCode>
                <c:ptCount val="48"/>
                <c:pt idx="0">
                  <c:v>0.401287</c:v>
                </c:pt>
                <c:pt idx="1">
                  <c:v>0.56177466666666698</c:v>
                </c:pt>
                <c:pt idx="2">
                  <c:v>4.8000000000000001E-2</c:v>
                </c:pt>
                <c:pt idx="3">
                  <c:v>8.1923333333333306E-2</c:v>
                </c:pt>
                <c:pt idx="4">
                  <c:v>0.163339333333333</c:v>
                </c:pt>
                <c:pt idx="5">
                  <c:v>4.8000000000000001E-2</c:v>
                </c:pt>
                <c:pt idx="6">
                  <c:v>0.18369333333333299</c:v>
                </c:pt>
                <c:pt idx="7">
                  <c:v>6.1569333333333399E-2</c:v>
                </c:pt>
                <c:pt idx="8">
                  <c:v>0.14298533333333299</c:v>
                </c:pt>
                <c:pt idx="9">
                  <c:v>0.102277333333333</c:v>
                </c:pt>
                <c:pt idx="10">
                  <c:v>4.8000000000000001E-2</c:v>
                </c:pt>
                <c:pt idx="11">
                  <c:v>9.5492666666666698E-2</c:v>
                </c:pt>
                <c:pt idx="12">
                  <c:v>0.14976999999999999</c:v>
                </c:pt>
                <c:pt idx="13">
                  <c:v>4.8000000000000001E-2</c:v>
                </c:pt>
                <c:pt idx="14">
                  <c:v>0.21425533333333299</c:v>
                </c:pt>
                <c:pt idx="15">
                  <c:v>0.10336933333333299</c:v>
                </c:pt>
                <c:pt idx="16">
                  <c:v>4.8000000000000001E-2</c:v>
                </c:pt>
                <c:pt idx="17">
                  <c:v>0.199723866666667</c:v>
                </c:pt>
                <c:pt idx="18">
                  <c:v>6.0305999999999998E-2</c:v>
                </c:pt>
                <c:pt idx="19">
                  <c:v>0.15697766666666699</c:v>
                </c:pt>
                <c:pt idx="20">
                  <c:v>1.67809133333333</c:v>
                </c:pt>
                <c:pt idx="21">
                  <c:v>0.63519733333333295</c:v>
                </c:pt>
                <c:pt idx="22">
                  <c:v>0.67319600000000002</c:v>
                </c:pt>
                <c:pt idx="23">
                  <c:v>0.37386866666666702</c:v>
                </c:pt>
                <c:pt idx="24">
                  <c:v>0.29950733333333301</c:v>
                </c:pt>
                <c:pt idx="25">
                  <c:v>0.25144633333333299</c:v>
                </c:pt>
                <c:pt idx="26">
                  <c:v>0.39851999999999999</c:v>
                </c:pt>
                <c:pt idx="27">
                  <c:v>0.50179333333333298</c:v>
                </c:pt>
                <c:pt idx="28">
                  <c:v>0.28097</c:v>
                </c:pt>
                <c:pt idx="29">
                  <c:v>0.38911800000000002</c:v>
                </c:pt>
                <c:pt idx="30">
                  <c:v>0.16434799999999999</c:v>
                </c:pt>
                <c:pt idx="31">
                  <c:v>0.28941600000000001</c:v>
                </c:pt>
                <c:pt idx="32">
                  <c:v>0.26528333333333398</c:v>
                </c:pt>
                <c:pt idx="33">
                  <c:v>0.120161366666667</c:v>
                </c:pt>
                <c:pt idx="34">
                  <c:v>0.22743596666666699</c:v>
                </c:pt>
                <c:pt idx="35">
                  <c:v>9.5731433333333296E-2</c:v>
                </c:pt>
                <c:pt idx="36">
                  <c:v>0.30405789999999999</c:v>
                </c:pt>
                <c:pt idx="37">
                  <c:v>0.17460999999999999</c:v>
                </c:pt>
                <c:pt idx="38">
                  <c:v>0.14112766666666701</c:v>
                </c:pt>
                <c:pt idx="39">
                  <c:v>0.43013233333333301</c:v>
                </c:pt>
                <c:pt idx="40">
                  <c:v>0.42152133333333303</c:v>
                </c:pt>
                <c:pt idx="41">
                  <c:v>0.77088000000000001</c:v>
                </c:pt>
                <c:pt idx="42">
                  <c:v>0.49048666666666701</c:v>
                </c:pt>
                <c:pt idx="43">
                  <c:v>0.66841866666666705</c:v>
                </c:pt>
                <c:pt idx="44">
                  <c:v>0.364103333333333</c:v>
                </c:pt>
                <c:pt idx="45">
                  <c:v>5.4784666666666697E-2</c:v>
                </c:pt>
                <c:pt idx="46">
                  <c:v>0.30282500000000001</c:v>
                </c:pt>
                <c:pt idx="47">
                  <c:v>0.39373599999999997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A1B-4F34-81FA-962F66EDDE5B}"/>
            </c:ext>
          </c:extLst>
        </c:ser>
        <c:ser>
          <c:idx val="53"/>
          <c:order val="53"/>
          <c:tx>
            <c:v>BES_TR2_six269_C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Demand_kW!$BD$2:$BD$49</c:f>
              <c:numCache>
                <c:formatCode>#,##0.000</c:formatCode>
                <c:ptCount val="48"/>
                <c:pt idx="0">
                  <c:v>0.17833866666666701</c:v>
                </c:pt>
                <c:pt idx="1">
                  <c:v>0.10125199999999999</c:v>
                </c:pt>
                <c:pt idx="2">
                  <c:v>0.12785199999999999</c:v>
                </c:pt>
                <c:pt idx="3">
                  <c:v>0.22459066666666699</c:v>
                </c:pt>
                <c:pt idx="4">
                  <c:v>6.3094666666666702E-2</c:v>
                </c:pt>
                <c:pt idx="5">
                  <c:v>0.11975733333333299</c:v>
                </c:pt>
                <c:pt idx="6">
                  <c:v>0.24482733333333301</c:v>
                </c:pt>
                <c:pt idx="7">
                  <c:v>0.10761533333333299</c:v>
                </c:pt>
                <c:pt idx="8">
                  <c:v>0.238276666666667</c:v>
                </c:pt>
                <c:pt idx="9">
                  <c:v>0.114166</c:v>
                </c:pt>
                <c:pt idx="10">
                  <c:v>7.5236666666666702E-2</c:v>
                </c:pt>
                <c:pt idx="11">
                  <c:v>0.246371333333333</c:v>
                </c:pt>
                <c:pt idx="12">
                  <c:v>8.5834666666666698E-2</c:v>
                </c:pt>
                <c:pt idx="13">
                  <c:v>8.5834666666666698E-2</c:v>
                </c:pt>
                <c:pt idx="14">
                  <c:v>0.26660800000000001</c:v>
                </c:pt>
                <c:pt idx="15">
                  <c:v>5.5E-2</c:v>
                </c:pt>
                <c:pt idx="16">
                  <c:v>0.22687399999999999</c:v>
                </c:pt>
                <c:pt idx="17">
                  <c:v>0.43342126666666703</c:v>
                </c:pt>
                <c:pt idx="18">
                  <c:v>0.264382333333333</c:v>
                </c:pt>
                <c:pt idx="19">
                  <c:v>0.30321999999999999</c:v>
                </c:pt>
                <c:pt idx="20">
                  <c:v>0.32930733333333301</c:v>
                </c:pt>
                <c:pt idx="21">
                  <c:v>1.07545293333333</c:v>
                </c:pt>
                <c:pt idx="22">
                  <c:v>0.167091666666667</c:v>
                </c:pt>
                <c:pt idx="23">
                  <c:v>1.1581980000000001</c:v>
                </c:pt>
                <c:pt idx="24">
                  <c:v>2.1677266666666699</c:v>
                </c:pt>
                <c:pt idx="25">
                  <c:v>1.64635873333333</c:v>
                </c:pt>
                <c:pt idx="26">
                  <c:v>0.21170720000000001</c:v>
                </c:pt>
                <c:pt idx="27">
                  <c:v>0.24725179999999999</c:v>
                </c:pt>
                <c:pt idx="28">
                  <c:v>0.1004946</c:v>
                </c:pt>
                <c:pt idx="29">
                  <c:v>0.31553053333333397</c:v>
                </c:pt>
                <c:pt idx="30">
                  <c:v>9.3543333333333395E-2</c:v>
                </c:pt>
                <c:pt idx="31">
                  <c:v>0.10125199999999999</c:v>
                </c:pt>
                <c:pt idx="32">
                  <c:v>0.23904866666666699</c:v>
                </c:pt>
                <c:pt idx="33">
                  <c:v>6.7141999999999993E-2</c:v>
                </c:pt>
                <c:pt idx="34">
                  <c:v>0.24964666666666699</c:v>
                </c:pt>
                <c:pt idx="35">
                  <c:v>0.102796</c:v>
                </c:pt>
                <c:pt idx="36">
                  <c:v>5.5E-2</c:v>
                </c:pt>
                <c:pt idx="37">
                  <c:v>0.106843333333333</c:v>
                </c:pt>
                <c:pt idx="38">
                  <c:v>0.245599333333333</c:v>
                </c:pt>
                <c:pt idx="39">
                  <c:v>5.5E-2</c:v>
                </c:pt>
                <c:pt idx="40">
                  <c:v>0.28202533333333302</c:v>
                </c:pt>
                <c:pt idx="41">
                  <c:v>7.0417333333333304E-2</c:v>
                </c:pt>
                <c:pt idx="42">
                  <c:v>0.14095333333333299</c:v>
                </c:pt>
                <c:pt idx="43">
                  <c:v>0.211489333333333</c:v>
                </c:pt>
                <c:pt idx="44">
                  <c:v>5.5E-2</c:v>
                </c:pt>
                <c:pt idx="45">
                  <c:v>0.26101666666666701</c:v>
                </c:pt>
                <c:pt idx="46">
                  <c:v>9.1426000000000104E-2</c:v>
                </c:pt>
                <c:pt idx="47">
                  <c:v>0.22013133333333301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FA1B-4F34-81FA-962F66EDDE5B}"/>
            </c:ext>
          </c:extLst>
        </c:ser>
        <c:ser>
          <c:idx val="54"/>
          <c:order val="54"/>
          <c:tx>
            <c:v>BES_TR2_six289_C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Demand_kW!$BE$2:$BE$49</c:f>
              <c:numCache>
                <c:formatCode>#,##0.000</c:formatCode>
                <c:ptCount val="48"/>
                <c:pt idx="0">
                  <c:v>0.61022666666666703</c:v>
                </c:pt>
                <c:pt idx="1">
                  <c:v>0.23048233333333301</c:v>
                </c:pt>
                <c:pt idx="2">
                  <c:v>0.104282333333333</c:v>
                </c:pt>
                <c:pt idx="3">
                  <c:v>0.16441866666666699</c:v>
                </c:pt>
                <c:pt idx="4">
                  <c:v>0.170346</c:v>
                </c:pt>
                <c:pt idx="5">
                  <c:v>9.1032000000000002E-2</c:v>
                </c:pt>
                <c:pt idx="6">
                  <c:v>0.217294666666667</c:v>
                </c:pt>
                <c:pt idx="7">
                  <c:v>7.3438000000000003E-2</c:v>
                </c:pt>
                <c:pt idx="8">
                  <c:v>0.27013933333333301</c:v>
                </c:pt>
                <c:pt idx="9">
                  <c:v>6.4625333333333299E-2</c:v>
                </c:pt>
                <c:pt idx="10">
                  <c:v>4.7E-2</c:v>
                </c:pt>
                <c:pt idx="11">
                  <c:v>0.20845066666666701</c:v>
                </c:pt>
                <c:pt idx="12">
                  <c:v>4.7E-2</c:v>
                </c:pt>
                <c:pt idx="13">
                  <c:v>0.163007333333333</c:v>
                </c:pt>
                <c:pt idx="14">
                  <c:v>0.17175733333333301</c:v>
                </c:pt>
                <c:pt idx="15">
                  <c:v>1.038095</c:v>
                </c:pt>
                <c:pt idx="16">
                  <c:v>0.35378399999999999</c:v>
                </c:pt>
                <c:pt idx="17">
                  <c:v>1.46235</c:v>
                </c:pt>
                <c:pt idx="18">
                  <c:v>1.3136000000000001</c:v>
                </c:pt>
                <c:pt idx="19">
                  <c:v>0.69028699999999998</c:v>
                </c:pt>
                <c:pt idx="20">
                  <c:v>0.13628833333333301</c:v>
                </c:pt>
                <c:pt idx="21">
                  <c:v>0.391303333333333</c:v>
                </c:pt>
                <c:pt idx="22">
                  <c:v>0.38413666666666602</c:v>
                </c:pt>
                <c:pt idx="23">
                  <c:v>2.0925213333333299</c:v>
                </c:pt>
                <c:pt idx="24">
                  <c:v>1.09109266666667</c:v>
                </c:pt>
                <c:pt idx="25">
                  <c:v>0.35982999999999998</c:v>
                </c:pt>
                <c:pt idx="26">
                  <c:v>0.411503333333333</c:v>
                </c:pt>
                <c:pt idx="27">
                  <c:v>0.488458</c:v>
                </c:pt>
                <c:pt idx="28">
                  <c:v>0.353188</c:v>
                </c:pt>
                <c:pt idx="29">
                  <c:v>0.92755366666666705</c:v>
                </c:pt>
                <c:pt idx="30">
                  <c:v>1.2306090000000001</c:v>
                </c:pt>
                <c:pt idx="31">
                  <c:v>2.0705116666666701</c:v>
                </c:pt>
                <c:pt idx="32">
                  <c:v>0.34749533333333299</c:v>
                </c:pt>
                <c:pt idx="33">
                  <c:v>0.50021466666666703</c:v>
                </c:pt>
                <c:pt idx="34">
                  <c:v>1.027034</c:v>
                </c:pt>
                <c:pt idx="35">
                  <c:v>0.78999866666666696</c:v>
                </c:pt>
                <c:pt idx="36">
                  <c:v>0.44662733333333299</c:v>
                </c:pt>
                <c:pt idx="37">
                  <c:v>0.18644566666666701</c:v>
                </c:pt>
                <c:pt idx="38">
                  <c:v>0.450801333333333</c:v>
                </c:pt>
                <c:pt idx="39">
                  <c:v>0.43179099999999998</c:v>
                </c:pt>
                <c:pt idx="40">
                  <c:v>2.1679163333333298</c:v>
                </c:pt>
                <c:pt idx="41">
                  <c:v>2.46518666666667</c:v>
                </c:pt>
                <c:pt idx="42">
                  <c:v>1.9230716666666701</c:v>
                </c:pt>
                <c:pt idx="43">
                  <c:v>1.6922533333333301</c:v>
                </c:pt>
                <c:pt idx="44">
                  <c:v>1.1790273333333301</c:v>
                </c:pt>
                <c:pt idx="45">
                  <c:v>0.39536666666666698</c:v>
                </c:pt>
                <c:pt idx="46">
                  <c:v>0.12631400000000001</c:v>
                </c:pt>
                <c:pt idx="47">
                  <c:v>0.17909600000000001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A1B-4F34-81FA-962F66EDDE5B}"/>
            </c:ext>
          </c:extLst>
        </c:ser>
        <c:ser>
          <c:idx val="55"/>
          <c:order val="55"/>
          <c:tx>
            <c:v>BES_TR2_six317_C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Demand_kW!$BF$2:$BF$49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4.8000000000000001E-2</c:v>
                </c:pt>
                <c:pt idx="8">
                  <c:v>4.8000000000000001E-2</c:v>
                </c:pt>
                <c:pt idx="9">
                  <c:v>4.8000000000000001E-2</c:v>
                </c:pt>
                <c:pt idx="10">
                  <c:v>4.8000000000000001E-2</c:v>
                </c:pt>
                <c:pt idx="11">
                  <c:v>4.8000000000000001E-2</c:v>
                </c:pt>
                <c:pt idx="12">
                  <c:v>4.8000000000000001E-2</c:v>
                </c:pt>
                <c:pt idx="13">
                  <c:v>4.8000000000000001E-2</c:v>
                </c:pt>
                <c:pt idx="14">
                  <c:v>5.45E-2</c:v>
                </c:pt>
                <c:pt idx="15">
                  <c:v>0.145617</c:v>
                </c:pt>
                <c:pt idx="16">
                  <c:v>4.8000000000000001E-2</c:v>
                </c:pt>
                <c:pt idx="17">
                  <c:v>4.8000000000000001E-2</c:v>
                </c:pt>
                <c:pt idx="18">
                  <c:v>4.8000000000000001E-2</c:v>
                </c:pt>
                <c:pt idx="19">
                  <c:v>4.8000000000000001E-2</c:v>
                </c:pt>
                <c:pt idx="20">
                  <c:v>0.3357562</c:v>
                </c:pt>
                <c:pt idx="21">
                  <c:v>3.0302133333333301</c:v>
                </c:pt>
                <c:pt idx="22">
                  <c:v>2.3348599999999999</c:v>
                </c:pt>
                <c:pt idx="23">
                  <c:v>0.67030820000000002</c:v>
                </c:pt>
                <c:pt idx="24">
                  <c:v>8.1142000000000006E-2</c:v>
                </c:pt>
                <c:pt idx="25">
                  <c:v>8.3141933333333307E-2</c:v>
                </c:pt>
                <c:pt idx="26">
                  <c:v>0.24562999999999999</c:v>
                </c:pt>
                <c:pt idx="27">
                  <c:v>4.8000000000000001E-2</c:v>
                </c:pt>
                <c:pt idx="28">
                  <c:v>4.8000000000000001E-2</c:v>
                </c:pt>
                <c:pt idx="29">
                  <c:v>0.14161699999999999</c:v>
                </c:pt>
                <c:pt idx="30">
                  <c:v>6.1675366666666703E-2</c:v>
                </c:pt>
                <c:pt idx="31">
                  <c:v>0.15223610000000001</c:v>
                </c:pt>
                <c:pt idx="32">
                  <c:v>0.132408533333333</c:v>
                </c:pt>
                <c:pt idx="33">
                  <c:v>2.2084181333333301</c:v>
                </c:pt>
                <c:pt idx="34">
                  <c:v>0.15238409999999999</c:v>
                </c:pt>
                <c:pt idx="35">
                  <c:v>0.103285366666667</c:v>
                </c:pt>
                <c:pt idx="36">
                  <c:v>9.5732666666666702E-2</c:v>
                </c:pt>
                <c:pt idx="37">
                  <c:v>0.28563</c:v>
                </c:pt>
                <c:pt idx="38">
                  <c:v>9.6038333333333406E-2</c:v>
                </c:pt>
                <c:pt idx="39">
                  <c:v>0.21008633333333299</c:v>
                </c:pt>
                <c:pt idx="40">
                  <c:v>0.30892666666666702</c:v>
                </c:pt>
                <c:pt idx="41">
                  <c:v>0.18898906666666701</c:v>
                </c:pt>
                <c:pt idx="42">
                  <c:v>0.24242366666666701</c:v>
                </c:pt>
                <c:pt idx="43">
                  <c:v>0.241442666666667</c:v>
                </c:pt>
                <c:pt idx="44">
                  <c:v>0.32100000000000001</c:v>
                </c:pt>
                <c:pt idx="45">
                  <c:v>0.84658699999999998</c:v>
                </c:pt>
                <c:pt idx="46">
                  <c:v>0.289486666666667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FA1B-4F34-81FA-962F66EDDE5B}"/>
            </c:ext>
          </c:extLst>
        </c:ser>
        <c:ser>
          <c:idx val="56"/>
          <c:order val="56"/>
          <c:tx>
            <c:v>BES_TR2_six326_A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Demand_kW!$BG$2:$BG$49</c:f>
              <c:numCache>
                <c:formatCode>#,##0.000</c:formatCode>
                <c:ptCount val="48"/>
                <c:pt idx="0">
                  <c:v>0.145344</c:v>
                </c:pt>
                <c:pt idx="1">
                  <c:v>4.7E-2</c:v>
                </c:pt>
                <c:pt idx="2">
                  <c:v>0.114288</c:v>
                </c:pt>
                <c:pt idx="3">
                  <c:v>0.18312200000000001</c:v>
                </c:pt>
                <c:pt idx="4">
                  <c:v>8.3232E-2</c:v>
                </c:pt>
                <c:pt idx="5">
                  <c:v>0.21417800000000001</c:v>
                </c:pt>
                <c:pt idx="6">
                  <c:v>4.7E-2</c:v>
                </c:pt>
                <c:pt idx="7">
                  <c:v>0.102524333333333</c:v>
                </c:pt>
                <c:pt idx="8">
                  <c:v>0.19488566666666701</c:v>
                </c:pt>
                <c:pt idx="9">
                  <c:v>4.7E-2</c:v>
                </c:pt>
                <c:pt idx="10">
                  <c:v>4.7E-2</c:v>
                </c:pt>
                <c:pt idx="11">
                  <c:v>0.13653799999999999</c:v>
                </c:pt>
                <c:pt idx="12">
                  <c:v>0.16087199999999999</c:v>
                </c:pt>
                <c:pt idx="13">
                  <c:v>4.7E-2</c:v>
                </c:pt>
                <c:pt idx="14">
                  <c:v>0.119464</c:v>
                </c:pt>
                <c:pt idx="15">
                  <c:v>0.167997333333333</c:v>
                </c:pt>
                <c:pt idx="16">
                  <c:v>7.7652666666666703E-2</c:v>
                </c:pt>
                <c:pt idx="17">
                  <c:v>0.14016799999999999</c:v>
                </c:pt>
                <c:pt idx="18">
                  <c:v>0.13653799999999999</c:v>
                </c:pt>
                <c:pt idx="19">
                  <c:v>0.58336266666666703</c:v>
                </c:pt>
                <c:pt idx="20">
                  <c:v>0.97096333333333296</c:v>
                </c:pt>
                <c:pt idx="21">
                  <c:v>4.7E-2</c:v>
                </c:pt>
                <c:pt idx="22">
                  <c:v>0.155696</c:v>
                </c:pt>
                <c:pt idx="23">
                  <c:v>0.14171400000000001</c:v>
                </c:pt>
                <c:pt idx="24">
                  <c:v>4.7E-2</c:v>
                </c:pt>
                <c:pt idx="25">
                  <c:v>0.182205333333333</c:v>
                </c:pt>
                <c:pt idx="26">
                  <c:v>0.176538</c:v>
                </c:pt>
                <c:pt idx="27">
                  <c:v>0.117067666666667</c:v>
                </c:pt>
                <c:pt idx="28">
                  <c:v>0.193675666666667</c:v>
                </c:pt>
                <c:pt idx="29">
                  <c:v>9.0499999999999997E-2</c:v>
                </c:pt>
                <c:pt idx="30">
                  <c:v>0.20601800000000001</c:v>
                </c:pt>
                <c:pt idx="31">
                  <c:v>0.17512800000000001</c:v>
                </c:pt>
                <c:pt idx="32">
                  <c:v>0.130646233333333</c:v>
                </c:pt>
                <c:pt idx="33">
                  <c:v>0.127486933333333</c:v>
                </c:pt>
                <c:pt idx="34">
                  <c:v>0.1981842</c:v>
                </c:pt>
                <c:pt idx="35">
                  <c:v>0.1183332</c:v>
                </c:pt>
                <c:pt idx="36">
                  <c:v>0.269681</c:v>
                </c:pt>
                <c:pt idx="37">
                  <c:v>0.36505933333333301</c:v>
                </c:pt>
                <c:pt idx="38">
                  <c:v>0.25570999999999999</c:v>
                </c:pt>
                <c:pt idx="39">
                  <c:v>0.40818333333333301</c:v>
                </c:pt>
                <c:pt idx="40">
                  <c:v>0.58860100000000004</c:v>
                </c:pt>
                <c:pt idx="41">
                  <c:v>0.62531266666666696</c:v>
                </c:pt>
                <c:pt idx="42">
                  <c:v>4.7E-2</c:v>
                </c:pt>
                <c:pt idx="43">
                  <c:v>0.119464</c:v>
                </c:pt>
                <c:pt idx="44">
                  <c:v>8.8408E-2</c:v>
                </c:pt>
                <c:pt idx="45">
                  <c:v>6.1922999999999999E-2</c:v>
                </c:pt>
                <c:pt idx="46">
                  <c:v>0.235487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A1B-4F34-81FA-962F66EDDE5B}"/>
            </c:ext>
          </c:extLst>
        </c:ser>
        <c:ser>
          <c:idx val="57"/>
          <c:order val="57"/>
          <c:tx>
            <c:v>BES_TR2_six329_A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Demand_kW!$BH$2:$BH$49</c:f>
              <c:numCache>
                <c:formatCode>#,##0.000</c:formatCode>
                <c:ptCount val="48"/>
                <c:pt idx="0">
                  <c:v>2.9000000000000001E-2</c:v>
                </c:pt>
                <c:pt idx="1">
                  <c:v>2.9000000000000001E-2</c:v>
                </c:pt>
                <c:pt idx="2">
                  <c:v>2.9000000000000001E-2</c:v>
                </c:pt>
                <c:pt idx="3">
                  <c:v>2.9000000000000001E-2</c:v>
                </c:pt>
                <c:pt idx="4">
                  <c:v>2.9000000000000001E-2</c:v>
                </c:pt>
                <c:pt idx="5">
                  <c:v>2.9000000000000001E-2</c:v>
                </c:pt>
                <c:pt idx="6">
                  <c:v>2.9000000000000001E-2</c:v>
                </c:pt>
                <c:pt idx="7">
                  <c:v>2.9000000000000001E-2</c:v>
                </c:pt>
                <c:pt idx="8">
                  <c:v>2.9000000000000001E-2</c:v>
                </c:pt>
                <c:pt idx="9">
                  <c:v>2.9000000000000001E-2</c:v>
                </c:pt>
                <c:pt idx="10">
                  <c:v>2.9000000000000001E-2</c:v>
                </c:pt>
                <c:pt idx="11">
                  <c:v>2.9000000000000001E-2</c:v>
                </c:pt>
                <c:pt idx="12">
                  <c:v>2.9000000000000001E-2</c:v>
                </c:pt>
                <c:pt idx="13">
                  <c:v>2.9000000000000001E-2</c:v>
                </c:pt>
                <c:pt idx="14">
                  <c:v>2.9000000000000001E-2</c:v>
                </c:pt>
                <c:pt idx="15">
                  <c:v>2.9000000000000001E-2</c:v>
                </c:pt>
                <c:pt idx="16">
                  <c:v>2.9000000000000001E-2</c:v>
                </c:pt>
                <c:pt idx="17">
                  <c:v>2.9000000000000001E-2</c:v>
                </c:pt>
                <c:pt idx="18">
                  <c:v>2.9000000000000001E-2</c:v>
                </c:pt>
                <c:pt idx="19">
                  <c:v>2.9000000000000001E-2</c:v>
                </c:pt>
                <c:pt idx="20">
                  <c:v>2.9000000000000001E-2</c:v>
                </c:pt>
                <c:pt idx="21">
                  <c:v>2.9000000000000001E-2</c:v>
                </c:pt>
                <c:pt idx="22">
                  <c:v>2.9000000000000001E-2</c:v>
                </c:pt>
                <c:pt idx="23">
                  <c:v>2.9000000000000001E-2</c:v>
                </c:pt>
                <c:pt idx="24">
                  <c:v>2.9000000000000001E-2</c:v>
                </c:pt>
                <c:pt idx="25">
                  <c:v>0.67879999999999996</c:v>
                </c:pt>
                <c:pt idx="26">
                  <c:v>0.79154133333333399</c:v>
                </c:pt>
                <c:pt idx="27">
                  <c:v>5.9132666666666597E-2</c:v>
                </c:pt>
                <c:pt idx="28">
                  <c:v>4.9000000000000002E-2</c:v>
                </c:pt>
                <c:pt idx="29">
                  <c:v>2.9000000000000001E-2</c:v>
                </c:pt>
                <c:pt idx="30">
                  <c:v>2.9000000000000001E-2</c:v>
                </c:pt>
                <c:pt idx="31">
                  <c:v>2.9000000000000001E-2</c:v>
                </c:pt>
                <c:pt idx="32">
                  <c:v>2.9000000000000001E-2</c:v>
                </c:pt>
                <c:pt idx="33">
                  <c:v>2.9000000000000001E-2</c:v>
                </c:pt>
                <c:pt idx="34">
                  <c:v>2.9000000000000001E-2</c:v>
                </c:pt>
                <c:pt idx="35">
                  <c:v>2.9000000000000001E-2</c:v>
                </c:pt>
                <c:pt idx="36">
                  <c:v>2.9000000000000001E-2</c:v>
                </c:pt>
                <c:pt idx="37">
                  <c:v>6.8000000000000005E-2</c:v>
                </c:pt>
                <c:pt idx="38">
                  <c:v>0.17214333333333301</c:v>
                </c:pt>
                <c:pt idx="39">
                  <c:v>1.34402666666667</c:v>
                </c:pt>
                <c:pt idx="40">
                  <c:v>0.50855499999999998</c:v>
                </c:pt>
                <c:pt idx="41">
                  <c:v>0.566709666666667</c:v>
                </c:pt>
                <c:pt idx="42">
                  <c:v>0.59542333333333297</c:v>
                </c:pt>
                <c:pt idx="43">
                  <c:v>0.470061333333333</c:v>
                </c:pt>
                <c:pt idx="44">
                  <c:v>0.38290666666666701</c:v>
                </c:pt>
                <c:pt idx="45">
                  <c:v>0.461818333333333</c:v>
                </c:pt>
                <c:pt idx="46">
                  <c:v>0.184793333333333</c:v>
                </c:pt>
                <c:pt idx="47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FA1B-4F34-81FA-962F66EDDE5B}"/>
            </c:ext>
          </c:extLst>
        </c:ser>
        <c:ser>
          <c:idx val="58"/>
          <c:order val="58"/>
          <c:tx>
            <c:v>BES_TR2_six342_A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Demand_kW!$BI$2:$BI$49</c:f>
              <c:numCache>
                <c:formatCode>#,##0.000</c:formatCode>
                <c:ptCount val="48"/>
                <c:pt idx="0">
                  <c:v>0.367209333333333</c:v>
                </c:pt>
                <c:pt idx="1">
                  <c:v>0.447135333333333</c:v>
                </c:pt>
                <c:pt idx="2">
                  <c:v>0.17234133333333301</c:v>
                </c:pt>
                <c:pt idx="3">
                  <c:v>0.54443433333333302</c:v>
                </c:pt>
                <c:pt idx="4">
                  <c:v>0.23124366666666701</c:v>
                </c:pt>
                <c:pt idx="5">
                  <c:v>0.33340966666666699</c:v>
                </c:pt>
                <c:pt idx="6">
                  <c:v>0.520193666666666</c:v>
                </c:pt>
                <c:pt idx="7">
                  <c:v>7.5623999999999997E-2</c:v>
                </c:pt>
                <c:pt idx="8">
                  <c:v>4.8000000000000001E-2</c:v>
                </c:pt>
                <c:pt idx="9">
                  <c:v>4.8000000000000001E-2</c:v>
                </c:pt>
                <c:pt idx="10">
                  <c:v>0.199932</c:v>
                </c:pt>
                <c:pt idx="11">
                  <c:v>4.8000000000000001E-2</c:v>
                </c:pt>
                <c:pt idx="12">
                  <c:v>0.16540199999999999</c:v>
                </c:pt>
                <c:pt idx="13">
                  <c:v>8.2530000000000006E-2</c:v>
                </c:pt>
                <c:pt idx="14">
                  <c:v>0.12396600000000001</c:v>
                </c:pt>
                <c:pt idx="15">
                  <c:v>0.12396600000000001</c:v>
                </c:pt>
                <c:pt idx="16">
                  <c:v>4.8000000000000001E-2</c:v>
                </c:pt>
                <c:pt idx="17">
                  <c:v>8.2530000000000006E-2</c:v>
                </c:pt>
                <c:pt idx="18">
                  <c:v>0.16540199999999999</c:v>
                </c:pt>
                <c:pt idx="19">
                  <c:v>4.8000000000000001E-2</c:v>
                </c:pt>
                <c:pt idx="20">
                  <c:v>4.8000000000000001E-2</c:v>
                </c:pt>
                <c:pt idx="21">
                  <c:v>4.8000000000000001E-2</c:v>
                </c:pt>
                <c:pt idx="22">
                  <c:v>0.199932</c:v>
                </c:pt>
                <c:pt idx="23">
                  <c:v>4.8000000000000001E-2</c:v>
                </c:pt>
                <c:pt idx="24">
                  <c:v>0.14468400000000001</c:v>
                </c:pt>
                <c:pt idx="25">
                  <c:v>0.10324800000000001</c:v>
                </c:pt>
                <c:pt idx="26">
                  <c:v>4.8000000000000001E-2</c:v>
                </c:pt>
                <c:pt idx="27">
                  <c:v>8.9436000000000002E-2</c:v>
                </c:pt>
                <c:pt idx="28">
                  <c:v>0.158496</c:v>
                </c:pt>
                <c:pt idx="29">
                  <c:v>4.8000000000000001E-2</c:v>
                </c:pt>
                <c:pt idx="30">
                  <c:v>4.8000000000000001E-2</c:v>
                </c:pt>
                <c:pt idx="31">
                  <c:v>0.199932</c:v>
                </c:pt>
                <c:pt idx="32">
                  <c:v>4.8000000000000001E-2</c:v>
                </c:pt>
                <c:pt idx="33">
                  <c:v>0.18612000000000001</c:v>
                </c:pt>
                <c:pt idx="34">
                  <c:v>6.1811999999999999E-2</c:v>
                </c:pt>
                <c:pt idx="35">
                  <c:v>5.8776866666666698E-2</c:v>
                </c:pt>
                <c:pt idx="36">
                  <c:v>4.8000000000000001E-2</c:v>
                </c:pt>
                <c:pt idx="37">
                  <c:v>0.460160333333333</c:v>
                </c:pt>
                <c:pt idx="38">
                  <c:v>0.200128</c:v>
                </c:pt>
                <c:pt idx="39">
                  <c:v>0.20539199999999999</c:v>
                </c:pt>
                <c:pt idx="40">
                  <c:v>0.27731733333333303</c:v>
                </c:pt>
                <c:pt idx="41">
                  <c:v>0.19616</c:v>
                </c:pt>
                <c:pt idx="42">
                  <c:v>0.36911533333333302</c:v>
                </c:pt>
                <c:pt idx="43">
                  <c:v>0.36746166666666702</c:v>
                </c:pt>
                <c:pt idx="44">
                  <c:v>0.44893</c:v>
                </c:pt>
                <c:pt idx="45">
                  <c:v>0.439406666666667</c:v>
                </c:pt>
                <c:pt idx="46">
                  <c:v>0.44</c:v>
                </c:pt>
                <c:pt idx="47">
                  <c:v>0.25321466666666698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FA1B-4F34-81FA-962F66EDDE5B}"/>
            </c:ext>
          </c:extLst>
        </c:ser>
        <c:ser>
          <c:idx val="59"/>
          <c:order val="59"/>
          <c:tx>
            <c:v>BES_TR2_six349_A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Demand_kW!$BJ$2:$BJ$49</c:f>
              <c:numCache>
                <c:formatCode>#,##0.000</c:formatCode>
                <c:ptCount val="48"/>
                <c:pt idx="0">
                  <c:v>0.43076799999999998</c:v>
                </c:pt>
                <c:pt idx="1">
                  <c:v>0.43712933333333298</c:v>
                </c:pt>
                <c:pt idx="2">
                  <c:v>3.9E-2</c:v>
                </c:pt>
                <c:pt idx="3">
                  <c:v>0.14194200000000001</c:v>
                </c:pt>
                <c:pt idx="4">
                  <c:v>0.194305333333333</c:v>
                </c:pt>
                <c:pt idx="5">
                  <c:v>3.9E-2</c:v>
                </c:pt>
                <c:pt idx="6">
                  <c:v>0.104589666666667</c:v>
                </c:pt>
                <c:pt idx="7">
                  <c:v>0.23165766666666601</c:v>
                </c:pt>
                <c:pt idx="8">
                  <c:v>3.9E-2</c:v>
                </c:pt>
                <c:pt idx="9">
                  <c:v>0.194305333333333</c:v>
                </c:pt>
                <c:pt idx="10">
                  <c:v>0.14194200000000001</c:v>
                </c:pt>
                <c:pt idx="11">
                  <c:v>3.9E-2</c:v>
                </c:pt>
                <c:pt idx="12">
                  <c:v>0.24577633333333301</c:v>
                </c:pt>
                <c:pt idx="13">
                  <c:v>9.0471000000000107E-2</c:v>
                </c:pt>
                <c:pt idx="14">
                  <c:v>0.15900866666666699</c:v>
                </c:pt>
                <c:pt idx="15">
                  <c:v>0.17723866666666699</c:v>
                </c:pt>
                <c:pt idx="16">
                  <c:v>7.0330333333333397E-2</c:v>
                </c:pt>
                <c:pt idx="17">
                  <c:v>0.187246</c:v>
                </c:pt>
                <c:pt idx="18">
                  <c:v>0.14344199999999999</c:v>
                </c:pt>
                <c:pt idx="19">
                  <c:v>0.32902266666666702</c:v>
                </c:pt>
                <c:pt idx="20">
                  <c:v>0.224947333333333</c:v>
                </c:pt>
                <c:pt idx="21">
                  <c:v>0.24901999999999999</c:v>
                </c:pt>
                <c:pt idx="22">
                  <c:v>0.18751000000000001</c:v>
                </c:pt>
                <c:pt idx="23">
                  <c:v>0.55271566666666705</c:v>
                </c:pt>
                <c:pt idx="24">
                  <c:v>0.18751000000000001</c:v>
                </c:pt>
                <c:pt idx="25">
                  <c:v>0.53835</c:v>
                </c:pt>
                <c:pt idx="26">
                  <c:v>0.253711666666667</c:v>
                </c:pt>
                <c:pt idx="27">
                  <c:v>6.0178000000000002E-2</c:v>
                </c:pt>
                <c:pt idx="28">
                  <c:v>0.276069333333333</c:v>
                </c:pt>
                <c:pt idx="29">
                  <c:v>3.9E-2</c:v>
                </c:pt>
                <c:pt idx="30">
                  <c:v>0.20371400000000001</c:v>
                </c:pt>
                <c:pt idx="31">
                  <c:v>0.132533333333333</c:v>
                </c:pt>
                <c:pt idx="32">
                  <c:v>3.9E-2</c:v>
                </c:pt>
                <c:pt idx="33">
                  <c:v>0.26901000000000003</c:v>
                </c:pt>
                <c:pt idx="34">
                  <c:v>6.7237333333333302E-2</c:v>
                </c:pt>
                <c:pt idx="35">
                  <c:v>0.28438933333333299</c:v>
                </c:pt>
                <c:pt idx="36">
                  <c:v>0.443272</c:v>
                </c:pt>
                <c:pt idx="37">
                  <c:v>1.14848366666667</c:v>
                </c:pt>
                <c:pt idx="38">
                  <c:v>0.39350366666666697</c:v>
                </c:pt>
                <c:pt idx="39">
                  <c:v>0.26950766666666698</c:v>
                </c:pt>
                <c:pt idx="40">
                  <c:v>3.9E-2</c:v>
                </c:pt>
                <c:pt idx="41">
                  <c:v>0.14194200000000001</c:v>
                </c:pt>
                <c:pt idx="42">
                  <c:v>0.194305333333333</c:v>
                </c:pt>
                <c:pt idx="43">
                  <c:v>8.3117999999999997E-2</c:v>
                </c:pt>
                <c:pt idx="44">
                  <c:v>0.119002</c:v>
                </c:pt>
                <c:pt idx="45">
                  <c:v>0.17312733333333299</c:v>
                </c:pt>
                <c:pt idx="46">
                  <c:v>0.14194200000000001</c:v>
                </c:pt>
                <c:pt idx="47">
                  <c:v>0.14488999999999999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FA1B-4F34-81FA-962F66EDDE5B}"/>
            </c:ext>
          </c:extLst>
        </c:ser>
        <c:ser>
          <c:idx val="60"/>
          <c:order val="60"/>
          <c:tx>
            <c:v>BES_TR2_six350_B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Demand_kW!$BK$2:$BK$49</c:f>
              <c:numCache>
                <c:formatCode>#,##0.000</c:formatCode>
                <c:ptCount val="48"/>
                <c:pt idx="0">
                  <c:v>6.2432333333333402E-2</c:v>
                </c:pt>
                <c:pt idx="1">
                  <c:v>0.19187233333333301</c:v>
                </c:pt>
                <c:pt idx="2">
                  <c:v>3.7999999999999999E-2</c:v>
                </c:pt>
                <c:pt idx="3">
                  <c:v>0.15347666666666701</c:v>
                </c:pt>
                <c:pt idx="4">
                  <c:v>0.100826</c:v>
                </c:pt>
                <c:pt idx="5">
                  <c:v>3.7999999999999999E-2</c:v>
                </c:pt>
                <c:pt idx="6">
                  <c:v>0.16045733333333301</c:v>
                </c:pt>
                <c:pt idx="7">
                  <c:v>9.3845333333333295E-2</c:v>
                </c:pt>
                <c:pt idx="8">
                  <c:v>0.13697999999999999</c:v>
                </c:pt>
                <c:pt idx="9">
                  <c:v>5.44966666666667E-2</c:v>
                </c:pt>
                <c:pt idx="10">
                  <c:v>0.100826</c:v>
                </c:pt>
                <c:pt idx="11">
                  <c:v>0.15347666666666701</c:v>
                </c:pt>
                <c:pt idx="12">
                  <c:v>3.7999999999999999E-2</c:v>
                </c:pt>
                <c:pt idx="13">
                  <c:v>3.7999999999999999E-2</c:v>
                </c:pt>
                <c:pt idx="14">
                  <c:v>0.15347666666666701</c:v>
                </c:pt>
                <c:pt idx="15">
                  <c:v>0.100826</c:v>
                </c:pt>
                <c:pt idx="16">
                  <c:v>3.7999999999999999E-2</c:v>
                </c:pt>
                <c:pt idx="17">
                  <c:v>0.21630733333333299</c:v>
                </c:pt>
                <c:pt idx="18">
                  <c:v>3.7999999999999999E-2</c:v>
                </c:pt>
                <c:pt idx="19">
                  <c:v>8.7489999999999998E-2</c:v>
                </c:pt>
                <c:pt idx="20">
                  <c:v>0.135399666666667</c:v>
                </c:pt>
                <c:pt idx="21">
                  <c:v>6.9413000000000002E-2</c:v>
                </c:pt>
                <c:pt idx="22">
                  <c:v>0.15347666666666701</c:v>
                </c:pt>
                <c:pt idx="23">
                  <c:v>3.7999999999999999E-2</c:v>
                </c:pt>
                <c:pt idx="24">
                  <c:v>9.57383333333333E-2</c:v>
                </c:pt>
                <c:pt idx="25">
                  <c:v>0.158564333333333</c:v>
                </c:pt>
                <c:pt idx="26">
                  <c:v>3.7999999999999999E-2</c:v>
                </c:pt>
                <c:pt idx="27">
                  <c:v>0.162681666666667</c:v>
                </c:pt>
                <c:pt idx="28">
                  <c:v>9.1622999999999899E-2</c:v>
                </c:pt>
                <c:pt idx="29">
                  <c:v>6.2432333333333402E-2</c:v>
                </c:pt>
                <c:pt idx="30">
                  <c:v>0.15062866666666699</c:v>
                </c:pt>
                <c:pt idx="31">
                  <c:v>7.9241666666666599E-2</c:v>
                </c:pt>
                <c:pt idx="32">
                  <c:v>6.9413000000000002E-2</c:v>
                </c:pt>
                <c:pt idx="33">
                  <c:v>9.4158000000000006E-2</c:v>
                </c:pt>
                <c:pt idx="34">
                  <c:v>0.170615666666667</c:v>
                </c:pt>
                <c:pt idx="35">
                  <c:v>0.39168999999999998</c:v>
                </c:pt>
                <c:pt idx="36">
                  <c:v>0.30497833333333302</c:v>
                </c:pt>
                <c:pt idx="37">
                  <c:v>0.276341</c:v>
                </c:pt>
                <c:pt idx="38">
                  <c:v>0.26916099999999998</c:v>
                </c:pt>
                <c:pt idx="39">
                  <c:v>0.53589833333333403</c:v>
                </c:pt>
                <c:pt idx="40">
                  <c:v>0.521969666666667</c:v>
                </c:pt>
                <c:pt idx="41">
                  <c:v>0.30782500000000002</c:v>
                </c:pt>
                <c:pt idx="42">
                  <c:v>0.55693933333333301</c:v>
                </c:pt>
                <c:pt idx="43">
                  <c:v>0.61489766666666701</c:v>
                </c:pt>
                <c:pt idx="44">
                  <c:v>0.59283399999999997</c:v>
                </c:pt>
                <c:pt idx="45">
                  <c:v>0.54488599999999998</c:v>
                </c:pt>
                <c:pt idx="46">
                  <c:v>3.7999999999999999E-2</c:v>
                </c:pt>
                <c:pt idx="47">
                  <c:v>0.15347666666666701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FA1B-4F34-81FA-962F66EDDE5B}"/>
            </c:ext>
          </c:extLst>
        </c:ser>
        <c:ser>
          <c:idx val="61"/>
          <c:order val="61"/>
          <c:tx>
            <c:v>BES_TR2_six362_C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Demand_kW!$BL$2:$BL$49</c:f>
              <c:numCache>
                <c:formatCode>#,##0.000</c:formatCode>
                <c:ptCount val="48"/>
                <c:pt idx="0">
                  <c:v>4.7E-2</c:v>
                </c:pt>
                <c:pt idx="1">
                  <c:v>4.7E-2</c:v>
                </c:pt>
                <c:pt idx="2">
                  <c:v>4.7E-2</c:v>
                </c:pt>
                <c:pt idx="3">
                  <c:v>4.7E-2</c:v>
                </c:pt>
                <c:pt idx="4">
                  <c:v>4.7E-2</c:v>
                </c:pt>
                <c:pt idx="5">
                  <c:v>4.7E-2</c:v>
                </c:pt>
                <c:pt idx="6">
                  <c:v>4.7E-2</c:v>
                </c:pt>
                <c:pt idx="7">
                  <c:v>4.7E-2</c:v>
                </c:pt>
                <c:pt idx="8">
                  <c:v>4.7E-2</c:v>
                </c:pt>
                <c:pt idx="9">
                  <c:v>4.7E-2</c:v>
                </c:pt>
                <c:pt idx="10">
                  <c:v>4.7E-2</c:v>
                </c:pt>
                <c:pt idx="11">
                  <c:v>4.7E-2</c:v>
                </c:pt>
                <c:pt idx="12">
                  <c:v>4.7E-2</c:v>
                </c:pt>
                <c:pt idx="13">
                  <c:v>4.7E-2</c:v>
                </c:pt>
                <c:pt idx="14">
                  <c:v>4.7E-2</c:v>
                </c:pt>
                <c:pt idx="15">
                  <c:v>6.0346999999999998E-2</c:v>
                </c:pt>
                <c:pt idx="16">
                  <c:v>5.3673499999999999E-2</c:v>
                </c:pt>
                <c:pt idx="17">
                  <c:v>4.7E-2</c:v>
                </c:pt>
                <c:pt idx="18">
                  <c:v>4.7E-2</c:v>
                </c:pt>
                <c:pt idx="19">
                  <c:v>4.7E-2</c:v>
                </c:pt>
                <c:pt idx="20">
                  <c:v>4.7E-2</c:v>
                </c:pt>
                <c:pt idx="21">
                  <c:v>5.5E-2</c:v>
                </c:pt>
                <c:pt idx="22">
                  <c:v>8.1965933333333296E-2</c:v>
                </c:pt>
                <c:pt idx="23">
                  <c:v>5.9652999999999998E-2</c:v>
                </c:pt>
                <c:pt idx="24">
                  <c:v>6.4469833333333296E-2</c:v>
                </c:pt>
                <c:pt idx="25">
                  <c:v>4.7E-2</c:v>
                </c:pt>
                <c:pt idx="26">
                  <c:v>6.13E-2</c:v>
                </c:pt>
                <c:pt idx="27">
                  <c:v>6.7666666666666597E-2</c:v>
                </c:pt>
                <c:pt idx="28">
                  <c:v>4.7E-2</c:v>
                </c:pt>
                <c:pt idx="29">
                  <c:v>4.7E-2</c:v>
                </c:pt>
                <c:pt idx="30">
                  <c:v>9.8500000000000004E-2</c:v>
                </c:pt>
                <c:pt idx="31">
                  <c:v>0.21535199999999999</c:v>
                </c:pt>
                <c:pt idx="32">
                  <c:v>0.25135666666666701</c:v>
                </c:pt>
                <c:pt idx="33">
                  <c:v>0.25268800000000002</c:v>
                </c:pt>
                <c:pt idx="34">
                  <c:v>0.21135000000000001</c:v>
                </c:pt>
                <c:pt idx="35">
                  <c:v>0.28602499999999997</c:v>
                </c:pt>
                <c:pt idx="36">
                  <c:v>0.28860000000000002</c:v>
                </c:pt>
                <c:pt idx="37">
                  <c:v>0.29260000000000003</c:v>
                </c:pt>
                <c:pt idx="38">
                  <c:v>0.26284999999999997</c:v>
                </c:pt>
                <c:pt idx="39">
                  <c:v>0.40075833333333299</c:v>
                </c:pt>
                <c:pt idx="40">
                  <c:v>0.38845000000000002</c:v>
                </c:pt>
                <c:pt idx="41">
                  <c:v>0.208565</c:v>
                </c:pt>
                <c:pt idx="42">
                  <c:v>0.26144666666666699</c:v>
                </c:pt>
                <c:pt idx="43">
                  <c:v>0.40063500000000002</c:v>
                </c:pt>
                <c:pt idx="44">
                  <c:v>0.303501666666667</c:v>
                </c:pt>
                <c:pt idx="45">
                  <c:v>0.16543333333333299</c:v>
                </c:pt>
                <c:pt idx="46">
                  <c:v>0.182166666666667</c:v>
                </c:pt>
                <c:pt idx="47">
                  <c:v>0.34678666666666702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FA1B-4F34-81FA-962F66EDDE5B}"/>
            </c:ext>
          </c:extLst>
        </c:ser>
        <c:ser>
          <c:idx val="62"/>
          <c:order val="62"/>
          <c:tx>
            <c:v>BES_TR2_six365_C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Demand_kW!$BM$2:$BM$49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0.21183399999999999</c:v>
                </c:pt>
                <c:pt idx="3">
                  <c:v>0.456623</c:v>
                </c:pt>
                <c:pt idx="4">
                  <c:v>0.93643466666666697</c:v>
                </c:pt>
                <c:pt idx="5">
                  <c:v>1.06447</c:v>
                </c:pt>
                <c:pt idx="6">
                  <c:v>1.7299</c:v>
                </c:pt>
                <c:pt idx="7">
                  <c:v>0.186248</c:v>
                </c:pt>
                <c:pt idx="8">
                  <c:v>4.8000000000000001E-2</c:v>
                </c:pt>
                <c:pt idx="9">
                  <c:v>0.15482799999999999</c:v>
                </c:pt>
                <c:pt idx="10">
                  <c:v>7.9420000000000004E-2</c:v>
                </c:pt>
                <c:pt idx="11">
                  <c:v>4.8000000000000001E-2</c:v>
                </c:pt>
                <c:pt idx="12">
                  <c:v>0.13597600000000001</c:v>
                </c:pt>
                <c:pt idx="13">
                  <c:v>9.8271999999999998E-2</c:v>
                </c:pt>
                <c:pt idx="14">
                  <c:v>0.24162</c:v>
                </c:pt>
                <c:pt idx="15">
                  <c:v>8.4000000000000102E-2</c:v>
                </c:pt>
                <c:pt idx="16">
                  <c:v>7.3136000000000007E-2</c:v>
                </c:pt>
                <c:pt idx="17">
                  <c:v>0.16111200000000001</c:v>
                </c:pt>
                <c:pt idx="18">
                  <c:v>4.8000000000000001E-2</c:v>
                </c:pt>
                <c:pt idx="19">
                  <c:v>0.21618200000000001</c:v>
                </c:pt>
                <c:pt idx="20">
                  <c:v>0.113937133333333</c:v>
                </c:pt>
                <c:pt idx="21">
                  <c:v>1.0339446666666701</c:v>
                </c:pt>
                <c:pt idx="22">
                  <c:v>0.85471266666666701</c:v>
                </c:pt>
                <c:pt idx="23">
                  <c:v>1.4406333333333301</c:v>
                </c:pt>
                <c:pt idx="24">
                  <c:v>4.8000000000000001E-2</c:v>
                </c:pt>
                <c:pt idx="25">
                  <c:v>0.20096</c:v>
                </c:pt>
                <c:pt idx="26">
                  <c:v>0.13502</c:v>
                </c:pt>
                <c:pt idx="27">
                  <c:v>0.16192366666666699</c:v>
                </c:pt>
                <c:pt idx="28">
                  <c:v>0.46816400000000002</c:v>
                </c:pt>
                <c:pt idx="29">
                  <c:v>4.8000000000000001E-2</c:v>
                </c:pt>
                <c:pt idx="30">
                  <c:v>0.14854400000000001</c:v>
                </c:pt>
                <c:pt idx="31">
                  <c:v>8.5704000000000002E-2</c:v>
                </c:pt>
                <c:pt idx="32">
                  <c:v>4.8000000000000001E-2</c:v>
                </c:pt>
                <c:pt idx="33">
                  <c:v>7.9420000000000004E-2</c:v>
                </c:pt>
                <c:pt idx="34">
                  <c:v>0.15482799999999999</c:v>
                </c:pt>
                <c:pt idx="35">
                  <c:v>4.8000000000000001E-2</c:v>
                </c:pt>
                <c:pt idx="36">
                  <c:v>4.8000000000000001E-2</c:v>
                </c:pt>
                <c:pt idx="37">
                  <c:v>0.186248</c:v>
                </c:pt>
                <c:pt idx="38">
                  <c:v>4.8000000000000001E-2</c:v>
                </c:pt>
                <c:pt idx="39">
                  <c:v>1.17483633333333</c:v>
                </c:pt>
                <c:pt idx="40">
                  <c:v>0.67489533333333296</c:v>
                </c:pt>
                <c:pt idx="41">
                  <c:v>0.75964933333333295</c:v>
                </c:pt>
                <c:pt idx="42">
                  <c:v>0.75756033333333295</c:v>
                </c:pt>
                <c:pt idx="43">
                  <c:v>0.46719366666666701</c:v>
                </c:pt>
                <c:pt idx="44">
                  <c:v>0.62055866666666704</c:v>
                </c:pt>
                <c:pt idx="45">
                  <c:v>1.6600316666666699</c:v>
                </c:pt>
                <c:pt idx="46">
                  <c:v>0.67976599999999998</c:v>
                </c:pt>
                <c:pt idx="47">
                  <c:v>0.76375533333333301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A1B-4F34-81FA-962F66EDDE5B}"/>
            </c:ext>
          </c:extLst>
        </c:ser>
        <c:ser>
          <c:idx val="63"/>
          <c:order val="63"/>
          <c:tx>
            <c:v>BES_TR2_six378_A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Demand_kW!$BN$2:$BN$49</c:f>
              <c:numCache>
                <c:formatCode>#,##0.000</c:formatCode>
                <c:ptCount val="48"/>
                <c:pt idx="0">
                  <c:v>0.159502</c:v>
                </c:pt>
                <c:pt idx="1">
                  <c:v>0.249696</c:v>
                </c:pt>
                <c:pt idx="2">
                  <c:v>0.20788000000000001</c:v>
                </c:pt>
                <c:pt idx="3">
                  <c:v>5.6965333333333298E-2</c:v>
                </c:pt>
                <c:pt idx="4">
                  <c:v>0.29010866666666701</c:v>
                </c:pt>
                <c:pt idx="5">
                  <c:v>0.159502</c:v>
                </c:pt>
                <c:pt idx="6">
                  <c:v>0.209674</c:v>
                </c:pt>
                <c:pt idx="7">
                  <c:v>0.21632999999999999</c:v>
                </c:pt>
                <c:pt idx="8">
                  <c:v>0.108450666666667</c:v>
                </c:pt>
                <c:pt idx="9">
                  <c:v>0.24600633333333299</c:v>
                </c:pt>
                <c:pt idx="10">
                  <c:v>0.199621666666667</c:v>
                </c:pt>
                <c:pt idx="11">
                  <c:v>0.10475733333333299</c:v>
                </c:pt>
                <c:pt idx="12">
                  <c:v>0.35694599999999999</c:v>
                </c:pt>
                <c:pt idx="13">
                  <c:v>0.10063</c:v>
                </c:pt>
                <c:pt idx="14">
                  <c:v>0.12156699999999999</c:v>
                </c:pt>
                <c:pt idx="15">
                  <c:v>1.0344718666666699</c:v>
                </c:pt>
                <c:pt idx="16">
                  <c:v>0.12863416666666699</c:v>
                </c:pt>
                <c:pt idx="17">
                  <c:v>0.21701366666666699</c:v>
                </c:pt>
                <c:pt idx="18">
                  <c:v>0.26864933333333302</c:v>
                </c:pt>
                <c:pt idx="19">
                  <c:v>0.148816633333333</c:v>
                </c:pt>
                <c:pt idx="20">
                  <c:v>0.43817066666666699</c:v>
                </c:pt>
                <c:pt idx="21">
                  <c:v>0.26339426666666699</c:v>
                </c:pt>
                <c:pt idx="22">
                  <c:v>2.2582833333333299</c:v>
                </c:pt>
                <c:pt idx="23">
                  <c:v>2.7793700000000001</c:v>
                </c:pt>
                <c:pt idx="24">
                  <c:v>1.2671520000000001</c:v>
                </c:pt>
                <c:pt idx="25">
                  <c:v>0.38601333333333299</c:v>
                </c:pt>
                <c:pt idx="26">
                  <c:v>5.0066666666666697E-2</c:v>
                </c:pt>
                <c:pt idx="27">
                  <c:v>0.15808523333333299</c:v>
                </c:pt>
                <c:pt idx="28">
                  <c:v>0.92426233333333296</c:v>
                </c:pt>
                <c:pt idx="29">
                  <c:v>2.6117333333333299</c:v>
                </c:pt>
                <c:pt idx="30">
                  <c:v>2.6988233333333298</c:v>
                </c:pt>
                <c:pt idx="31">
                  <c:v>0.45190266666666601</c:v>
                </c:pt>
                <c:pt idx="32">
                  <c:v>0.10475733333333299</c:v>
                </c:pt>
                <c:pt idx="33">
                  <c:v>0.232069</c:v>
                </c:pt>
                <c:pt idx="34">
                  <c:v>0.22550700000000001</c:v>
                </c:pt>
                <c:pt idx="35">
                  <c:v>0.112314</c:v>
                </c:pt>
                <c:pt idx="36">
                  <c:v>0.34526200000000001</c:v>
                </c:pt>
                <c:pt idx="37">
                  <c:v>4.9000000000000002E-2</c:v>
                </c:pt>
                <c:pt idx="38">
                  <c:v>0.24731600000000001</c:v>
                </c:pt>
                <c:pt idx="39">
                  <c:v>0.21026</c:v>
                </c:pt>
                <c:pt idx="40">
                  <c:v>4.9000000000000002E-2</c:v>
                </c:pt>
                <c:pt idx="41">
                  <c:v>0.27374399999999999</c:v>
                </c:pt>
                <c:pt idx="42">
                  <c:v>0.183832</c:v>
                </c:pt>
                <c:pt idx="43">
                  <c:v>8.9315000000000005E-2</c:v>
                </c:pt>
                <c:pt idx="44">
                  <c:v>0.36826100000000001</c:v>
                </c:pt>
                <c:pt idx="45">
                  <c:v>4.9000000000000002E-2</c:v>
                </c:pt>
                <c:pt idx="46">
                  <c:v>0.11670533333333299</c:v>
                </c:pt>
                <c:pt idx="47">
                  <c:v>0.230368666666667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FA1B-4F34-81FA-962F66EDDE5B}"/>
            </c:ext>
          </c:extLst>
        </c:ser>
        <c:ser>
          <c:idx val="64"/>
          <c:order val="64"/>
          <c:tx>
            <c:v>BES_TR2_six385_B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Demand_kW!$BO$2:$BO$49</c:f>
              <c:numCache>
                <c:formatCode>#,##0.000</c:formatCode>
                <c:ptCount val="48"/>
                <c:pt idx="0">
                  <c:v>0.45527333333333397</c:v>
                </c:pt>
                <c:pt idx="1">
                  <c:v>0.47743000000000002</c:v>
                </c:pt>
                <c:pt idx="2">
                  <c:v>0.223389333333333</c:v>
                </c:pt>
                <c:pt idx="3">
                  <c:v>4.7E-2</c:v>
                </c:pt>
                <c:pt idx="4">
                  <c:v>0.10910400000000001</c:v>
                </c:pt>
                <c:pt idx="5">
                  <c:v>0.15568199999999999</c:v>
                </c:pt>
                <c:pt idx="6">
                  <c:v>4.7E-2</c:v>
                </c:pt>
                <c:pt idx="7">
                  <c:v>0.21778600000000001</c:v>
                </c:pt>
                <c:pt idx="8">
                  <c:v>4.7E-2</c:v>
                </c:pt>
                <c:pt idx="9">
                  <c:v>4.7E-2</c:v>
                </c:pt>
                <c:pt idx="10">
                  <c:v>0.140156</c:v>
                </c:pt>
                <c:pt idx="11">
                  <c:v>0.12463</c:v>
                </c:pt>
                <c:pt idx="12">
                  <c:v>4.7E-2</c:v>
                </c:pt>
                <c:pt idx="13">
                  <c:v>0.21778600000000001</c:v>
                </c:pt>
                <c:pt idx="14">
                  <c:v>2.69302333333333</c:v>
                </c:pt>
                <c:pt idx="15">
                  <c:v>1.2883626666666701</c:v>
                </c:pt>
                <c:pt idx="16">
                  <c:v>0.393969333333333</c:v>
                </c:pt>
                <c:pt idx="17">
                  <c:v>5.7818666666666699E-2</c:v>
                </c:pt>
                <c:pt idx="18">
                  <c:v>0.33435999999999999</c:v>
                </c:pt>
                <c:pt idx="19">
                  <c:v>0.118867</c:v>
                </c:pt>
                <c:pt idx="20">
                  <c:v>4.7E-2</c:v>
                </c:pt>
                <c:pt idx="21">
                  <c:v>0.244786</c:v>
                </c:pt>
                <c:pt idx="22">
                  <c:v>0.23344000000000001</c:v>
                </c:pt>
                <c:pt idx="23">
                  <c:v>0.20226</c:v>
                </c:pt>
                <c:pt idx="24">
                  <c:v>0.25146600000000002</c:v>
                </c:pt>
                <c:pt idx="25">
                  <c:v>6.6443199999999994E-2</c:v>
                </c:pt>
                <c:pt idx="26">
                  <c:v>1.0695629333333301</c:v>
                </c:pt>
                <c:pt idx="27">
                  <c:v>0.1520444</c:v>
                </c:pt>
                <c:pt idx="28">
                  <c:v>0.35919786666666698</c:v>
                </c:pt>
                <c:pt idx="29">
                  <c:v>0.178265333333333</c:v>
                </c:pt>
                <c:pt idx="30">
                  <c:v>0.27710126666666701</c:v>
                </c:pt>
                <c:pt idx="31">
                  <c:v>4.82152E-2</c:v>
                </c:pt>
                <c:pt idx="32">
                  <c:v>0.151652333333333</c:v>
                </c:pt>
                <c:pt idx="33">
                  <c:v>0.116867</c:v>
                </c:pt>
                <c:pt idx="34">
                  <c:v>4.7E-2</c:v>
                </c:pt>
                <c:pt idx="35">
                  <c:v>0.404227</c:v>
                </c:pt>
                <c:pt idx="36">
                  <c:v>5.5411599999999998E-2</c:v>
                </c:pt>
                <c:pt idx="37">
                  <c:v>0.190442</c:v>
                </c:pt>
                <c:pt idx="38">
                  <c:v>0.16782920000000001</c:v>
                </c:pt>
                <c:pt idx="39">
                  <c:v>0.406968</c:v>
                </c:pt>
                <c:pt idx="40">
                  <c:v>0.58302100000000001</c:v>
                </c:pt>
                <c:pt idx="41">
                  <c:v>0.451367666666667</c:v>
                </c:pt>
                <c:pt idx="42">
                  <c:v>0.26761800000000002</c:v>
                </c:pt>
                <c:pt idx="43">
                  <c:v>0.62071200000000004</c:v>
                </c:pt>
                <c:pt idx="44">
                  <c:v>0.37411133333333302</c:v>
                </c:pt>
                <c:pt idx="45">
                  <c:v>0.31312633333333301</c:v>
                </c:pt>
                <c:pt idx="46">
                  <c:v>0.13239300000000001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A1B-4F34-81FA-962F66EDDE5B}"/>
            </c:ext>
          </c:extLst>
        </c:ser>
        <c:ser>
          <c:idx val="65"/>
          <c:order val="65"/>
          <c:tx>
            <c:v>BES_TR2_six387_A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Demand_kW!$BP$2:$BP$49</c:f>
              <c:numCache>
                <c:formatCode>#,##0.000</c:formatCode>
                <c:ptCount val="48"/>
                <c:pt idx="0">
                  <c:v>0.90137400000000001</c:v>
                </c:pt>
                <c:pt idx="1">
                  <c:v>0.79453533333333304</c:v>
                </c:pt>
                <c:pt idx="2">
                  <c:v>0.92955333333333301</c:v>
                </c:pt>
                <c:pt idx="3">
                  <c:v>0.13014400000000001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0.121794666666667</c:v>
                </c:pt>
                <c:pt idx="8">
                  <c:v>6.3349333333333299E-2</c:v>
                </c:pt>
                <c:pt idx="9">
                  <c:v>0.13014400000000001</c:v>
                </c:pt>
                <c:pt idx="10">
                  <c:v>5.5E-2</c:v>
                </c:pt>
                <c:pt idx="11">
                  <c:v>0.13014400000000001</c:v>
                </c:pt>
                <c:pt idx="12">
                  <c:v>5.5E-2</c:v>
                </c:pt>
                <c:pt idx="13">
                  <c:v>5.5E-2</c:v>
                </c:pt>
                <c:pt idx="14">
                  <c:v>0.44934933333333299</c:v>
                </c:pt>
                <c:pt idx="15">
                  <c:v>0.44828366666666702</c:v>
                </c:pt>
                <c:pt idx="16">
                  <c:v>0.31114999999999998</c:v>
                </c:pt>
                <c:pt idx="17">
                  <c:v>5.5E-2</c:v>
                </c:pt>
                <c:pt idx="18">
                  <c:v>0.29054966666666698</c:v>
                </c:pt>
                <c:pt idx="19">
                  <c:v>0.20177</c:v>
                </c:pt>
                <c:pt idx="20">
                  <c:v>0.201501333333333</c:v>
                </c:pt>
                <c:pt idx="21">
                  <c:v>0.26223400000000002</c:v>
                </c:pt>
                <c:pt idx="22">
                  <c:v>0.16120156666666699</c:v>
                </c:pt>
                <c:pt idx="23">
                  <c:v>0.53858753333333298</c:v>
                </c:pt>
                <c:pt idx="24">
                  <c:v>6.3143900000000003E-2</c:v>
                </c:pt>
                <c:pt idx="25">
                  <c:v>0.33457199999999998</c:v>
                </c:pt>
                <c:pt idx="26">
                  <c:v>0.33231666666666698</c:v>
                </c:pt>
                <c:pt idx="27">
                  <c:v>0.167194866666667</c:v>
                </c:pt>
                <c:pt idx="28">
                  <c:v>0.361418133333333</c:v>
                </c:pt>
                <c:pt idx="29">
                  <c:v>8.8238666666666701E-2</c:v>
                </c:pt>
                <c:pt idx="30">
                  <c:v>0.35399333333333299</c:v>
                </c:pt>
                <c:pt idx="31">
                  <c:v>0.57652866666666702</c:v>
                </c:pt>
                <c:pt idx="32">
                  <c:v>0.47331499999999999</c:v>
                </c:pt>
                <c:pt idx="33">
                  <c:v>0.16046253333333299</c:v>
                </c:pt>
                <c:pt idx="34">
                  <c:v>0.166341666666667</c:v>
                </c:pt>
                <c:pt idx="35">
                  <c:v>0.283714666666667</c:v>
                </c:pt>
                <c:pt idx="36">
                  <c:v>5.5E-2</c:v>
                </c:pt>
                <c:pt idx="37">
                  <c:v>0.123074666666667</c:v>
                </c:pt>
                <c:pt idx="38">
                  <c:v>0.50159266666666702</c:v>
                </c:pt>
                <c:pt idx="39">
                  <c:v>0.82037133333333301</c:v>
                </c:pt>
                <c:pt idx="40">
                  <c:v>0.56784133333333398</c:v>
                </c:pt>
                <c:pt idx="41">
                  <c:v>0.48288266666666702</c:v>
                </c:pt>
                <c:pt idx="42">
                  <c:v>0.53687399999999996</c:v>
                </c:pt>
                <c:pt idx="43">
                  <c:v>0.85985966666666702</c:v>
                </c:pt>
                <c:pt idx="44">
                  <c:v>1.1468700000000001</c:v>
                </c:pt>
                <c:pt idx="45">
                  <c:v>0.67395966666666696</c:v>
                </c:pt>
                <c:pt idx="46">
                  <c:v>1.001843</c:v>
                </c:pt>
                <c:pt idx="47">
                  <c:v>6.3349333333333299E-2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FA1B-4F34-81FA-962F66EDDE5B}"/>
            </c:ext>
          </c:extLst>
        </c:ser>
        <c:ser>
          <c:idx val="66"/>
          <c:order val="66"/>
          <c:tx>
            <c:v>BES_TR2_six392_C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Demand_kW!$BQ$2:$BQ$49</c:f>
              <c:numCache>
                <c:formatCode>#,##0.000</c:formatCode>
                <c:ptCount val="48"/>
                <c:pt idx="0">
                  <c:v>0.31343199999999999</c:v>
                </c:pt>
                <c:pt idx="1">
                  <c:v>0.05</c:v>
                </c:pt>
                <c:pt idx="2">
                  <c:v>0.27252599999999999</c:v>
                </c:pt>
                <c:pt idx="3">
                  <c:v>0.13087599999999999</c:v>
                </c:pt>
                <c:pt idx="4">
                  <c:v>0.18942000000000001</c:v>
                </c:pt>
                <c:pt idx="5">
                  <c:v>0.13588</c:v>
                </c:pt>
                <c:pt idx="6">
                  <c:v>0.22001333333333301</c:v>
                </c:pt>
                <c:pt idx="7">
                  <c:v>0.17940800000000001</c:v>
                </c:pt>
                <c:pt idx="8">
                  <c:v>0.22681066666666699</c:v>
                </c:pt>
                <c:pt idx="9">
                  <c:v>0.05</c:v>
                </c:pt>
                <c:pt idx="10">
                  <c:v>0.370597333333333</c:v>
                </c:pt>
                <c:pt idx="11">
                  <c:v>6.4378666666666695E-2</c:v>
                </c:pt>
                <c:pt idx="12">
                  <c:v>5.52633333333334E-2</c:v>
                </c:pt>
                <c:pt idx="13">
                  <c:v>0.15000333333333299</c:v>
                </c:pt>
                <c:pt idx="14">
                  <c:v>0.12189333333333301</c:v>
                </c:pt>
                <c:pt idx="15">
                  <c:v>0.24153866666666701</c:v>
                </c:pt>
                <c:pt idx="16">
                  <c:v>0.26763500000000001</c:v>
                </c:pt>
                <c:pt idx="17">
                  <c:v>0.26216266666666699</c:v>
                </c:pt>
                <c:pt idx="18">
                  <c:v>0.200023333333333</c:v>
                </c:pt>
                <c:pt idx="19">
                  <c:v>0.30549599999999999</c:v>
                </c:pt>
                <c:pt idx="20">
                  <c:v>0.42978533333333302</c:v>
                </c:pt>
                <c:pt idx="21">
                  <c:v>0.36897466666666701</c:v>
                </c:pt>
                <c:pt idx="22">
                  <c:v>0.46256999999999998</c:v>
                </c:pt>
                <c:pt idx="23">
                  <c:v>0.27652399999999999</c:v>
                </c:pt>
                <c:pt idx="24">
                  <c:v>0.29268333333333402</c:v>
                </c:pt>
                <c:pt idx="25">
                  <c:v>0.30097933333333299</c:v>
                </c:pt>
                <c:pt idx="26">
                  <c:v>0.17875666666666701</c:v>
                </c:pt>
                <c:pt idx="27">
                  <c:v>0.100325333333333</c:v>
                </c:pt>
                <c:pt idx="28">
                  <c:v>0.22938800000000001</c:v>
                </c:pt>
                <c:pt idx="29">
                  <c:v>0.11508599999999999</c:v>
                </c:pt>
                <c:pt idx="30">
                  <c:v>0.25629533333333299</c:v>
                </c:pt>
                <c:pt idx="31">
                  <c:v>0.41484399999999999</c:v>
                </c:pt>
                <c:pt idx="32">
                  <c:v>0.20933399999999999</c:v>
                </c:pt>
                <c:pt idx="33">
                  <c:v>0.423371</c:v>
                </c:pt>
                <c:pt idx="34">
                  <c:v>0.26269399999999998</c:v>
                </c:pt>
                <c:pt idx="35">
                  <c:v>0.29807366666666701</c:v>
                </c:pt>
                <c:pt idx="36">
                  <c:v>0.50933166666666696</c:v>
                </c:pt>
                <c:pt idx="37">
                  <c:v>0.18014833333333299</c:v>
                </c:pt>
                <c:pt idx="38">
                  <c:v>0.27678433333333302</c:v>
                </c:pt>
                <c:pt idx="39">
                  <c:v>0.25197866666666702</c:v>
                </c:pt>
                <c:pt idx="40">
                  <c:v>0.22266</c:v>
                </c:pt>
                <c:pt idx="41">
                  <c:v>0.55973266666666699</c:v>
                </c:pt>
                <c:pt idx="42">
                  <c:v>0.51609133333333401</c:v>
                </c:pt>
                <c:pt idx="43">
                  <c:v>0.35079100000000002</c:v>
                </c:pt>
                <c:pt idx="44">
                  <c:v>0.98636500000000005</c:v>
                </c:pt>
                <c:pt idx="45">
                  <c:v>0.420485</c:v>
                </c:pt>
                <c:pt idx="46">
                  <c:v>0.379714</c:v>
                </c:pt>
                <c:pt idx="47">
                  <c:v>5.52633333333334E-2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A1B-4F34-81FA-962F66EDDE5B}"/>
            </c:ext>
          </c:extLst>
        </c:ser>
        <c:ser>
          <c:idx val="67"/>
          <c:order val="67"/>
          <c:tx>
            <c:v>BES_TR2_six410_A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Demand_kW!$BR$2:$BR$49</c:f>
              <c:numCache>
                <c:formatCode>#,##0.000</c:formatCode>
                <c:ptCount val="48"/>
                <c:pt idx="0">
                  <c:v>0.75684533333333304</c:v>
                </c:pt>
                <c:pt idx="1">
                  <c:v>1.7480433333333301</c:v>
                </c:pt>
                <c:pt idx="2">
                  <c:v>0.25795600000000002</c:v>
                </c:pt>
                <c:pt idx="3">
                  <c:v>0.52382166666666696</c:v>
                </c:pt>
                <c:pt idx="4">
                  <c:v>0.30180499999999999</c:v>
                </c:pt>
                <c:pt idx="5">
                  <c:v>0.155168</c:v>
                </c:pt>
                <c:pt idx="6">
                  <c:v>5.7037333333333301E-2</c:v>
                </c:pt>
                <c:pt idx="7">
                  <c:v>2.9000000000000001E-2</c:v>
                </c:pt>
                <c:pt idx="8">
                  <c:v>0.17619599999999999</c:v>
                </c:pt>
                <c:pt idx="9">
                  <c:v>3.6009333333333303E-2</c:v>
                </c:pt>
                <c:pt idx="10">
                  <c:v>8.5074666666666701E-2</c:v>
                </c:pt>
                <c:pt idx="11">
                  <c:v>0.127130666666667</c:v>
                </c:pt>
                <c:pt idx="12">
                  <c:v>2.9000000000000001E-2</c:v>
                </c:pt>
                <c:pt idx="13">
                  <c:v>0.183205333333333</c:v>
                </c:pt>
                <c:pt idx="14">
                  <c:v>2.9000000000000001E-2</c:v>
                </c:pt>
                <c:pt idx="15">
                  <c:v>5.7037333333333301E-2</c:v>
                </c:pt>
                <c:pt idx="16">
                  <c:v>0.155168</c:v>
                </c:pt>
                <c:pt idx="17">
                  <c:v>2.9000000000000001E-2</c:v>
                </c:pt>
                <c:pt idx="18">
                  <c:v>2.9000000000000001E-2</c:v>
                </c:pt>
                <c:pt idx="19">
                  <c:v>7.8065333333333403E-2</c:v>
                </c:pt>
                <c:pt idx="20">
                  <c:v>0.13414000000000001</c:v>
                </c:pt>
                <c:pt idx="21">
                  <c:v>2.9000000000000001E-2</c:v>
                </c:pt>
                <c:pt idx="22">
                  <c:v>0.340897333333333</c:v>
                </c:pt>
                <c:pt idx="23">
                  <c:v>0.30540699999999998</c:v>
                </c:pt>
                <c:pt idx="24">
                  <c:v>3.60093333333334E-2</c:v>
                </c:pt>
                <c:pt idx="25">
                  <c:v>0.17619599999999999</c:v>
                </c:pt>
                <c:pt idx="26">
                  <c:v>2.9000000000000001E-2</c:v>
                </c:pt>
                <c:pt idx="27">
                  <c:v>0.16217733333333301</c:v>
                </c:pt>
                <c:pt idx="28">
                  <c:v>0.30194466666666703</c:v>
                </c:pt>
                <c:pt idx="29">
                  <c:v>0.25594600000000001</c:v>
                </c:pt>
                <c:pt idx="30">
                  <c:v>0.187586</c:v>
                </c:pt>
                <c:pt idx="31">
                  <c:v>0.31188266666666697</c:v>
                </c:pt>
                <c:pt idx="32">
                  <c:v>0.395336666666667</c:v>
                </c:pt>
                <c:pt idx="33">
                  <c:v>0.24297299999999999</c:v>
                </c:pt>
                <c:pt idx="34">
                  <c:v>0.18336620000000001</c:v>
                </c:pt>
                <c:pt idx="35">
                  <c:v>0.113455</c:v>
                </c:pt>
                <c:pt idx="36">
                  <c:v>0.75419400000000003</c:v>
                </c:pt>
                <c:pt idx="37">
                  <c:v>0.59002666666666703</c:v>
                </c:pt>
                <c:pt idx="38">
                  <c:v>0.437973</c:v>
                </c:pt>
                <c:pt idx="39">
                  <c:v>1.3968496666666701</c:v>
                </c:pt>
                <c:pt idx="40">
                  <c:v>0.63030466666666696</c:v>
                </c:pt>
                <c:pt idx="41">
                  <c:v>0.29464633333333301</c:v>
                </c:pt>
                <c:pt idx="42">
                  <c:v>0.28426400000000002</c:v>
                </c:pt>
                <c:pt idx="43">
                  <c:v>0.35944999999999999</c:v>
                </c:pt>
                <c:pt idx="44">
                  <c:v>0.30606533333333402</c:v>
                </c:pt>
                <c:pt idx="45">
                  <c:v>0.38595933333333299</c:v>
                </c:pt>
                <c:pt idx="46">
                  <c:v>0.27684700000000001</c:v>
                </c:pt>
                <c:pt idx="47">
                  <c:v>9.0284666666666694E-2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FA1B-4F34-81FA-962F66EDDE5B}"/>
            </c:ext>
          </c:extLst>
        </c:ser>
        <c:ser>
          <c:idx val="68"/>
          <c:order val="68"/>
          <c:tx>
            <c:v>BES_TR2_six431_C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Demand_kW!$BS$2:$BS$49</c:f>
              <c:numCache>
                <c:formatCode>#,##0.000</c:formatCode>
                <c:ptCount val="48"/>
                <c:pt idx="0">
                  <c:v>0.17779600000000001</c:v>
                </c:pt>
                <c:pt idx="1">
                  <c:v>5.1999999999999998E-2</c:v>
                </c:pt>
                <c:pt idx="2">
                  <c:v>0.205750666666667</c:v>
                </c:pt>
                <c:pt idx="3">
                  <c:v>5.1999999999999998E-2</c:v>
                </c:pt>
                <c:pt idx="4">
                  <c:v>0.107909333333333</c:v>
                </c:pt>
                <c:pt idx="5">
                  <c:v>0.14984133333333299</c:v>
                </c:pt>
                <c:pt idx="6">
                  <c:v>5.1999999999999998E-2</c:v>
                </c:pt>
                <c:pt idx="7">
                  <c:v>5.1999999999999998E-2</c:v>
                </c:pt>
                <c:pt idx="8">
                  <c:v>0.121886666666667</c:v>
                </c:pt>
                <c:pt idx="9">
                  <c:v>0.13586400000000001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0.205750666666667</c:v>
                </c:pt>
                <c:pt idx="13">
                  <c:v>1.4302616666666701</c:v>
                </c:pt>
                <c:pt idx="14">
                  <c:v>0.76162700000000005</c:v>
                </c:pt>
                <c:pt idx="15">
                  <c:v>0.64166666666666705</c:v>
                </c:pt>
                <c:pt idx="16">
                  <c:v>0.43598199999999998</c:v>
                </c:pt>
                <c:pt idx="17">
                  <c:v>0.39753066666666598</c:v>
                </c:pt>
                <c:pt idx="18">
                  <c:v>0.25189</c:v>
                </c:pt>
                <c:pt idx="19">
                  <c:v>0.36964066666666701</c:v>
                </c:pt>
                <c:pt idx="20">
                  <c:v>1.49473533333333</c:v>
                </c:pt>
                <c:pt idx="21">
                  <c:v>0.21889</c:v>
                </c:pt>
                <c:pt idx="22">
                  <c:v>0.70035866666666702</c:v>
                </c:pt>
                <c:pt idx="23">
                  <c:v>1.88100666666667</c:v>
                </c:pt>
                <c:pt idx="24">
                  <c:v>7.9954666666666702E-2</c:v>
                </c:pt>
                <c:pt idx="25">
                  <c:v>0.36581733333333399</c:v>
                </c:pt>
                <c:pt idx="26">
                  <c:v>5.86666666666667E-2</c:v>
                </c:pt>
                <c:pt idx="27">
                  <c:v>0.54452800000000001</c:v>
                </c:pt>
                <c:pt idx="28">
                  <c:v>0.110818666666667</c:v>
                </c:pt>
                <c:pt idx="29">
                  <c:v>0.390374</c:v>
                </c:pt>
                <c:pt idx="30">
                  <c:v>1.3998539999999999</c:v>
                </c:pt>
                <c:pt idx="31">
                  <c:v>0.78711966666666699</c:v>
                </c:pt>
                <c:pt idx="32">
                  <c:v>0.56317933333333403</c:v>
                </c:pt>
                <c:pt idx="33">
                  <c:v>0.442960666666667</c:v>
                </c:pt>
                <c:pt idx="34">
                  <c:v>0.68773099999999998</c:v>
                </c:pt>
                <c:pt idx="35">
                  <c:v>0.43012533333333303</c:v>
                </c:pt>
                <c:pt idx="36">
                  <c:v>0.639940333333333</c:v>
                </c:pt>
                <c:pt idx="37">
                  <c:v>3.0957063333333301</c:v>
                </c:pt>
                <c:pt idx="38">
                  <c:v>3.6970333333333301</c:v>
                </c:pt>
                <c:pt idx="39">
                  <c:v>1.0453779999999999</c:v>
                </c:pt>
                <c:pt idx="40">
                  <c:v>0.47305399999999997</c:v>
                </c:pt>
                <c:pt idx="41">
                  <c:v>0.50479333333333298</c:v>
                </c:pt>
                <c:pt idx="42">
                  <c:v>1.6946383333333299</c:v>
                </c:pt>
                <c:pt idx="43">
                  <c:v>0.88264866666666697</c:v>
                </c:pt>
                <c:pt idx="44">
                  <c:v>0.87443666666666697</c:v>
                </c:pt>
                <c:pt idx="45">
                  <c:v>0.170231666666666</c:v>
                </c:pt>
                <c:pt idx="46">
                  <c:v>5.1999999999999998E-2</c:v>
                </c:pt>
                <c:pt idx="47">
                  <c:v>0.205750666666667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A1B-4F34-81FA-962F66EDDE5B}"/>
            </c:ext>
          </c:extLst>
        </c:ser>
        <c:ser>
          <c:idx val="69"/>
          <c:order val="69"/>
          <c:tx>
            <c:v>BES_TR2_six484_B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Demand_kW!$BT$2:$BT$49</c:f>
              <c:numCache>
                <c:formatCode>#,##0.000</c:formatCode>
                <c:ptCount val="48"/>
                <c:pt idx="0">
                  <c:v>3.7999999999999999E-2</c:v>
                </c:pt>
                <c:pt idx="1">
                  <c:v>3.7999999999999999E-2</c:v>
                </c:pt>
                <c:pt idx="2">
                  <c:v>0.13858999999999999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0.13858999999999999</c:v>
                </c:pt>
                <c:pt idx="6">
                  <c:v>3.7999999999999999E-2</c:v>
                </c:pt>
                <c:pt idx="7">
                  <c:v>3.7999999999999999E-2</c:v>
                </c:pt>
                <c:pt idx="8">
                  <c:v>0.13858999999999999</c:v>
                </c:pt>
                <c:pt idx="9">
                  <c:v>3.7999999999999999E-2</c:v>
                </c:pt>
                <c:pt idx="10">
                  <c:v>3.7999999999999999E-2</c:v>
                </c:pt>
                <c:pt idx="11">
                  <c:v>0.13858999999999999</c:v>
                </c:pt>
                <c:pt idx="12">
                  <c:v>3.7999999999999999E-2</c:v>
                </c:pt>
                <c:pt idx="13">
                  <c:v>3.7999999999999999E-2</c:v>
                </c:pt>
                <c:pt idx="14">
                  <c:v>0.13858999999999999</c:v>
                </c:pt>
                <c:pt idx="15">
                  <c:v>3.7999999999999999E-2</c:v>
                </c:pt>
                <c:pt idx="16">
                  <c:v>0.6554432</c:v>
                </c:pt>
                <c:pt idx="17">
                  <c:v>1.4762104</c:v>
                </c:pt>
                <c:pt idx="18">
                  <c:v>0.1072</c:v>
                </c:pt>
                <c:pt idx="19">
                  <c:v>0.47706666666666703</c:v>
                </c:pt>
                <c:pt idx="20">
                  <c:v>2.5369999999999999</c:v>
                </c:pt>
                <c:pt idx="21">
                  <c:v>2.6375666666666699</c:v>
                </c:pt>
                <c:pt idx="22">
                  <c:v>0.45450000000000002</c:v>
                </c:pt>
                <c:pt idx="23">
                  <c:v>3.7999999999999999E-2</c:v>
                </c:pt>
                <c:pt idx="24">
                  <c:v>3.7999999999999999E-2</c:v>
                </c:pt>
                <c:pt idx="25">
                  <c:v>0.13858999999999999</c:v>
                </c:pt>
                <c:pt idx="26">
                  <c:v>3.7999999999999999E-2</c:v>
                </c:pt>
                <c:pt idx="27">
                  <c:v>0.10266500000000001</c:v>
                </c:pt>
                <c:pt idx="28">
                  <c:v>7.3925000000000005E-2</c:v>
                </c:pt>
                <c:pt idx="29">
                  <c:v>3.7999999999999999E-2</c:v>
                </c:pt>
                <c:pt idx="30">
                  <c:v>0.13858999999999999</c:v>
                </c:pt>
                <c:pt idx="31">
                  <c:v>3.7999999999999999E-2</c:v>
                </c:pt>
                <c:pt idx="32">
                  <c:v>6.6739999999999994E-2</c:v>
                </c:pt>
                <c:pt idx="33">
                  <c:v>0.10985</c:v>
                </c:pt>
                <c:pt idx="34">
                  <c:v>3.7999999999999999E-2</c:v>
                </c:pt>
                <c:pt idx="35">
                  <c:v>0.13858999999999999</c:v>
                </c:pt>
                <c:pt idx="36">
                  <c:v>3.7999999999999999E-2</c:v>
                </c:pt>
                <c:pt idx="37">
                  <c:v>9.3513333333333296E-2</c:v>
                </c:pt>
                <c:pt idx="38">
                  <c:v>0.25450800000000001</c:v>
                </c:pt>
                <c:pt idx="39">
                  <c:v>0.451633333333333</c:v>
                </c:pt>
                <c:pt idx="40">
                  <c:v>0.43239333333333302</c:v>
                </c:pt>
                <c:pt idx="41">
                  <c:v>0.53830766666666696</c:v>
                </c:pt>
                <c:pt idx="42">
                  <c:v>0.34707266666666697</c:v>
                </c:pt>
                <c:pt idx="43">
                  <c:v>0.70728599999999997</c:v>
                </c:pt>
                <c:pt idx="44">
                  <c:v>0.13140499999999999</c:v>
                </c:pt>
                <c:pt idx="45">
                  <c:v>3.7999999999999999E-2</c:v>
                </c:pt>
                <c:pt idx="46">
                  <c:v>0.13858999999999999</c:v>
                </c:pt>
                <c:pt idx="47">
                  <c:v>3.7999999999999999E-2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FA1B-4F34-81FA-962F66EDDE5B}"/>
            </c:ext>
          </c:extLst>
        </c:ser>
        <c:ser>
          <c:idx val="70"/>
          <c:order val="70"/>
          <c:tx>
            <c:v>BES_TR2_six512_B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Demand_kW!$BU$2:$BU$49</c:f>
              <c:numCache>
                <c:formatCode>#,##0.000</c:formatCode>
                <c:ptCount val="48"/>
                <c:pt idx="0">
                  <c:v>0.40919733333333402</c:v>
                </c:pt>
                <c:pt idx="1">
                  <c:v>0.35674099999999997</c:v>
                </c:pt>
                <c:pt idx="2">
                  <c:v>6.6446000000000005E-2</c:v>
                </c:pt>
                <c:pt idx="3">
                  <c:v>0.19014666666666699</c:v>
                </c:pt>
                <c:pt idx="4">
                  <c:v>0.13435266666666701</c:v>
                </c:pt>
                <c:pt idx="5">
                  <c:v>0.13008800000000001</c:v>
                </c:pt>
                <c:pt idx="6">
                  <c:v>0.19441133333333299</c:v>
                </c:pt>
                <c:pt idx="7">
                  <c:v>0.04</c:v>
                </c:pt>
                <c:pt idx="8">
                  <c:v>0.28449933333333299</c:v>
                </c:pt>
                <c:pt idx="9">
                  <c:v>0.04</c:v>
                </c:pt>
                <c:pt idx="10">
                  <c:v>0.04</c:v>
                </c:pt>
                <c:pt idx="11">
                  <c:v>5.5014666666666698E-2</c:v>
                </c:pt>
                <c:pt idx="12">
                  <c:v>0.19014666666666699</c:v>
                </c:pt>
                <c:pt idx="13">
                  <c:v>9.2892000000000002E-2</c:v>
                </c:pt>
                <c:pt idx="14">
                  <c:v>8.1460666666666695E-2</c:v>
                </c:pt>
                <c:pt idx="15">
                  <c:v>0.19014666666666699</c:v>
                </c:pt>
                <c:pt idx="16">
                  <c:v>4.7405999999999997E-2</c:v>
                </c:pt>
                <c:pt idx="17">
                  <c:v>0.20664213333333301</c:v>
                </c:pt>
                <c:pt idx="18">
                  <c:v>8.8484333333333304E-2</c:v>
                </c:pt>
                <c:pt idx="19">
                  <c:v>0.16094166666666701</c:v>
                </c:pt>
                <c:pt idx="20">
                  <c:v>0.12973799999999999</c:v>
                </c:pt>
                <c:pt idx="21">
                  <c:v>0.75810476666666704</c:v>
                </c:pt>
                <c:pt idx="22">
                  <c:v>2.5229133333333298</c:v>
                </c:pt>
                <c:pt idx="23">
                  <c:v>1.7852139</c:v>
                </c:pt>
                <c:pt idx="24">
                  <c:v>0.16196226666666699</c:v>
                </c:pt>
                <c:pt idx="25">
                  <c:v>0.29141440000000002</c:v>
                </c:pt>
                <c:pt idx="26">
                  <c:v>5.1513700000000003E-2</c:v>
                </c:pt>
                <c:pt idx="27">
                  <c:v>0.17513200000000001</c:v>
                </c:pt>
                <c:pt idx="28">
                  <c:v>7.0029333333333402E-2</c:v>
                </c:pt>
                <c:pt idx="29">
                  <c:v>0.122580666666667</c:v>
                </c:pt>
                <c:pt idx="30">
                  <c:v>0.13580366666666699</c:v>
                </c:pt>
                <c:pt idx="31">
                  <c:v>0.106115</c:v>
                </c:pt>
                <c:pt idx="32">
                  <c:v>0.19014666666666699</c:v>
                </c:pt>
                <c:pt idx="33">
                  <c:v>8.8390266666666703E-2</c:v>
                </c:pt>
                <c:pt idx="34">
                  <c:v>0.1874034</c:v>
                </c:pt>
                <c:pt idx="35">
                  <c:v>0.323703666666667</c:v>
                </c:pt>
                <c:pt idx="36">
                  <c:v>1.1117779999999999</c:v>
                </c:pt>
                <c:pt idx="37">
                  <c:v>0.209655966666667</c:v>
                </c:pt>
                <c:pt idx="38">
                  <c:v>0.18794203333333301</c:v>
                </c:pt>
                <c:pt idx="39">
                  <c:v>0.23548466666666701</c:v>
                </c:pt>
                <c:pt idx="40">
                  <c:v>0.35610466666666701</c:v>
                </c:pt>
                <c:pt idx="41">
                  <c:v>0.18608359999999999</c:v>
                </c:pt>
                <c:pt idx="42">
                  <c:v>0.2826168</c:v>
                </c:pt>
                <c:pt idx="43">
                  <c:v>0.31143599999999999</c:v>
                </c:pt>
                <c:pt idx="44">
                  <c:v>0.31991399999999998</c:v>
                </c:pt>
                <c:pt idx="45">
                  <c:v>0.39609166666666601</c:v>
                </c:pt>
                <c:pt idx="46">
                  <c:v>0.35828066666666702</c:v>
                </c:pt>
                <c:pt idx="47">
                  <c:v>0.17064333333333301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FA1B-4F34-81FA-962F66EDDE5B}"/>
            </c:ext>
          </c:extLst>
        </c:ser>
        <c:ser>
          <c:idx val="71"/>
          <c:order val="71"/>
          <c:tx>
            <c:v>BES_TR2_six518_B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Demand_kW!$BV$2:$BV$49</c:f>
              <c:numCache>
                <c:formatCode>#,##0.000</c:formatCode>
                <c:ptCount val="48"/>
                <c:pt idx="0">
                  <c:v>0.11598</c:v>
                </c:pt>
                <c:pt idx="1">
                  <c:v>0.143526666666667</c:v>
                </c:pt>
                <c:pt idx="2">
                  <c:v>5.3999999999999999E-2</c:v>
                </c:pt>
                <c:pt idx="3">
                  <c:v>0.1573</c:v>
                </c:pt>
                <c:pt idx="4">
                  <c:v>0.102206666666667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0.11598</c:v>
                </c:pt>
                <c:pt idx="8">
                  <c:v>0.143526666666667</c:v>
                </c:pt>
                <c:pt idx="9">
                  <c:v>5.3999999999999999E-2</c:v>
                </c:pt>
                <c:pt idx="10">
                  <c:v>7.4660000000000004E-2</c:v>
                </c:pt>
                <c:pt idx="11">
                  <c:v>0.18484666666666699</c:v>
                </c:pt>
                <c:pt idx="12">
                  <c:v>5.3999999999999999E-2</c:v>
                </c:pt>
                <c:pt idx="13">
                  <c:v>0.19173333333333301</c:v>
                </c:pt>
                <c:pt idx="14">
                  <c:v>6.7773333333333394E-2</c:v>
                </c:pt>
                <c:pt idx="15">
                  <c:v>5.3999999999999999E-2</c:v>
                </c:pt>
                <c:pt idx="16">
                  <c:v>5.3999999999999999E-2</c:v>
                </c:pt>
                <c:pt idx="17">
                  <c:v>0.143526666666667</c:v>
                </c:pt>
                <c:pt idx="18">
                  <c:v>2.0584526666666698</c:v>
                </c:pt>
                <c:pt idx="19">
                  <c:v>0.64770973333333204</c:v>
                </c:pt>
                <c:pt idx="20">
                  <c:v>0.10099546666666701</c:v>
                </c:pt>
                <c:pt idx="21">
                  <c:v>0.25459666666666703</c:v>
                </c:pt>
                <c:pt idx="22">
                  <c:v>0.18795466666666699</c:v>
                </c:pt>
                <c:pt idx="23">
                  <c:v>0.33541500000000002</c:v>
                </c:pt>
                <c:pt idx="24">
                  <c:v>0.41296436666666703</c:v>
                </c:pt>
                <c:pt idx="25">
                  <c:v>5.3999999999999999E-2</c:v>
                </c:pt>
                <c:pt idx="26">
                  <c:v>0.16418666666666701</c:v>
                </c:pt>
                <c:pt idx="27">
                  <c:v>9.5319999999999905E-2</c:v>
                </c:pt>
                <c:pt idx="28">
                  <c:v>5.3999999999999999E-2</c:v>
                </c:pt>
                <c:pt idx="29">
                  <c:v>0.205506666666667</c:v>
                </c:pt>
                <c:pt idx="30">
                  <c:v>5.3999999999999999E-2</c:v>
                </c:pt>
                <c:pt idx="31">
                  <c:v>5.3999999999999999E-2</c:v>
                </c:pt>
                <c:pt idx="32">
                  <c:v>0.216045866666667</c:v>
                </c:pt>
                <c:pt idx="33">
                  <c:v>0.103949266666667</c:v>
                </c:pt>
                <c:pt idx="34">
                  <c:v>0.304076333333333</c:v>
                </c:pt>
                <c:pt idx="35">
                  <c:v>5.3999999999999999E-2</c:v>
                </c:pt>
                <c:pt idx="36">
                  <c:v>0.122866666666667</c:v>
                </c:pt>
                <c:pt idx="37">
                  <c:v>0.43965033333333298</c:v>
                </c:pt>
                <c:pt idx="38">
                  <c:v>0.32216333333333302</c:v>
                </c:pt>
                <c:pt idx="39">
                  <c:v>0.56055233333333299</c:v>
                </c:pt>
                <c:pt idx="40">
                  <c:v>0.45776299999999998</c:v>
                </c:pt>
                <c:pt idx="41">
                  <c:v>1.39982466666667</c:v>
                </c:pt>
                <c:pt idx="42">
                  <c:v>0.49758166666666698</c:v>
                </c:pt>
                <c:pt idx="43">
                  <c:v>0.36278133333333301</c:v>
                </c:pt>
                <c:pt idx="44">
                  <c:v>0.53372600000000003</c:v>
                </c:pt>
                <c:pt idx="45">
                  <c:v>0.28399000000000002</c:v>
                </c:pt>
                <c:pt idx="46">
                  <c:v>0.48441566666666702</c:v>
                </c:pt>
                <c:pt idx="47">
                  <c:v>0.15147133333333301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FA1B-4F34-81FA-962F66EDDE5B}"/>
            </c:ext>
          </c:extLst>
        </c:ser>
        <c:ser>
          <c:idx val="72"/>
          <c:order val="72"/>
          <c:tx>
            <c:v>BES_TR2_six523_C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Demand_kW!$BW$2:$BW$49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0.10048</c:v>
                </c:pt>
                <c:pt idx="2">
                  <c:v>0.30367466666666698</c:v>
                </c:pt>
                <c:pt idx="3">
                  <c:v>7.6932E-2</c:v>
                </c:pt>
                <c:pt idx="4">
                  <c:v>0.12033000000000001</c:v>
                </c:pt>
                <c:pt idx="5">
                  <c:v>0.269023333333333</c:v>
                </c:pt>
                <c:pt idx="6">
                  <c:v>0.10619933333333299</c:v>
                </c:pt>
                <c:pt idx="7">
                  <c:v>0.239420666666667</c:v>
                </c:pt>
                <c:pt idx="8">
                  <c:v>0.1792</c:v>
                </c:pt>
                <c:pt idx="9">
                  <c:v>4.8000000000000001E-2</c:v>
                </c:pt>
                <c:pt idx="10">
                  <c:v>0.26212566666666698</c:v>
                </c:pt>
                <c:pt idx="11">
                  <c:v>0.36036600000000002</c:v>
                </c:pt>
                <c:pt idx="12">
                  <c:v>0.21608666666666701</c:v>
                </c:pt>
                <c:pt idx="13">
                  <c:v>1.5605803333333299</c:v>
                </c:pt>
                <c:pt idx="14">
                  <c:v>0.29343866666666701</c:v>
                </c:pt>
                <c:pt idx="15">
                  <c:v>1.422104</c:v>
                </c:pt>
                <c:pt idx="16">
                  <c:v>0.54541399999999995</c:v>
                </c:pt>
                <c:pt idx="17">
                  <c:v>0.32727200000000001</c:v>
                </c:pt>
                <c:pt idx="18">
                  <c:v>0.57623400000000002</c:v>
                </c:pt>
                <c:pt idx="19">
                  <c:v>0.53850833333333303</c:v>
                </c:pt>
                <c:pt idx="20">
                  <c:v>0.25030999999999998</c:v>
                </c:pt>
                <c:pt idx="21">
                  <c:v>0.39737093333333401</c:v>
                </c:pt>
                <c:pt idx="22">
                  <c:v>5.7169333333333301E-2</c:v>
                </c:pt>
                <c:pt idx="23">
                  <c:v>4.8000000000000001E-2</c:v>
                </c:pt>
                <c:pt idx="24">
                  <c:v>0.31471393333333297</c:v>
                </c:pt>
                <c:pt idx="25">
                  <c:v>0.51243266666666698</c:v>
                </c:pt>
                <c:pt idx="26">
                  <c:v>4.8000000000000001E-2</c:v>
                </c:pt>
                <c:pt idx="27">
                  <c:v>0.283824666666667</c:v>
                </c:pt>
                <c:pt idx="28">
                  <c:v>0.14926200000000001</c:v>
                </c:pt>
                <c:pt idx="29">
                  <c:v>4.8000000000000001E-2</c:v>
                </c:pt>
                <c:pt idx="30">
                  <c:v>0.363387666666667</c:v>
                </c:pt>
                <c:pt idx="31">
                  <c:v>6.9698999999999997E-2</c:v>
                </c:pt>
                <c:pt idx="32">
                  <c:v>4.8000000000000001E-2</c:v>
                </c:pt>
                <c:pt idx="33">
                  <c:v>0.16153200000000001</c:v>
                </c:pt>
                <c:pt idx="34">
                  <c:v>0.31940016666666698</c:v>
                </c:pt>
                <c:pt idx="35">
                  <c:v>9.4274999999999998E-2</c:v>
                </c:pt>
                <c:pt idx="36">
                  <c:v>1.35342933333333</c:v>
                </c:pt>
                <c:pt idx="37">
                  <c:v>0.200943333333333</c:v>
                </c:pt>
                <c:pt idx="38">
                  <c:v>0.302258266666667</c:v>
                </c:pt>
                <c:pt idx="39">
                  <c:v>0.57352266666666696</c:v>
                </c:pt>
                <c:pt idx="40">
                  <c:v>0.236688333333333</c:v>
                </c:pt>
                <c:pt idx="41">
                  <c:v>0.40932499999999999</c:v>
                </c:pt>
                <c:pt idx="42">
                  <c:v>0.52275266666666698</c:v>
                </c:pt>
                <c:pt idx="43">
                  <c:v>1.2306586666666699</c:v>
                </c:pt>
                <c:pt idx="44">
                  <c:v>0.68057566666666602</c:v>
                </c:pt>
                <c:pt idx="45">
                  <c:v>0.74985133333333298</c:v>
                </c:pt>
                <c:pt idx="46">
                  <c:v>0.56747766666666699</c:v>
                </c:pt>
                <c:pt idx="47">
                  <c:v>0.50052700000000006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FA1B-4F34-81FA-962F66EDDE5B}"/>
            </c:ext>
          </c:extLst>
        </c:ser>
        <c:ser>
          <c:idx val="73"/>
          <c:order val="73"/>
          <c:tx>
            <c:v>BES_TR2_six571_C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Demand_kW!$BX$2:$BX$49</c:f>
              <c:numCache>
                <c:formatCode>#,##0.000</c:formatCode>
                <c:ptCount val="48"/>
                <c:pt idx="0">
                  <c:v>0.38397466666666702</c:v>
                </c:pt>
                <c:pt idx="1">
                  <c:v>5.3999999999999999E-2</c:v>
                </c:pt>
                <c:pt idx="2">
                  <c:v>0.34612799999999999</c:v>
                </c:pt>
                <c:pt idx="3">
                  <c:v>7.3921666666666705E-2</c:v>
                </c:pt>
                <c:pt idx="4">
                  <c:v>0.34149966666666698</c:v>
                </c:pt>
                <c:pt idx="5">
                  <c:v>0.114409</c:v>
                </c:pt>
                <c:pt idx="6">
                  <c:v>0.30907299999999999</c:v>
                </c:pt>
                <c:pt idx="7">
                  <c:v>0.182694666666667</c:v>
                </c:pt>
                <c:pt idx="8">
                  <c:v>0.159208666666667</c:v>
                </c:pt>
                <c:pt idx="9">
                  <c:v>0.159760666666667</c:v>
                </c:pt>
                <c:pt idx="10">
                  <c:v>0.23875133333333401</c:v>
                </c:pt>
                <c:pt idx="11">
                  <c:v>0.161772</c:v>
                </c:pt>
                <c:pt idx="12">
                  <c:v>0.27819933333333302</c:v>
                </c:pt>
                <c:pt idx="13">
                  <c:v>0.18790699999999999</c:v>
                </c:pt>
                <c:pt idx="14">
                  <c:v>0.26003300000000001</c:v>
                </c:pt>
                <c:pt idx="15">
                  <c:v>0.16221466666666701</c:v>
                </c:pt>
                <c:pt idx="16">
                  <c:v>0.16349</c:v>
                </c:pt>
                <c:pt idx="17">
                  <c:v>0.28910533333333299</c:v>
                </c:pt>
                <c:pt idx="18">
                  <c:v>0.31013400000000002</c:v>
                </c:pt>
                <c:pt idx="19">
                  <c:v>0.36129</c:v>
                </c:pt>
                <c:pt idx="20">
                  <c:v>0.446975333333333</c:v>
                </c:pt>
                <c:pt idx="21">
                  <c:v>2.2094543333333299</c:v>
                </c:pt>
                <c:pt idx="22">
                  <c:v>2.5968</c:v>
                </c:pt>
                <c:pt idx="23">
                  <c:v>1.9509829999999999</c:v>
                </c:pt>
                <c:pt idx="24">
                  <c:v>0.208997666666667</c:v>
                </c:pt>
                <c:pt idx="25">
                  <c:v>0.26389966666666698</c:v>
                </c:pt>
                <c:pt idx="26">
                  <c:v>0.239846</c:v>
                </c:pt>
                <c:pt idx="27">
                  <c:v>1.1335023333333301</c:v>
                </c:pt>
                <c:pt idx="28">
                  <c:v>0.60563833333333295</c:v>
                </c:pt>
                <c:pt idx="29">
                  <c:v>0.39962033333333302</c:v>
                </c:pt>
                <c:pt idx="30">
                  <c:v>0.245981333333333</c:v>
                </c:pt>
                <c:pt idx="31">
                  <c:v>0.14266733333333301</c:v>
                </c:pt>
                <c:pt idx="32">
                  <c:v>0.14183933333333301</c:v>
                </c:pt>
                <c:pt idx="33">
                  <c:v>0.70818999999999999</c:v>
                </c:pt>
                <c:pt idx="34">
                  <c:v>0.70597500000000002</c:v>
                </c:pt>
                <c:pt idx="35">
                  <c:v>0.71918400000000005</c:v>
                </c:pt>
                <c:pt idx="36">
                  <c:v>0.84926933333333299</c:v>
                </c:pt>
                <c:pt idx="37">
                  <c:v>0.49526999999999999</c:v>
                </c:pt>
                <c:pt idx="38">
                  <c:v>0.71286366666666701</c:v>
                </c:pt>
                <c:pt idx="39">
                  <c:v>0.366101333333333</c:v>
                </c:pt>
                <c:pt idx="40">
                  <c:v>0.22406733333333401</c:v>
                </c:pt>
                <c:pt idx="41">
                  <c:v>0.13530266666666699</c:v>
                </c:pt>
                <c:pt idx="42">
                  <c:v>0.28873133333333301</c:v>
                </c:pt>
                <c:pt idx="43">
                  <c:v>8.4927333333333396E-2</c:v>
                </c:pt>
                <c:pt idx="44">
                  <c:v>0.20958399999999999</c:v>
                </c:pt>
                <c:pt idx="45">
                  <c:v>5.3999999999999999E-2</c:v>
                </c:pt>
                <c:pt idx="46">
                  <c:v>0.405893</c:v>
                </c:pt>
                <c:pt idx="47">
                  <c:v>6.5952999999999998E-2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FA1B-4F34-81FA-962F66EDDE5B}"/>
            </c:ext>
          </c:extLst>
        </c:ser>
        <c:ser>
          <c:idx val="74"/>
          <c:order val="74"/>
          <c:tx>
            <c:v>BES_TR2_six583_A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Demand_kW!$BY$2:$BY$49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0.21547233333333299</c:v>
                </c:pt>
                <c:pt idx="2">
                  <c:v>5.8303000000000001E-2</c:v>
                </c:pt>
                <c:pt idx="3">
                  <c:v>5.3999999999999999E-2</c:v>
                </c:pt>
                <c:pt idx="4">
                  <c:v>0.13145399999999999</c:v>
                </c:pt>
                <c:pt idx="5">
                  <c:v>0.14231666666666701</c:v>
                </c:pt>
                <c:pt idx="6">
                  <c:v>5.3999999999999999E-2</c:v>
                </c:pt>
                <c:pt idx="7">
                  <c:v>5.3999999999999999E-2</c:v>
                </c:pt>
                <c:pt idx="8">
                  <c:v>0.14231666666666701</c:v>
                </c:pt>
                <c:pt idx="9">
                  <c:v>0.118545</c:v>
                </c:pt>
                <c:pt idx="10">
                  <c:v>9.84506666666667E-2</c:v>
                </c:pt>
                <c:pt idx="11">
                  <c:v>0.13228999999999999</c:v>
                </c:pt>
                <c:pt idx="12">
                  <c:v>0.109939</c:v>
                </c:pt>
                <c:pt idx="13">
                  <c:v>5.3999999999999999E-2</c:v>
                </c:pt>
                <c:pt idx="14">
                  <c:v>0.14231666666666701</c:v>
                </c:pt>
                <c:pt idx="15">
                  <c:v>5.3999999999999999E-2</c:v>
                </c:pt>
                <c:pt idx="16">
                  <c:v>0.13145399999999999</c:v>
                </c:pt>
                <c:pt idx="17">
                  <c:v>0.1941532</c:v>
                </c:pt>
                <c:pt idx="18">
                  <c:v>1.6659036</c:v>
                </c:pt>
                <c:pt idx="19">
                  <c:v>1.4541283</c:v>
                </c:pt>
                <c:pt idx="20">
                  <c:v>1.1433343333333299</c:v>
                </c:pt>
                <c:pt idx="21">
                  <c:v>0.197365333333334</c:v>
                </c:pt>
                <c:pt idx="22">
                  <c:v>0.23474400000000001</c:v>
                </c:pt>
                <c:pt idx="23">
                  <c:v>0.61951766666666697</c:v>
                </c:pt>
                <c:pt idx="24">
                  <c:v>0.55484533333333297</c:v>
                </c:pt>
                <c:pt idx="25">
                  <c:v>0.72737333333333398</c:v>
                </c:pt>
                <c:pt idx="26">
                  <c:v>0.40089799999999998</c:v>
                </c:pt>
                <c:pt idx="27">
                  <c:v>0.10889600000000001</c:v>
                </c:pt>
                <c:pt idx="28">
                  <c:v>0.16528699999999999</c:v>
                </c:pt>
                <c:pt idx="29">
                  <c:v>0.10213999999999999</c:v>
                </c:pt>
                <c:pt idx="30">
                  <c:v>0.30203666666666701</c:v>
                </c:pt>
                <c:pt idx="31">
                  <c:v>0.71929533333333295</c:v>
                </c:pt>
                <c:pt idx="32">
                  <c:v>0.15690899999999999</c:v>
                </c:pt>
                <c:pt idx="33">
                  <c:v>0.14399999999999999</c:v>
                </c:pt>
                <c:pt idx="34">
                  <c:v>0.249773</c:v>
                </c:pt>
                <c:pt idx="35">
                  <c:v>5.3999999999999999E-2</c:v>
                </c:pt>
                <c:pt idx="36">
                  <c:v>0.285482666666667</c:v>
                </c:pt>
                <c:pt idx="37">
                  <c:v>5.3999999999999999E-2</c:v>
                </c:pt>
                <c:pt idx="38">
                  <c:v>0.14231666666666701</c:v>
                </c:pt>
                <c:pt idx="39">
                  <c:v>0.13145399999999999</c:v>
                </c:pt>
                <c:pt idx="40">
                  <c:v>7.2925000000000004E-2</c:v>
                </c:pt>
                <c:pt idx="41">
                  <c:v>0.20084833333333299</c:v>
                </c:pt>
                <c:pt idx="42">
                  <c:v>5.8303000000000001E-2</c:v>
                </c:pt>
                <c:pt idx="43">
                  <c:v>0.36038700000000001</c:v>
                </c:pt>
                <c:pt idx="44">
                  <c:v>0.49945566666666702</c:v>
                </c:pt>
                <c:pt idx="45">
                  <c:v>0.43597399999999997</c:v>
                </c:pt>
                <c:pt idx="46">
                  <c:v>0.59562099999999996</c:v>
                </c:pt>
                <c:pt idx="47">
                  <c:v>0.74271166666666699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FA1B-4F34-81FA-962F66EDDE5B}"/>
            </c:ext>
          </c:extLst>
        </c:ser>
        <c:ser>
          <c:idx val="75"/>
          <c:order val="75"/>
          <c:tx>
            <c:v>BES_TR2_six625_A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Demand_kW!$BZ$2:$BZ$49</c:f>
              <c:numCache>
                <c:formatCode>#,##0.000</c:formatCode>
                <c:ptCount val="48"/>
                <c:pt idx="0">
                  <c:v>0.59368799999999999</c:v>
                </c:pt>
                <c:pt idx="1">
                  <c:v>0.57246133333333304</c:v>
                </c:pt>
                <c:pt idx="2">
                  <c:v>0.56291766666666698</c:v>
                </c:pt>
                <c:pt idx="3">
                  <c:v>5.8000000000000003E-2</c:v>
                </c:pt>
                <c:pt idx="4">
                  <c:v>0.29054966666666698</c:v>
                </c:pt>
                <c:pt idx="5">
                  <c:v>0.13</c:v>
                </c:pt>
                <c:pt idx="6">
                  <c:v>0.101283</c:v>
                </c:pt>
                <c:pt idx="7">
                  <c:v>0.31927033333333299</c:v>
                </c:pt>
                <c:pt idx="8">
                  <c:v>5.8000000000000003E-2</c:v>
                </c:pt>
                <c:pt idx="9">
                  <c:v>0.21</c:v>
                </c:pt>
                <c:pt idx="10">
                  <c:v>0.21054666666666699</c:v>
                </c:pt>
                <c:pt idx="11">
                  <c:v>0.14599999999999999</c:v>
                </c:pt>
                <c:pt idx="12">
                  <c:v>0.178136666666667</c:v>
                </c:pt>
                <c:pt idx="13">
                  <c:v>0.15440999999999999</c:v>
                </c:pt>
                <c:pt idx="14">
                  <c:v>5.8000000000000003E-2</c:v>
                </c:pt>
                <c:pt idx="15">
                  <c:v>0.36255166666666699</c:v>
                </c:pt>
                <c:pt idx="16">
                  <c:v>1.91241166666667</c:v>
                </c:pt>
                <c:pt idx="17">
                  <c:v>0.33621600000000001</c:v>
                </c:pt>
                <c:pt idx="18">
                  <c:v>0.24992066666666701</c:v>
                </c:pt>
                <c:pt idx="19">
                  <c:v>0.295047333333333</c:v>
                </c:pt>
                <c:pt idx="20">
                  <c:v>6.6000000000000003E-2</c:v>
                </c:pt>
                <c:pt idx="21">
                  <c:v>0.354553333333333</c:v>
                </c:pt>
                <c:pt idx="22">
                  <c:v>5.8000000000000003E-2</c:v>
                </c:pt>
                <c:pt idx="23">
                  <c:v>0.13499266666666701</c:v>
                </c:pt>
                <c:pt idx="24">
                  <c:v>0.28555966666666699</c:v>
                </c:pt>
                <c:pt idx="25">
                  <c:v>5.8000000000000003E-2</c:v>
                </c:pt>
                <c:pt idx="26">
                  <c:v>0.341698</c:v>
                </c:pt>
                <c:pt idx="27">
                  <c:v>0.123591666666667</c:v>
                </c:pt>
                <c:pt idx="28">
                  <c:v>0.29116599999999998</c:v>
                </c:pt>
                <c:pt idx="29">
                  <c:v>0.36860999999999999</c:v>
                </c:pt>
                <c:pt idx="30">
                  <c:v>0.19634599999999999</c:v>
                </c:pt>
                <c:pt idx="31">
                  <c:v>0.40515400000000001</c:v>
                </c:pt>
                <c:pt idx="32">
                  <c:v>0.26036999999999999</c:v>
                </c:pt>
                <c:pt idx="33">
                  <c:v>0.39419733333333301</c:v>
                </c:pt>
                <c:pt idx="34">
                  <c:v>0.27713300000000002</c:v>
                </c:pt>
                <c:pt idx="35">
                  <c:v>0.20016999999999999</c:v>
                </c:pt>
                <c:pt idx="36">
                  <c:v>0.13800000000000001</c:v>
                </c:pt>
                <c:pt idx="37">
                  <c:v>0.64112566666666704</c:v>
                </c:pt>
                <c:pt idx="38">
                  <c:v>1.6412086666666701</c:v>
                </c:pt>
                <c:pt idx="39">
                  <c:v>0.49173460000000002</c:v>
                </c:pt>
                <c:pt idx="40">
                  <c:v>0.56264400000000003</c:v>
                </c:pt>
                <c:pt idx="41">
                  <c:v>0.65136033333333299</c:v>
                </c:pt>
                <c:pt idx="42">
                  <c:v>0.49571266666666702</c:v>
                </c:pt>
                <c:pt idx="43">
                  <c:v>0.17</c:v>
                </c:pt>
                <c:pt idx="44">
                  <c:v>5.8000000000000003E-2</c:v>
                </c:pt>
                <c:pt idx="45">
                  <c:v>0.27256399999999997</c:v>
                </c:pt>
                <c:pt idx="46">
                  <c:v>0.14798266666666701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FA1B-4F34-81FA-962F66EDDE5B}"/>
            </c:ext>
          </c:extLst>
        </c:ser>
        <c:ser>
          <c:idx val="76"/>
          <c:order val="76"/>
          <c:tx>
            <c:v>BES_TR2_six646_B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Demand_kW!$CA$2:$CA$49</c:f>
              <c:numCache>
                <c:formatCode>#,##0.000</c:formatCode>
                <c:ptCount val="48"/>
                <c:pt idx="0">
                  <c:v>0.21100866666666701</c:v>
                </c:pt>
                <c:pt idx="1">
                  <c:v>4.5999999999999999E-2</c:v>
                </c:pt>
                <c:pt idx="2">
                  <c:v>0.31635933333333299</c:v>
                </c:pt>
                <c:pt idx="3">
                  <c:v>8.9423333333333299E-2</c:v>
                </c:pt>
                <c:pt idx="4">
                  <c:v>8.9423333333333396E-2</c:v>
                </c:pt>
                <c:pt idx="5">
                  <c:v>0.30408733333333299</c:v>
                </c:pt>
                <c:pt idx="6">
                  <c:v>5.8271999999999997E-2</c:v>
                </c:pt>
                <c:pt idx="7">
                  <c:v>0.14153133333333301</c:v>
                </c:pt>
                <c:pt idx="8">
                  <c:v>0.14153133333333301</c:v>
                </c:pt>
                <c:pt idx="9">
                  <c:v>4.5999999999999999E-2</c:v>
                </c:pt>
                <c:pt idx="10">
                  <c:v>0.156448</c:v>
                </c:pt>
                <c:pt idx="11">
                  <c:v>0.24933466666666701</c:v>
                </c:pt>
                <c:pt idx="12">
                  <c:v>4.5999999999999999E-2</c:v>
                </c:pt>
                <c:pt idx="13">
                  <c:v>0.24933466666666701</c:v>
                </c:pt>
                <c:pt idx="14">
                  <c:v>0.156448</c:v>
                </c:pt>
                <c:pt idx="15">
                  <c:v>0.15021599999999999</c:v>
                </c:pt>
                <c:pt idx="16">
                  <c:v>0.200342666666667</c:v>
                </c:pt>
                <c:pt idx="17">
                  <c:v>0.11670800000000001</c:v>
                </c:pt>
                <c:pt idx="18">
                  <c:v>0.244567333333333</c:v>
                </c:pt>
                <c:pt idx="19">
                  <c:v>0.214764966666667</c:v>
                </c:pt>
                <c:pt idx="20">
                  <c:v>1.1336588000000001</c:v>
                </c:pt>
                <c:pt idx="21">
                  <c:v>0.91642333333333303</c:v>
                </c:pt>
                <c:pt idx="22">
                  <c:v>0.213653333333333</c:v>
                </c:pt>
                <c:pt idx="23">
                  <c:v>1.0144933333333299</c:v>
                </c:pt>
                <c:pt idx="24">
                  <c:v>1.361308</c:v>
                </c:pt>
                <c:pt idx="25">
                  <c:v>0.40716933333333299</c:v>
                </c:pt>
                <c:pt idx="26">
                  <c:v>0.32971066666666698</c:v>
                </c:pt>
                <c:pt idx="27">
                  <c:v>0.55567699999999898</c:v>
                </c:pt>
                <c:pt idx="28">
                  <c:v>0.18190220000000001</c:v>
                </c:pt>
                <c:pt idx="29">
                  <c:v>0.19616296666666699</c:v>
                </c:pt>
                <c:pt idx="30">
                  <c:v>0.31473933333333398</c:v>
                </c:pt>
                <c:pt idx="31">
                  <c:v>1.29890533333333</c:v>
                </c:pt>
                <c:pt idx="32">
                  <c:v>0.44131866666666603</c:v>
                </c:pt>
                <c:pt idx="33">
                  <c:v>0.24001</c:v>
                </c:pt>
                <c:pt idx="34">
                  <c:v>0.40938999999999998</c:v>
                </c:pt>
                <c:pt idx="35">
                  <c:v>0.27163466666666702</c:v>
                </c:pt>
                <c:pt idx="36">
                  <c:v>1.48629533333333</c:v>
                </c:pt>
                <c:pt idx="37">
                  <c:v>0.42783266666666703</c:v>
                </c:pt>
                <c:pt idx="38">
                  <c:v>8.2816000000000001E-2</c:v>
                </c:pt>
                <c:pt idx="39">
                  <c:v>4.5999999999999999E-2</c:v>
                </c:pt>
                <c:pt idx="40">
                  <c:v>0.237062666666667</c:v>
                </c:pt>
                <c:pt idx="41">
                  <c:v>6.4408000000000007E-2</c:v>
                </c:pt>
                <c:pt idx="42">
                  <c:v>0.20241999999999999</c:v>
                </c:pt>
                <c:pt idx="43">
                  <c:v>0.203362666666667</c:v>
                </c:pt>
                <c:pt idx="44">
                  <c:v>0.150312</c:v>
                </c:pt>
                <c:pt idx="45">
                  <c:v>7.2054000000000007E-2</c:v>
                </c:pt>
                <c:pt idx="46">
                  <c:v>0.33372866666666601</c:v>
                </c:pt>
                <c:pt idx="47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FA1B-4F34-81FA-962F66EDDE5B}"/>
            </c:ext>
          </c:extLst>
        </c:ser>
        <c:ser>
          <c:idx val="77"/>
          <c:order val="77"/>
          <c:tx>
            <c:v>BES_TR2_six87_A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Demand_kW!$CB$2:$CB$49</c:f>
              <c:numCache>
                <c:formatCode>#,##0.000</c:formatCode>
                <c:ptCount val="48"/>
                <c:pt idx="0">
                  <c:v>0.14500933333333299</c:v>
                </c:pt>
                <c:pt idx="1">
                  <c:v>0.19825200000000001</c:v>
                </c:pt>
                <c:pt idx="2">
                  <c:v>0.17102600000000001</c:v>
                </c:pt>
                <c:pt idx="3">
                  <c:v>0.34821466666666701</c:v>
                </c:pt>
                <c:pt idx="4">
                  <c:v>0.154308</c:v>
                </c:pt>
                <c:pt idx="5">
                  <c:v>0.18411133333333299</c:v>
                </c:pt>
                <c:pt idx="6">
                  <c:v>0.23482133333333399</c:v>
                </c:pt>
                <c:pt idx="7">
                  <c:v>0.17102600000000001</c:v>
                </c:pt>
                <c:pt idx="8">
                  <c:v>0.21197666666666701</c:v>
                </c:pt>
                <c:pt idx="9">
                  <c:v>0.19023799999999999</c:v>
                </c:pt>
                <c:pt idx="10">
                  <c:v>0.28303733333333297</c:v>
                </c:pt>
                <c:pt idx="11">
                  <c:v>5.9895333333333398E-2</c:v>
                </c:pt>
                <c:pt idx="12">
                  <c:v>0.35184733333333301</c:v>
                </c:pt>
                <c:pt idx="13">
                  <c:v>0.167393333333334</c:v>
                </c:pt>
                <c:pt idx="14">
                  <c:v>0.2690302</c:v>
                </c:pt>
                <c:pt idx="15">
                  <c:v>2.7174641333333298</c:v>
                </c:pt>
                <c:pt idx="16">
                  <c:v>0.46020006666666602</c:v>
                </c:pt>
                <c:pt idx="17">
                  <c:v>0.35657366666666701</c:v>
                </c:pt>
                <c:pt idx="18">
                  <c:v>0.13544300000000001</c:v>
                </c:pt>
                <c:pt idx="19">
                  <c:v>0.30701666666666699</c:v>
                </c:pt>
                <c:pt idx="20">
                  <c:v>0.24403266666666701</c:v>
                </c:pt>
                <c:pt idx="21">
                  <c:v>0.10134550000000001</c:v>
                </c:pt>
                <c:pt idx="22">
                  <c:v>0.36645450000000002</c:v>
                </c:pt>
                <c:pt idx="23">
                  <c:v>0.181830833333333</c:v>
                </c:pt>
                <c:pt idx="24">
                  <c:v>0.35850799999999999</c:v>
                </c:pt>
                <c:pt idx="25">
                  <c:v>1.39117133333333</c:v>
                </c:pt>
                <c:pt idx="26">
                  <c:v>8.5976666666666701E-2</c:v>
                </c:pt>
                <c:pt idx="27">
                  <c:v>1.1253016</c:v>
                </c:pt>
                <c:pt idx="28">
                  <c:v>1.177414</c:v>
                </c:pt>
                <c:pt idx="29">
                  <c:v>1.6846209999999999</c:v>
                </c:pt>
                <c:pt idx="30">
                  <c:v>0.472955666666667</c:v>
                </c:pt>
                <c:pt idx="31">
                  <c:v>0.357408</c:v>
                </c:pt>
                <c:pt idx="32">
                  <c:v>2.3893046</c:v>
                </c:pt>
                <c:pt idx="33">
                  <c:v>0.16710976666666699</c:v>
                </c:pt>
                <c:pt idx="34">
                  <c:v>0.60249533333333405</c:v>
                </c:pt>
                <c:pt idx="35">
                  <c:v>1.4326093333333301</c:v>
                </c:pt>
                <c:pt idx="36">
                  <c:v>1.1359598</c:v>
                </c:pt>
                <c:pt idx="37">
                  <c:v>1.2192569666666699</c:v>
                </c:pt>
                <c:pt idx="38">
                  <c:v>2.2385220000000001</c:v>
                </c:pt>
                <c:pt idx="39">
                  <c:v>0.560869333333333</c:v>
                </c:pt>
                <c:pt idx="40">
                  <c:v>0.40928033333333302</c:v>
                </c:pt>
                <c:pt idx="41">
                  <c:v>0.71593533333333303</c:v>
                </c:pt>
                <c:pt idx="42">
                  <c:v>0.83409733333333302</c:v>
                </c:pt>
                <c:pt idx="43">
                  <c:v>0.80492733333333299</c:v>
                </c:pt>
                <c:pt idx="44">
                  <c:v>1.0649153333333301</c:v>
                </c:pt>
                <c:pt idx="45">
                  <c:v>0.93361666666666598</c:v>
                </c:pt>
                <c:pt idx="46">
                  <c:v>0.22395200000000001</c:v>
                </c:pt>
                <c:pt idx="47">
                  <c:v>0.29528866666666698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FA1B-4F34-81FA-962F66EDDE5B}"/>
            </c:ext>
          </c:extLst>
        </c:ser>
        <c:ser>
          <c:idx val="78"/>
          <c:order val="78"/>
          <c:tx>
            <c:v>BES_TR2_six652_A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Demand_kW!$CC$2:$CC$49</c:f>
              <c:numCache>
                <c:formatCode>#,##0.000</c:formatCode>
                <c:ptCount val="48"/>
                <c:pt idx="0">
                  <c:v>0.15603566666666699</c:v>
                </c:pt>
                <c:pt idx="1">
                  <c:v>0.29335966666666702</c:v>
                </c:pt>
                <c:pt idx="2">
                  <c:v>0.121204666666667</c:v>
                </c:pt>
                <c:pt idx="3">
                  <c:v>0.22223399999999999</c:v>
                </c:pt>
                <c:pt idx="4">
                  <c:v>8.2843E-2</c:v>
                </c:pt>
                <c:pt idx="5">
                  <c:v>0.28670200000000001</c:v>
                </c:pt>
                <c:pt idx="6">
                  <c:v>0.16724600000000001</c:v>
                </c:pt>
                <c:pt idx="7">
                  <c:v>0.229771</c:v>
                </c:pt>
                <c:pt idx="8">
                  <c:v>0.22063966666666701</c:v>
                </c:pt>
                <c:pt idx="9">
                  <c:v>0.121209</c:v>
                </c:pt>
                <c:pt idx="10">
                  <c:v>0.26215666666666698</c:v>
                </c:pt>
                <c:pt idx="11">
                  <c:v>0.145167666666667</c:v>
                </c:pt>
                <c:pt idx="12">
                  <c:v>5.8243666666666701E-2</c:v>
                </c:pt>
                <c:pt idx="13">
                  <c:v>0.132882</c:v>
                </c:pt>
                <c:pt idx="14">
                  <c:v>0.28168599999999999</c:v>
                </c:pt>
                <c:pt idx="15">
                  <c:v>0.23193766666666699</c:v>
                </c:pt>
                <c:pt idx="16">
                  <c:v>7.2731000000000004E-2</c:v>
                </c:pt>
                <c:pt idx="17">
                  <c:v>0.34434933333333301</c:v>
                </c:pt>
                <c:pt idx="18">
                  <c:v>9.69656666666667E-2</c:v>
                </c:pt>
                <c:pt idx="19">
                  <c:v>0.15241133333333301</c:v>
                </c:pt>
                <c:pt idx="20">
                  <c:v>0.31987300000000002</c:v>
                </c:pt>
                <c:pt idx="21">
                  <c:v>0.14934766666666699</c:v>
                </c:pt>
                <c:pt idx="22">
                  <c:v>9.4462000000000101E-2</c:v>
                </c:pt>
                <c:pt idx="23">
                  <c:v>6.7159333333333293E-2</c:v>
                </c:pt>
                <c:pt idx="24">
                  <c:v>0.35494399999999998</c:v>
                </c:pt>
                <c:pt idx="25">
                  <c:v>9.1941000000000106E-2</c:v>
                </c:pt>
                <c:pt idx="26">
                  <c:v>0.22169133333333299</c:v>
                </c:pt>
                <c:pt idx="27">
                  <c:v>0.19064900000000001</c:v>
                </c:pt>
                <c:pt idx="28">
                  <c:v>0.101705666666667</c:v>
                </c:pt>
                <c:pt idx="29">
                  <c:v>1.533345</c:v>
                </c:pt>
                <c:pt idx="30">
                  <c:v>0.97084000000000004</c:v>
                </c:pt>
                <c:pt idx="31">
                  <c:v>1.6557153333333301</c:v>
                </c:pt>
                <c:pt idx="32">
                  <c:v>0.32601999999999998</c:v>
                </c:pt>
                <c:pt idx="33">
                  <c:v>0.1342865</c:v>
                </c:pt>
                <c:pt idx="34">
                  <c:v>0.40834500000000001</c:v>
                </c:pt>
                <c:pt idx="35">
                  <c:v>0.37337266666666702</c:v>
                </c:pt>
                <c:pt idx="36">
                  <c:v>0.32570900000000003</c:v>
                </c:pt>
                <c:pt idx="37">
                  <c:v>0.27774966666666701</c:v>
                </c:pt>
                <c:pt idx="38">
                  <c:v>0.69692600000000005</c:v>
                </c:pt>
                <c:pt idx="39">
                  <c:v>0.36920333333333399</c:v>
                </c:pt>
                <c:pt idx="40">
                  <c:v>0.30024533333333298</c:v>
                </c:pt>
                <c:pt idx="41">
                  <c:v>0.59959433333333301</c:v>
                </c:pt>
                <c:pt idx="42">
                  <c:v>0.233304333333333</c:v>
                </c:pt>
                <c:pt idx="43">
                  <c:v>9.1941000000000106E-2</c:v>
                </c:pt>
                <c:pt idx="44">
                  <c:v>0.13792399999999999</c:v>
                </c:pt>
                <c:pt idx="45">
                  <c:v>0.17052300000000001</c:v>
                </c:pt>
                <c:pt idx="46">
                  <c:v>0.205599</c:v>
                </c:pt>
                <c:pt idx="47">
                  <c:v>0.19280966666666699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FA1B-4F34-81FA-962F66EDDE5B}"/>
            </c:ext>
          </c:extLst>
        </c:ser>
        <c:ser>
          <c:idx val="79"/>
          <c:order val="79"/>
          <c:tx>
            <c:v>BES_TR2_six665_B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Demand_kW!$CD$2:$CD$49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6.1200666666666702E-2</c:v>
                </c:pt>
                <c:pt idx="2">
                  <c:v>0.11860533333333299</c:v>
                </c:pt>
                <c:pt idx="3">
                  <c:v>6.1200666666666702E-2</c:v>
                </c:pt>
                <c:pt idx="4">
                  <c:v>0.11860533333333299</c:v>
                </c:pt>
                <c:pt idx="5">
                  <c:v>5.2999999999999999E-2</c:v>
                </c:pt>
                <c:pt idx="6">
                  <c:v>8.5802666666666694E-2</c:v>
                </c:pt>
                <c:pt idx="7">
                  <c:v>9.40033333333333E-2</c:v>
                </c:pt>
                <c:pt idx="8">
                  <c:v>5.2999999999999999E-2</c:v>
                </c:pt>
                <c:pt idx="9">
                  <c:v>0.126806</c:v>
                </c:pt>
                <c:pt idx="10">
                  <c:v>5.2999999999999999E-2</c:v>
                </c:pt>
                <c:pt idx="11">
                  <c:v>0.126806</c:v>
                </c:pt>
                <c:pt idx="12">
                  <c:v>5.2999999999999999E-2</c:v>
                </c:pt>
                <c:pt idx="13">
                  <c:v>0.126806</c:v>
                </c:pt>
                <c:pt idx="14">
                  <c:v>5.2999999999999999E-2</c:v>
                </c:pt>
                <c:pt idx="15">
                  <c:v>0.110404666666667</c:v>
                </c:pt>
                <c:pt idx="16">
                  <c:v>0.61946800000000002</c:v>
                </c:pt>
                <c:pt idx="17">
                  <c:v>0.73951666666666704</c:v>
                </c:pt>
                <c:pt idx="18">
                  <c:v>0.31546666666666701</c:v>
                </c:pt>
                <c:pt idx="19">
                  <c:v>0.28447</c:v>
                </c:pt>
                <c:pt idx="20">
                  <c:v>8.5802666666666597E-2</c:v>
                </c:pt>
                <c:pt idx="21">
                  <c:v>6.9401333333333301E-2</c:v>
                </c:pt>
                <c:pt idx="22">
                  <c:v>0.110404666666667</c:v>
                </c:pt>
                <c:pt idx="23">
                  <c:v>5.2999999999999999E-2</c:v>
                </c:pt>
                <c:pt idx="24">
                  <c:v>5.2999999999999999E-2</c:v>
                </c:pt>
                <c:pt idx="25">
                  <c:v>0.126806</c:v>
                </c:pt>
                <c:pt idx="26">
                  <c:v>0.10226666666666701</c:v>
                </c:pt>
                <c:pt idx="27">
                  <c:v>0.21326999999999999</c:v>
                </c:pt>
                <c:pt idx="28">
                  <c:v>1.41967333333333</c:v>
                </c:pt>
                <c:pt idx="29">
                  <c:v>2.41248833333333</c:v>
                </c:pt>
                <c:pt idx="30">
                  <c:v>0.29075533333333298</c:v>
                </c:pt>
                <c:pt idx="31">
                  <c:v>1.316046</c:v>
                </c:pt>
                <c:pt idx="32">
                  <c:v>5.2999999999999999E-2</c:v>
                </c:pt>
                <c:pt idx="33">
                  <c:v>0.144161333333333</c:v>
                </c:pt>
                <c:pt idx="34">
                  <c:v>0.34570333333333297</c:v>
                </c:pt>
                <c:pt idx="35">
                  <c:v>0.66914399999999996</c:v>
                </c:pt>
                <c:pt idx="36">
                  <c:v>0.10720399999999999</c:v>
                </c:pt>
                <c:pt idx="37">
                  <c:v>8.0585900000000002E-2</c:v>
                </c:pt>
                <c:pt idx="38">
                  <c:v>0.1198525</c:v>
                </c:pt>
                <c:pt idx="39">
                  <c:v>0.43662833333333301</c:v>
                </c:pt>
                <c:pt idx="40">
                  <c:v>0.53269833333333305</c:v>
                </c:pt>
                <c:pt idx="41">
                  <c:v>0.84074333333333395</c:v>
                </c:pt>
                <c:pt idx="42">
                  <c:v>0.45405566666666702</c:v>
                </c:pt>
                <c:pt idx="43">
                  <c:v>0.388851</c:v>
                </c:pt>
                <c:pt idx="44">
                  <c:v>0.39579766666666699</c:v>
                </c:pt>
                <c:pt idx="45">
                  <c:v>0.46171499999999999</c:v>
                </c:pt>
                <c:pt idx="46">
                  <c:v>5.2999999999999999E-2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FA1B-4F34-81FA-962F66EDDE5B}"/>
            </c:ext>
          </c:extLst>
        </c:ser>
        <c:ser>
          <c:idx val="80"/>
          <c:order val="80"/>
          <c:tx>
            <c:v>BES_TR2_six667_A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Demand_kW!$CE$2:$CE$49</c:f>
              <c:numCache>
                <c:formatCode>#,##0.000</c:formatCode>
                <c:ptCount val="48"/>
                <c:pt idx="0">
                  <c:v>5.6000000000000001E-2</c:v>
                </c:pt>
                <c:pt idx="1">
                  <c:v>0.24066799999999999</c:v>
                </c:pt>
                <c:pt idx="2">
                  <c:v>5.6000000000000001E-2</c:v>
                </c:pt>
                <c:pt idx="3">
                  <c:v>0.131546</c:v>
                </c:pt>
                <c:pt idx="4">
                  <c:v>0.16512199999999999</c:v>
                </c:pt>
                <c:pt idx="5">
                  <c:v>5.6000000000000001E-2</c:v>
                </c:pt>
                <c:pt idx="6">
                  <c:v>0.15672800000000001</c:v>
                </c:pt>
                <c:pt idx="7">
                  <c:v>0.13994000000000001</c:v>
                </c:pt>
                <c:pt idx="8">
                  <c:v>5.6000000000000001E-2</c:v>
                </c:pt>
                <c:pt idx="9">
                  <c:v>0.21548600000000001</c:v>
                </c:pt>
                <c:pt idx="10">
                  <c:v>8.1182000000000101E-2</c:v>
                </c:pt>
                <c:pt idx="11">
                  <c:v>5.6000000000000001E-2</c:v>
                </c:pt>
                <c:pt idx="12">
                  <c:v>0.28544133333333299</c:v>
                </c:pt>
                <c:pt idx="13">
                  <c:v>0.18367</c:v>
                </c:pt>
                <c:pt idx="14">
                  <c:v>0.292223333333333</c:v>
                </c:pt>
                <c:pt idx="15">
                  <c:v>5.6000000000000001E-2</c:v>
                </c:pt>
                <c:pt idx="16">
                  <c:v>0.40312033333333303</c:v>
                </c:pt>
                <c:pt idx="17">
                  <c:v>0.48724200000000001</c:v>
                </c:pt>
                <c:pt idx="18">
                  <c:v>0.299342</c:v>
                </c:pt>
                <c:pt idx="19">
                  <c:v>0.19098000000000001</c:v>
                </c:pt>
                <c:pt idx="20">
                  <c:v>0.66436266666666599</c:v>
                </c:pt>
                <c:pt idx="21">
                  <c:v>0.52300999999999997</c:v>
                </c:pt>
                <c:pt idx="22">
                  <c:v>0.483063666666666</c:v>
                </c:pt>
                <c:pt idx="23">
                  <c:v>0.81832533333333402</c:v>
                </c:pt>
                <c:pt idx="24">
                  <c:v>0.41269166666666701</c:v>
                </c:pt>
                <c:pt idx="25">
                  <c:v>0.405117</c:v>
                </c:pt>
                <c:pt idx="26">
                  <c:v>0.167374</c:v>
                </c:pt>
                <c:pt idx="27">
                  <c:v>0.59029933333333395</c:v>
                </c:pt>
                <c:pt idx="28">
                  <c:v>1.1843118666666701</c:v>
                </c:pt>
                <c:pt idx="29">
                  <c:v>0.68693973333333302</c:v>
                </c:pt>
                <c:pt idx="30">
                  <c:v>0.39267673333333297</c:v>
                </c:pt>
                <c:pt idx="31">
                  <c:v>0.2434714</c:v>
                </c:pt>
                <c:pt idx="32">
                  <c:v>0.24548139999999999</c:v>
                </c:pt>
                <c:pt idx="33">
                  <c:v>0.66200446666666701</c:v>
                </c:pt>
                <c:pt idx="34">
                  <c:v>0.55414019999999997</c:v>
                </c:pt>
                <c:pt idx="35">
                  <c:v>0.33779666666666702</c:v>
                </c:pt>
                <c:pt idx="36">
                  <c:v>0.33359766666666701</c:v>
                </c:pt>
                <c:pt idx="37">
                  <c:v>0.26479866666666702</c:v>
                </c:pt>
                <c:pt idx="38">
                  <c:v>2.64465533333333</c:v>
                </c:pt>
                <c:pt idx="39">
                  <c:v>1.40619266666667</c:v>
                </c:pt>
                <c:pt idx="40">
                  <c:v>0.49963000000000002</c:v>
                </c:pt>
                <c:pt idx="41">
                  <c:v>0.60587899999999995</c:v>
                </c:pt>
                <c:pt idx="42">
                  <c:v>2.2032750000000001</c:v>
                </c:pt>
                <c:pt idx="43">
                  <c:v>0.61479233333333305</c:v>
                </c:pt>
                <c:pt idx="44">
                  <c:v>0.70525633333333304</c:v>
                </c:pt>
                <c:pt idx="45">
                  <c:v>0.81346399999999996</c:v>
                </c:pt>
                <c:pt idx="46">
                  <c:v>0.55689866666666699</c:v>
                </c:pt>
                <c:pt idx="47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FA1B-4F34-81FA-962F66EDDE5B}"/>
            </c:ext>
          </c:extLst>
        </c:ser>
        <c:ser>
          <c:idx val="81"/>
          <c:order val="81"/>
          <c:tx>
            <c:v>BES_TR2_six721_A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Demand_kW!$CF$2:$CF$49</c:f>
              <c:numCache>
                <c:formatCode>#,##0.000</c:formatCode>
                <c:ptCount val="48"/>
                <c:pt idx="0">
                  <c:v>0.70558933333333396</c:v>
                </c:pt>
                <c:pt idx="1">
                  <c:v>0.13580066666666701</c:v>
                </c:pt>
                <c:pt idx="2">
                  <c:v>0.14858933333333299</c:v>
                </c:pt>
                <c:pt idx="3">
                  <c:v>0.18648733333333301</c:v>
                </c:pt>
                <c:pt idx="4">
                  <c:v>0.17398666666666701</c:v>
                </c:pt>
                <c:pt idx="5">
                  <c:v>4.7E-2</c:v>
                </c:pt>
                <c:pt idx="6">
                  <c:v>0.180147</c:v>
                </c:pt>
                <c:pt idx="7">
                  <c:v>0.123183</c:v>
                </c:pt>
                <c:pt idx="8">
                  <c:v>0.19290866666666701</c:v>
                </c:pt>
                <c:pt idx="9">
                  <c:v>0.12946933333333299</c:v>
                </c:pt>
                <c:pt idx="10">
                  <c:v>0.14224000000000001</c:v>
                </c:pt>
                <c:pt idx="11">
                  <c:v>0.19283666666666699</c:v>
                </c:pt>
                <c:pt idx="12">
                  <c:v>0.167637333333333</c:v>
                </c:pt>
                <c:pt idx="13">
                  <c:v>4.7E-2</c:v>
                </c:pt>
                <c:pt idx="14">
                  <c:v>8.5042000000000006E-2</c:v>
                </c:pt>
                <c:pt idx="15">
                  <c:v>0.28801189999999999</c:v>
                </c:pt>
                <c:pt idx="16">
                  <c:v>0.222739933333333</c:v>
                </c:pt>
                <c:pt idx="17">
                  <c:v>0.21188283333333299</c:v>
                </c:pt>
                <c:pt idx="18">
                  <c:v>0.16117100000000001</c:v>
                </c:pt>
                <c:pt idx="19">
                  <c:v>0.14224000000000001</c:v>
                </c:pt>
                <c:pt idx="20">
                  <c:v>0.21823400000000001</c:v>
                </c:pt>
                <c:pt idx="21">
                  <c:v>4.7E-2</c:v>
                </c:pt>
                <c:pt idx="22">
                  <c:v>0.104063</c:v>
                </c:pt>
                <c:pt idx="23">
                  <c:v>0.29088399999999998</c:v>
                </c:pt>
                <c:pt idx="24">
                  <c:v>0.26217473333333302</c:v>
                </c:pt>
                <c:pt idx="25">
                  <c:v>0.50414333333333305</c:v>
                </c:pt>
                <c:pt idx="26">
                  <c:v>4.7E-2</c:v>
                </c:pt>
                <c:pt idx="27">
                  <c:v>6.4139600000000005E-2</c:v>
                </c:pt>
                <c:pt idx="28">
                  <c:v>0.49772420000000001</c:v>
                </c:pt>
                <c:pt idx="29">
                  <c:v>0.70513333333333394</c:v>
                </c:pt>
                <c:pt idx="30">
                  <c:v>0.27091999999999999</c:v>
                </c:pt>
                <c:pt idx="31">
                  <c:v>9.5533333333333401E-2</c:v>
                </c:pt>
                <c:pt idx="32">
                  <c:v>0.31347399999999997</c:v>
                </c:pt>
                <c:pt idx="33">
                  <c:v>4.7E-2</c:v>
                </c:pt>
                <c:pt idx="34">
                  <c:v>7.23973333333333E-2</c:v>
                </c:pt>
                <c:pt idx="35">
                  <c:v>0.218333</c:v>
                </c:pt>
                <c:pt idx="36">
                  <c:v>0.116743666666667</c:v>
                </c:pt>
                <c:pt idx="37">
                  <c:v>9.1445333333333406E-2</c:v>
                </c:pt>
                <c:pt idx="38">
                  <c:v>0.24366733333333301</c:v>
                </c:pt>
                <c:pt idx="39">
                  <c:v>7.2361333333333305E-2</c:v>
                </c:pt>
                <c:pt idx="40">
                  <c:v>0.17398666666666701</c:v>
                </c:pt>
                <c:pt idx="41">
                  <c:v>0.18648733333333301</c:v>
                </c:pt>
                <c:pt idx="42">
                  <c:v>0.17398666666666701</c:v>
                </c:pt>
                <c:pt idx="43">
                  <c:v>0.129424333333333</c:v>
                </c:pt>
                <c:pt idx="44">
                  <c:v>0.13580966666666699</c:v>
                </c:pt>
                <c:pt idx="45">
                  <c:v>0.14224000000000001</c:v>
                </c:pt>
                <c:pt idx="46">
                  <c:v>0.14210500000000001</c:v>
                </c:pt>
                <c:pt idx="47">
                  <c:v>0.21836900000000001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FA1B-4F34-81FA-962F66EDDE5B}"/>
            </c:ext>
          </c:extLst>
        </c:ser>
        <c:ser>
          <c:idx val="82"/>
          <c:order val="82"/>
          <c:tx>
            <c:v>BES_TR2_six740_A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Demand_kW!$CG$2:$CG$49</c:f>
              <c:numCache>
                <c:formatCode>#,##0.000</c:formatCode>
                <c:ptCount val="48"/>
                <c:pt idx="0">
                  <c:v>0.13513033333333299</c:v>
                </c:pt>
                <c:pt idx="1">
                  <c:v>0.13243833333333299</c:v>
                </c:pt>
                <c:pt idx="2">
                  <c:v>5.3556666666666697E-2</c:v>
                </c:pt>
                <c:pt idx="3">
                  <c:v>8.8047333333333394E-2</c:v>
                </c:pt>
                <c:pt idx="4">
                  <c:v>7.2079666666666695E-2</c:v>
                </c:pt>
                <c:pt idx="5">
                  <c:v>0.186866333333333</c:v>
                </c:pt>
                <c:pt idx="6">
                  <c:v>4.0622666666666703E-2</c:v>
                </c:pt>
                <c:pt idx="7">
                  <c:v>0.170898666666667</c:v>
                </c:pt>
                <c:pt idx="8">
                  <c:v>9.6670000000000006E-2</c:v>
                </c:pt>
                <c:pt idx="9">
                  <c:v>3.2000000000000001E-2</c:v>
                </c:pt>
                <c:pt idx="10">
                  <c:v>8.9256666666666706E-2</c:v>
                </c:pt>
                <c:pt idx="11">
                  <c:v>0.13951</c:v>
                </c:pt>
                <c:pt idx="12">
                  <c:v>7.0802000000000004E-2</c:v>
                </c:pt>
                <c:pt idx="13">
                  <c:v>3.2000000000000001E-2</c:v>
                </c:pt>
                <c:pt idx="14">
                  <c:v>0.18403766666666699</c:v>
                </c:pt>
                <c:pt idx="15">
                  <c:v>9.4882666666666698E-2</c:v>
                </c:pt>
                <c:pt idx="16">
                  <c:v>0.22331416666666701</c:v>
                </c:pt>
                <c:pt idx="17">
                  <c:v>0.35165000000000002</c:v>
                </c:pt>
                <c:pt idx="18">
                  <c:v>0.210530666666667</c:v>
                </c:pt>
                <c:pt idx="19">
                  <c:v>0.20812566666666699</c:v>
                </c:pt>
                <c:pt idx="20">
                  <c:v>7.0118E-2</c:v>
                </c:pt>
                <c:pt idx="21">
                  <c:v>0.211183333333333</c:v>
                </c:pt>
                <c:pt idx="22">
                  <c:v>2.82669066666667</c:v>
                </c:pt>
                <c:pt idx="23">
                  <c:v>0.24104193333333301</c:v>
                </c:pt>
                <c:pt idx="24">
                  <c:v>1.5181563</c:v>
                </c:pt>
                <c:pt idx="25">
                  <c:v>0.63084269999999998</c:v>
                </c:pt>
                <c:pt idx="26">
                  <c:v>0.171902266666667</c:v>
                </c:pt>
                <c:pt idx="27">
                  <c:v>0.1179624</c:v>
                </c:pt>
                <c:pt idx="28">
                  <c:v>0.13872200000000001</c:v>
                </c:pt>
                <c:pt idx="29">
                  <c:v>0.24284</c:v>
                </c:pt>
                <c:pt idx="30">
                  <c:v>0.45485900000000001</c:v>
                </c:pt>
                <c:pt idx="31">
                  <c:v>0.12546933333333299</c:v>
                </c:pt>
                <c:pt idx="32">
                  <c:v>0.1109358</c:v>
                </c:pt>
                <c:pt idx="33">
                  <c:v>0.50955293333333296</c:v>
                </c:pt>
                <c:pt idx="34">
                  <c:v>0.27112233333333302</c:v>
                </c:pt>
                <c:pt idx="35">
                  <c:v>0.26146200000000003</c:v>
                </c:pt>
                <c:pt idx="36">
                  <c:v>0.16348099999999999</c:v>
                </c:pt>
                <c:pt idx="37">
                  <c:v>0.205224666666667</c:v>
                </c:pt>
                <c:pt idx="38">
                  <c:v>0.130304</c:v>
                </c:pt>
                <c:pt idx="39">
                  <c:v>0.24628666666666699</c:v>
                </c:pt>
                <c:pt idx="40">
                  <c:v>0.403021666666667</c:v>
                </c:pt>
                <c:pt idx="41">
                  <c:v>0.72063200000000005</c:v>
                </c:pt>
                <c:pt idx="42">
                  <c:v>1.49276766666667</c:v>
                </c:pt>
                <c:pt idx="43">
                  <c:v>0.492678</c:v>
                </c:pt>
                <c:pt idx="44">
                  <c:v>0.301348</c:v>
                </c:pt>
                <c:pt idx="45">
                  <c:v>8.5082000000000005E-2</c:v>
                </c:pt>
                <c:pt idx="46">
                  <c:v>7.9424666666666699E-2</c:v>
                </c:pt>
                <c:pt idx="47">
                  <c:v>0.13654466666666701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FA1B-4F34-81FA-962F66EDDE5B}"/>
            </c:ext>
          </c:extLst>
        </c:ser>
        <c:ser>
          <c:idx val="83"/>
          <c:order val="83"/>
          <c:tx>
            <c:v>BES_TR2_six758_B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Demand_kW!$CH$2:$CH$49</c:f>
              <c:numCache>
                <c:formatCode>#,##0.000</c:formatCode>
                <c:ptCount val="48"/>
                <c:pt idx="0">
                  <c:v>0.05</c:v>
                </c:pt>
                <c:pt idx="1">
                  <c:v>0.22235533333333299</c:v>
                </c:pt>
                <c:pt idx="2">
                  <c:v>0.05</c:v>
                </c:pt>
                <c:pt idx="3">
                  <c:v>0.159680666666667</c:v>
                </c:pt>
                <c:pt idx="4">
                  <c:v>0.11267466666666701</c:v>
                </c:pt>
                <c:pt idx="5">
                  <c:v>7.3502999999999999E-2</c:v>
                </c:pt>
                <c:pt idx="6">
                  <c:v>0.19885233333333299</c:v>
                </c:pt>
                <c:pt idx="7">
                  <c:v>0.05</c:v>
                </c:pt>
                <c:pt idx="8">
                  <c:v>0.05</c:v>
                </c:pt>
                <c:pt idx="9">
                  <c:v>0.19101799999999999</c:v>
                </c:pt>
                <c:pt idx="10">
                  <c:v>8.1337333333333303E-2</c:v>
                </c:pt>
                <c:pt idx="11">
                  <c:v>5.7834333333333397E-2</c:v>
                </c:pt>
                <c:pt idx="12">
                  <c:v>0.21452099999999999</c:v>
                </c:pt>
                <c:pt idx="13">
                  <c:v>0.05</c:v>
                </c:pt>
                <c:pt idx="14">
                  <c:v>0.12050900000000001</c:v>
                </c:pt>
                <c:pt idx="15">
                  <c:v>0.151846333333333</c:v>
                </c:pt>
                <c:pt idx="16">
                  <c:v>0.05</c:v>
                </c:pt>
                <c:pt idx="17">
                  <c:v>0.22235533333333299</c:v>
                </c:pt>
                <c:pt idx="18">
                  <c:v>0.05</c:v>
                </c:pt>
                <c:pt idx="19">
                  <c:v>0.151846333333333</c:v>
                </c:pt>
                <c:pt idx="20">
                  <c:v>0.12050900000000001</c:v>
                </c:pt>
                <c:pt idx="21">
                  <c:v>0.36325800000000003</c:v>
                </c:pt>
                <c:pt idx="22">
                  <c:v>1.801426</c:v>
                </c:pt>
                <c:pt idx="23">
                  <c:v>6.5668666666666695E-2</c:v>
                </c:pt>
                <c:pt idx="24">
                  <c:v>0.128343333333333</c:v>
                </c:pt>
                <c:pt idx="25">
                  <c:v>0.144012</c:v>
                </c:pt>
                <c:pt idx="26">
                  <c:v>0.05</c:v>
                </c:pt>
                <c:pt idx="27">
                  <c:v>5.4864999999999997E-2</c:v>
                </c:pt>
                <c:pt idx="28">
                  <c:v>0.49774916666666702</c:v>
                </c:pt>
                <c:pt idx="29">
                  <c:v>1.01125816666667</c:v>
                </c:pt>
                <c:pt idx="30">
                  <c:v>0.269558666666667</c:v>
                </c:pt>
                <c:pt idx="31">
                  <c:v>0.112431</c:v>
                </c:pt>
                <c:pt idx="32">
                  <c:v>0.104593333333333</c:v>
                </c:pt>
                <c:pt idx="33">
                  <c:v>0.249107833333333</c:v>
                </c:pt>
                <c:pt idx="34">
                  <c:v>0.45226666666666698</c:v>
                </c:pt>
                <c:pt idx="35">
                  <c:v>0.779053</c:v>
                </c:pt>
                <c:pt idx="36">
                  <c:v>0.23906649999999999</c:v>
                </c:pt>
                <c:pt idx="37">
                  <c:v>0.28383833333333303</c:v>
                </c:pt>
                <c:pt idx="38">
                  <c:v>0.25631183333333302</c:v>
                </c:pt>
                <c:pt idx="39">
                  <c:v>0.46726000000000001</c:v>
                </c:pt>
                <c:pt idx="40">
                  <c:v>0.665916333333333</c:v>
                </c:pt>
                <c:pt idx="41">
                  <c:v>0.85237133333333404</c:v>
                </c:pt>
                <c:pt idx="42">
                  <c:v>0.55959433333333397</c:v>
                </c:pt>
                <c:pt idx="43">
                  <c:v>0.488188333333333</c:v>
                </c:pt>
                <c:pt idx="44">
                  <c:v>0.47295266666666702</c:v>
                </c:pt>
                <c:pt idx="45">
                  <c:v>7.3502999999999999E-2</c:v>
                </c:pt>
                <c:pt idx="46">
                  <c:v>0.19885233333333299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FA1B-4F34-81FA-962F66EDDE5B}"/>
            </c:ext>
          </c:extLst>
        </c:ser>
        <c:ser>
          <c:idx val="84"/>
          <c:order val="84"/>
          <c:tx>
            <c:v>BES_TR2_six784_B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Demand_kW!$CI$2:$CI$49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4.9000000000000002E-2</c:v>
                </c:pt>
                <c:pt idx="2">
                  <c:v>4.9000000000000002E-2</c:v>
                </c:pt>
                <c:pt idx="3">
                  <c:v>4.9000000000000002E-2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4.9000000000000002E-2</c:v>
                </c:pt>
                <c:pt idx="8">
                  <c:v>4.9000000000000002E-2</c:v>
                </c:pt>
                <c:pt idx="9">
                  <c:v>4.9000000000000002E-2</c:v>
                </c:pt>
                <c:pt idx="10">
                  <c:v>4.9000000000000002E-2</c:v>
                </c:pt>
                <c:pt idx="11">
                  <c:v>6.5128199999999997E-2</c:v>
                </c:pt>
                <c:pt idx="12">
                  <c:v>6.7000000000000004E-2</c:v>
                </c:pt>
                <c:pt idx="13">
                  <c:v>6.7000000000000004E-2</c:v>
                </c:pt>
                <c:pt idx="14">
                  <c:v>0.27474999999999999</c:v>
                </c:pt>
                <c:pt idx="15">
                  <c:v>6.7000000000000004E-2</c:v>
                </c:pt>
                <c:pt idx="16">
                  <c:v>0.16446</c:v>
                </c:pt>
                <c:pt idx="17">
                  <c:v>6.7000000000000004E-2</c:v>
                </c:pt>
                <c:pt idx="18">
                  <c:v>6.7000000000000004E-2</c:v>
                </c:pt>
                <c:pt idx="19">
                  <c:v>1.0833333333333299</c:v>
                </c:pt>
                <c:pt idx="20">
                  <c:v>0.75919999999999999</c:v>
                </c:pt>
                <c:pt idx="21">
                  <c:v>1.3499000000000001</c:v>
                </c:pt>
                <c:pt idx="22">
                  <c:v>5.3199999999999997E-2</c:v>
                </c:pt>
                <c:pt idx="23">
                  <c:v>4.9000000000000002E-2</c:v>
                </c:pt>
                <c:pt idx="24">
                  <c:v>6.4333333333333298E-2</c:v>
                </c:pt>
                <c:pt idx="25">
                  <c:v>8.3616733333333304E-2</c:v>
                </c:pt>
                <c:pt idx="26">
                  <c:v>0.372509066666667</c:v>
                </c:pt>
                <c:pt idx="27">
                  <c:v>0.25397999999999998</c:v>
                </c:pt>
                <c:pt idx="28">
                  <c:v>0.31831066666666602</c:v>
                </c:pt>
                <c:pt idx="29">
                  <c:v>4.9000000000000002E-2</c:v>
                </c:pt>
                <c:pt idx="30">
                  <c:v>4.9000000000000002E-2</c:v>
                </c:pt>
                <c:pt idx="31">
                  <c:v>4.9000000000000002E-2</c:v>
                </c:pt>
                <c:pt idx="32">
                  <c:v>0.20204</c:v>
                </c:pt>
                <c:pt idx="33">
                  <c:v>0.24479400000000001</c:v>
                </c:pt>
                <c:pt idx="34">
                  <c:v>0.50621733333333296</c:v>
                </c:pt>
                <c:pt idx="35">
                  <c:v>1.95471333333333</c:v>
                </c:pt>
                <c:pt idx="36">
                  <c:v>0.22238733333333299</c:v>
                </c:pt>
                <c:pt idx="37">
                  <c:v>0.326042</c:v>
                </c:pt>
                <c:pt idx="38">
                  <c:v>1.59145933333333</c:v>
                </c:pt>
                <c:pt idx="39">
                  <c:v>1.33686866666667</c:v>
                </c:pt>
                <c:pt idx="40">
                  <c:v>0.97183466666666696</c:v>
                </c:pt>
                <c:pt idx="41">
                  <c:v>0.38772066666666699</c:v>
                </c:pt>
                <c:pt idx="42">
                  <c:v>0.46363700000000002</c:v>
                </c:pt>
                <c:pt idx="43">
                  <c:v>0.57599066666666698</c:v>
                </c:pt>
                <c:pt idx="44">
                  <c:v>0.45381066666666697</c:v>
                </c:pt>
                <c:pt idx="45">
                  <c:v>0.17383499999999999</c:v>
                </c:pt>
                <c:pt idx="46">
                  <c:v>0.32333266666666699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FA1B-4F34-81FA-962F66EDDE5B}"/>
            </c:ext>
          </c:extLst>
        </c:ser>
        <c:ser>
          <c:idx val="85"/>
          <c:order val="85"/>
          <c:tx>
            <c:v>BES_TR2_six799_B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Demand_kW!$CJ$2:$CJ$49</c:f>
              <c:numCache>
                <c:formatCode>#,##0.000</c:formatCode>
                <c:ptCount val="48"/>
                <c:pt idx="0">
                  <c:v>1.07050133333333</c:v>
                </c:pt>
                <c:pt idx="1">
                  <c:v>1.0430316666666699</c:v>
                </c:pt>
                <c:pt idx="2">
                  <c:v>5.8385666666666697E-2</c:v>
                </c:pt>
                <c:pt idx="3">
                  <c:v>0.22906433333333301</c:v>
                </c:pt>
                <c:pt idx="4">
                  <c:v>0.11711199999999999</c:v>
                </c:pt>
                <c:pt idx="5">
                  <c:v>0.14139933333333299</c:v>
                </c:pt>
                <c:pt idx="6">
                  <c:v>0.211162666666667</c:v>
                </c:pt>
                <c:pt idx="7">
                  <c:v>5.1999999999999998E-2</c:v>
                </c:pt>
                <c:pt idx="8">
                  <c:v>0.27162333333333399</c:v>
                </c:pt>
                <c:pt idx="9">
                  <c:v>8.09386666666667E-2</c:v>
                </c:pt>
                <c:pt idx="10">
                  <c:v>5.1999999999999998E-2</c:v>
                </c:pt>
                <c:pt idx="11">
                  <c:v>0.300562</c:v>
                </c:pt>
                <c:pt idx="12">
                  <c:v>5.1999999999999998E-2</c:v>
                </c:pt>
                <c:pt idx="13">
                  <c:v>0.20272000000000001</c:v>
                </c:pt>
                <c:pt idx="14">
                  <c:v>0.38596999999999998</c:v>
                </c:pt>
                <c:pt idx="15">
                  <c:v>5.1999999999999998E-2</c:v>
                </c:pt>
                <c:pt idx="16">
                  <c:v>0.20437066666666701</c:v>
                </c:pt>
                <c:pt idx="17">
                  <c:v>1.1386957</c:v>
                </c:pt>
                <c:pt idx="18">
                  <c:v>8.79741666666667E-2</c:v>
                </c:pt>
                <c:pt idx="19">
                  <c:v>1.23137433333333</c:v>
                </c:pt>
                <c:pt idx="20">
                  <c:v>1.2423</c:v>
                </c:pt>
                <c:pt idx="21">
                  <c:v>0.39240133333333299</c:v>
                </c:pt>
                <c:pt idx="22">
                  <c:v>0.32569266666666702</c:v>
                </c:pt>
                <c:pt idx="23">
                  <c:v>1.3252286666666699</c:v>
                </c:pt>
                <c:pt idx="24">
                  <c:v>0.52892859999999997</c:v>
                </c:pt>
                <c:pt idx="25">
                  <c:v>0.379944</c:v>
                </c:pt>
                <c:pt idx="26">
                  <c:v>0.19586000000000001</c:v>
                </c:pt>
                <c:pt idx="27">
                  <c:v>0.18533266666666701</c:v>
                </c:pt>
                <c:pt idx="28">
                  <c:v>0.35827799999999999</c:v>
                </c:pt>
                <c:pt idx="29">
                  <c:v>8.3916199999999996E-2</c:v>
                </c:pt>
                <c:pt idx="30">
                  <c:v>0.28315659999999998</c:v>
                </c:pt>
                <c:pt idx="31">
                  <c:v>0.26099866666666699</c:v>
                </c:pt>
                <c:pt idx="32">
                  <c:v>0.22114266666666699</c:v>
                </c:pt>
                <c:pt idx="33">
                  <c:v>0.33046366666666699</c:v>
                </c:pt>
                <c:pt idx="34">
                  <c:v>0.668014</c:v>
                </c:pt>
                <c:pt idx="35">
                  <c:v>1.3921829999999999</c:v>
                </c:pt>
                <c:pt idx="36">
                  <c:v>0.66554933333333299</c:v>
                </c:pt>
                <c:pt idx="37">
                  <c:v>1.49037333333333</c:v>
                </c:pt>
                <c:pt idx="38">
                  <c:v>0.50368433333333296</c:v>
                </c:pt>
                <c:pt idx="39">
                  <c:v>5.8385666666666697E-2</c:v>
                </c:pt>
                <c:pt idx="40">
                  <c:v>1.40342566666667</c:v>
                </c:pt>
                <c:pt idx="41">
                  <c:v>0.61695966666666702</c:v>
                </c:pt>
                <c:pt idx="42">
                  <c:v>1.2444713333333299</c:v>
                </c:pt>
                <c:pt idx="43">
                  <c:v>0.63361000000000001</c:v>
                </c:pt>
                <c:pt idx="44">
                  <c:v>1.0957440000000001</c:v>
                </c:pt>
                <c:pt idx="45">
                  <c:v>0.78822499999999995</c:v>
                </c:pt>
                <c:pt idx="46">
                  <c:v>0.81100933333333403</c:v>
                </c:pt>
                <c:pt idx="47">
                  <c:v>0.22821533333333299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FA1B-4F34-81FA-962F66EDDE5B}"/>
            </c:ext>
          </c:extLst>
        </c:ser>
        <c:ser>
          <c:idx val="86"/>
          <c:order val="86"/>
          <c:tx>
            <c:v>BES_TR2_six807_A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Demand_kW!$CK$2:$CK$49</c:f>
              <c:numCache>
                <c:formatCode>#,##0.000</c:formatCode>
                <c:ptCount val="48"/>
                <c:pt idx="0">
                  <c:v>0.57031866666666697</c:v>
                </c:pt>
                <c:pt idx="1">
                  <c:v>0.71254666666666699</c:v>
                </c:pt>
                <c:pt idx="2">
                  <c:v>9.2675999999999994E-2</c:v>
                </c:pt>
                <c:pt idx="3">
                  <c:v>0.17097599999999999</c:v>
                </c:pt>
                <c:pt idx="4">
                  <c:v>0.142342</c:v>
                </c:pt>
                <c:pt idx="5">
                  <c:v>4.8000000000000001E-2</c:v>
                </c:pt>
                <c:pt idx="6">
                  <c:v>0.265318</c:v>
                </c:pt>
                <c:pt idx="7">
                  <c:v>4.8000000000000001E-2</c:v>
                </c:pt>
                <c:pt idx="8">
                  <c:v>0.207592</c:v>
                </c:pt>
                <c:pt idx="9">
                  <c:v>0.105726</c:v>
                </c:pt>
                <c:pt idx="10">
                  <c:v>4.8000000000000001E-2</c:v>
                </c:pt>
                <c:pt idx="11">
                  <c:v>0.13681599999999999</c:v>
                </c:pt>
                <c:pt idx="12">
                  <c:v>0.109488</c:v>
                </c:pt>
                <c:pt idx="13">
                  <c:v>7.5328000000000006E-2</c:v>
                </c:pt>
                <c:pt idx="14">
                  <c:v>0.22309799999999999</c:v>
                </c:pt>
                <c:pt idx="15">
                  <c:v>6.2892000000000003E-2</c:v>
                </c:pt>
                <c:pt idx="16">
                  <c:v>0.22248399999999999</c:v>
                </c:pt>
                <c:pt idx="17">
                  <c:v>9.0833999999999998E-2</c:v>
                </c:pt>
                <c:pt idx="18">
                  <c:v>4.8000000000000001E-2</c:v>
                </c:pt>
                <c:pt idx="19">
                  <c:v>0.265318</c:v>
                </c:pt>
                <c:pt idx="20">
                  <c:v>4.8000000000000001E-2</c:v>
                </c:pt>
                <c:pt idx="21">
                  <c:v>0.16475799999999999</c:v>
                </c:pt>
                <c:pt idx="22">
                  <c:v>0.14856</c:v>
                </c:pt>
                <c:pt idx="23">
                  <c:v>9.0219999999999995E-2</c:v>
                </c:pt>
                <c:pt idx="24">
                  <c:v>0.27293800000000001</c:v>
                </c:pt>
                <c:pt idx="25">
                  <c:v>0.22682266666666701</c:v>
                </c:pt>
                <c:pt idx="26">
                  <c:v>0.14610400000000001</c:v>
                </c:pt>
                <c:pt idx="27">
                  <c:v>0.15232200000000001</c:v>
                </c:pt>
                <c:pt idx="28">
                  <c:v>9.2675999999999994E-2</c:v>
                </c:pt>
                <c:pt idx="29">
                  <c:v>0.27432466666666699</c:v>
                </c:pt>
                <c:pt idx="30">
                  <c:v>0.26394000000000001</c:v>
                </c:pt>
                <c:pt idx="31">
                  <c:v>0.35773933333333302</c:v>
                </c:pt>
                <c:pt idx="32">
                  <c:v>2.542897</c:v>
                </c:pt>
                <c:pt idx="33">
                  <c:v>0.27170899999999998</c:v>
                </c:pt>
                <c:pt idx="34">
                  <c:v>0.40780499999999997</c:v>
                </c:pt>
                <c:pt idx="35">
                  <c:v>0.19043299999999999</c:v>
                </c:pt>
                <c:pt idx="36">
                  <c:v>0.332536</c:v>
                </c:pt>
                <c:pt idx="37">
                  <c:v>0.226451666666667</c:v>
                </c:pt>
                <c:pt idx="38">
                  <c:v>0.190166</c:v>
                </c:pt>
                <c:pt idx="39">
                  <c:v>0.123152</c:v>
                </c:pt>
                <c:pt idx="40">
                  <c:v>0.11501400000000001</c:v>
                </c:pt>
                <c:pt idx="41">
                  <c:v>0.19830400000000001</c:v>
                </c:pt>
                <c:pt idx="42">
                  <c:v>0.15150233333333299</c:v>
                </c:pt>
                <c:pt idx="43">
                  <c:v>0.30355799999999999</c:v>
                </c:pt>
                <c:pt idx="44">
                  <c:v>0.697183</c:v>
                </c:pt>
                <c:pt idx="45">
                  <c:v>0.56855999999999995</c:v>
                </c:pt>
                <c:pt idx="46">
                  <c:v>0.50993266666666703</c:v>
                </c:pt>
                <c:pt idx="47">
                  <c:v>7.5328000000000006E-2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FA1B-4F34-81FA-962F66EDDE5B}"/>
            </c:ext>
          </c:extLst>
        </c:ser>
        <c:ser>
          <c:idx val="87"/>
          <c:order val="87"/>
          <c:tx>
            <c:v>BES_TR2_six885_A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Demand_kW!$CL$2:$CL$49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0.158846666666667</c:v>
                </c:pt>
                <c:pt idx="2">
                  <c:v>0.119312666666667</c:v>
                </c:pt>
                <c:pt idx="3">
                  <c:v>0.28791533333333302</c:v>
                </c:pt>
                <c:pt idx="4">
                  <c:v>5.7284666666666699E-2</c:v>
                </c:pt>
                <c:pt idx="5">
                  <c:v>4.5999999999999999E-2</c:v>
                </c:pt>
                <c:pt idx="6">
                  <c:v>0.23064633333333301</c:v>
                </c:pt>
                <c:pt idx="7">
                  <c:v>0.187866333333333</c:v>
                </c:pt>
                <c:pt idx="8">
                  <c:v>0.15753700000000001</c:v>
                </c:pt>
                <c:pt idx="9">
                  <c:v>9.0089666666666707E-2</c:v>
                </c:pt>
                <c:pt idx="10">
                  <c:v>0.209226666666667</c:v>
                </c:pt>
                <c:pt idx="11">
                  <c:v>0.23270666666666701</c:v>
                </c:pt>
                <c:pt idx="12">
                  <c:v>0.14577100000000001</c:v>
                </c:pt>
                <c:pt idx="13">
                  <c:v>0.246497666666667</c:v>
                </c:pt>
                <c:pt idx="14">
                  <c:v>0.117382666666667</c:v>
                </c:pt>
                <c:pt idx="15">
                  <c:v>0.113708</c:v>
                </c:pt>
                <c:pt idx="16">
                  <c:v>4.5999999999999999E-2</c:v>
                </c:pt>
                <c:pt idx="17">
                  <c:v>0.19707166666666701</c:v>
                </c:pt>
                <c:pt idx="18">
                  <c:v>0.22143699999999999</c:v>
                </c:pt>
                <c:pt idx="19">
                  <c:v>8.0123333333333394E-2</c:v>
                </c:pt>
                <c:pt idx="20">
                  <c:v>0.33182600000000001</c:v>
                </c:pt>
                <c:pt idx="21">
                  <c:v>5.2560999999999997E-2</c:v>
                </c:pt>
                <c:pt idx="22">
                  <c:v>0.26753533333333301</c:v>
                </c:pt>
                <c:pt idx="23">
                  <c:v>0.150976</c:v>
                </c:pt>
                <c:pt idx="24">
                  <c:v>0.22817066666666699</c:v>
                </c:pt>
                <c:pt idx="25">
                  <c:v>0.19034200000000001</c:v>
                </c:pt>
                <c:pt idx="26">
                  <c:v>7.9853999999999994E-2</c:v>
                </c:pt>
                <c:pt idx="27">
                  <c:v>0.25379200000000002</c:v>
                </c:pt>
                <c:pt idx="28">
                  <c:v>0.14092833333333299</c:v>
                </c:pt>
                <c:pt idx="29">
                  <c:v>0.38495316666666601</c:v>
                </c:pt>
                <c:pt idx="30">
                  <c:v>0.28543483333333303</c:v>
                </c:pt>
                <c:pt idx="31">
                  <c:v>0.111472666666667</c:v>
                </c:pt>
                <c:pt idx="32">
                  <c:v>4.98513333333334E-2</c:v>
                </c:pt>
                <c:pt idx="33">
                  <c:v>9.7592933333333298E-2</c:v>
                </c:pt>
                <c:pt idx="34">
                  <c:v>0.28024626666666702</c:v>
                </c:pt>
                <c:pt idx="35">
                  <c:v>0.243366</c:v>
                </c:pt>
                <c:pt idx="36">
                  <c:v>0.39246900000000001</c:v>
                </c:pt>
                <c:pt idx="37">
                  <c:v>0.23887120000000001</c:v>
                </c:pt>
                <c:pt idx="38">
                  <c:v>0.184116533333333</c:v>
                </c:pt>
                <c:pt idx="39">
                  <c:v>0.45864500000000002</c:v>
                </c:pt>
                <c:pt idx="40">
                  <c:v>0.79275099999999998</c:v>
                </c:pt>
                <c:pt idx="41">
                  <c:v>0.419323</c:v>
                </c:pt>
                <c:pt idx="42">
                  <c:v>0.29061599999999999</c:v>
                </c:pt>
                <c:pt idx="43">
                  <c:v>0.46342533333333302</c:v>
                </c:pt>
                <c:pt idx="44">
                  <c:v>0.53299733333333299</c:v>
                </c:pt>
                <c:pt idx="45">
                  <c:v>0.59345366666666699</c:v>
                </c:pt>
                <c:pt idx="46">
                  <c:v>0.54553933333333304</c:v>
                </c:pt>
                <c:pt idx="47">
                  <c:v>0.23543866666666699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FA1B-4F34-81FA-962F66EDDE5B}"/>
            </c:ext>
          </c:extLst>
        </c:ser>
        <c:ser>
          <c:idx val="88"/>
          <c:order val="88"/>
          <c:tx>
            <c:v>BES_TR2_six894_B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Demand_kW!$CM$2:$CM$49</c:f>
              <c:numCache>
                <c:formatCode>#,##0.000</c:formatCode>
                <c:ptCount val="48"/>
                <c:pt idx="0">
                  <c:v>6.096E-2</c:v>
                </c:pt>
                <c:pt idx="1">
                  <c:v>5.2319999999999998E-2</c:v>
                </c:pt>
                <c:pt idx="2">
                  <c:v>0.12144000000000001</c:v>
                </c:pt>
                <c:pt idx="3">
                  <c:v>4.8000000000000001E-2</c:v>
                </c:pt>
                <c:pt idx="4">
                  <c:v>0.12576000000000001</c:v>
                </c:pt>
                <c:pt idx="5">
                  <c:v>5.2319999999999998E-2</c:v>
                </c:pt>
                <c:pt idx="6">
                  <c:v>0.12144000000000001</c:v>
                </c:pt>
                <c:pt idx="7">
                  <c:v>5.2319999999999998E-2</c:v>
                </c:pt>
                <c:pt idx="8">
                  <c:v>0.12144000000000001</c:v>
                </c:pt>
                <c:pt idx="9">
                  <c:v>4.8000000000000001E-2</c:v>
                </c:pt>
                <c:pt idx="10">
                  <c:v>0.12576000000000001</c:v>
                </c:pt>
                <c:pt idx="11">
                  <c:v>4.8000000000000001E-2</c:v>
                </c:pt>
                <c:pt idx="12">
                  <c:v>6.096E-2</c:v>
                </c:pt>
                <c:pt idx="13">
                  <c:v>0.1128</c:v>
                </c:pt>
                <c:pt idx="14">
                  <c:v>8.6879999999999999E-2</c:v>
                </c:pt>
                <c:pt idx="15">
                  <c:v>8.6879999999999999E-2</c:v>
                </c:pt>
                <c:pt idx="16">
                  <c:v>5.6640000000000003E-2</c:v>
                </c:pt>
                <c:pt idx="17">
                  <c:v>0.11712</c:v>
                </c:pt>
                <c:pt idx="18">
                  <c:v>4.8000000000000001E-2</c:v>
                </c:pt>
                <c:pt idx="19">
                  <c:v>4.8000000000000001E-2</c:v>
                </c:pt>
                <c:pt idx="20">
                  <c:v>4.8000000000000001E-2</c:v>
                </c:pt>
                <c:pt idx="21">
                  <c:v>0.10847999999999999</c:v>
                </c:pt>
                <c:pt idx="22">
                  <c:v>6.5280000000000005E-2</c:v>
                </c:pt>
                <c:pt idx="23">
                  <c:v>6.096E-2</c:v>
                </c:pt>
                <c:pt idx="24">
                  <c:v>0.1128</c:v>
                </c:pt>
                <c:pt idx="25">
                  <c:v>4.8000000000000001E-2</c:v>
                </c:pt>
                <c:pt idx="26">
                  <c:v>6.096E-2</c:v>
                </c:pt>
                <c:pt idx="27">
                  <c:v>0.1128</c:v>
                </c:pt>
                <c:pt idx="28">
                  <c:v>7.8240000000000004E-2</c:v>
                </c:pt>
                <c:pt idx="29">
                  <c:v>0.14078399999999999</c:v>
                </c:pt>
                <c:pt idx="30">
                  <c:v>4.8000000000000001E-2</c:v>
                </c:pt>
                <c:pt idx="31">
                  <c:v>0.1490274</c:v>
                </c:pt>
                <c:pt idx="32">
                  <c:v>9.7378166666666696E-2</c:v>
                </c:pt>
                <c:pt idx="33">
                  <c:v>0.17225799999999999</c:v>
                </c:pt>
                <c:pt idx="34">
                  <c:v>6.2290666666666702E-2</c:v>
                </c:pt>
                <c:pt idx="35">
                  <c:v>4.8000000000000001E-2</c:v>
                </c:pt>
                <c:pt idx="36">
                  <c:v>0.10081266666666699</c:v>
                </c:pt>
                <c:pt idx="37">
                  <c:v>0.12576000000000001</c:v>
                </c:pt>
                <c:pt idx="38">
                  <c:v>5.7211666666666702E-2</c:v>
                </c:pt>
                <c:pt idx="39">
                  <c:v>0.17447333333333301</c:v>
                </c:pt>
                <c:pt idx="40">
                  <c:v>0.34244799999999997</c:v>
                </c:pt>
                <c:pt idx="41">
                  <c:v>0.30840000000000001</c:v>
                </c:pt>
                <c:pt idx="42">
                  <c:v>0.33811000000000002</c:v>
                </c:pt>
                <c:pt idx="43">
                  <c:v>0.10416</c:v>
                </c:pt>
                <c:pt idx="44">
                  <c:v>4.8000000000000001E-2</c:v>
                </c:pt>
                <c:pt idx="45">
                  <c:v>6.5280000000000005E-2</c:v>
                </c:pt>
                <c:pt idx="46">
                  <c:v>0.10847999999999999</c:v>
                </c:pt>
                <c:pt idx="47">
                  <c:v>7.8240000000000004E-2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FA1B-4F34-81FA-962F66EDDE5B}"/>
            </c:ext>
          </c:extLst>
        </c:ser>
        <c:ser>
          <c:idx val="89"/>
          <c:order val="89"/>
          <c:tx>
            <c:v>BES_TR2_six914_A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Demand_kW!$CN$2:$CN$49</c:f>
              <c:numCache>
                <c:formatCode>#,##0.000</c:formatCode>
                <c:ptCount val="48"/>
                <c:pt idx="0">
                  <c:v>8.6024000000000003E-2</c:v>
                </c:pt>
                <c:pt idx="1">
                  <c:v>0.15606400000000001</c:v>
                </c:pt>
                <c:pt idx="2">
                  <c:v>4.3999999999999997E-2</c:v>
                </c:pt>
                <c:pt idx="3">
                  <c:v>0.19808799999999999</c:v>
                </c:pt>
                <c:pt idx="4">
                  <c:v>4.3999999999999997E-2</c:v>
                </c:pt>
                <c:pt idx="5">
                  <c:v>4.3999999999999997E-2</c:v>
                </c:pt>
                <c:pt idx="6">
                  <c:v>4.3999999999999997E-2</c:v>
                </c:pt>
                <c:pt idx="7">
                  <c:v>4.3999999999999997E-2</c:v>
                </c:pt>
                <c:pt idx="8">
                  <c:v>4.3999999999999997E-2</c:v>
                </c:pt>
                <c:pt idx="9">
                  <c:v>0.15606400000000001</c:v>
                </c:pt>
                <c:pt idx="10">
                  <c:v>8.6024000000000003E-2</c:v>
                </c:pt>
                <c:pt idx="11">
                  <c:v>4.3999999999999997E-2</c:v>
                </c:pt>
                <c:pt idx="12">
                  <c:v>0.191084</c:v>
                </c:pt>
                <c:pt idx="13">
                  <c:v>5.1004000000000001E-2</c:v>
                </c:pt>
                <c:pt idx="14">
                  <c:v>0.44020100000000001</c:v>
                </c:pt>
                <c:pt idx="15">
                  <c:v>9.2675999999999994E-2</c:v>
                </c:pt>
                <c:pt idx="16">
                  <c:v>0.19808799999999999</c:v>
                </c:pt>
                <c:pt idx="17">
                  <c:v>4.3999999999999997E-2</c:v>
                </c:pt>
                <c:pt idx="18">
                  <c:v>0.10551199999999999</c:v>
                </c:pt>
                <c:pt idx="19">
                  <c:v>0.29836400000000002</c:v>
                </c:pt>
                <c:pt idx="20">
                  <c:v>0.13389999999999999</c:v>
                </c:pt>
                <c:pt idx="21">
                  <c:v>0.20269933333333301</c:v>
                </c:pt>
                <c:pt idx="22">
                  <c:v>5.8007999999999997E-2</c:v>
                </c:pt>
                <c:pt idx="23">
                  <c:v>4.3999999999999997E-2</c:v>
                </c:pt>
                <c:pt idx="24">
                  <c:v>0.22120933333333301</c:v>
                </c:pt>
                <c:pt idx="25">
                  <c:v>0.29209333333333398</c:v>
                </c:pt>
                <c:pt idx="26">
                  <c:v>4.3999999999999997E-2</c:v>
                </c:pt>
                <c:pt idx="27">
                  <c:v>6.68053333333333E-2</c:v>
                </c:pt>
                <c:pt idx="28">
                  <c:v>8.35567333333333E-2</c:v>
                </c:pt>
                <c:pt idx="29">
                  <c:v>0.120416466666667</c:v>
                </c:pt>
                <c:pt idx="30">
                  <c:v>0.52428699999999995</c:v>
                </c:pt>
                <c:pt idx="31">
                  <c:v>0.27206313333333298</c:v>
                </c:pt>
                <c:pt idx="32">
                  <c:v>0.30652953333333399</c:v>
                </c:pt>
                <c:pt idx="33">
                  <c:v>0.36842433333333302</c:v>
                </c:pt>
                <c:pt idx="34">
                  <c:v>0.11765</c:v>
                </c:pt>
                <c:pt idx="35">
                  <c:v>1.268988</c:v>
                </c:pt>
                <c:pt idx="36">
                  <c:v>0.13204353333333299</c:v>
                </c:pt>
                <c:pt idx="37">
                  <c:v>0.16944493333333299</c:v>
                </c:pt>
                <c:pt idx="38">
                  <c:v>0.35659999999999997</c:v>
                </c:pt>
                <c:pt idx="39">
                  <c:v>0.227182</c:v>
                </c:pt>
                <c:pt idx="40">
                  <c:v>0.63119633333333403</c:v>
                </c:pt>
                <c:pt idx="41">
                  <c:v>0.54791800000000002</c:v>
                </c:pt>
                <c:pt idx="42">
                  <c:v>0.38478533333333298</c:v>
                </c:pt>
                <c:pt idx="43">
                  <c:v>0.823475333333333</c:v>
                </c:pt>
                <c:pt idx="44">
                  <c:v>0.41591733333333297</c:v>
                </c:pt>
                <c:pt idx="45">
                  <c:v>0.78794900000000001</c:v>
                </c:pt>
                <c:pt idx="46">
                  <c:v>0.27352599999999999</c:v>
                </c:pt>
                <c:pt idx="47">
                  <c:v>7.2015999999999997E-2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FA1B-4F34-81FA-962F66EDDE5B}"/>
            </c:ext>
          </c:extLst>
        </c:ser>
        <c:ser>
          <c:idx val="90"/>
          <c:order val="90"/>
          <c:tx>
            <c:v>BES_TR2_six921_B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Demand_kW!$CO$2:$CO$49</c:f>
              <c:numCache>
                <c:formatCode>#,##0.000</c:formatCode>
                <c:ptCount val="48"/>
                <c:pt idx="0">
                  <c:v>8.2227999999999996E-2</c:v>
                </c:pt>
                <c:pt idx="1">
                  <c:v>0.12519866666666701</c:v>
                </c:pt>
                <c:pt idx="2">
                  <c:v>5.5371333333333397E-2</c:v>
                </c:pt>
                <c:pt idx="3">
                  <c:v>0.15205533333333299</c:v>
                </c:pt>
                <c:pt idx="4">
                  <c:v>0.05</c:v>
                </c:pt>
                <c:pt idx="5">
                  <c:v>0.14668400000000001</c:v>
                </c:pt>
                <c:pt idx="6">
                  <c:v>6.0742666666666702E-2</c:v>
                </c:pt>
                <c:pt idx="7">
                  <c:v>0.05</c:v>
                </c:pt>
                <c:pt idx="8">
                  <c:v>0.15742666666666699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0.103713333333333</c:v>
                </c:pt>
                <c:pt idx="15">
                  <c:v>0.103713333333333</c:v>
                </c:pt>
                <c:pt idx="16">
                  <c:v>0.05</c:v>
                </c:pt>
                <c:pt idx="17">
                  <c:v>0.21713666666666701</c:v>
                </c:pt>
                <c:pt idx="18">
                  <c:v>0.26112999999999997</c:v>
                </c:pt>
                <c:pt idx="19">
                  <c:v>0.35534666666666698</c:v>
                </c:pt>
                <c:pt idx="20">
                  <c:v>0.29860833333333298</c:v>
                </c:pt>
                <c:pt idx="21">
                  <c:v>0.27878333333333299</c:v>
                </c:pt>
                <c:pt idx="22">
                  <c:v>0.46450666666666701</c:v>
                </c:pt>
                <c:pt idx="23">
                  <c:v>0.323087333333333</c:v>
                </c:pt>
                <c:pt idx="24">
                  <c:v>0.414173666666667</c:v>
                </c:pt>
                <c:pt idx="25">
                  <c:v>0.36623733333333403</c:v>
                </c:pt>
                <c:pt idx="26">
                  <c:v>0.11426799999999999</c:v>
                </c:pt>
                <c:pt idx="27">
                  <c:v>0.24611659999999999</c:v>
                </c:pt>
                <c:pt idx="28">
                  <c:v>7.0767399999999994E-2</c:v>
                </c:pt>
                <c:pt idx="29">
                  <c:v>0.42680533333333298</c:v>
                </c:pt>
                <c:pt idx="30">
                  <c:v>0.48160366666666699</c:v>
                </c:pt>
                <c:pt idx="31">
                  <c:v>0.33861466666666701</c:v>
                </c:pt>
                <c:pt idx="32">
                  <c:v>0.26397999999999999</c:v>
                </c:pt>
                <c:pt idx="33">
                  <c:v>0.67620499999999995</c:v>
                </c:pt>
                <c:pt idx="34">
                  <c:v>0.29470533333333299</c:v>
                </c:pt>
                <c:pt idx="35">
                  <c:v>0.246943</c:v>
                </c:pt>
                <c:pt idx="36">
                  <c:v>0.56162366666666697</c:v>
                </c:pt>
                <c:pt idx="37">
                  <c:v>0.515807666666667</c:v>
                </c:pt>
                <c:pt idx="38">
                  <c:v>0.29356533333333301</c:v>
                </c:pt>
                <c:pt idx="39">
                  <c:v>0.72115533333333304</c:v>
                </c:pt>
                <c:pt idx="40">
                  <c:v>0.65627833333333296</c:v>
                </c:pt>
                <c:pt idx="41">
                  <c:v>0.39256200000000002</c:v>
                </c:pt>
                <c:pt idx="42">
                  <c:v>0.57374400000000003</c:v>
                </c:pt>
                <c:pt idx="43">
                  <c:v>0.55768266666666699</c:v>
                </c:pt>
                <c:pt idx="44">
                  <c:v>0.601484666666667</c:v>
                </c:pt>
                <c:pt idx="45">
                  <c:v>0.53037800000000002</c:v>
                </c:pt>
                <c:pt idx="46">
                  <c:v>0.05</c:v>
                </c:pt>
                <c:pt idx="47">
                  <c:v>8.7599333333333307E-2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FA1B-4F34-81FA-962F66EDDE5B}"/>
            </c:ext>
          </c:extLst>
        </c:ser>
        <c:ser>
          <c:idx val="91"/>
          <c:order val="91"/>
          <c:tx>
            <c:v>BES_TR2_six929_A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Demand_kW!$CP$2:$CP$49</c:f>
              <c:numCache>
                <c:formatCode>#,##0.000</c:formatCode>
                <c:ptCount val="48"/>
                <c:pt idx="0">
                  <c:v>0.77759400000000001</c:v>
                </c:pt>
                <c:pt idx="1">
                  <c:v>0.66790099999999997</c:v>
                </c:pt>
                <c:pt idx="2">
                  <c:v>0.16956933333333299</c:v>
                </c:pt>
                <c:pt idx="3">
                  <c:v>3.6999999999999998E-2</c:v>
                </c:pt>
                <c:pt idx="4">
                  <c:v>0.27652333333333301</c:v>
                </c:pt>
                <c:pt idx="5">
                  <c:v>3.6999999999999998E-2</c:v>
                </c:pt>
                <c:pt idx="6">
                  <c:v>3.6999999999999998E-2</c:v>
                </c:pt>
                <c:pt idx="7">
                  <c:v>0.23829033333333299</c:v>
                </c:pt>
                <c:pt idx="8">
                  <c:v>7.5229333333333301E-2</c:v>
                </c:pt>
                <c:pt idx="9">
                  <c:v>0.135829333333333</c:v>
                </c:pt>
                <c:pt idx="10">
                  <c:v>0.177693666666667</c:v>
                </c:pt>
                <c:pt idx="11">
                  <c:v>3.6999999999999998E-2</c:v>
                </c:pt>
                <c:pt idx="12">
                  <c:v>0.19938966666666699</c:v>
                </c:pt>
                <c:pt idx="13">
                  <c:v>0.114133</c:v>
                </c:pt>
                <c:pt idx="14">
                  <c:v>3.6999999999999998E-2</c:v>
                </c:pt>
                <c:pt idx="15">
                  <c:v>0.59719433333333405</c:v>
                </c:pt>
                <c:pt idx="16">
                  <c:v>9.4980333333333403E-2</c:v>
                </c:pt>
                <c:pt idx="17">
                  <c:v>0.13760666666666699</c:v>
                </c:pt>
                <c:pt idx="18">
                  <c:v>0.163579</c:v>
                </c:pt>
                <c:pt idx="19">
                  <c:v>1.20820866666667</c:v>
                </c:pt>
                <c:pt idx="20">
                  <c:v>0.181115633333333</c:v>
                </c:pt>
                <c:pt idx="21">
                  <c:v>0.46770800000000001</c:v>
                </c:pt>
                <c:pt idx="22">
                  <c:v>0.302043333333333</c:v>
                </c:pt>
                <c:pt idx="23">
                  <c:v>1.1611852333333299</c:v>
                </c:pt>
                <c:pt idx="24">
                  <c:v>1.862881</c:v>
                </c:pt>
                <c:pt idx="25">
                  <c:v>2.12331466666667</c:v>
                </c:pt>
                <c:pt idx="26">
                  <c:v>0.31413600000000003</c:v>
                </c:pt>
                <c:pt idx="27">
                  <c:v>0.216546666666667</c:v>
                </c:pt>
                <c:pt idx="28">
                  <c:v>8.9565333333333302E-2</c:v>
                </c:pt>
                <c:pt idx="29">
                  <c:v>7.0450666666666606E-2</c:v>
                </c:pt>
                <c:pt idx="30">
                  <c:v>0.200058666666667</c:v>
                </c:pt>
                <c:pt idx="31">
                  <c:v>0.113458666666667</c:v>
                </c:pt>
                <c:pt idx="32">
                  <c:v>0.29643999999999998</c:v>
                </c:pt>
                <c:pt idx="33">
                  <c:v>0.33104966666666702</c:v>
                </c:pt>
                <c:pt idx="34">
                  <c:v>0.19338886666666699</c:v>
                </c:pt>
                <c:pt idx="35">
                  <c:v>6.4689933333333297E-2</c:v>
                </c:pt>
                <c:pt idx="36">
                  <c:v>1.3582763333333301</c:v>
                </c:pt>
                <c:pt idx="37">
                  <c:v>0.12945999999999999</c:v>
                </c:pt>
                <c:pt idx="38">
                  <c:v>0.219378666666667</c:v>
                </c:pt>
                <c:pt idx="39">
                  <c:v>0.42237066666666701</c:v>
                </c:pt>
                <c:pt idx="40">
                  <c:v>0.424414666666667</c:v>
                </c:pt>
                <c:pt idx="41">
                  <c:v>0.63096600000000003</c:v>
                </c:pt>
                <c:pt idx="42">
                  <c:v>0.67984933333333297</c:v>
                </c:pt>
                <c:pt idx="43">
                  <c:v>0.49592033333333302</c:v>
                </c:pt>
                <c:pt idx="44">
                  <c:v>0.49678533333333302</c:v>
                </c:pt>
                <c:pt idx="45">
                  <c:v>0.60689233333333303</c:v>
                </c:pt>
                <c:pt idx="46">
                  <c:v>0.26549666666666699</c:v>
                </c:pt>
                <c:pt idx="47">
                  <c:v>0.14204133333333299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FA1B-4F34-81FA-962F66EDDE5B}"/>
            </c:ext>
          </c:extLst>
        </c:ser>
        <c:ser>
          <c:idx val="92"/>
          <c:order val="92"/>
          <c:tx>
            <c:v>BES_TR2_six938_A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Demand_kW!$CQ$2:$CQ$49</c:f>
              <c:numCache>
                <c:formatCode>#,##0.000</c:formatCode>
                <c:ptCount val="48"/>
                <c:pt idx="0">
                  <c:v>0.20146366666666701</c:v>
                </c:pt>
                <c:pt idx="1">
                  <c:v>5.0999999999999997E-2</c:v>
                </c:pt>
                <c:pt idx="2">
                  <c:v>0.20762966666666699</c:v>
                </c:pt>
                <c:pt idx="3">
                  <c:v>7.5731000000000007E-2</c:v>
                </c:pt>
                <c:pt idx="4">
                  <c:v>5.0999999999999997E-2</c:v>
                </c:pt>
                <c:pt idx="5">
                  <c:v>0.116949333333333</c:v>
                </c:pt>
                <c:pt idx="6">
                  <c:v>0.16641133333333299</c:v>
                </c:pt>
                <c:pt idx="7">
                  <c:v>5.0999999999999997E-2</c:v>
                </c:pt>
                <c:pt idx="8">
                  <c:v>5.0999999999999997E-2</c:v>
                </c:pt>
                <c:pt idx="9">
                  <c:v>5.0999999999999997E-2</c:v>
                </c:pt>
                <c:pt idx="10">
                  <c:v>0.23236066666666699</c:v>
                </c:pt>
                <c:pt idx="11">
                  <c:v>5.0999999999999997E-2</c:v>
                </c:pt>
                <c:pt idx="12">
                  <c:v>5.0999999999999997E-2</c:v>
                </c:pt>
                <c:pt idx="13">
                  <c:v>0.174655</c:v>
                </c:pt>
                <c:pt idx="14">
                  <c:v>0.10870566666666701</c:v>
                </c:pt>
                <c:pt idx="15">
                  <c:v>5.0999999999999997E-2</c:v>
                </c:pt>
                <c:pt idx="16">
                  <c:v>0.13343666666666701</c:v>
                </c:pt>
                <c:pt idx="17">
                  <c:v>0.149924</c:v>
                </c:pt>
                <c:pt idx="18">
                  <c:v>0.160637</c:v>
                </c:pt>
                <c:pt idx="19">
                  <c:v>0.228224333333333</c:v>
                </c:pt>
                <c:pt idx="20">
                  <c:v>1.1752180000000001</c:v>
                </c:pt>
                <c:pt idx="21">
                  <c:v>0.86871299999999996</c:v>
                </c:pt>
                <c:pt idx="22">
                  <c:v>1.2003649999999999</c:v>
                </c:pt>
                <c:pt idx="23">
                  <c:v>1.071078</c:v>
                </c:pt>
                <c:pt idx="24">
                  <c:v>0.92419200000000001</c:v>
                </c:pt>
                <c:pt idx="25">
                  <c:v>3.7225799999999998</c:v>
                </c:pt>
                <c:pt idx="26">
                  <c:v>2.6225000000000001</c:v>
                </c:pt>
                <c:pt idx="27">
                  <c:v>0.46916666666666701</c:v>
                </c:pt>
                <c:pt idx="28">
                  <c:v>0.23236066666666699</c:v>
                </c:pt>
                <c:pt idx="29">
                  <c:v>5.0999999999999997E-2</c:v>
                </c:pt>
                <c:pt idx="30">
                  <c:v>6.7487333333333302E-2</c:v>
                </c:pt>
                <c:pt idx="31">
                  <c:v>0.215873333333333</c:v>
                </c:pt>
                <c:pt idx="32">
                  <c:v>5.0999999999999997E-2</c:v>
                </c:pt>
                <c:pt idx="33">
                  <c:v>0.15816766666666701</c:v>
                </c:pt>
                <c:pt idx="34">
                  <c:v>0.125193</c:v>
                </c:pt>
                <c:pt idx="35">
                  <c:v>9.2218333333333305E-2</c:v>
                </c:pt>
                <c:pt idx="36">
                  <c:v>0.191142333333333</c:v>
                </c:pt>
                <c:pt idx="37">
                  <c:v>5.0999999999999997E-2</c:v>
                </c:pt>
                <c:pt idx="38">
                  <c:v>0.23236066666666699</c:v>
                </c:pt>
                <c:pt idx="39">
                  <c:v>5.0999999999999997E-2</c:v>
                </c:pt>
                <c:pt idx="40">
                  <c:v>0.14168033333333299</c:v>
                </c:pt>
                <c:pt idx="41">
                  <c:v>0.14168033333333299</c:v>
                </c:pt>
                <c:pt idx="42">
                  <c:v>5.0999999999999997E-2</c:v>
                </c:pt>
                <c:pt idx="43">
                  <c:v>0.191142333333333</c:v>
                </c:pt>
                <c:pt idx="44">
                  <c:v>9.2218333333333402E-2</c:v>
                </c:pt>
                <c:pt idx="45">
                  <c:v>5.0999999999999997E-2</c:v>
                </c:pt>
                <c:pt idx="46">
                  <c:v>0.16641133333333299</c:v>
                </c:pt>
                <c:pt idx="47">
                  <c:v>0.116949333333333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FA1B-4F34-81FA-962F66EDDE5B}"/>
            </c:ext>
          </c:extLst>
        </c:ser>
        <c:ser>
          <c:idx val="93"/>
          <c:order val="93"/>
          <c:tx>
            <c:v>BES_TR2_six990_B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Demand_kW!$CR$2:$CR$49</c:f>
              <c:numCache>
                <c:formatCode>#,##0.000</c:formatCode>
                <c:ptCount val="48"/>
                <c:pt idx="0">
                  <c:v>0.16419500000000001</c:v>
                </c:pt>
                <c:pt idx="1">
                  <c:v>4.8000000000000001E-2</c:v>
                </c:pt>
                <c:pt idx="2">
                  <c:v>0.30884133333333302</c:v>
                </c:pt>
                <c:pt idx="3">
                  <c:v>6.8504999999999996E-2</c:v>
                </c:pt>
                <c:pt idx="4">
                  <c:v>4.8000000000000001E-2</c:v>
                </c:pt>
                <c:pt idx="5">
                  <c:v>0.24732433333333301</c:v>
                </c:pt>
                <c:pt idx="6">
                  <c:v>0.13002</c:v>
                </c:pt>
                <c:pt idx="7">
                  <c:v>4.8000000000000001E-2</c:v>
                </c:pt>
                <c:pt idx="8">
                  <c:v>0.31567966666666702</c:v>
                </c:pt>
                <c:pt idx="9">
                  <c:v>6.1670000000000003E-2</c:v>
                </c:pt>
                <c:pt idx="10">
                  <c:v>7.41946666666667E-2</c:v>
                </c:pt>
                <c:pt idx="11">
                  <c:v>0.289480666666667</c:v>
                </c:pt>
                <c:pt idx="12">
                  <c:v>6.1670000000000003E-2</c:v>
                </c:pt>
                <c:pt idx="13">
                  <c:v>0.136855</c:v>
                </c:pt>
                <c:pt idx="14">
                  <c:v>0.129161</c:v>
                </c:pt>
                <c:pt idx="15">
                  <c:v>0.15932733333333299</c:v>
                </c:pt>
                <c:pt idx="16">
                  <c:v>0.19836999999999999</c:v>
                </c:pt>
                <c:pt idx="17">
                  <c:v>4.8000000000000001E-2</c:v>
                </c:pt>
                <c:pt idx="18">
                  <c:v>0.16419500000000001</c:v>
                </c:pt>
                <c:pt idx="19">
                  <c:v>0.213148333333333</c:v>
                </c:pt>
                <c:pt idx="20">
                  <c:v>4.8000000000000001E-2</c:v>
                </c:pt>
                <c:pt idx="21">
                  <c:v>0.18012</c:v>
                </c:pt>
                <c:pt idx="22">
                  <c:v>0.19722600000000001</c:v>
                </c:pt>
                <c:pt idx="23">
                  <c:v>5.4548666666666697E-2</c:v>
                </c:pt>
                <c:pt idx="24">
                  <c:v>0.30912766666666702</c:v>
                </c:pt>
                <c:pt idx="25">
                  <c:v>6.1670000000000003E-2</c:v>
                </c:pt>
                <c:pt idx="26">
                  <c:v>0.27466600000000002</c:v>
                </c:pt>
                <c:pt idx="27">
                  <c:v>0.116757533333333</c:v>
                </c:pt>
                <c:pt idx="28">
                  <c:v>0.33105580000000001</c:v>
                </c:pt>
                <c:pt idx="29">
                  <c:v>0.26997916666666699</c:v>
                </c:pt>
                <c:pt idx="30">
                  <c:v>8.5095000000000004E-2</c:v>
                </c:pt>
                <c:pt idx="31">
                  <c:v>0.15525383333333301</c:v>
                </c:pt>
                <c:pt idx="32">
                  <c:v>0.25610433333333299</c:v>
                </c:pt>
                <c:pt idx="33">
                  <c:v>0.44227333333333402</c:v>
                </c:pt>
                <c:pt idx="34">
                  <c:v>0.45679399999999998</c:v>
                </c:pt>
                <c:pt idx="35">
                  <c:v>9.0095333333333305E-2</c:v>
                </c:pt>
                <c:pt idx="36">
                  <c:v>0.29988983333333302</c:v>
                </c:pt>
                <c:pt idx="37">
                  <c:v>0.32664100000000001</c:v>
                </c:pt>
                <c:pt idx="38">
                  <c:v>0.15603266666666701</c:v>
                </c:pt>
                <c:pt idx="39">
                  <c:v>0.29819833333333301</c:v>
                </c:pt>
                <c:pt idx="40">
                  <c:v>0.11541356666666699</c:v>
                </c:pt>
                <c:pt idx="41">
                  <c:v>0.19462660000000001</c:v>
                </c:pt>
                <c:pt idx="42">
                  <c:v>0.365748666666667</c:v>
                </c:pt>
                <c:pt idx="43">
                  <c:v>0.99928600000000001</c:v>
                </c:pt>
                <c:pt idx="44">
                  <c:v>0.39148333333333302</c:v>
                </c:pt>
                <c:pt idx="45">
                  <c:v>0.30858666666666701</c:v>
                </c:pt>
                <c:pt idx="46">
                  <c:v>0.1681445</c:v>
                </c:pt>
                <c:pt idx="47">
                  <c:v>0.224564666666667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FA1B-4F34-81FA-962F66EDDE5B}"/>
            </c:ext>
          </c:extLst>
        </c:ser>
        <c:ser>
          <c:idx val="94"/>
          <c:order val="94"/>
          <c:tx>
            <c:v>BES_TR2_six1020_A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Demand_kW!$CS$2:$CS$49</c:f>
              <c:numCache>
                <c:formatCode>#,##0.000</c:formatCode>
                <c:ptCount val="48"/>
                <c:pt idx="0">
                  <c:v>0.47496733333333302</c:v>
                </c:pt>
                <c:pt idx="1">
                  <c:v>0.39730733333333301</c:v>
                </c:pt>
                <c:pt idx="2">
                  <c:v>0.16984399999999999</c:v>
                </c:pt>
                <c:pt idx="3">
                  <c:v>4.9675999999999998E-2</c:v>
                </c:pt>
                <c:pt idx="4">
                  <c:v>0.31822400000000001</c:v>
                </c:pt>
                <c:pt idx="5">
                  <c:v>6.3028000000000001E-2</c:v>
                </c:pt>
                <c:pt idx="6">
                  <c:v>9.0407333333333298E-2</c:v>
                </c:pt>
                <c:pt idx="7">
                  <c:v>0.29084433333333298</c:v>
                </c:pt>
                <c:pt idx="8">
                  <c:v>4.2999999999999997E-2</c:v>
                </c:pt>
                <c:pt idx="9">
                  <c:v>0.197385</c:v>
                </c:pt>
                <c:pt idx="10">
                  <c:v>0.13713966666666699</c:v>
                </c:pt>
                <c:pt idx="11">
                  <c:v>0.148545333333333</c:v>
                </c:pt>
                <c:pt idx="12">
                  <c:v>0.14592333333333299</c:v>
                </c:pt>
                <c:pt idx="13">
                  <c:v>4.2999999999999997E-2</c:v>
                </c:pt>
                <c:pt idx="14">
                  <c:v>0.149816</c:v>
                </c:pt>
                <c:pt idx="15">
                  <c:v>0.23144066666666699</c:v>
                </c:pt>
                <c:pt idx="16">
                  <c:v>0.103084</c:v>
                </c:pt>
                <c:pt idx="17">
                  <c:v>0.21935933333333399</c:v>
                </c:pt>
                <c:pt idx="18">
                  <c:v>0.10181333333333301</c:v>
                </c:pt>
                <c:pt idx="19">
                  <c:v>0.122805466666667</c:v>
                </c:pt>
                <c:pt idx="20">
                  <c:v>1.03582633333333</c:v>
                </c:pt>
                <c:pt idx="21">
                  <c:v>8.2879999999999995E-2</c:v>
                </c:pt>
                <c:pt idx="22">
                  <c:v>0.15264</c:v>
                </c:pt>
                <c:pt idx="23">
                  <c:v>0.181329666666667</c:v>
                </c:pt>
                <c:pt idx="24">
                  <c:v>1.559958</c:v>
                </c:pt>
                <c:pt idx="25">
                  <c:v>0.88299999999999901</c:v>
                </c:pt>
                <c:pt idx="26">
                  <c:v>1.9229799999999999</c:v>
                </c:pt>
                <c:pt idx="27">
                  <c:v>0.39723666666666702</c:v>
                </c:pt>
                <c:pt idx="28">
                  <c:v>2.5187893333333302</c:v>
                </c:pt>
                <c:pt idx="29">
                  <c:v>2.59541333333333</c:v>
                </c:pt>
                <c:pt idx="30">
                  <c:v>0.95611866666666601</c:v>
                </c:pt>
                <c:pt idx="31">
                  <c:v>0.20473666666666701</c:v>
                </c:pt>
                <c:pt idx="32">
                  <c:v>0.422402</c:v>
                </c:pt>
                <c:pt idx="33">
                  <c:v>4.2999999999999997E-2</c:v>
                </c:pt>
                <c:pt idx="34">
                  <c:v>0.17652000000000001</c:v>
                </c:pt>
                <c:pt idx="35">
                  <c:v>0.2708296</c:v>
                </c:pt>
                <c:pt idx="36">
                  <c:v>7.4970400000000006E-2</c:v>
                </c:pt>
                <c:pt idx="37">
                  <c:v>0.20577453333333301</c:v>
                </c:pt>
                <c:pt idx="38">
                  <c:v>0.184475466666667</c:v>
                </c:pt>
                <c:pt idx="39">
                  <c:v>0.71122233333333296</c:v>
                </c:pt>
                <c:pt idx="40">
                  <c:v>0.37847033333333302</c:v>
                </c:pt>
                <c:pt idx="41">
                  <c:v>0.35254866666666701</c:v>
                </c:pt>
                <c:pt idx="42">
                  <c:v>0.36597866666666701</c:v>
                </c:pt>
                <c:pt idx="43">
                  <c:v>0.59347499999999997</c:v>
                </c:pt>
                <c:pt idx="44">
                  <c:v>0.39083966666666697</c:v>
                </c:pt>
                <c:pt idx="45">
                  <c:v>0.16797833333333301</c:v>
                </c:pt>
                <c:pt idx="46">
                  <c:v>0.16316800000000001</c:v>
                </c:pt>
                <c:pt idx="47">
                  <c:v>0.21808866666666701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FA1B-4F34-81FA-962F66EDDE5B}"/>
            </c:ext>
          </c:extLst>
        </c:ser>
        <c:ser>
          <c:idx val="95"/>
          <c:order val="95"/>
          <c:tx>
            <c:v>fleet average</c:v>
          </c:tx>
          <c:spPr>
            <a:ln w="28575">
              <a:solidFill>
                <a:srgbClr val="2D7BD8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ChartData!$U$2:$U$49</c:f>
              <c:numCache>
                <c:formatCode>#,##0.000</c:formatCode>
                <c:ptCount val="48"/>
                <c:pt idx="0">
                  <c:v>0.23729350175438593</c:v>
                </c:pt>
                <c:pt idx="1">
                  <c:v>0.21140077894736845</c:v>
                </c:pt>
                <c:pt idx="2">
                  <c:v>0.15961575473684222</c:v>
                </c:pt>
                <c:pt idx="3">
                  <c:v>0.13979604561403511</c:v>
                </c:pt>
                <c:pt idx="4">
                  <c:v>0.13803694035087724</c:v>
                </c:pt>
                <c:pt idx="5">
                  <c:v>0.13469393684210529</c:v>
                </c:pt>
                <c:pt idx="6">
                  <c:v>0.1310651438596491</c:v>
                </c:pt>
                <c:pt idx="7">
                  <c:v>0.12422709473684207</c:v>
                </c:pt>
                <c:pt idx="8">
                  <c:v>0.12011074385964916</c:v>
                </c:pt>
                <c:pt idx="9">
                  <c:v>0.10826528947368423</c:v>
                </c:pt>
                <c:pt idx="10">
                  <c:v>0.11527114035087722</c:v>
                </c:pt>
                <c:pt idx="11">
                  <c:v>0.11836402771929823</c:v>
                </c:pt>
                <c:pt idx="12">
                  <c:v>0.12095574035087721</c:v>
                </c:pt>
                <c:pt idx="13">
                  <c:v>0.14136717754385972</c:v>
                </c:pt>
                <c:pt idx="14">
                  <c:v>0.18459600035087706</c:v>
                </c:pt>
                <c:pt idx="15">
                  <c:v>0.2206401171929826</c:v>
                </c:pt>
                <c:pt idx="16">
                  <c:v>0.23541452491228074</c:v>
                </c:pt>
                <c:pt idx="17">
                  <c:v>0.26946848280701746</c:v>
                </c:pt>
                <c:pt idx="18">
                  <c:v>0.30232556421052631</c:v>
                </c:pt>
                <c:pt idx="19">
                  <c:v>0.39961920140350882</c:v>
                </c:pt>
                <c:pt idx="20">
                  <c:v>0.40710600280701753</c:v>
                </c:pt>
                <c:pt idx="21">
                  <c:v>0.38128440175438588</c:v>
                </c:pt>
                <c:pt idx="22">
                  <c:v>0.40429446701754373</c:v>
                </c:pt>
                <c:pt idx="23">
                  <c:v>0.4586086982456139</c:v>
                </c:pt>
                <c:pt idx="24">
                  <c:v>0.42806195508771944</c:v>
                </c:pt>
                <c:pt idx="25">
                  <c:v>0.41766496526315766</c:v>
                </c:pt>
                <c:pt idx="26">
                  <c:v>0.26613932982456151</c:v>
                </c:pt>
                <c:pt idx="27">
                  <c:v>0.28218541052631596</c:v>
                </c:pt>
                <c:pt idx="28">
                  <c:v>0.33113872350877183</c:v>
                </c:pt>
                <c:pt idx="29">
                  <c:v>0.33723106245614032</c:v>
                </c:pt>
                <c:pt idx="30">
                  <c:v>0.32670129052631575</c:v>
                </c:pt>
                <c:pt idx="31">
                  <c:v>0.33447911052631563</c:v>
                </c:pt>
                <c:pt idx="32">
                  <c:v>0.29869174385964897</c:v>
                </c:pt>
                <c:pt idx="33">
                  <c:v>0.33391201649122804</c:v>
                </c:pt>
                <c:pt idx="34">
                  <c:v>0.30708890210526296</c:v>
                </c:pt>
                <c:pt idx="35">
                  <c:v>0.36107614912280678</c:v>
                </c:pt>
                <c:pt idx="36">
                  <c:v>0.36241131368421042</c:v>
                </c:pt>
                <c:pt idx="37">
                  <c:v>0.35544384491228076</c:v>
                </c:pt>
                <c:pt idx="38">
                  <c:v>0.43347688175438603</c:v>
                </c:pt>
                <c:pt idx="39">
                  <c:v>0.48273342491228061</c:v>
                </c:pt>
                <c:pt idx="40">
                  <c:v>0.43260070421052649</c:v>
                </c:pt>
                <c:pt idx="41">
                  <c:v>0.46709238877193004</c:v>
                </c:pt>
                <c:pt idx="42">
                  <c:v>0.47757238280701775</c:v>
                </c:pt>
                <c:pt idx="43">
                  <c:v>0.42630495894736847</c:v>
                </c:pt>
                <c:pt idx="44">
                  <c:v>0.40282569473684204</c:v>
                </c:pt>
                <c:pt idx="45">
                  <c:v>0.37488086666666665</c:v>
                </c:pt>
                <c:pt idx="46">
                  <c:v>0.30440144245614031</c:v>
                </c:pt>
                <c:pt idx="47">
                  <c:v>0.22125743508771931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FA1B-4F34-81FA-962F66EDD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4.8"/>
          <c:min val="-0.2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Demand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PV generation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BES_TR2_three312_A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PV_kW!$C$2:$C$49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79-405E-9128-11409BCB2B72}"/>
            </c:ext>
          </c:extLst>
        </c:ser>
        <c:ser>
          <c:idx val="1"/>
          <c:order val="1"/>
          <c:tx>
            <c:v>BES_TR2_three321_B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9-405E-9128-11409BCB2B72}"/>
            </c:ext>
          </c:extLst>
        </c:ser>
        <c:ser>
          <c:idx val="2"/>
          <c:order val="2"/>
          <c:tx>
            <c:v>BES_TR2_three368_A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79-405E-9128-11409BCB2B72}"/>
            </c:ext>
          </c:extLst>
        </c:ser>
        <c:ser>
          <c:idx val="3"/>
          <c:order val="3"/>
          <c:tx>
            <c:v>BES_TR2_three388_A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79-405E-9128-11409BCB2B72}"/>
            </c:ext>
          </c:extLst>
        </c:ser>
        <c:ser>
          <c:idx val="4"/>
          <c:order val="4"/>
          <c:tx>
            <c:v>BES_TR2_three409_C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79-405E-9128-11409BCB2B72}"/>
            </c:ext>
          </c:extLst>
        </c:ser>
        <c:ser>
          <c:idx val="5"/>
          <c:order val="5"/>
          <c:tx>
            <c:v>BES_TR2_three478_B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PV_kW!$H$2:$H$49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79-405E-9128-11409BCB2B72}"/>
            </c:ext>
          </c:extLst>
        </c:ser>
        <c:ser>
          <c:idx val="6"/>
          <c:order val="6"/>
          <c:tx>
            <c:v>BES_TR2_three97_B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79-405E-9128-11409BCB2B72}"/>
            </c:ext>
          </c:extLst>
        </c:ser>
        <c:ser>
          <c:idx val="7"/>
          <c:order val="7"/>
          <c:tx>
            <c:v>BES_TR2_three133_C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79-405E-9128-11409BCB2B72}"/>
            </c:ext>
          </c:extLst>
        </c:ser>
        <c:ser>
          <c:idx val="8"/>
          <c:order val="8"/>
          <c:tx>
            <c:v>BES_TR2_three160_C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79-405E-9128-11409BCB2B72}"/>
            </c:ext>
          </c:extLst>
        </c:ser>
        <c:ser>
          <c:idx val="9"/>
          <c:order val="9"/>
          <c:tx>
            <c:v>BES_TR2_five58_C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779-405E-9128-11409BCB2B72}"/>
            </c:ext>
          </c:extLst>
        </c:ser>
        <c:ser>
          <c:idx val="10"/>
          <c:order val="10"/>
          <c:tx>
            <c:v>BES_TR2_five147_C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779-405E-9128-11409BCB2B72}"/>
            </c:ext>
          </c:extLst>
        </c:ser>
        <c:ser>
          <c:idx val="11"/>
          <c:order val="11"/>
          <c:tx>
            <c:v>BES_TR2_five149_A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PV_kW!$N$2:$N$49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779-405E-9128-11409BCB2B72}"/>
            </c:ext>
          </c:extLst>
        </c:ser>
        <c:ser>
          <c:idx val="12"/>
          <c:order val="12"/>
          <c:tx>
            <c:v>BES_TR2_five160_C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PV_kW!$O$2:$O$49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779-405E-9128-11409BCB2B72}"/>
            </c:ext>
          </c:extLst>
        </c:ser>
        <c:ser>
          <c:idx val="13"/>
          <c:order val="13"/>
          <c:tx>
            <c:v>BES_TR2_five170_A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779-405E-9128-11409BCB2B72}"/>
            </c:ext>
          </c:extLst>
        </c:ser>
        <c:ser>
          <c:idx val="14"/>
          <c:order val="14"/>
          <c:tx>
            <c:v>BES_TR2_five177_A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779-405E-9128-11409BCB2B72}"/>
            </c:ext>
          </c:extLst>
        </c:ser>
        <c:ser>
          <c:idx val="15"/>
          <c:order val="15"/>
          <c:tx>
            <c:v>BES_TR2_five67_C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PV_kW!$R$2:$R$49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779-405E-9128-11409BCB2B72}"/>
            </c:ext>
          </c:extLst>
        </c:ser>
        <c:ser>
          <c:idx val="16"/>
          <c:order val="16"/>
          <c:tx>
            <c:v>BES_TR2_five243_B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779-405E-9128-11409BCB2B72}"/>
            </c:ext>
          </c:extLst>
        </c:ser>
        <c:ser>
          <c:idx val="17"/>
          <c:order val="17"/>
          <c:tx>
            <c:v>BES_TR2_five284_C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779-405E-9128-11409BCB2B72}"/>
            </c:ext>
          </c:extLst>
        </c:ser>
        <c:ser>
          <c:idx val="18"/>
          <c:order val="18"/>
          <c:tx>
            <c:v>BES_TR2_five285_B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779-405E-9128-11409BCB2B72}"/>
            </c:ext>
          </c:extLst>
        </c:ser>
        <c:ser>
          <c:idx val="19"/>
          <c:order val="19"/>
          <c:tx>
            <c:v>BES_TR2_five303_B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779-405E-9128-11409BCB2B72}"/>
            </c:ext>
          </c:extLst>
        </c:ser>
        <c:ser>
          <c:idx val="20"/>
          <c:order val="20"/>
          <c:tx>
            <c:v>BES_TR2_five324_B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779-405E-9128-11409BCB2B72}"/>
            </c:ext>
          </c:extLst>
        </c:ser>
        <c:ser>
          <c:idx val="21"/>
          <c:order val="21"/>
          <c:tx>
            <c:v>BES_TR2_five355_A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779-405E-9128-11409BCB2B72}"/>
            </c:ext>
          </c:extLst>
        </c:ser>
        <c:ser>
          <c:idx val="22"/>
          <c:order val="22"/>
          <c:tx>
            <c:v>BES_TR2_five394_C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779-405E-9128-11409BCB2B72}"/>
            </c:ext>
          </c:extLst>
        </c:ser>
        <c:ser>
          <c:idx val="23"/>
          <c:order val="23"/>
          <c:tx>
            <c:v>BES_TR2_five451_A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PV_kW!$Z$2:$Z$49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779-405E-9128-11409BCB2B72}"/>
            </c:ext>
          </c:extLst>
        </c:ser>
        <c:ser>
          <c:idx val="24"/>
          <c:order val="24"/>
          <c:tx>
            <c:v>BES_TR2_five466_A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779-405E-9128-11409BCB2B72}"/>
            </c:ext>
          </c:extLst>
        </c:ser>
        <c:ser>
          <c:idx val="25"/>
          <c:order val="25"/>
          <c:tx>
            <c:v>BES_TR2_five494_B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779-405E-9128-11409BCB2B72}"/>
            </c:ext>
          </c:extLst>
        </c:ser>
        <c:ser>
          <c:idx val="26"/>
          <c:order val="26"/>
          <c:tx>
            <c:v>BES_TR2_five512_A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779-405E-9128-11409BCB2B72}"/>
            </c:ext>
          </c:extLst>
        </c:ser>
        <c:ser>
          <c:idx val="27"/>
          <c:order val="27"/>
          <c:tx>
            <c:v>BES_TR2_five520_C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PV_kW!$AD$2:$AD$49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779-405E-9128-11409BCB2B72}"/>
            </c:ext>
          </c:extLst>
        </c:ser>
        <c:ser>
          <c:idx val="28"/>
          <c:order val="28"/>
          <c:tx>
            <c:v>BES_TR2_five540_A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779-405E-9128-11409BCB2B72}"/>
            </c:ext>
          </c:extLst>
        </c:ser>
        <c:ser>
          <c:idx val="29"/>
          <c:order val="29"/>
          <c:tx>
            <c:v>BES_TR2_five588_A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779-405E-9128-11409BCB2B72}"/>
            </c:ext>
          </c:extLst>
        </c:ser>
        <c:ser>
          <c:idx val="30"/>
          <c:order val="30"/>
          <c:tx>
            <c:v>BES_TR2_five649_A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779-405E-9128-11409BCB2B72}"/>
            </c:ext>
          </c:extLst>
        </c:ser>
        <c:ser>
          <c:idx val="31"/>
          <c:order val="31"/>
          <c:tx>
            <c:v>BES_TR2_five663_C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PV_kW!$AH$2:$AH$49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779-405E-9128-11409BCB2B72}"/>
            </c:ext>
          </c:extLst>
        </c:ser>
        <c:ser>
          <c:idx val="32"/>
          <c:order val="32"/>
          <c:tx>
            <c:v>BES_TR2_five685_B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PV_kW!$AI$2:$AI$49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779-405E-9128-11409BCB2B72}"/>
            </c:ext>
          </c:extLst>
        </c:ser>
        <c:ser>
          <c:idx val="33"/>
          <c:order val="33"/>
          <c:tx>
            <c:v>BES_TR2_five695_A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779-405E-9128-11409BCB2B72}"/>
            </c:ext>
          </c:extLst>
        </c:ser>
        <c:ser>
          <c:idx val="34"/>
          <c:order val="34"/>
          <c:tx>
            <c:v>BES_TR2_five704_A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PV_kW!$AK$2:$AK$49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779-405E-9128-11409BCB2B72}"/>
            </c:ext>
          </c:extLst>
        </c:ser>
        <c:ser>
          <c:idx val="35"/>
          <c:order val="35"/>
          <c:tx>
            <c:v>BES_TR2_five733_C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779-405E-9128-11409BCB2B72}"/>
            </c:ext>
          </c:extLst>
        </c:ser>
        <c:ser>
          <c:idx val="36"/>
          <c:order val="36"/>
          <c:tx>
            <c:v>BES_TR2_five117_B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779-405E-9128-11409BCB2B72}"/>
            </c:ext>
          </c:extLst>
        </c:ser>
        <c:ser>
          <c:idx val="37"/>
          <c:order val="37"/>
          <c:tx>
            <c:v>BES_TR2_five778_B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779-405E-9128-11409BCB2B72}"/>
            </c:ext>
          </c:extLst>
        </c:ser>
        <c:ser>
          <c:idx val="38"/>
          <c:order val="38"/>
          <c:tx>
            <c:v>BES_TR2_five799_C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PV_kW!$AO$2:$AO$49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779-405E-9128-11409BCB2B72}"/>
            </c:ext>
          </c:extLst>
        </c:ser>
        <c:ser>
          <c:idx val="39"/>
          <c:order val="39"/>
          <c:tx>
            <c:v>BES_TR2_five801_C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779-405E-9128-11409BCB2B72}"/>
            </c:ext>
          </c:extLst>
        </c:ser>
        <c:ser>
          <c:idx val="40"/>
          <c:order val="40"/>
          <c:tx>
            <c:v>BES_TR2_five831_C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779-405E-9128-11409BCB2B72}"/>
            </c:ext>
          </c:extLst>
        </c:ser>
        <c:ser>
          <c:idx val="41"/>
          <c:order val="41"/>
          <c:tx>
            <c:v>BES_TR2_five881_C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779-405E-9128-11409BCB2B72}"/>
            </c:ext>
          </c:extLst>
        </c:ser>
        <c:ser>
          <c:idx val="42"/>
          <c:order val="42"/>
          <c:tx>
            <c:v>BES_TR2_five118_B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PV_kW!$AS$2:$AS$49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779-405E-9128-11409BCB2B72}"/>
            </c:ext>
          </c:extLst>
        </c:ser>
        <c:ser>
          <c:idx val="43"/>
          <c:order val="43"/>
          <c:tx>
            <c:v>BES_TR2_six64_A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779-405E-9128-11409BCB2B72}"/>
            </c:ext>
          </c:extLst>
        </c:ser>
        <c:ser>
          <c:idx val="44"/>
          <c:order val="44"/>
          <c:tx>
            <c:v>BES_TR2_six154_C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PV_kW!$AU$2:$AU$49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779-405E-9128-11409BCB2B72}"/>
            </c:ext>
          </c:extLst>
        </c:ser>
        <c:ser>
          <c:idx val="45"/>
          <c:order val="45"/>
          <c:tx>
            <c:v>BES_TR2_six173_C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PV_kW!$AV$2:$AV$49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779-405E-9128-11409BCB2B72}"/>
            </c:ext>
          </c:extLst>
        </c:ser>
        <c:ser>
          <c:idx val="46"/>
          <c:order val="46"/>
          <c:tx>
            <c:v>BES_TR2_six186_A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779-405E-9128-11409BCB2B72}"/>
            </c:ext>
          </c:extLst>
        </c:ser>
        <c:ser>
          <c:idx val="47"/>
          <c:order val="47"/>
          <c:tx>
            <c:v>BES_TR2_six191_B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779-405E-9128-11409BCB2B72}"/>
            </c:ext>
          </c:extLst>
        </c:ser>
        <c:ser>
          <c:idx val="48"/>
          <c:order val="48"/>
          <c:tx>
            <c:v>BES_TR2_six203_A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PV_kW!$AY$2:$AY$49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779-405E-9128-11409BCB2B72}"/>
            </c:ext>
          </c:extLst>
        </c:ser>
        <c:ser>
          <c:idx val="49"/>
          <c:order val="49"/>
          <c:tx>
            <c:v>BES_TR2_six232_C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PV_kW!$AZ$2:$AZ$49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779-405E-9128-11409BCB2B72}"/>
            </c:ext>
          </c:extLst>
        </c:ser>
        <c:ser>
          <c:idx val="50"/>
          <c:order val="50"/>
          <c:tx>
            <c:v>BES_TR2_six238_A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PV_kW!$BA$2:$BA$49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779-405E-9128-11409BCB2B72}"/>
            </c:ext>
          </c:extLst>
        </c:ser>
        <c:ser>
          <c:idx val="51"/>
          <c:order val="51"/>
          <c:tx>
            <c:v>BES_TR2_six249_B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PV_kW!$BB$2:$BB$49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779-405E-9128-11409BCB2B72}"/>
            </c:ext>
          </c:extLst>
        </c:ser>
        <c:ser>
          <c:idx val="52"/>
          <c:order val="52"/>
          <c:tx>
            <c:v>BES_TR2_six254_B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PV_kW!$BC$2:$BC$49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779-405E-9128-11409BCB2B72}"/>
            </c:ext>
          </c:extLst>
        </c:ser>
        <c:ser>
          <c:idx val="53"/>
          <c:order val="53"/>
          <c:tx>
            <c:v>BES_TR2_six269_C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PV_kW!$BD$2:$BD$49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779-405E-9128-11409BCB2B72}"/>
            </c:ext>
          </c:extLst>
        </c:ser>
        <c:ser>
          <c:idx val="54"/>
          <c:order val="54"/>
          <c:tx>
            <c:v>BES_TR2_six289_C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PV_kW!$BE$2:$BE$49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779-405E-9128-11409BCB2B72}"/>
            </c:ext>
          </c:extLst>
        </c:ser>
        <c:ser>
          <c:idx val="55"/>
          <c:order val="55"/>
          <c:tx>
            <c:v>BES_TR2_six317_C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PV_kW!$BF$2:$BF$49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779-405E-9128-11409BCB2B72}"/>
            </c:ext>
          </c:extLst>
        </c:ser>
        <c:ser>
          <c:idx val="56"/>
          <c:order val="56"/>
          <c:tx>
            <c:v>BES_TR2_six326_A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PV_kW!$BG$2:$BG$49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779-405E-9128-11409BCB2B72}"/>
            </c:ext>
          </c:extLst>
        </c:ser>
        <c:ser>
          <c:idx val="57"/>
          <c:order val="57"/>
          <c:tx>
            <c:v>BES_TR2_six329_A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PV_kW!$BH$2:$BH$49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779-405E-9128-11409BCB2B72}"/>
            </c:ext>
          </c:extLst>
        </c:ser>
        <c:ser>
          <c:idx val="58"/>
          <c:order val="58"/>
          <c:tx>
            <c:v>BES_TR2_six342_A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PV_kW!$BI$2:$BI$49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779-405E-9128-11409BCB2B72}"/>
            </c:ext>
          </c:extLst>
        </c:ser>
        <c:ser>
          <c:idx val="59"/>
          <c:order val="59"/>
          <c:tx>
            <c:v>BES_TR2_six349_A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PV_kW!$BJ$2:$BJ$49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779-405E-9128-11409BCB2B72}"/>
            </c:ext>
          </c:extLst>
        </c:ser>
        <c:ser>
          <c:idx val="60"/>
          <c:order val="60"/>
          <c:tx>
            <c:v>BES_TR2_six350_B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PV_kW!$BK$2:$BK$49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779-405E-9128-11409BCB2B72}"/>
            </c:ext>
          </c:extLst>
        </c:ser>
        <c:ser>
          <c:idx val="61"/>
          <c:order val="61"/>
          <c:tx>
            <c:v>BES_TR2_six362_C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PV_kW!$BL$2:$BL$49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779-405E-9128-11409BCB2B72}"/>
            </c:ext>
          </c:extLst>
        </c:ser>
        <c:ser>
          <c:idx val="62"/>
          <c:order val="62"/>
          <c:tx>
            <c:v>BES_TR2_six365_C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PV_kW!$BM$2:$BM$49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779-405E-9128-11409BCB2B72}"/>
            </c:ext>
          </c:extLst>
        </c:ser>
        <c:ser>
          <c:idx val="63"/>
          <c:order val="63"/>
          <c:tx>
            <c:v>BES_TR2_six378_A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PV_kW!$BN$2:$BN$49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779-405E-9128-11409BCB2B72}"/>
            </c:ext>
          </c:extLst>
        </c:ser>
        <c:ser>
          <c:idx val="64"/>
          <c:order val="64"/>
          <c:tx>
            <c:v>BES_TR2_six385_B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PV_kW!$BO$2:$BO$49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779-405E-9128-11409BCB2B72}"/>
            </c:ext>
          </c:extLst>
        </c:ser>
        <c:ser>
          <c:idx val="65"/>
          <c:order val="65"/>
          <c:tx>
            <c:v>BES_TR2_six387_A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PV_kW!$BP$2:$BP$49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779-405E-9128-11409BCB2B72}"/>
            </c:ext>
          </c:extLst>
        </c:ser>
        <c:ser>
          <c:idx val="66"/>
          <c:order val="66"/>
          <c:tx>
            <c:v>BES_TR2_six392_C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PV_kW!$BQ$2:$BQ$49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779-405E-9128-11409BCB2B72}"/>
            </c:ext>
          </c:extLst>
        </c:ser>
        <c:ser>
          <c:idx val="67"/>
          <c:order val="67"/>
          <c:tx>
            <c:v>BES_TR2_six410_A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PV_kW!$BR$2:$BR$49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779-405E-9128-11409BCB2B72}"/>
            </c:ext>
          </c:extLst>
        </c:ser>
        <c:ser>
          <c:idx val="68"/>
          <c:order val="68"/>
          <c:tx>
            <c:v>BES_TR2_six431_C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PV_kW!$BS$2:$BS$49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779-405E-9128-11409BCB2B72}"/>
            </c:ext>
          </c:extLst>
        </c:ser>
        <c:ser>
          <c:idx val="69"/>
          <c:order val="69"/>
          <c:tx>
            <c:v>BES_TR2_six484_B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PV_kW!$BT$2:$BT$49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779-405E-9128-11409BCB2B72}"/>
            </c:ext>
          </c:extLst>
        </c:ser>
        <c:ser>
          <c:idx val="70"/>
          <c:order val="70"/>
          <c:tx>
            <c:v>BES_TR2_six512_B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PV_kW!$BU$2:$BU$49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779-405E-9128-11409BCB2B72}"/>
            </c:ext>
          </c:extLst>
        </c:ser>
        <c:ser>
          <c:idx val="71"/>
          <c:order val="71"/>
          <c:tx>
            <c:v>BES_TR2_six518_B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PV_kW!$BV$2:$BV$49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779-405E-9128-11409BCB2B72}"/>
            </c:ext>
          </c:extLst>
        </c:ser>
        <c:ser>
          <c:idx val="72"/>
          <c:order val="72"/>
          <c:tx>
            <c:v>BES_TR2_six523_C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PV_kW!$BW$2:$BW$49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779-405E-9128-11409BCB2B72}"/>
            </c:ext>
          </c:extLst>
        </c:ser>
        <c:ser>
          <c:idx val="73"/>
          <c:order val="73"/>
          <c:tx>
            <c:v>BES_TR2_six571_C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PV_kW!$BX$2:$BX$49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779-405E-9128-11409BCB2B72}"/>
            </c:ext>
          </c:extLst>
        </c:ser>
        <c:ser>
          <c:idx val="74"/>
          <c:order val="74"/>
          <c:tx>
            <c:v>BES_TR2_six583_A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PV_kW!$BY$2:$BY$49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779-405E-9128-11409BCB2B72}"/>
            </c:ext>
          </c:extLst>
        </c:ser>
        <c:ser>
          <c:idx val="75"/>
          <c:order val="75"/>
          <c:tx>
            <c:v>BES_TR2_six625_A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PV_kW!$BZ$2:$BZ$49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779-405E-9128-11409BCB2B72}"/>
            </c:ext>
          </c:extLst>
        </c:ser>
        <c:ser>
          <c:idx val="76"/>
          <c:order val="76"/>
          <c:tx>
            <c:v>BES_TR2_six646_B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PV_kW!$CA$2:$CA$49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779-405E-9128-11409BCB2B72}"/>
            </c:ext>
          </c:extLst>
        </c:ser>
        <c:ser>
          <c:idx val="77"/>
          <c:order val="77"/>
          <c:tx>
            <c:v>BES_TR2_six87_A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PV_kW!$CB$2:$CB$49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779-405E-9128-11409BCB2B72}"/>
            </c:ext>
          </c:extLst>
        </c:ser>
        <c:ser>
          <c:idx val="78"/>
          <c:order val="78"/>
          <c:tx>
            <c:v>BES_TR2_six652_A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PV_kW!$CC$2:$CC$49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779-405E-9128-11409BCB2B72}"/>
            </c:ext>
          </c:extLst>
        </c:ser>
        <c:ser>
          <c:idx val="79"/>
          <c:order val="79"/>
          <c:tx>
            <c:v>BES_TR2_six665_B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PV_kW!$CD$2:$CD$49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779-405E-9128-11409BCB2B72}"/>
            </c:ext>
          </c:extLst>
        </c:ser>
        <c:ser>
          <c:idx val="80"/>
          <c:order val="80"/>
          <c:tx>
            <c:v>BES_TR2_six667_A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PV_kW!$CE$2:$CE$49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779-405E-9128-11409BCB2B72}"/>
            </c:ext>
          </c:extLst>
        </c:ser>
        <c:ser>
          <c:idx val="81"/>
          <c:order val="81"/>
          <c:tx>
            <c:v>BES_TR2_six721_A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PV_kW!$CF$2:$CF$49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779-405E-9128-11409BCB2B72}"/>
            </c:ext>
          </c:extLst>
        </c:ser>
        <c:ser>
          <c:idx val="82"/>
          <c:order val="82"/>
          <c:tx>
            <c:v>BES_TR2_six740_A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PV_kW!$CG$2:$CG$49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779-405E-9128-11409BCB2B72}"/>
            </c:ext>
          </c:extLst>
        </c:ser>
        <c:ser>
          <c:idx val="83"/>
          <c:order val="83"/>
          <c:tx>
            <c:v>BES_TR2_six758_B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PV_kW!$CH$2:$CH$49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779-405E-9128-11409BCB2B72}"/>
            </c:ext>
          </c:extLst>
        </c:ser>
        <c:ser>
          <c:idx val="84"/>
          <c:order val="84"/>
          <c:tx>
            <c:v>BES_TR2_six784_B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PV_kW!$CI$2:$CI$49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779-405E-9128-11409BCB2B72}"/>
            </c:ext>
          </c:extLst>
        </c:ser>
        <c:ser>
          <c:idx val="85"/>
          <c:order val="85"/>
          <c:tx>
            <c:v>BES_TR2_six799_B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PV_kW!$CJ$2:$CJ$49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779-405E-9128-11409BCB2B72}"/>
            </c:ext>
          </c:extLst>
        </c:ser>
        <c:ser>
          <c:idx val="86"/>
          <c:order val="86"/>
          <c:tx>
            <c:v>BES_TR2_six807_A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PV_kW!$CK$2:$CK$49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779-405E-9128-11409BCB2B72}"/>
            </c:ext>
          </c:extLst>
        </c:ser>
        <c:ser>
          <c:idx val="87"/>
          <c:order val="87"/>
          <c:tx>
            <c:v>BES_TR2_six885_A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PV_kW!$CL$2:$CL$49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779-405E-9128-11409BCB2B72}"/>
            </c:ext>
          </c:extLst>
        </c:ser>
        <c:ser>
          <c:idx val="88"/>
          <c:order val="88"/>
          <c:tx>
            <c:v>BES_TR2_six894_B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PV_kW!$CM$2:$CM$49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779-405E-9128-11409BCB2B72}"/>
            </c:ext>
          </c:extLst>
        </c:ser>
        <c:ser>
          <c:idx val="89"/>
          <c:order val="89"/>
          <c:tx>
            <c:v>BES_TR2_six914_A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PV_kW!$CN$2:$CN$49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779-405E-9128-11409BCB2B72}"/>
            </c:ext>
          </c:extLst>
        </c:ser>
        <c:ser>
          <c:idx val="90"/>
          <c:order val="90"/>
          <c:tx>
            <c:v>BES_TR2_six921_B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PV_kW!$CO$2:$CO$49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779-405E-9128-11409BCB2B72}"/>
            </c:ext>
          </c:extLst>
        </c:ser>
        <c:ser>
          <c:idx val="91"/>
          <c:order val="91"/>
          <c:tx>
            <c:v>BES_TR2_six929_A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PV_kW!$CP$2:$CP$49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779-405E-9128-11409BCB2B72}"/>
            </c:ext>
          </c:extLst>
        </c:ser>
        <c:ser>
          <c:idx val="92"/>
          <c:order val="92"/>
          <c:tx>
            <c:v>BES_TR2_six938_A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PV_kW!$CQ$2:$CQ$49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779-405E-9128-11409BCB2B72}"/>
            </c:ext>
          </c:extLst>
        </c:ser>
        <c:ser>
          <c:idx val="93"/>
          <c:order val="93"/>
          <c:tx>
            <c:v>BES_TR2_six990_B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PV_kW!$CR$2:$CR$49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779-405E-9128-11409BCB2B72}"/>
            </c:ext>
          </c:extLst>
        </c:ser>
        <c:ser>
          <c:idx val="94"/>
          <c:order val="94"/>
          <c:tx>
            <c:v>BES_TR2_six1020_A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PV_kW!$CS$2:$CS$49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779-405E-9128-11409BCB2B72}"/>
            </c:ext>
          </c:extLst>
        </c:ser>
        <c:ser>
          <c:idx val="95"/>
          <c:order val="95"/>
          <c:tx>
            <c:v>fleet average</c:v>
          </c:tx>
          <c:spPr>
            <a:ln w="28575">
              <a:solidFill>
                <a:srgbClr val="E6A000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2.6575679407017565E-3</c:v>
                </c:pt>
                <c:pt idx="8">
                  <c:v>3.8413351469824469E-2</c:v>
                </c:pt>
                <c:pt idx="9">
                  <c:v>0.17963247115315797</c:v>
                </c:pt>
                <c:pt idx="10">
                  <c:v>0.35632467001649226</c:v>
                </c:pt>
                <c:pt idx="11">
                  <c:v>0.57298767398035</c:v>
                </c:pt>
                <c:pt idx="12">
                  <c:v>0.80937922880965019</c:v>
                </c:pt>
                <c:pt idx="13">
                  <c:v>1.0486764019203503</c:v>
                </c:pt>
                <c:pt idx="14">
                  <c:v>1.2867344736415796</c:v>
                </c:pt>
                <c:pt idx="15">
                  <c:v>1.5251388353026305</c:v>
                </c:pt>
                <c:pt idx="16">
                  <c:v>1.7488965220822839</c:v>
                </c:pt>
                <c:pt idx="17">
                  <c:v>1.9592290763463152</c:v>
                </c:pt>
                <c:pt idx="18">
                  <c:v>2.1383601814280713</c:v>
                </c:pt>
                <c:pt idx="19">
                  <c:v>2.2911408676319258</c:v>
                </c:pt>
                <c:pt idx="20">
                  <c:v>2.4252437494475454</c:v>
                </c:pt>
                <c:pt idx="21">
                  <c:v>2.535921192295262</c:v>
                </c:pt>
                <c:pt idx="22">
                  <c:v>2.6144500549728065</c:v>
                </c:pt>
                <c:pt idx="23">
                  <c:v>2.6488890237705265</c:v>
                </c:pt>
                <c:pt idx="24">
                  <c:v>2.6588638686343882</c:v>
                </c:pt>
                <c:pt idx="25">
                  <c:v>2.6402037124526321</c:v>
                </c:pt>
                <c:pt idx="26">
                  <c:v>2.5775158275447398</c:v>
                </c:pt>
                <c:pt idx="27">
                  <c:v>2.4818779608196482</c:v>
                </c:pt>
                <c:pt idx="28">
                  <c:v>2.3677014911952607</c:v>
                </c:pt>
                <c:pt idx="29">
                  <c:v>2.2230231994607021</c:v>
                </c:pt>
                <c:pt idx="30">
                  <c:v>2.0692742453257891</c:v>
                </c:pt>
                <c:pt idx="31">
                  <c:v>1.8842575292364943</c:v>
                </c:pt>
                <c:pt idx="32">
                  <c:v>1.6758850442824547</c:v>
                </c:pt>
                <c:pt idx="33">
                  <c:v>1.4243024173840353</c:v>
                </c:pt>
                <c:pt idx="34">
                  <c:v>1.1888385315061396</c:v>
                </c:pt>
                <c:pt idx="35">
                  <c:v>0.94688477321631559</c:v>
                </c:pt>
                <c:pt idx="36">
                  <c:v>0.71283189559122906</c:v>
                </c:pt>
                <c:pt idx="37">
                  <c:v>0.48717194231842104</c:v>
                </c:pt>
                <c:pt idx="38">
                  <c:v>0.28447931436771917</c:v>
                </c:pt>
                <c:pt idx="39">
                  <c:v>8.276696014578945E-2</c:v>
                </c:pt>
                <c:pt idx="40">
                  <c:v>1.5264916669122823E-2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779-405E-9128-11409BCB2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7"/>
          <c:min val="-0.2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PV generation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Battery charging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BES_TR2_three312_A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Charge_kW!$C$2:$C$49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0.11899999999999999</c:v>
                </c:pt>
                <c:pt idx="10">
                  <c:v>0.16900000000000001</c:v>
                </c:pt>
                <c:pt idx="11">
                  <c:v>0.46600000000000003</c:v>
                </c:pt>
                <c:pt idx="12">
                  <c:v>0.73099999999999998</c:v>
                </c:pt>
                <c:pt idx="13">
                  <c:v>0.85599999999999998</c:v>
                </c:pt>
                <c:pt idx="14">
                  <c:v>1.1439999999999999</c:v>
                </c:pt>
                <c:pt idx="15">
                  <c:v>1.38</c:v>
                </c:pt>
                <c:pt idx="16">
                  <c:v>0.51999999999999991</c:v>
                </c:pt>
                <c:pt idx="17">
                  <c:v>1.198</c:v>
                </c:pt>
                <c:pt idx="18">
                  <c:v>0</c:v>
                </c:pt>
                <c:pt idx="19">
                  <c:v>0</c:v>
                </c:pt>
                <c:pt idx="20">
                  <c:v>0.46400000000000002</c:v>
                </c:pt>
                <c:pt idx="21">
                  <c:v>0.31900000000000001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0.16200000000000001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0.23499999999999999</c:v>
                </c:pt>
                <c:pt idx="38">
                  <c:v>7.4999999999999997E-2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A5-4B49-9A84-0F079EDF4F01}"/>
            </c:ext>
          </c:extLst>
        </c:ser>
        <c:ser>
          <c:idx val="1"/>
          <c:order val="1"/>
          <c:tx>
            <c:v>BES_TR2_three321_B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0.19</c:v>
                </c:pt>
                <c:pt idx="10">
                  <c:v>0.32600000000000001</c:v>
                </c:pt>
                <c:pt idx="11">
                  <c:v>0.622</c:v>
                </c:pt>
                <c:pt idx="12">
                  <c:v>0.99700000000000011</c:v>
                </c:pt>
                <c:pt idx="13">
                  <c:v>1.1539999999999999</c:v>
                </c:pt>
                <c:pt idx="14">
                  <c:v>1.613</c:v>
                </c:pt>
                <c:pt idx="15">
                  <c:v>1.53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A5-4B49-9A84-0F079EDF4F01}"/>
            </c:ext>
          </c:extLst>
        </c:ser>
        <c:ser>
          <c:idx val="2"/>
          <c:order val="2"/>
          <c:tx>
            <c:v>BES_TR2_three368_A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0.06</c:v>
                </c:pt>
                <c:pt idx="10">
                  <c:v>0</c:v>
                </c:pt>
                <c:pt idx="11">
                  <c:v>0.23200000000000001</c:v>
                </c:pt>
                <c:pt idx="12">
                  <c:v>0.38100000000000001</c:v>
                </c:pt>
                <c:pt idx="13">
                  <c:v>0.432</c:v>
                </c:pt>
                <c:pt idx="14">
                  <c:v>0.53500000000000003</c:v>
                </c:pt>
                <c:pt idx="15">
                  <c:v>0.72199999999999998</c:v>
                </c:pt>
                <c:pt idx="16">
                  <c:v>1.01</c:v>
                </c:pt>
                <c:pt idx="17">
                  <c:v>1.02</c:v>
                </c:pt>
                <c:pt idx="18">
                  <c:v>0</c:v>
                </c:pt>
                <c:pt idx="19">
                  <c:v>0.875</c:v>
                </c:pt>
                <c:pt idx="20">
                  <c:v>0</c:v>
                </c:pt>
                <c:pt idx="21">
                  <c:v>1.1910000000000001</c:v>
                </c:pt>
                <c:pt idx="22">
                  <c:v>0.35</c:v>
                </c:pt>
                <c:pt idx="23">
                  <c:v>1.05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5.8999999999999997E-2</c:v>
                </c:pt>
                <c:pt idx="37">
                  <c:v>0</c:v>
                </c:pt>
                <c:pt idx="38">
                  <c:v>2.9000000000000001E-2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A5-4B49-9A84-0F079EDF4F01}"/>
            </c:ext>
          </c:extLst>
        </c:ser>
        <c:ser>
          <c:idx val="3"/>
          <c:order val="3"/>
          <c:tx>
            <c:v>BES_TR2_three388_A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0.17599999999999999</c:v>
                </c:pt>
                <c:pt idx="10">
                  <c:v>0.40400000000000003</c:v>
                </c:pt>
                <c:pt idx="11">
                  <c:v>0.68499999999999994</c:v>
                </c:pt>
                <c:pt idx="12">
                  <c:v>0.99099999999999988</c:v>
                </c:pt>
                <c:pt idx="13">
                  <c:v>1.288</c:v>
                </c:pt>
                <c:pt idx="14">
                  <c:v>1.5029999999999999</c:v>
                </c:pt>
                <c:pt idx="15">
                  <c:v>0.77800000000000002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A5-4B49-9A84-0F079EDF4F01}"/>
            </c:ext>
          </c:extLst>
        </c:ser>
        <c:ser>
          <c:idx val="4"/>
          <c:order val="4"/>
          <c:tx>
            <c:v>BES_TR2_three409_C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7.8E-2</c:v>
                </c:pt>
                <c:pt idx="10">
                  <c:v>0.19600000000000001</c:v>
                </c:pt>
                <c:pt idx="11">
                  <c:v>0.60899999999999999</c:v>
                </c:pt>
                <c:pt idx="12">
                  <c:v>0.92400000000000004</c:v>
                </c:pt>
                <c:pt idx="13">
                  <c:v>1.169</c:v>
                </c:pt>
                <c:pt idx="14">
                  <c:v>1.6120000000000001</c:v>
                </c:pt>
                <c:pt idx="15">
                  <c:v>1.82</c:v>
                </c:pt>
                <c:pt idx="16">
                  <c:v>0.308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A5-4B49-9A84-0F079EDF4F01}"/>
            </c:ext>
          </c:extLst>
        </c:ser>
        <c:ser>
          <c:idx val="5"/>
          <c:order val="5"/>
          <c:tx>
            <c:v>BES_TR2_three478_B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Charge_kW!$H$2:$H$49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0.30299999999999999</c:v>
                </c:pt>
                <c:pt idx="11">
                  <c:v>0.312</c:v>
                </c:pt>
                <c:pt idx="12">
                  <c:v>0.68099999999999994</c:v>
                </c:pt>
                <c:pt idx="13">
                  <c:v>0.97499999999999998</c:v>
                </c:pt>
                <c:pt idx="14">
                  <c:v>1.0369999999999999</c:v>
                </c:pt>
                <c:pt idx="15">
                  <c:v>1.3440000000000001</c:v>
                </c:pt>
                <c:pt idx="16">
                  <c:v>1.655</c:v>
                </c:pt>
                <c:pt idx="17">
                  <c:v>0.52600000000000002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A5-4B49-9A84-0F079EDF4F01}"/>
            </c:ext>
          </c:extLst>
        </c:ser>
        <c:ser>
          <c:idx val="6"/>
          <c:order val="6"/>
          <c:tx>
            <c:v>BES_TR2_three97_B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4.0000000000000001E-3</c:v>
                </c:pt>
                <c:pt idx="9">
                  <c:v>0.187</c:v>
                </c:pt>
                <c:pt idx="10">
                  <c:v>0.41499999999999998</c:v>
                </c:pt>
                <c:pt idx="11">
                  <c:v>0.69599999999999995</c:v>
                </c:pt>
                <c:pt idx="12">
                  <c:v>1.002</c:v>
                </c:pt>
                <c:pt idx="13">
                  <c:v>1.3120000000000001</c:v>
                </c:pt>
                <c:pt idx="14">
                  <c:v>1.4750000000000001</c:v>
                </c:pt>
                <c:pt idx="15">
                  <c:v>0.627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A5-4B49-9A84-0F079EDF4F01}"/>
            </c:ext>
          </c:extLst>
        </c:ser>
        <c:ser>
          <c:idx val="7"/>
          <c:order val="7"/>
          <c:tx>
            <c:v>BES_TR2_three133_C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0.11899999999999999</c:v>
                </c:pt>
                <c:pt idx="10">
                  <c:v>0.28199999999999997</c:v>
                </c:pt>
                <c:pt idx="11">
                  <c:v>0.439</c:v>
                </c:pt>
                <c:pt idx="12">
                  <c:v>0.73499999999999999</c:v>
                </c:pt>
                <c:pt idx="13">
                  <c:v>0.88800000000000001</c:v>
                </c:pt>
                <c:pt idx="14">
                  <c:v>1.198</c:v>
                </c:pt>
                <c:pt idx="15">
                  <c:v>1.43</c:v>
                </c:pt>
                <c:pt idx="16">
                  <c:v>1.113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A5-4B49-9A84-0F079EDF4F01}"/>
            </c:ext>
          </c:extLst>
        </c:ser>
        <c:ser>
          <c:idx val="8"/>
          <c:order val="8"/>
          <c:tx>
            <c:v>BES_TR2_three160_C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0.16800000000000001</c:v>
                </c:pt>
                <c:pt idx="10">
                  <c:v>0.29099999999999998</c:v>
                </c:pt>
                <c:pt idx="11">
                  <c:v>0.59599999999999997</c:v>
                </c:pt>
                <c:pt idx="12">
                  <c:v>0.85699999999999998</c:v>
                </c:pt>
                <c:pt idx="13">
                  <c:v>1.212</c:v>
                </c:pt>
                <c:pt idx="14">
                  <c:v>1.3759999999999999</c:v>
                </c:pt>
                <c:pt idx="15">
                  <c:v>1.651</c:v>
                </c:pt>
                <c:pt idx="16">
                  <c:v>1.1839999999999999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0.311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A5-4B49-9A84-0F079EDF4F01}"/>
            </c:ext>
          </c:extLst>
        </c:ser>
        <c:ser>
          <c:idx val="9"/>
          <c:order val="9"/>
          <c:tx>
            <c:v>BES_TR2_five58_C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0.192</c:v>
                </c:pt>
                <c:pt idx="10">
                  <c:v>0.42</c:v>
                </c:pt>
                <c:pt idx="11">
                  <c:v>0.68700000000000006</c:v>
                </c:pt>
                <c:pt idx="12">
                  <c:v>0.92699999999999994</c:v>
                </c:pt>
                <c:pt idx="13">
                  <c:v>1.3169999999999999</c:v>
                </c:pt>
                <c:pt idx="14">
                  <c:v>1.625</c:v>
                </c:pt>
                <c:pt idx="15">
                  <c:v>1.4079999999999999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A5-4B49-9A84-0F079EDF4F01}"/>
            </c:ext>
          </c:extLst>
        </c:ser>
        <c:ser>
          <c:idx val="10"/>
          <c:order val="10"/>
          <c:tx>
            <c:v>BES_TR2_five147_C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0.17899999999999999</c:v>
                </c:pt>
                <c:pt idx="10">
                  <c:v>0.28599999999999998</c:v>
                </c:pt>
                <c:pt idx="11">
                  <c:v>0.68800000000000006</c:v>
                </c:pt>
                <c:pt idx="12">
                  <c:v>0.98299999999999998</c:v>
                </c:pt>
                <c:pt idx="13">
                  <c:v>1.1930000000000001</c:v>
                </c:pt>
                <c:pt idx="14">
                  <c:v>1.6120000000000001</c:v>
                </c:pt>
                <c:pt idx="15">
                  <c:v>1.3919999999999999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7A5-4B49-9A84-0F079EDF4F01}"/>
            </c:ext>
          </c:extLst>
        </c:ser>
        <c:ser>
          <c:idx val="11"/>
          <c:order val="11"/>
          <c:tx>
            <c:v>BES_TR2_five149_A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Charge_kW!$N$2:$N$49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9.1999999999999998E-2</c:v>
                </c:pt>
                <c:pt idx="10">
                  <c:v>0.376</c:v>
                </c:pt>
                <c:pt idx="11">
                  <c:v>0.47199999999999998</c:v>
                </c:pt>
                <c:pt idx="12">
                  <c:v>0.99299999999999999</c:v>
                </c:pt>
                <c:pt idx="13">
                  <c:v>1.17</c:v>
                </c:pt>
                <c:pt idx="14">
                  <c:v>1.498</c:v>
                </c:pt>
                <c:pt idx="15">
                  <c:v>1.92</c:v>
                </c:pt>
                <c:pt idx="16">
                  <c:v>0.26400000000000001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7A5-4B49-9A84-0F079EDF4F01}"/>
            </c:ext>
          </c:extLst>
        </c:ser>
        <c:ser>
          <c:idx val="12"/>
          <c:order val="12"/>
          <c:tx>
            <c:v>BES_TR2_five160_C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Charge_kW!$O$2:$O$49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0.17699999999999999</c:v>
                </c:pt>
                <c:pt idx="11">
                  <c:v>0.317</c:v>
                </c:pt>
                <c:pt idx="12">
                  <c:v>0.40899999999999997</c:v>
                </c:pt>
                <c:pt idx="13">
                  <c:v>0.60099999999999998</c:v>
                </c:pt>
                <c:pt idx="14">
                  <c:v>0.71299999999999997</c:v>
                </c:pt>
                <c:pt idx="15">
                  <c:v>0.91500000000000004</c:v>
                </c:pt>
                <c:pt idx="16">
                  <c:v>0.99400000000000011</c:v>
                </c:pt>
                <c:pt idx="17">
                  <c:v>1.123</c:v>
                </c:pt>
                <c:pt idx="18">
                  <c:v>0.97599999999999998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7A5-4B49-9A84-0F079EDF4F01}"/>
            </c:ext>
          </c:extLst>
        </c:ser>
        <c:ser>
          <c:idx val="13"/>
          <c:order val="13"/>
          <c:tx>
            <c:v>BES_TR2_five170_A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0.10100000000000001</c:v>
                </c:pt>
                <c:pt idx="10">
                  <c:v>0.182</c:v>
                </c:pt>
                <c:pt idx="11">
                  <c:v>0.50900000000000001</c:v>
                </c:pt>
                <c:pt idx="12">
                  <c:v>0.60199999999999998</c:v>
                </c:pt>
                <c:pt idx="13">
                  <c:v>0.73399999999999999</c:v>
                </c:pt>
                <c:pt idx="14">
                  <c:v>1.202</c:v>
                </c:pt>
                <c:pt idx="15">
                  <c:v>1.4139999999999999</c:v>
                </c:pt>
                <c:pt idx="16">
                  <c:v>1.5209999999999999</c:v>
                </c:pt>
                <c:pt idx="17">
                  <c:v>0.109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7A5-4B49-9A84-0F079EDF4F01}"/>
            </c:ext>
          </c:extLst>
        </c:ser>
        <c:ser>
          <c:idx val="14"/>
          <c:order val="14"/>
          <c:tx>
            <c:v>BES_TR2_five177_A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3.3000000000000002E-2</c:v>
                </c:pt>
                <c:pt idx="10">
                  <c:v>4.1000000000000002E-2</c:v>
                </c:pt>
                <c:pt idx="11">
                  <c:v>0.224</c:v>
                </c:pt>
                <c:pt idx="12">
                  <c:v>0.33900000000000002</c:v>
                </c:pt>
                <c:pt idx="13">
                  <c:v>0.45500000000000002</c:v>
                </c:pt>
                <c:pt idx="14">
                  <c:v>0.51900000000000002</c:v>
                </c:pt>
                <c:pt idx="15">
                  <c:v>0.66100000000000003</c:v>
                </c:pt>
                <c:pt idx="16">
                  <c:v>0.79500000000000004</c:v>
                </c:pt>
                <c:pt idx="17">
                  <c:v>0.8630000000000001</c:v>
                </c:pt>
                <c:pt idx="18">
                  <c:v>0.94099999999999995</c:v>
                </c:pt>
                <c:pt idx="19">
                  <c:v>1.022</c:v>
                </c:pt>
                <c:pt idx="20">
                  <c:v>0.28499999999999998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7A5-4B49-9A84-0F079EDF4F01}"/>
            </c:ext>
          </c:extLst>
        </c:ser>
        <c:ser>
          <c:idx val="15"/>
          <c:order val="15"/>
          <c:tx>
            <c:v>BES_TR2_five67_C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Charge_kW!$R$2:$R$49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0.34100000000000003</c:v>
                </c:pt>
                <c:pt idx="11">
                  <c:v>0.69499999999999995</c:v>
                </c:pt>
                <c:pt idx="12">
                  <c:v>0.84000000000000008</c:v>
                </c:pt>
                <c:pt idx="13">
                  <c:v>1.3109999999999999</c:v>
                </c:pt>
                <c:pt idx="14">
                  <c:v>1.405</c:v>
                </c:pt>
                <c:pt idx="15">
                  <c:v>1.845</c:v>
                </c:pt>
                <c:pt idx="16">
                  <c:v>0.315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7A5-4B49-9A84-0F079EDF4F01}"/>
            </c:ext>
          </c:extLst>
        </c:ser>
        <c:ser>
          <c:idx val="16"/>
          <c:order val="16"/>
          <c:tx>
            <c:v>BES_TR2_five243_B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0.183</c:v>
                </c:pt>
                <c:pt idx="10">
                  <c:v>0.41099999999999998</c:v>
                </c:pt>
                <c:pt idx="11">
                  <c:v>0.69200000000000006</c:v>
                </c:pt>
                <c:pt idx="12">
                  <c:v>0.998</c:v>
                </c:pt>
                <c:pt idx="13">
                  <c:v>1.3080000000000001</c:v>
                </c:pt>
                <c:pt idx="14">
                  <c:v>1.6160000000000001</c:v>
                </c:pt>
                <c:pt idx="15">
                  <c:v>0.54600000000000004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7A5-4B49-9A84-0F079EDF4F01}"/>
            </c:ext>
          </c:extLst>
        </c:ser>
        <c:ser>
          <c:idx val="17"/>
          <c:order val="17"/>
          <c:tx>
            <c:v>BES_TR2_five284_C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1.6E-2</c:v>
                </c:pt>
                <c:pt idx="10">
                  <c:v>0</c:v>
                </c:pt>
                <c:pt idx="11">
                  <c:v>0.314</c:v>
                </c:pt>
                <c:pt idx="12">
                  <c:v>0.32300000000000001</c:v>
                </c:pt>
                <c:pt idx="13">
                  <c:v>0.629</c:v>
                </c:pt>
                <c:pt idx="14">
                  <c:v>0.505</c:v>
                </c:pt>
                <c:pt idx="15">
                  <c:v>0.88800000000000001</c:v>
                </c:pt>
                <c:pt idx="16">
                  <c:v>0.63300000000000001</c:v>
                </c:pt>
                <c:pt idx="17">
                  <c:v>0</c:v>
                </c:pt>
                <c:pt idx="18">
                  <c:v>1.1020000000000001</c:v>
                </c:pt>
                <c:pt idx="19">
                  <c:v>1.367</c:v>
                </c:pt>
                <c:pt idx="20">
                  <c:v>1.0920000000000001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7A5-4B49-9A84-0F079EDF4F01}"/>
            </c:ext>
          </c:extLst>
        </c:ser>
        <c:ser>
          <c:idx val="18"/>
          <c:order val="18"/>
          <c:tx>
            <c:v>BES_TR2_five285_B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0.17699999999999999</c:v>
                </c:pt>
                <c:pt idx="10">
                  <c:v>0.40500000000000003</c:v>
                </c:pt>
                <c:pt idx="11">
                  <c:v>0.68599999999999994</c:v>
                </c:pt>
                <c:pt idx="12">
                  <c:v>0.99199999999999999</c:v>
                </c:pt>
                <c:pt idx="13">
                  <c:v>1.302</c:v>
                </c:pt>
                <c:pt idx="14">
                  <c:v>1.61</c:v>
                </c:pt>
                <c:pt idx="15">
                  <c:v>1.919</c:v>
                </c:pt>
                <c:pt idx="16">
                  <c:v>0.879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7A5-4B49-9A84-0F079EDF4F01}"/>
            </c:ext>
          </c:extLst>
        </c:ser>
        <c:ser>
          <c:idx val="19"/>
          <c:order val="19"/>
          <c:tx>
            <c:v>BES_TR2_five303_B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0.17100000000000001</c:v>
                </c:pt>
                <c:pt idx="10">
                  <c:v>0.42</c:v>
                </c:pt>
                <c:pt idx="11">
                  <c:v>0.70100000000000007</c:v>
                </c:pt>
                <c:pt idx="12">
                  <c:v>0.89800000000000002</c:v>
                </c:pt>
                <c:pt idx="13">
                  <c:v>1.276</c:v>
                </c:pt>
                <c:pt idx="14">
                  <c:v>1.615</c:v>
                </c:pt>
                <c:pt idx="15">
                  <c:v>0.76999999999999991</c:v>
                </c:pt>
                <c:pt idx="16">
                  <c:v>0.52200000000000002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7A5-4B49-9A84-0F079EDF4F01}"/>
            </c:ext>
          </c:extLst>
        </c:ser>
        <c:ser>
          <c:idx val="20"/>
          <c:order val="20"/>
          <c:tx>
            <c:v>BES_TR2_five324_B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1E-3</c:v>
                </c:pt>
                <c:pt idx="9">
                  <c:v>0.123</c:v>
                </c:pt>
                <c:pt idx="10">
                  <c:v>0.41199999999999998</c:v>
                </c:pt>
                <c:pt idx="11">
                  <c:v>0.69300000000000006</c:v>
                </c:pt>
                <c:pt idx="12">
                  <c:v>0.9890000000000001</c:v>
                </c:pt>
                <c:pt idx="13">
                  <c:v>1.3089999999999999</c:v>
                </c:pt>
                <c:pt idx="14">
                  <c:v>1.556</c:v>
                </c:pt>
                <c:pt idx="15">
                  <c:v>0.86499999999999999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7A5-4B49-9A84-0F079EDF4F01}"/>
            </c:ext>
          </c:extLst>
        </c:ser>
        <c:ser>
          <c:idx val="21"/>
          <c:order val="21"/>
          <c:tx>
            <c:v>BES_TR2_five355_A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9.0999999999999998E-2</c:v>
                </c:pt>
                <c:pt idx="10">
                  <c:v>0.188</c:v>
                </c:pt>
                <c:pt idx="11">
                  <c:v>0.51700000000000002</c:v>
                </c:pt>
                <c:pt idx="12">
                  <c:v>0.63600000000000001</c:v>
                </c:pt>
                <c:pt idx="13">
                  <c:v>0.77300000000000002</c:v>
                </c:pt>
                <c:pt idx="14">
                  <c:v>1.165</c:v>
                </c:pt>
                <c:pt idx="15">
                  <c:v>1.194</c:v>
                </c:pt>
                <c:pt idx="16">
                  <c:v>1.556</c:v>
                </c:pt>
                <c:pt idx="17">
                  <c:v>0.78400000000000003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7A5-4B49-9A84-0F079EDF4F01}"/>
            </c:ext>
          </c:extLst>
        </c:ser>
        <c:ser>
          <c:idx val="22"/>
          <c:order val="22"/>
          <c:tx>
            <c:v>BES_TR2_five394_C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0.14599999999999999</c:v>
                </c:pt>
                <c:pt idx="10">
                  <c:v>0.187</c:v>
                </c:pt>
                <c:pt idx="11">
                  <c:v>0.59100000000000008</c:v>
                </c:pt>
                <c:pt idx="12">
                  <c:v>0.72199999999999998</c:v>
                </c:pt>
                <c:pt idx="13">
                  <c:v>1.1080000000000001</c:v>
                </c:pt>
                <c:pt idx="14">
                  <c:v>1.4</c:v>
                </c:pt>
                <c:pt idx="15">
                  <c:v>1.67</c:v>
                </c:pt>
                <c:pt idx="16">
                  <c:v>1.8009999999999999</c:v>
                </c:pt>
                <c:pt idx="17">
                  <c:v>0.34499999999999997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7A5-4B49-9A84-0F079EDF4F01}"/>
            </c:ext>
          </c:extLst>
        </c:ser>
        <c:ser>
          <c:idx val="23"/>
          <c:order val="23"/>
          <c:tx>
            <c:v>BES_TR2_five451_A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Charge_kW!$Z$2:$Z$49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1.7000000000000001E-2</c:v>
                </c:pt>
                <c:pt idx="10">
                  <c:v>0.24099999999999999</c:v>
                </c:pt>
                <c:pt idx="11">
                  <c:v>0.22600000000000001</c:v>
                </c:pt>
                <c:pt idx="12">
                  <c:v>0.55000000000000004</c:v>
                </c:pt>
                <c:pt idx="13">
                  <c:v>0.71</c:v>
                </c:pt>
                <c:pt idx="14">
                  <c:v>0.82700000000000007</c:v>
                </c:pt>
                <c:pt idx="15">
                  <c:v>1.1870000000000001</c:v>
                </c:pt>
                <c:pt idx="16">
                  <c:v>1.3149999999999999</c:v>
                </c:pt>
                <c:pt idx="17">
                  <c:v>1.343</c:v>
                </c:pt>
                <c:pt idx="18">
                  <c:v>0.16</c:v>
                </c:pt>
                <c:pt idx="19">
                  <c:v>0</c:v>
                </c:pt>
                <c:pt idx="20">
                  <c:v>0.38100000000000001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2.5999999999999999E-2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7A5-4B49-9A84-0F079EDF4F01}"/>
            </c:ext>
          </c:extLst>
        </c:ser>
        <c:ser>
          <c:idx val="24"/>
          <c:order val="24"/>
          <c:tx>
            <c:v>BES_TR2_five466_A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0.106</c:v>
                </c:pt>
                <c:pt idx="11">
                  <c:v>0.224</c:v>
                </c:pt>
                <c:pt idx="12">
                  <c:v>0.2</c:v>
                </c:pt>
                <c:pt idx="13">
                  <c:v>0.45500000000000002</c:v>
                </c:pt>
                <c:pt idx="14">
                  <c:v>0.57099999999999995</c:v>
                </c:pt>
                <c:pt idx="15">
                  <c:v>0.54799999999999993</c:v>
                </c:pt>
                <c:pt idx="16">
                  <c:v>0.35399999999999998</c:v>
                </c:pt>
                <c:pt idx="17">
                  <c:v>0.751</c:v>
                </c:pt>
                <c:pt idx="18">
                  <c:v>0.82200000000000006</c:v>
                </c:pt>
                <c:pt idx="19">
                  <c:v>0.60699999999999998</c:v>
                </c:pt>
                <c:pt idx="20">
                  <c:v>0.93499999999999994</c:v>
                </c:pt>
                <c:pt idx="21">
                  <c:v>0.82299999999999995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0.40600000000000003</c:v>
                </c:pt>
                <c:pt idx="36">
                  <c:v>0.27900000000000003</c:v>
                </c:pt>
                <c:pt idx="37">
                  <c:v>1.6E-2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7A5-4B49-9A84-0F079EDF4F01}"/>
            </c:ext>
          </c:extLst>
        </c:ser>
        <c:ser>
          <c:idx val="25"/>
          <c:order val="25"/>
          <c:tx>
            <c:v>BES_TR2_five494_B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3.3000000000000002E-2</c:v>
                </c:pt>
                <c:pt idx="10">
                  <c:v>0.11899999999999999</c:v>
                </c:pt>
                <c:pt idx="11">
                  <c:v>0.224</c:v>
                </c:pt>
                <c:pt idx="12">
                  <c:v>0.20499999999999999</c:v>
                </c:pt>
                <c:pt idx="13">
                  <c:v>0.45500000000000002</c:v>
                </c:pt>
                <c:pt idx="14">
                  <c:v>0.53700000000000003</c:v>
                </c:pt>
                <c:pt idx="15">
                  <c:v>0.51700000000000002</c:v>
                </c:pt>
                <c:pt idx="16">
                  <c:v>0.79500000000000004</c:v>
                </c:pt>
                <c:pt idx="17">
                  <c:v>0.77600000000000002</c:v>
                </c:pt>
                <c:pt idx="18">
                  <c:v>0.97099999999999997</c:v>
                </c:pt>
                <c:pt idx="19">
                  <c:v>0.88800000000000001</c:v>
                </c:pt>
                <c:pt idx="20">
                  <c:v>0.8630000000000001</c:v>
                </c:pt>
                <c:pt idx="21">
                  <c:v>4.3999999999999997E-2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0.159</c:v>
                </c:pt>
                <c:pt idx="32">
                  <c:v>0</c:v>
                </c:pt>
                <c:pt idx="33">
                  <c:v>0</c:v>
                </c:pt>
                <c:pt idx="34">
                  <c:v>0.25800000000000001</c:v>
                </c:pt>
                <c:pt idx="35">
                  <c:v>0.153</c:v>
                </c:pt>
                <c:pt idx="36">
                  <c:v>0.17399999999999999</c:v>
                </c:pt>
                <c:pt idx="37">
                  <c:v>7.2999999999999995E-2</c:v>
                </c:pt>
                <c:pt idx="38">
                  <c:v>5.1999999999999998E-2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7A5-4B49-9A84-0F079EDF4F01}"/>
            </c:ext>
          </c:extLst>
        </c:ser>
        <c:ser>
          <c:idx val="26"/>
          <c:order val="26"/>
          <c:tx>
            <c:v>BES_TR2_five512_A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0.06</c:v>
                </c:pt>
                <c:pt idx="10">
                  <c:v>6.4999999999999988E-2</c:v>
                </c:pt>
                <c:pt idx="11">
                  <c:v>0.224</c:v>
                </c:pt>
                <c:pt idx="12">
                  <c:v>0.46800000000000003</c:v>
                </c:pt>
                <c:pt idx="13">
                  <c:v>0.58399999999999996</c:v>
                </c:pt>
                <c:pt idx="14">
                  <c:v>0.60299999999999998</c:v>
                </c:pt>
                <c:pt idx="15">
                  <c:v>0.93099999999999994</c:v>
                </c:pt>
                <c:pt idx="16">
                  <c:v>0.91200000000000003</c:v>
                </c:pt>
                <c:pt idx="17">
                  <c:v>1.1759999999999999</c:v>
                </c:pt>
                <c:pt idx="18">
                  <c:v>1.246</c:v>
                </c:pt>
                <c:pt idx="19">
                  <c:v>0.24399999999999999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0.42899999999999999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7A5-4B49-9A84-0F079EDF4F01}"/>
            </c:ext>
          </c:extLst>
        </c:ser>
        <c:ser>
          <c:idx val="27"/>
          <c:order val="27"/>
          <c:tx>
            <c:v>BES_TR2_five520_C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Charge_kW!$AD$2:$AD$49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0.128</c:v>
                </c:pt>
                <c:pt idx="11">
                  <c:v>8.1000000000000003E-2</c:v>
                </c:pt>
                <c:pt idx="12">
                  <c:v>0.34799999999999998</c:v>
                </c:pt>
                <c:pt idx="13">
                  <c:v>0.438</c:v>
                </c:pt>
                <c:pt idx="14">
                  <c:v>0.52500000000000002</c:v>
                </c:pt>
                <c:pt idx="15">
                  <c:v>0.58499999999999996</c:v>
                </c:pt>
                <c:pt idx="16">
                  <c:v>0.76800000000000002</c:v>
                </c:pt>
                <c:pt idx="17">
                  <c:v>0.7380000000000001</c:v>
                </c:pt>
                <c:pt idx="18">
                  <c:v>0.42899999999999999</c:v>
                </c:pt>
                <c:pt idx="19">
                  <c:v>0</c:v>
                </c:pt>
                <c:pt idx="20">
                  <c:v>1.133</c:v>
                </c:pt>
                <c:pt idx="21">
                  <c:v>1.1859999999999999</c:v>
                </c:pt>
                <c:pt idx="22">
                  <c:v>1.0720000000000001</c:v>
                </c:pt>
                <c:pt idx="23">
                  <c:v>0.123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0.23699999999999999</c:v>
                </c:pt>
                <c:pt idx="36">
                  <c:v>0.28000000000000003</c:v>
                </c:pt>
                <c:pt idx="37">
                  <c:v>0</c:v>
                </c:pt>
                <c:pt idx="38">
                  <c:v>6.2E-2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7A5-4B49-9A84-0F079EDF4F01}"/>
            </c:ext>
          </c:extLst>
        </c:ser>
        <c:ser>
          <c:idx val="28"/>
          <c:order val="28"/>
          <c:tx>
            <c:v>BES_TR2_five540_A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0.14699999999999999</c:v>
                </c:pt>
                <c:pt idx="10">
                  <c:v>0.32</c:v>
                </c:pt>
                <c:pt idx="11">
                  <c:v>0.69</c:v>
                </c:pt>
                <c:pt idx="12">
                  <c:v>0.84199999999999997</c:v>
                </c:pt>
                <c:pt idx="13">
                  <c:v>1.306</c:v>
                </c:pt>
                <c:pt idx="14">
                  <c:v>1.5580000000000001</c:v>
                </c:pt>
                <c:pt idx="15">
                  <c:v>1.3180000000000001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0.48</c:v>
                </c:pt>
                <c:pt idx="37">
                  <c:v>0.48299999999999998</c:v>
                </c:pt>
                <c:pt idx="38">
                  <c:v>0.186</c:v>
                </c:pt>
                <c:pt idx="39">
                  <c:v>5.5E-2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7A5-4B49-9A84-0F079EDF4F01}"/>
            </c:ext>
          </c:extLst>
        </c:ser>
        <c:ser>
          <c:idx val="29"/>
          <c:order val="29"/>
          <c:tx>
            <c:v>BES_TR2_five588_A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0.125</c:v>
                </c:pt>
                <c:pt idx="11">
                  <c:v>0.38700000000000001</c:v>
                </c:pt>
                <c:pt idx="12">
                  <c:v>0.377</c:v>
                </c:pt>
                <c:pt idx="13">
                  <c:v>0.76700000000000002</c:v>
                </c:pt>
                <c:pt idx="14">
                  <c:v>0.98699999999999999</c:v>
                </c:pt>
                <c:pt idx="15">
                  <c:v>0.98100000000000009</c:v>
                </c:pt>
                <c:pt idx="16">
                  <c:v>1.2869999999999999</c:v>
                </c:pt>
                <c:pt idx="17">
                  <c:v>1.502</c:v>
                </c:pt>
                <c:pt idx="18">
                  <c:v>0.64899999999999991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0.28999999999999998</c:v>
                </c:pt>
                <c:pt idx="38">
                  <c:v>0.161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7A5-4B49-9A84-0F079EDF4F01}"/>
            </c:ext>
          </c:extLst>
        </c:ser>
        <c:ser>
          <c:idx val="30"/>
          <c:order val="30"/>
          <c:tx>
            <c:v>BES_TR2_five649_A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1.4E-2</c:v>
                </c:pt>
                <c:pt idx="9">
                  <c:v>0.08</c:v>
                </c:pt>
                <c:pt idx="10">
                  <c:v>0.42499999999999999</c:v>
                </c:pt>
                <c:pt idx="11">
                  <c:v>0.63600000000000001</c:v>
                </c:pt>
                <c:pt idx="12">
                  <c:v>0.96500000000000008</c:v>
                </c:pt>
                <c:pt idx="13">
                  <c:v>1.2809999999999999</c:v>
                </c:pt>
                <c:pt idx="14">
                  <c:v>1.554</c:v>
                </c:pt>
                <c:pt idx="15">
                  <c:v>1.0629999999999999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7A5-4B49-9A84-0F079EDF4F01}"/>
            </c:ext>
          </c:extLst>
        </c:ser>
        <c:ser>
          <c:idx val="31"/>
          <c:order val="31"/>
          <c:tx>
            <c:v>BES_TR2_five663_C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Charge_kW!$AH$2:$AH$49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9.0000000000000011E-3</c:v>
                </c:pt>
                <c:pt idx="11">
                  <c:v>0.14599999999999999</c:v>
                </c:pt>
                <c:pt idx="12">
                  <c:v>0.14899999999999999</c:v>
                </c:pt>
                <c:pt idx="13">
                  <c:v>0.45600000000000002</c:v>
                </c:pt>
                <c:pt idx="14">
                  <c:v>0.42299999999999999</c:v>
                </c:pt>
                <c:pt idx="15">
                  <c:v>0.56700000000000006</c:v>
                </c:pt>
                <c:pt idx="16">
                  <c:v>0.79600000000000004</c:v>
                </c:pt>
                <c:pt idx="17">
                  <c:v>0.503</c:v>
                </c:pt>
                <c:pt idx="18">
                  <c:v>0.874</c:v>
                </c:pt>
                <c:pt idx="19">
                  <c:v>0.98699999999999999</c:v>
                </c:pt>
                <c:pt idx="20">
                  <c:v>0.92699999999999994</c:v>
                </c:pt>
                <c:pt idx="21">
                  <c:v>1.0720000000000001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7A5-4B49-9A84-0F079EDF4F01}"/>
            </c:ext>
          </c:extLst>
        </c:ser>
        <c:ser>
          <c:idx val="32"/>
          <c:order val="32"/>
          <c:tx>
            <c:v>BES_TR2_five685_B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Charge_kW!$AI$2:$AI$49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0.18099999999999999</c:v>
                </c:pt>
                <c:pt idx="10">
                  <c:v>0.27700000000000002</c:v>
                </c:pt>
                <c:pt idx="11">
                  <c:v>0.57700000000000007</c:v>
                </c:pt>
                <c:pt idx="12">
                  <c:v>0.92500000000000004</c:v>
                </c:pt>
                <c:pt idx="13">
                  <c:v>1.2210000000000001</c:v>
                </c:pt>
                <c:pt idx="14">
                  <c:v>1.6140000000000001</c:v>
                </c:pt>
                <c:pt idx="15">
                  <c:v>1.8939999999999999</c:v>
                </c:pt>
                <c:pt idx="16">
                  <c:v>4.3999999999999997E-2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7A5-4B49-9A84-0F079EDF4F01}"/>
            </c:ext>
          </c:extLst>
        </c:ser>
        <c:ser>
          <c:idx val="33"/>
          <c:order val="33"/>
          <c:tx>
            <c:v>BES_TR2_five695_A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1E-3</c:v>
                </c:pt>
                <c:pt idx="9">
                  <c:v>0.184</c:v>
                </c:pt>
                <c:pt idx="10">
                  <c:v>0.20499999999999999</c:v>
                </c:pt>
                <c:pt idx="11">
                  <c:v>0.69300000000000006</c:v>
                </c:pt>
                <c:pt idx="12">
                  <c:v>0.8899999999999999</c:v>
                </c:pt>
                <c:pt idx="13">
                  <c:v>1.097</c:v>
                </c:pt>
                <c:pt idx="14">
                  <c:v>1.4370000000000001</c:v>
                </c:pt>
                <c:pt idx="15">
                  <c:v>1.8180000000000001</c:v>
                </c:pt>
                <c:pt idx="16">
                  <c:v>0.23300000000000001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7A5-4B49-9A84-0F079EDF4F01}"/>
            </c:ext>
          </c:extLst>
        </c:ser>
        <c:ser>
          <c:idx val="34"/>
          <c:order val="34"/>
          <c:tx>
            <c:v>BES_TR2_five704_A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Charge_kW!$AK$2:$AK$49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0.27500000000000002</c:v>
                </c:pt>
                <c:pt idx="11">
                  <c:v>0.41</c:v>
                </c:pt>
                <c:pt idx="12">
                  <c:v>0.56499999999999995</c:v>
                </c:pt>
                <c:pt idx="13">
                  <c:v>0.876</c:v>
                </c:pt>
                <c:pt idx="14">
                  <c:v>1.0069999999999999</c:v>
                </c:pt>
                <c:pt idx="15">
                  <c:v>1.4039999999999999</c:v>
                </c:pt>
                <c:pt idx="16">
                  <c:v>1.4</c:v>
                </c:pt>
                <c:pt idx="17">
                  <c:v>1.57</c:v>
                </c:pt>
                <c:pt idx="18">
                  <c:v>0.46100000000000002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4.7E-2</c:v>
                </c:pt>
                <c:pt idx="26">
                  <c:v>0.38600000000000001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7A5-4B49-9A84-0F079EDF4F01}"/>
            </c:ext>
          </c:extLst>
        </c:ser>
        <c:ser>
          <c:idx val="35"/>
          <c:order val="35"/>
          <c:tx>
            <c:v>BES_TR2_five733_C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6.4000000000000001E-2</c:v>
                </c:pt>
                <c:pt idx="10">
                  <c:v>0.17899999999999999</c:v>
                </c:pt>
                <c:pt idx="11">
                  <c:v>0.31900000000000001</c:v>
                </c:pt>
                <c:pt idx="12">
                  <c:v>0.47199999999999998</c:v>
                </c:pt>
                <c:pt idx="13">
                  <c:v>0.627</c:v>
                </c:pt>
                <c:pt idx="14">
                  <c:v>0.78100000000000003</c:v>
                </c:pt>
                <c:pt idx="15">
                  <c:v>0.93499999999999994</c:v>
                </c:pt>
                <c:pt idx="16">
                  <c:v>1.08</c:v>
                </c:pt>
                <c:pt idx="17">
                  <c:v>1.216</c:v>
                </c:pt>
                <c:pt idx="18">
                  <c:v>0.129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7A5-4B49-9A84-0F079EDF4F01}"/>
            </c:ext>
          </c:extLst>
        </c:ser>
        <c:ser>
          <c:idx val="36"/>
          <c:order val="36"/>
          <c:tx>
            <c:v>BES_TR2_five117_B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5.0000000000000001E-3</c:v>
                </c:pt>
                <c:pt idx="10">
                  <c:v>0.41299999999999998</c:v>
                </c:pt>
                <c:pt idx="11">
                  <c:v>0.51500000000000001</c:v>
                </c:pt>
                <c:pt idx="12">
                  <c:v>1</c:v>
                </c:pt>
                <c:pt idx="13">
                  <c:v>1.2609999999999999</c:v>
                </c:pt>
                <c:pt idx="14">
                  <c:v>1.488</c:v>
                </c:pt>
                <c:pt idx="15">
                  <c:v>1.649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7A5-4B49-9A84-0F079EDF4F01}"/>
            </c:ext>
          </c:extLst>
        </c:ser>
        <c:ser>
          <c:idx val="37"/>
          <c:order val="37"/>
          <c:tx>
            <c:v>BES_TR2_five778_B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4.0000000000000001E-3</c:v>
                </c:pt>
                <c:pt idx="9">
                  <c:v>7.2000000000000008E-2</c:v>
                </c:pt>
                <c:pt idx="10">
                  <c:v>0.36199999999999999</c:v>
                </c:pt>
                <c:pt idx="11">
                  <c:v>0.69599999999999995</c:v>
                </c:pt>
                <c:pt idx="12">
                  <c:v>1.002</c:v>
                </c:pt>
                <c:pt idx="13">
                  <c:v>1.22</c:v>
                </c:pt>
                <c:pt idx="14">
                  <c:v>1.405</c:v>
                </c:pt>
                <c:pt idx="15">
                  <c:v>1.702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7A5-4B49-9A84-0F079EDF4F01}"/>
            </c:ext>
          </c:extLst>
        </c:ser>
        <c:ser>
          <c:idx val="38"/>
          <c:order val="38"/>
          <c:tx>
            <c:v>BES_TR2_five799_C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Charge_kW!$AO$2:$AO$49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0.186</c:v>
                </c:pt>
                <c:pt idx="10">
                  <c:v>0.32800000000000001</c:v>
                </c:pt>
                <c:pt idx="11">
                  <c:v>0.49799999999999989</c:v>
                </c:pt>
                <c:pt idx="12">
                  <c:v>0.96899999999999997</c:v>
                </c:pt>
                <c:pt idx="13">
                  <c:v>1.165</c:v>
                </c:pt>
                <c:pt idx="14">
                  <c:v>1.5</c:v>
                </c:pt>
                <c:pt idx="15">
                  <c:v>1.831</c:v>
                </c:pt>
                <c:pt idx="16">
                  <c:v>1.4930000000000001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1.0029999999999999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0.59799999999999998</c:v>
                </c:pt>
                <c:pt idx="27">
                  <c:v>0.105</c:v>
                </c:pt>
                <c:pt idx="28">
                  <c:v>0.13800000000000001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7A5-4B49-9A84-0F079EDF4F01}"/>
            </c:ext>
          </c:extLst>
        </c:ser>
        <c:ser>
          <c:idx val="39"/>
          <c:order val="39"/>
          <c:tx>
            <c:v>BES_TR2_five801_C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0.14199999999999999</c:v>
                </c:pt>
                <c:pt idx="10">
                  <c:v>0.378</c:v>
                </c:pt>
                <c:pt idx="11">
                  <c:v>0.57200000000000006</c:v>
                </c:pt>
                <c:pt idx="12">
                  <c:v>0.71399999999999997</c:v>
                </c:pt>
                <c:pt idx="13">
                  <c:v>1.2370000000000001</c:v>
                </c:pt>
                <c:pt idx="14">
                  <c:v>1.613</c:v>
                </c:pt>
                <c:pt idx="15">
                  <c:v>1.3540000000000001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27A5-4B49-9A84-0F079EDF4F01}"/>
            </c:ext>
          </c:extLst>
        </c:ser>
        <c:ser>
          <c:idx val="40"/>
          <c:order val="40"/>
          <c:tx>
            <c:v>BES_TR2_five831_C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0.16900000000000001</c:v>
                </c:pt>
                <c:pt idx="11">
                  <c:v>0.40600000000000003</c:v>
                </c:pt>
                <c:pt idx="12">
                  <c:v>0.52200000000000002</c:v>
                </c:pt>
                <c:pt idx="13">
                  <c:v>0.71500000000000008</c:v>
                </c:pt>
                <c:pt idx="14">
                  <c:v>0.98299999999999998</c:v>
                </c:pt>
                <c:pt idx="15">
                  <c:v>1.06</c:v>
                </c:pt>
                <c:pt idx="16">
                  <c:v>1.323</c:v>
                </c:pt>
                <c:pt idx="17">
                  <c:v>1.1819999999999999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1.4770000000000001</c:v>
                </c:pt>
                <c:pt idx="26">
                  <c:v>1.752</c:v>
                </c:pt>
                <c:pt idx="27">
                  <c:v>0.28100000000000003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6.6000000000000003E-2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7A5-4B49-9A84-0F079EDF4F01}"/>
            </c:ext>
          </c:extLst>
        </c:ser>
        <c:ser>
          <c:idx val="41"/>
          <c:order val="41"/>
          <c:tx>
            <c:v>BES_TR2_five881_C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0.16300000000000001</c:v>
                </c:pt>
                <c:pt idx="11">
                  <c:v>0.32200000000000001</c:v>
                </c:pt>
                <c:pt idx="12">
                  <c:v>0.35099999999999998</c:v>
                </c:pt>
                <c:pt idx="13">
                  <c:v>0.63</c:v>
                </c:pt>
                <c:pt idx="14">
                  <c:v>0.78400000000000003</c:v>
                </c:pt>
                <c:pt idx="15">
                  <c:v>0.92800000000000005</c:v>
                </c:pt>
                <c:pt idx="16">
                  <c:v>0</c:v>
                </c:pt>
                <c:pt idx="17">
                  <c:v>0.35199999999999998</c:v>
                </c:pt>
                <c:pt idx="18">
                  <c:v>0.21299999999999999</c:v>
                </c:pt>
                <c:pt idx="19">
                  <c:v>1.4339999999999999</c:v>
                </c:pt>
                <c:pt idx="20">
                  <c:v>0.378</c:v>
                </c:pt>
                <c:pt idx="21">
                  <c:v>0</c:v>
                </c:pt>
                <c:pt idx="22">
                  <c:v>0.39200000000000002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0.122</c:v>
                </c:pt>
                <c:pt idx="27">
                  <c:v>0.24</c:v>
                </c:pt>
                <c:pt idx="28">
                  <c:v>3.4000000000000002E-2</c:v>
                </c:pt>
                <c:pt idx="29">
                  <c:v>0.217</c:v>
                </c:pt>
                <c:pt idx="30">
                  <c:v>0.17599999999999999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0.375</c:v>
                </c:pt>
                <c:pt idx="35">
                  <c:v>0.51300000000000001</c:v>
                </c:pt>
                <c:pt idx="36">
                  <c:v>0.10100000000000001</c:v>
                </c:pt>
                <c:pt idx="37">
                  <c:v>0.26600000000000001</c:v>
                </c:pt>
                <c:pt idx="38">
                  <c:v>0.13500000000000001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27A5-4B49-9A84-0F079EDF4F01}"/>
            </c:ext>
          </c:extLst>
        </c:ser>
        <c:ser>
          <c:idx val="42"/>
          <c:order val="42"/>
          <c:tx>
            <c:v>BES_TR2_five118_B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Charge_kW!$AS$2:$AS$49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0.30599999999999999</c:v>
                </c:pt>
                <c:pt idx="11">
                  <c:v>0.52400000000000002</c:v>
                </c:pt>
                <c:pt idx="12">
                  <c:v>0.93700000000000006</c:v>
                </c:pt>
                <c:pt idx="13">
                  <c:v>1.206</c:v>
                </c:pt>
                <c:pt idx="14">
                  <c:v>1.38</c:v>
                </c:pt>
                <c:pt idx="15">
                  <c:v>1.8580000000000001</c:v>
                </c:pt>
                <c:pt idx="16">
                  <c:v>1.071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7A5-4B49-9A84-0F079EDF4F01}"/>
            </c:ext>
          </c:extLst>
        </c:ser>
        <c:ser>
          <c:idx val="43"/>
          <c:order val="43"/>
          <c:tx>
            <c:v>BES_TR2_six64_A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0.22600000000000001</c:v>
                </c:pt>
                <c:pt idx="11">
                  <c:v>0.499</c:v>
                </c:pt>
                <c:pt idx="12">
                  <c:v>0.57200000000000006</c:v>
                </c:pt>
                <c:pt idx="13">
                  <c:v>0.79199999999999993</c:v>
                </c:pt>
                <c:pt idx="14">
                  <c:v>1.0609999999999999</c:v>
                </c:pt>
                <c:pt idx="15">
                  <c:v>1.3680000000000001</c:v>
                </c:pt>
                <c:pt idx="16">
                  <c:v>1.518</c:v>
                </c:pt>
                <c:pt idx="17">
                  <c:v>1.4179999999999999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27A5-4B49-9A84-0F079EDF4F01}"/>
            </c:ext>
          </c:extLst>
        </c:ser>
        <c:ser>
          <c:idx val="44"/>
          <c:order val="44"/>
          <c:tx>
            <c:v>BES_TR2_six154_C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Charge_kW!$AU$2:$AU$49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7.0000000000000001E-3</c:v>
                </c:pt>
                <c:pt idx="10">
                  <c:v>0.17699999999999999</c:v>
                </c:pt>
                <c:pt idx="11">
                  <c:v>0.20699999999999999</c:v>
                </c:pt>
                <c:pt idx="12">
                  <c:v>0.47</c:v>
                </c:pt>
                <c:pt idx="13">
                  <c:v>0.625</c:v>
                </c:pt>
                <c:pt idx="14">
                  <c:v>0.433</c:v>
                </c:pt>
                <c:pt idx="15">
                  <c:v>0.72099999999999997</c:v>
                </c:pt>
                <c:pt idx="16">
                  <c:v>0.93400000000000005</c:v>
                </c:pt>
                <c:pt idx="17">
                  <c:v>1.075</c:v>
                </c:pt>
                <c:pt idx="18">
                  <c:v>1.151</c:v>
                </c:pt>
                <c:pt idx="19">
                  <c:v>0.442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7A5-4B49-9A84-0F079EDF4F01}"/>
            </c:ext>
          </c:extLst>
        </c:ser>
        <c:ser>
          <c:idx val="45"/>
          <c:order val="45"/>
          <c:tx>
            <c:v>BES_TR2_six173_C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Charge_kW!$AV$2:$AV$49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0.16500000000000001</c:v>
                </c:pt>
                <c:pt idx="10">
                  <c:v>0.41699999999999998</c:v>
                </c:pt>
                <c:pt idx="11">
                  <c:v>0.53500000000000003</c:v>
                </c:pt>
                <c:pt idx="12">
                  <c:v>0.99599999999999989</c:v>
                </c:pt>
                <c:pt idx="13">
                  <c:v>1.304</c:v>
                </c:pt>
                <c:pt idx="14">
                  <c:v>1.522</c:v>
                </c:pt>
                <c:pt idx="15">
                  <c:v>1.8169999999999999</c:v>
                </c:pt>
                <c:pt idx="16">
                  <c:v>1.2110000000000001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27A5-4B49-9A84-0F079EDF4F01}"/>
            </c:ext>
          </c:extLst>
        </c:ser>
        <c:ser>
          <c:idx val="46"/>
          <c:order val="46"/>
          <c:tx>
            <c:v>BES_TR2_six186_A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0.13200000000000001</c:v>
                </c:pt>
                <c:pt idx="10">
                  <c:v>0.38200000000000001</c:v>
                </c:pt>
                <c:pt idx="11">
                  <c:v>0.44800000000000001</c:v>
                </c:pt>
                <c:pt idx="12">
                  <c:v>0.9890000000000001</c:v>
                </c:pt>
                <c:pt idx="13">
                  <c:v>1.1619999999999999</c:v>
                </c:pt>
                <c:pt idx="14">
                  <c:v>1.4950000000000001</c:v>
                </c:pt>
                <c:pt idx="15">
                  <c:v>1.929</c:v>
                </c:pt>
                <c:pt idx="16">
                  <c:v>0.38900000000000001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7A5-4B49-9A84-0F079EDF4F01}"/>
            </c:ext>
          </c:extLst>
        </c:ser>
        <c:ser>
          <c:idx val="47"/>
          <c:order val="47"/>
          <c:tx>
            <c:v>BES_TR2_six191_B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0.114</c:v>
                </c:pt>
                <c:pt idx="10">
                  <c:v>0.28599999999999998</c:v>
                </c:pt>
                <c:pt idx="11">
                  <c:v>0.496</c:v>
                </c:pt>
                <c:pt idx="12">
                  <c:v>0.72599999999999998</c:v>
                </c:pt>
                <c:pt idx="13">
                  <c:v>0.95799999999999996</c:v>
                </c:pt>
                <c:pt idx="14">
                  <c:v>1.1890000000000001</c:v>
                </c:pt>
                <c:pt idx="15">
                  <c:v>1.421</c:v>
                </c:pt>
                <c:pt idx="16">
                  <c:v>1.359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27A5-4B49-9A84-0F079EDF4F01}"/>
            </c:ext>
          </c:extLst>
        </c:ser>
        <c:ser>
          <c:idx val="48"/>
          <c:order val="48"/>
          <c:tx>
            <c:v>BES_TR2_six203_A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Charge_kW!$AY$2:$AY$49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</c:v>
                </c:pt>
                <c:pt idx="10">
                  <c:v>0.29699999999999999</c:v>
                </c:pt>
                <c:pt idx="11">
                  <c:v>0.26300000000000001</c:v>
                </c:pt>
                <c:pt idx="12">
                  <c:v>0.66699999999999993</c:v>
                </c:pt>
                <c:pt idx="13">
                  <c:v>0.96899999999999997</c:v>
                </c:pt>
                <c:pt idx="14">
                  <c:v>1.1060000000000001</c:v>
                </c:pt>
                <c:pt idx="15">
                  <c:v>1.4319999999999999</c:v>
                </c:pt>
                <c:pt idx="16">
                  <c:v>1.4159999999999999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7A5-4B49-9A84-0F079EDF4F01}"/>
            </c:ext>
          </c:extLst>
        </c:ser>
        <c:ser>
          <c:idx val="49"/>
          <c:order val="49"/>
          <c:tx>
            <c:v>BES_TR2_six232_C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Charge_kW!$AZ$2:$AZ$49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0.17599999999999999</c:v>
                </c:pt>
                <c:pt idx="11">
                  <c:v>0.33</c:v>
                </c:pt>
                <c:pt idx="12">
                  <c:v>0.5</c:v>
                </c:pt>
                <c:pt idx="13">
                  <c:v>0.71199999999999997</c:v>
                </c:pt>
                <c:pt idx="14">
                  <c:v>0.8899999999999999</c:v>
                </c:pt>
                <c:pt idx="15">
                  <c:v>0.96500000000000008</c:v>
                </c:pt>
                <c:pt idx="16">
                  <c:v>1.0549999999999999</c:v>
                </c:pt>
                <c:pt idx="17">
                  <c:v>1.2150000000000001</c:v>
                </c:pt>
                <c:pt idx="18">
                  <c:v>0.59599999999999997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27A5-4B49-9A84-0F079EDF4F01}"/>
            </c:ext>
          </c:extLst>
        </c:ser>
        <c:ser>
          <c:idx val="50"/>
          <c:order val="50"/>
          <c:tx>
            <c:v>BES_TR2_six238_A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Charge_kW!$BA$2:$BA$49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0.123</c:v>
                </c:pt>
                <c:pt idx="10">
                  <c:v>0.245</c:v>
                </c:pt>
                <c:pt idx="11">
                  <c:v>0.61499999999999999</c:v>
                </c:pt>
                <c:pt idx="12">
                  <c:v>0.88300000000000001</c:v>
                </c:pt>
                <c:pt idx="13">
                  <c:v>0.98299999999999998</c:v>
                </c:pt>
                <c:pt idx="14">
                  <c:v>1.4239999999999999</c:v>
                </c:pt>
                <c:pt idx="15">
                  <c:v>1.569</c:v>
                </c:pt>
                <c:pt idx="16">
                  <c:v>0.14099999999999999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0.17799999999999999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7A5-4B49-9A84-0F079EDF4F01}"/>
            </c:ext>
          </c:extLst>
        </c:ser>
        <c:ser>
          <c:idx val="51"/>
          <c:order val="51"/>
          <c:tx>
            <c:v>BES_TR2_six249_B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Charge_kW!$BB$2:$BB$49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0.115</c:v>
                </c:pt>
                <c:pt idx="10">
                  <c:v>0.186</c:v>
                </c:pt>
                <c:pt idx="11">
                  <c:v>0.372</c:v>
                </c:pt>
                <c:pt idx="12">
                  <c:v>0.748</c:v>
                </c:pt>
                <c:pt idx="13">
                  <c:v>0.88</c:v>
                </c:pt>
                <c:pt idx="14">
                  <c:v>1.0429999999999999</c:v>
                </c:pt>
                <c:pt idx="15">
                  <c:v>1.4430000000000001</c:v>
                </c:pt>
                <c:pt idx="16">
                  <c:v>1.5389999999999999</c:v>
                </c:pt>
                <c:pt idx="17">
                  <c:v>0.308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27A5-4B49-9A84-0F079EDF4F01}"/>
            </c:ext>
          </c:extLst>
        </c:ser>
        <c:ser>
          <c:idx val="52"/>
          <c:order val="52"/>
          <c:tx>
            <c:v>BES_TR2_six254_B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Charge_kW!$BC$2:$BC$49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</c:v>
                </c:pt>
                <c:pt idx="10">
                  <c:v>0.41299999999999998</c:v>
                </c:pt>
                <c:pt idx="11">
                  <c:v>0.64600000000000002</c:v>
                </c:pt>
                <c:pt idx="12">
                  <c:v>0.89800000000000002</c:v>
                </c:pt>
                <c:pt idx="13">
                  <c:v>1.31</c:v>
                </c:pt>
                <c:pt idx="14">
                  <c:v>1.452</c:v>
                </c:pt>
                <c:pt idx="15">
                  <c:v>1.871</c:v>
                </c:pt>
                <c:pt idx="16">
                  <c:v>0.41299999999999998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7A5-4B49-9A84-0F079EDF4F01}"/>
            </c:ext>
          </c:extLst>
        </c:ser>
        <c:ser>
          <c:idx val="53"/>
          <c:order val="53"/>
          <c:tx>
            <c:v>BES_TR2_six269_C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Charge_kW!$BD$2:$BD$49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8.8999999999999996E-2</c:v>
                </c:pt>
                <c:pt idx="10">
                  <c:v>0.32800000000000001</c:v>
                </c:pt>
                <c:pt idx="11">
                  <c:v>0.40300000000000002</c:v>
                </c:pt>
                <c:pt idx="12">
                  <c:v>0.83100000000000007</c:v>
                </c:pt>
                <c:pt idx="13">
                  <c:v>1.1020000000000001</c:v>
                </c:pt>
                <c:pt idx="14">
                  <c:v>1.1910000000000001</c:v>
                </c:pt>
                <c:pt idx="15">
                  <c:v>1.673</c:v>
                </c:pt>
                <c:pt idx="16">
                  <c:v>1.2050000000000001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27A5-4B49-9A84-0F079EDF4F01}"/>
            </c:ext>
          </c:extLst>
        </c:ser>
        <c:ser>
          <c:idx val="54"/>
          <c:order val="54"/>
          <c:tx>
            <c:v>BES_TR2_six289_C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Charge_kW!$BE$2:$BE$49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0.13900000000000001</c:v>
                </c:pt>
                <c:pt idx="10">
                  <c:v>0.35699999999999998</c:v>
                </c:pt>
                <c:pt idx="11">
                  <c:v>0.441</c:v>
                </c:pt>
                <c:pt idx="12">
                  <c:v>0.87</c:v>
                </c:pt>
                <c:pt idx="13">
                  <c:v>1.0249999999999999</c:v>
                </c:pt>
                <c:pt idx="14">
                  <c:v>1.286</c:v>
                </c:pt>
                <c:pt idx="15">
                  <c:v>0.69</c:v>
                </c:pt>
                <c:pt idx="16">
                  <c:v>1.6279999999999999</c:v>
                </c:pt>
                <c:pt idx="17">
                  <c:v>0.75700000000000001</c:v>
                </c:pt>
                <c:pt idx="18">
                  <c:v>0.215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7A5-4B49-9A84-0F079EDF4F01}"/>
            </c:ext>
          </c:extLst>
        </c:ser>
        <c:ser>
          <c:idx val="55"/>
          <c:order val="55"/>
          <c:tx>
            <c:v>BES_TR2_six317_C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Charge_kW!$BF$2:$BF$49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0.185</c:v>
                </c:pt>
                <c:pt idx="10">
                  <c:v>0.41299999999999998</c:v>
                </c:pt>
                <c:pt idx="11">
                  <c:v>0.69399999999999995</c:v>
                </c:pt>
                <c:pt idx="12">
                  <c:v>1</c:v>
                </c:pt>
                <c:pt idx="13">
                  <c:v>1.31</c:v>
                </c:pt>
                <c:pt idx="14">
                  <c:v>1.611</c:v>
                </c:pt>
                <c:pt idx="15">
                  <c:v>0.52100000000000002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0.40500000000000003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27A5-4B49-9A84-0F079EDF4F01}"/>
            </c:ext>
          </c:extLst>
        </c:ser>
        <c:ser>
          <c:idx val="56"/>
          <c:order val="56"/>
          <c:tx>
            <c:v>BES_TR2_six326_A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Charge_kW!$BG$2:$BG$49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0.157</c:v>
                </c:pt>
                <c:pt idx="10">
                  <c:v>0.35699999999999998</c:v>
                </c:pt>
                <c:pt idx="11">
                  <c:v>0.51300000000000001</c:v>
                </c:pt>
                <c:pt idx="12">
                  <c:v>0.75600000000000001</c:v>
                </c:pt>
                <c:pt idx="13">
                  <c:v>1.141</c:v>
                </c:pt>
                <c:pt idx="14">
                  <c:v>1.3380000000000001</c:v>
                </c:pt>
                <c:pt idx="15">
                  <c:v>1.56</c:v>
                </c:pt>
                <c:pt idx="16">
                  <c:v>0.69700000000000006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7A5-4B49-9A84-0F079EDF4F01}"/>
            </c:ext>
          </c:extLst>
        </c:ser>
        <c:ser>
          <c:idx val="57"/>
          <c:order val="57"/>
          <c:tx>
            <c:v>BES_TR2_six329_A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Charge_kW!$BH$2:$BH$49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2.1000000000000001E-2</c:v>
                </c:pt>
                <c:pt idx="9">
                  <c:v>0.20399999999999999</c:v>
                </c:pt>
                <c:pt idx="10">
                  <c:v>0.432</c:v>
                </c:pt>
                <c:pt idx="11">
                  <c:v>0.71299999999999997</c:v>
                </c:pt>
                <c:pt idx="12">
                  <c:v>1.0189999999999999</c:v>
                </c:pt>
                <c:pt idx="13">
                  <c:v>1.329</c:v>
                </c:pt>
                <c:pt idx="14">
                  <c:v>1.637</c:v>
                </c:pt>
                <c:pt idx="15">
                  <c:v>0.21199999999999999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27A5-4B49-9A84-0F079EDF4F01}"/>
            </c:ext>
          </c:extLst>
        </c:ser>
        <c:ser>
          <c:idx val="58"/>
          <c:order val="58"/>
          <c:tx>
            <c:v>BES_TR2_six342_A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Charge_kW!$BI$2:$BI$49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9.7000000000000003E-2</c:v>
                </c:pt>
                <c:pt idx="10">
                  <c:v>8.7999999999999995E-2</c:v>
                </c:pt>
                <c:pt idx="11">
                  <c:v>0.41599999999999998</c:v>
                </c:pt>
                <c:pt idx="12">
                  <c:v>0.49</c:v>
                </c:pt>
                <c:pt idx="13">
                  <c:v>0.76600000000000001</c:v>
                </c:pt>
                <c:pt idx="14">
                  <c:v>0.91699999999999993</c:v>
                </c:pt>
                <c:pt idx="15">
                  <c:v>1.1100000000000001</c:v>
                </c:pt>
                <c:pt idx="16">
                  <c:v>1.367</c:v>
                </c:pt>
                <c:pt idx="17">
                  <c:v>1.5029999999999999</c:v>
                </c:pt>
                <c:pt idx="18">
                  <c:v>1.214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7A5-4B49-9A84-0F079EDF4F01}"/>
            </c:ext>
          </c:extLst>
        </c:ser>
        <c:ser>
          <c:idx val="59"/>
          <c:order val="59"/>
          <c:tx>
            <c:v>BES_TR2_six349_A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Charge_kW!$BJ$2:$BJ$49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8.8999999999999996E-2</c:v>
                </c:pt>
                <c:pt idx="11">
                  <c:v>0.33200000000000002</c:v>
                </c:pt>
                <c:pt idx="12">
                  <c:v>0.27800000000000002</c:v>
                </c:pt>
                <c:pt idx="13">
                  <c:v>0.58799999999999997</c:v>
                </c:pt>
                <c:pt idx="14">
                  <c:v>0.67400000000000004</c:v>
                </c:pt>
                <c:pt idx="15">
                  <c:v>0.80999999999999994</c:v>
                </c:pt>
                <c:pt idx="16">
                  <c:v>1.0620000000000001</c:v>
                </c:pt>
                <c:pt idx="17">
                  <c:v>1.081</c:v>
                </c:pt>
                <c:pt idx="18">
                  <c:v>1.2410000000000001</c:v>
                </c:pt>
                <c:pt idx="19">
                  <c:v>1.056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27A5-4B49-9A84-0F079EDF4F01}"/>
            </c:ext>
          </c:extLst>
        </c:ser>
        <c:ser>
          <c:idx val="60"/>
          <c:order val="60"/>
          <c:tx>
            <c:v>BES_TR2_six350_B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Charge_kW!$BK$2:$BK$49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</c:v>
                </c:pt>
                <c:pt idx="10">
                  <c:v>0.245</c:v>
                </c:pt>
                <c:pt idx="11">
                  <c:v>0.40300000000000002</c:v>
                </c:pt>
                <c:pt idx="12">
                  <c:v>0.748</c:v>
                </c:pt>
                <c:pt idx="13">
                  <c:v>0.98</c:v>
                </c:pt>
                <c:pt idx="14">
                  <c:v>1.0960000000000001</c:v>
                </c:pt>
                <c:pt idx="15">
                  <c:v>1.38</c:v>
                </c:pt>
                <c:pt idx="16">
                  <c:v>1.38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7A5-4B49-9A84-0F079EDF4F01}"/>
            </c:ext>
          </c:extLst>
        </c:ser>
        <c:ser>
          <c:idx val="61"/>
          <c:order val="61"/>
          <c:tx>
            <c:v>BES_TR2_six362_C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Charge_kW!$BL$2:$BL$49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0.04</c:v>
                </c:pt>
                <c:pt idx="10">
                  <c:v>0.126</c:v>
                </c:pt>
                <c:pt idx="11">
                  <c:v>0.23100000000000001</c:v>
                </c:pt>
                <c:pt idx="12">
                  <c:v>0.34599999999999997</c:v>
                </c:pt>
                <c:pt idx="13">
                  <c:v>0.46200000000000002</c:v>
                </c:pt>
                <c:pt idx="14">
                  <c:v>0.57799999999999996</c:v>
                </c:pt>
                <c:pt idx="15">
                  <c:v>0.68</c:v>
                </c:pt>
                <c:pt idx="16">
                  <c:v>0.79500000000000004</c:v>
                </c:pt>
                <c:pt idx="17">
                  <c:v>0.90399999999999991</c:v>
                </c:pt>
                <c:pt idx="18">
                  <c:v>0.99099999999999988</c:v>
                </c:pt>
                <c:pt idx="19">
                  <c:v>0.60599999999999998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27A5-4B49-9A84-0F079EDF4F01}"/>
            </c:ext>
          </c:extLst>
        </c:ser>
        <c:ser>
          <c:idx val="62"/>
          <c:order val="62"/>
          <c:tx>
            <c:v>BES_TR2_six365_C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Charge_kW!$BM$2:$BM$49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7.8E-2</c:v>
                </c:pt>
                <c:pt idx="10">
                  <c:v>0.38200000000000001</c:v>
                </c:pt>
                <c:pt idx="11">
                  <c:v>0.69399999999999995</c:v>
                </c:pt>
                <c:pt idx="12">
                  <c:v>0.91200000000000003</c:v>
                </c:pt>
                <c:pt idx="13">
                  <c:v>1.2589999999999999</c:v>
                </c:pt>
                <c:pt idx="14">
                  <c:v>1.4239999999999999</c:v>
                </c:pt>
                <c:pt idx="15">
                  <c:v>1.891</c:v>
                </c:pt>
                <c:pt idx="16">
                  <c:v>1.327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7A5-4B49-9A84-0F079EDF4F01}"/>
            </c:ext>
          </c:extLst>
        </c:ser>
        <c:ser>
          <c:idx val="63"/>
          <c:order val="63"/>
          <c:tx>
            <c:v>BES_TR2_six378_A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Charge_kW!$BN$2:$BN$49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0.14599999999999999</c:v>
                </c:pt>
                <c:pt idx="11">
                  <c:v>0.45200000000000001</c:v>
                </c:pt>
                <c:pt idx="12">
                  <c:v>0.42899999999999999</c:v>
                </c:pt>
                <c:pt idx="13">
                  <c:v>0.91799999999999993</c:v>
                </c:pt>
                <c:pt idx="14">
                  <c:v>1.1279999999999999</c:v>
                </c:pt>
                <c:pt idx="15">
                  <c:v>0.44600000000000001</c:v>
                </c:pt>
                <c:pt idx="16">
                  <c:v>1.57</c:v>
                </c:pt>
                <c:pt idx="17">
                  <c:v>1.6850000000000001</c:v>
                </c:pt>
                <c:pt idx="18">
                  <c:v>0.41599999999999998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1.2689999999999999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27A5-4B49-9A84-0F079EDF4F01}"/>
            </c:ext>
          </c:extLst>
        </c:ser>
        <c:ser>
          <c:idx val="64"/>
          <c:order val="64"/>
          <c:tx>
            <c:v>BES_TR2_six385_B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Charge_kW!$BO$2:$BO$49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9.8000000000000004E-2</c:v>
                </c:pt>
                <c:pt idx="10">
                  <c:v>0.14799999999999999</c:v>
                </c:pt>
                <c:pt idx="11">
                  <c:v>0.33900000000000002</c:v>
                </c:pt>
                <c:pt idx="12">
                  <c:v>0.60799999999999998</c:v>
                </c:pt>
                <c:pt idx="13">
                  <c:v>0.63100000000000001</c:v>
                </c:pt>
                <c:pt idx="14">
                  <c:v>0</c:v>
                </c:pt>
                <c:pt idx="15">
                  <c:v>0</c:v>
                </c:pt>
                <c:pt idx="16">
                  <c:v>1.0209999999999999</c:v>
                </c:pt>
                <c:pt idx="17">
                  <c:v>1.528</c:v>
                </c:pt>
                <c:pt idx="18">
                  <c:v>1.3959999999999999</c:v>
                </c:pt>
                <c:pt idx="19">
                  <c:v>1.7350000000000001</c:v>
                </c:pt>
                <c:pt idx="20">
                  <c:v>1.6439999999999999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7A5-4B49-9A84-0F079EDF4F01}"/>
            </c:ext>
          </c:extLst>
        </c:ser>
        <c:ser>
          <c:idx val="65"/>
          <c:order val="65"/>
          <c:tx>
            <c:v>BES_TR2_six387_A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Charge_kW!$BP$2:$BP$49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0.10199999999999999</c:v>
                </c:pt>
                <c:pt idx="10">
                  <c:v>0.40600000000000003</c:v>
                </c:pt>
                <c:pt idx="11">
                  <c:v>0.61199999999999999</c:v>
                </c:pt>
                <c:pt idx="12">
                  <c:v>0.99299999999999999</c:v>
                </c:pt>
                <c:pt idx="13">
                  <c:v>1.3029999999999999</c:v>
                </c:pt>
                <c:pt idx="14">
                  <c:v>1.2170000000000001</c:v>
                </c:pt>
                <c:pt idx="15">
                  <c:v>1.526</c:v>
                </c:pt>
                <c:pt idx="16">
                  <c:v>1.81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27A5-4B49-9A84-0F079EDF4F01}"/>
            </c:ext>
          </c:extLst>
        </c:ser>
        <c:ser>
          <c:idx val="66"/>
          <c:order val="66"/>
          <c:tx>
            <c:v>BES_TR2_six392_C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Charge_kW!$BQ$2:$BQ$49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0.154</c:v>
                </c:pt>
                <c:pt idx="10">
                  <c:v>3.3000000000000002E-2</c:v>
                </c:pt>
                <c:pt idx="11">
                  <c:v>0.58499999999999996</c:v>
                </c:pt>
                <c:pt idx="12">
                  <c:v>0.86199999999999999</c:v>
                </c:pt>
                <c:pt idx="13">
                  <c:v>1.038</c:v>
                </c:pt>
                <c:pt idx="14">
                  <c:v>1.3360000000000001</c:v>
                </c:pt>
                <c:pt idx="15">
                  <c:v>1.486</c:v>
                </c:pt>
                <c:pt idx="16">
                  <c:v>1.677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7A5-4B49-9A84-0F079EDF4F01}"/>
            </c:ext>
          </c:extLst>
        </c:ser>
        <c:ser>
          <c:idx val="67"/>
          <c:order val="67"/>
          <c:tx>
            <c:v>BES_TR2_six410_A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Charge_kW!$BR$2:$BR$49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0.19700000000000001</c:v>
                </c:pt>
                <c:pt idx="10">
                  <c:v>0.376</c:v>
                </c:pt>
                <c:pt idx="11">
                  <c:v>0.61499999999999999</c:v>
                </c:pt>
                <c:pt idx="12">
                  <c:v>1.0189999999999999</c:v>
                </c:pt>
                <c:pt idx="13">
                  <c:v>1.175</c:v>
                </c:pt>
                <c:pt idx="14">
                  <c:v>1.637</c:v>
                </c:pt>
                <c:pt idx="15">
                  <c:v>1.9179999999999999</c:v>
                </c:pt>
                <c:pt idx="16">
                  <c:v>1.0329999999999999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27A5-4B49-9A84-0F079EDF4F01}"/>
            </c:ext>
          </c:extLst>
        </c:ser>
        <c:ser>
          <c:idx val="68"/>
          <c:order val="68"/>
          <c:tx>
            <c:v>BES_TR2_six431_C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Charge_kW!$BS$2:$BS$49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9.7000000000000003E-2</c:v>
                </c:pt>
                <c:pt idx="10">
                  <c:v>0.40899999999999997</c:v>
                </c:pt>
                <c:pt idx="11">
                  <c:v>0.69</c:v>
                </c:pt>
                <c:pt idx="12">
                  <c:v>0.84199999999999997</c:v>
                </c:pt>
                <c:pt idx="13">
                  <c:v>0</c:v>
                </c:pt>
                <c:pt idx="14">
                  <c:v>0.90399999999999991</c:v>
                </c:pt>
                <c:pt idx="15">
                  <c:v>1.333</c:v>
                </c:pt>
                <c:pt idx="16">
                  <c:v>1.8280000000000001</c:v>
                </c:pt>
                <c:pt idx="17">
                  <c:v>0.309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7A5-4B49-9A84-0F079EDF4F01}"/>
            </c:ext>
          </c:extLst>
        </c:ser>
        <c:ser>
          <c:idx val="69"/>
          <c:order val="69"/>
          <c:tx>
            <c:v>BES_TR2_six484_B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Charge_kW!$BT$2:$BT$49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0.107</c:v>
                </c:pt>
                <c:pt idx="10">
                  <c:v>0.25</c:v>
                </c:pt>
                <c:pt idx="11">
                  <c:v>0.32500000000000001</c:v>
                </c:pt>
                <c:pt idx="12">
                  <c:v>0.61699999999999999</c:v>
                </c:pt>
                <c:pt idx="13">
                  <c:v>0.81099999999999994</c:v>
                </c:pt>
                <c:pt idx="14">
                  <c:v>0.90300000000000002</c:v>
                </c:pt>
                <c:pt idx="15">
                  <c:v>1.196</c:v>
                </c:pt>
                <c:pt idx="16">
                  <c:v>0.76</c:v>
                </c:pt>
                <c:pt idx="17">
                  <c:v>0.109</c:v>
                </c:pt>
                <c:pt idx="18">
                  <c:v>0.91299999999999992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1.2889999999999999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27A5-4B49-9A84-0F079EDF4F01}"/>
            </c:ext>
          </c:extLst>
        </c:ser>
        <c:ser>
          <c:idx val="70"/>
          <c:order val="70"/>
          <c:tx>
            <c:v>BES_TR2_six512_B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Charge_kW!$BU$2:$BU$49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0.193</c:v>
                </c:pt>
                <c:pt idx="10">
                  <c:v>0.42099999999999999</c:v>
                </c:pt>
                <c:pt idx="11">
                  <c:v>0.68700000000000006</c:v>
                </c:pt>
                <c:pt idx="12">
                  <c:v>0.85799999999999998</c:v>
                </c:pt>
                <c:pt idx="13">
                  <c:v>1.2649999999999999</c:v>
                </c:pt>
                <c:pt idx="14">
                  <c:v>1.5840000000000001</c:v>
                </c:pt>
                <c:pt idx="15">
                  <c:v>1.784</c:v>
                </c:pt>
                <c:pt idx="16">
                  <c:v>0.46800000000000003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7A5-4B49-9A84-0F079EDF4F01}"/>
            </c:ext>
          </c:extLst>
        </c:ser>
        <c:ser>
          <c:idx val="71"/>
          <c:order val="71"/>
          <c:tx>
            <c:v>BES_TR2_six518_B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Charge_kW!$BV$2:$BV$49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6.2E-2</c:v>
                </c:pt>
                <c:pt idx="10">
                  <c:v>0.156</c:v>
                </c:pt>
                <c:pt idx="11">
                  <c:v>0.186</c:v>
                </c:pt>
                <c:pt idx="12">
                  <c:v>0.47</c:v>
                </c:pt>
                <c:pt idx="13">
                  <c:v>0.48699999999999999</c:v>
                </c:pt>
                <c:pt idx="14">
                  <c:v>0.7649999999999999</c:v>
                </c:pt>
                <c:pt idx="15">
                  <c:v>0.93300000000000005</c:v>
                </c:pt>
                <c:pt idx="16">
                  <c:v>1.0780000000000001</c:v>
                </c:pt>
                <c:pt idx="17">
                  <c:v>1.125</c:v>
                </c:pt>
                <c:pt idx="18">
                  <c:v>0</c:v>
                </c:pt>
                <c:pt idx="19">
                  <c:v>0.83500000000000008</c:v>
                </c:pt>
                <c:pt idx="20">
                  <c:v>0.97900000000000009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27A5-4B49-9A84-0F079EDF4F01}"/>
            </c:ext>
          </c:extLst>
        </c:ser>
        <c:ser>
          <c:idx val="72"/>
          <c:order val="72"/>
          <c:tx>
            <c:v>BES_TR2_six523_C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Charge_kW!$BW$2:$BW$49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6.8000000000000005E-2</c:v>
                </c:pt>
                <c:pt idx="10">
                  <c:v>0</c:v>
                </c:pt>
                <c:pt idx="11">
                  <c:v>1.0999999999999999E-2</c:v>
                </c:pt>
                <c:pt idx="12">
                  <c:v>0.308</c:v>
                </c:pt>
                <c:pt idx="13">
                  <c:v>0</c:v>
                </c:pt>
                <c:pt idx="14">
                  <c:v>0.54</c:v>
                </c:pt>
                <c:pt idx="15">
                  <c:v>0</c:v>
                </c:pt>
                <c:pt idx="16">
                  <c:v>0.58699999999999997</c:v>
                </c:pt>
                <c:pt idx="17">
                  <c:v>0.94099999999999995</c:v>
                </c:pt>
                <c:pt idx="18">
                  <c:v>0.80800000000000005</c:v>
                </c:pt>
                <c:pt idx="19">
                  <c:v>0.94499999999999995</c:v>
                </c:pt>
                <c:pt idx="20">
                  <c:v>1.32</c:v>
                </c:pt>
                <c:pt idx="21">
                  <c:v>0.57600000000000007</c:v>
                </c:pt>
                <c:pt idx="22">
                  <c:v>1.635</c:v>
                </c:pt>
                <c:pt idx="23">
                  <c:v>0.64600000000000002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0.114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7A5-4B49-9A84-0F079EDF4F01}"/>
            </c:ext>
          </c:extLst>
        </c:ser>
        <c:ser>
          <c:idx val="73"/>
          <c:order val="73"/>
          <c:tx>
            <c:v>BES_TR2_six571_C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Charge_kW!$BX$2:$BX$49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1.4999999999999999E-2</c:v>
                </c:pt>
                <c:pt idx="10">
                  <c:v>0.107</c:v>
                </c:pt>
                <c:pt idx="11">
                  <c:v>0.39500000000000002</c:v>
                </c:pt>
                <c:pt idx="12">
                  <c:v>0.50800000000000001</c:v>
                </c:pt>
                <c:pt idx="13">
                  <c:v>0.83</c:v>
                </c:pt>
                <c:pt idx="14">
                  <c:v>0.9890000000000001</c:v>
                </c:pt>
                <c:pt idx="15">
                  <c:v>1.319</c:v>
                </c:pt>
                <c:pt idx="16">
                  <c:v>1.5349999999999999</c:v>
                </c:pt>
                <c:pt idx="17">
                  <c:v>1.613</c:v>
                </c:pt>
                <c:pt idx="18">
                  <c:v>0.14000000000000001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6.4999999999999988E-2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27A5-4B49-9A84-0F079EDF4F01}"/>
            </c:ext>
          </c:extLst>
        </c:ser>
        <c:ser>
          <c:idx val="74"/>
          <c:order val="74"/>
          <c:tx>
            <c:v>BES_TR2_six583_A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Charge_kW!$BY$2:$BY$49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8.5000000000000006E-2</c:v>
                </c:pt>
                <c:pt idx="10">
                  <c:v>0.30499999999999999</c:v>
                </c:pt>
                <c:pt idx="11">
                  <c:v>0.51700000000000002</c:v>
                </c:pt>
                <c:pt idx="12">
                  <c:v>0.80699999999999994</c:v>
                </c:pt>
                <c:pt idx="13">
                  <c:v>1.1339999999999999</c:v>
                </c:pt>
                <c:pt idx="14">
                  <c:v>1.3149999999999999</c:v>
                </c:pt>
                <c:pt idx="15">
                  <c:v>1.6739999999999999</c:v>
                </c:pt>
                <c:pt idx="16">
                  <c:v>0.43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7A5-4B49-9A84-0F079EDF4F01}"/>
            </c:ext>
          </c:extLst>
        </c:ser>
        <c:ser>
          <c:idx val="75"/>
          <c:order val="75"/>
          <c:tx>
            <c:v>BES_TR2_six625_A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Charge_kW!$BZ$2:$BZ$49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0.13500000000000001</c:v>
                </c:pt>
                <c:pt idx="11">
                  <c:v>0.41</c:v>
                </c:pt>
                <c:pt idx="12">
                  <c:v>0.60799999999999998</c:v>
                </c:pt>
                <c:pt idx="13">
                  <c:v>0.86399999999999999</c:v>
                </c:pt>
                <c:pt idx="14">
                  <c:v>1.1910000000000001</c:v>
                </c:pt>
                <c:pt idx="15">
                  <c:v>1.1180000000000001</c:v>
                </c:pt>
                <c:pt idx="16">
                  <c:v>0</c:v>
                </c:pt>
                <c:pt idx="17">
                  <c:v>1.5660000000000001</c:v>
                </c:pt>
                <c:pt idx="18">
                  <c:v>1.827</c:v>
                </c:pt>
                <c:pt idx="19">
                  <c:v>0.48699999999999999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27A5-4B49-9A84-0F079EDF4F01}"/>
            </c:ext>
          </c:extLst>
        </c:ser>
        <c:ser>
          <c:idx val="76"/>
          <c:order val="76"/>
          <c:tx>
            <c:v>BES_TR2_six646_B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Charge_kW!$CA$2:$CA$49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0.158</c:v>
                </c:pt>
                <c:pt idx="10">
                  <c:v>0.247</c:v>
                </c:pt>
                <c:pt idx="11">
                  <c:v>0.4</c:v>
                </c:pt>
                <c:pt idx="12">
                  <c:v>0.871</c:v>
                </c:pt>
                <c:pt idx="13">
                  <c:v>0.93899999999999995</c:v>
                </c:pt>
                <c:pt idx="14">
                  <c:v>1.3009999999999999</c:v>
                </c:pt>
                <c:pt idx="15">
                  <c:v>1.5780000000000001</c:v>
                </c:pt>
                <c:pt idx="16">
                  <c:v>1.321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0.124</c:v>
                </c:pt>
                <c:pt idx="38">
                  <c:v>0.23899999999999999</c:v>
                </c:pt>
                <c:pt idx="39">
                  <c:v>4.8000000000000001E-2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7A5-4B49-9A84-0F079EDF4F01}"/>
            </c:ext>
          </c:extLst>
        </c:ser>
        <c:ser>
          <c:idx val="77"/>
          <c:order val="77"/>
          <c:tx>
            <c:v>BES_TR2_six87_A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Charge_kW!$CB$2:$CB$49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5.0000000000000001E-3</c:v>
                </c:pt>
                <c:pt idx="11">
                  <c:v>0.40400000000000003</c:v>
                </c:pt>
                <c:pt idx="12">
                  <c:v>0.30299999999999999</c:v>
                </c:pt>
                <c:pt idx="13">
                  <c:v>0.68099999999999994</c:v>
                </c:pt>
                <c:pt idx="14">
                  <c:v>0.77200000000000002</c:v>
                </c:pt>
                <c:pt idx="15">
                  <c:v>0</c:v>
                </c:pt>
                <c:pt idx="16">
                  <c:v>0.95499999999999996</c:v>
                </c:pt>
                <c:pt idx="17">
                  <c:v>1.2290000000000001</c:v>
                </c:pt>
                <c:pt idx="18">
                  <c:v>1.595</c:v>
                </c:pt>
                <c:pt idx="19">
                  <c:v>1.5469999999999999</c:v>
                </c:pt>
                <c:pt idx="20">
                  <c:v>1.5029999999999999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0.98499999999999999</c:v>
                </c:pt>
                <c:pt idx="34">
                  <c:v>0.16300000000000001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27A5-4B49-9A84-0F079EDF4F01}"/>
            </c:ext>
          </c:extLst>
        </c:ser>
        <c:ser>
          <c:idx val="78"/>
          <c:order val="78"/>
          <c:tx>
            <c:v>BES_TR2_six652_A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Charge_kW!$CC$2:$CC$49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0.111</c:v>
                </c:pt>
                <c:pt idx="10">
                  <c:v>0.19900000000000001</c:v>
                </c:pt>
                <c:pt idx="11">
                  <c:v>0.59699999999999998</c:v>
                </c:pt>
                <c:pt idx="12">
                  <c:v>0.99</c:v>
                </c:pt>
                <c:pt idx="13">
                  <c:v>1.2250000000000001</c:v>
                </c:pt>
                <c:pt idx="14">
                  <c:v>1.3839999999999999</c:v>
                </c:pt>
                <c:pt idx="15">
                  <c:v>1.7430000000000001</c:v>
                </c:pt>
                <c:pt idx="16">
                  <c:v>0.98199999999999998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7A5-4B49-9A84-0F079EDF4F01}"/>
            </c:ext>
          </c:extLst>
        </c:ser>
        <c:ser>
          <c:idx val="79"/>
          <c:order val="79"/>
          <c:tx>
            <c:v>BES_TR2_six665_B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Charge_kW!$CD$2:$CD$49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0.106</c:v>
                </c:pt>
                <c:pt idx="10">
                  <c:v>0.40799999999999997</c:v>
                </c:pt>
                <c:pt idx="11">
                  <c:v>0.61499999999999999</c:v>
                </c:pt>
                <c:pt idx="12">
                  <c:v>0.995</c:v>
                </c:pt>
                <c:pt idx="13">
                  <c:v>1.2310000000000001</c:v>
                </c:pt>
                <c:pt idx="14">
                  <c:v>1.613</c:v>
                </c:pt>
                <c:pt idx="15">
                  <c:v>1.0609999999999999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6.9999999999999993E-2</c:v>
                </c:pt>
                <c:pt idx="23">
                  <c:v>0.35799999999999998</c:v>
                </c:pt>
                <c:pt idx="24">
                  <c:v>0</c:v>
                </c:pt>
                <c:pt idx="25">
                  <c:v>0.372</c:v>
                </c:pt>
                <c:pt idx="26">
                  <c:v>0</c:v>
                </c:pt>
                <c:pt idx="27">
                  <c:v>0.126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27A5-4B49-9A84-0F079EDF4F01}"/>
            </c:ext>
          </c:extLst>
        </c:ser>
        <c:ser>
          <c:idx val="80"/>
          <c:order val="80"/>
          <c:tx>
            <c:v>BES_TR2_six667_A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Charge_kW!$CE$2:$CE$49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0.20699999999999999</c:v>
                </c:pt>
                <c:pt idx="11">
                  <c:v>0.40799999999999997</c:v>
                </c:pt>
                <c:pt idx="12">
                  <c:v>0.37</c:v>
                </c:pt>
                <c:pt idx="13">
                  <c:v>0.66500000000000004</c:v>
                </c:pt>
                <c:pt idx="14">
                  <c:v>0.749</c:v>
                </c:pt>
                <c:pt idx="15">
                  <c:v>1.1779999999999999</c:v>
                </c:pt>
                <c:pt idx="16">
                  <c:v>1.012</c:v>
                </c:pt>
                <c:pt idx="17">
                  <c:v>1.0980000000000001</c:v>
                </c:pt>
                <c:pt idx="18">
                  <c:v>0.84199999999999997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7A5-4B49-9A84-0F079EDF4F01}"/>
            </c:ext>
          </c:extLst>
        </c:ser>
        <c:ser>
          <c:idx val="81"/>
          <c:order val="81"/>
          <c:tx>
            <c:v>BES_TR2_six721_A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Charge_kW!$CF$2:$CF$49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8.7999999999999995E-2</c:v>
                </c:pt>
                <c:pt idx="11">
                  <c:v>0.17799999999999999</c:v>
                </c:pt>
                <c:pt idx="12">
                  <c:v>0.35599999999999998</c:v>
                </c:pt>
                <c:pt idx="13">
                  <c:v>0.63200000000000001</c:v>
                </c:pt>
                <c:pt idx="14">
                  <c:v>0.748</c:v>
                </c:pt>
                <c:pt idx="15">
                  <c:v>0.69899999999999995</c:v>
                </c:pt>
                <c:pt idx="16">
                  <c:v>0.90900000000000003</c:v>
                </c:pt>
                <c:pt idx="17">
                  <c:v>1.056</c:v>
                </c:pt>
                <c:pt idx="18">
                  <c:v>1.2230000000000001</c:v>
                </c:pt>
                <c:pt idx="19">
                  <c:v>1.341</c:v>
                </c:pt>
                <c:pt idx="20">
                  <c:v>0.17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27A5-4B49-9A84-0F079EDF4F01}"/>
            </c:ext>
          </c:extLst>
        </c:ser>
        <c:ser>
          <c:idx val="82"/>
          <c:order val="82"/>
          <c:tx>
            <c:v>BES_TR2_six740_A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Charge_kW!$CG$2:$CG$49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0.17199999999999999</c:v>
                </c:pt>
                <c:pt idx="10">
                  <c:v>0.314</c:v>
                </c:pt>
                <c:pt idx="11">
                  <c:v>0.51</c:v>
                </c:pt>
                <c:pt idx="12">
                  <c:v>0.84599999999999997</c:v>
                </c:pt>
                <c:pt idx="13">
                  <c:v>1.1559999999999999</c:v>
                </c:pt>
                <c:pt idx="14">
                  <c:v>1.274</c:v>
                </c:pt>
                <c:pt idx="15">
                  <c:v>1.633</c:v>
                </c:pt>
                <c:pt idx="16">
                  <c:v>0.441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7A5-4B49-9A84-0F079EDF4F01}"/>
            </c:ext>
          </c:extLst>
        </c:ser>
        <c:ser>
          <c:idx val="83"/>
          <c:order val="83"/>
          <c:tx>
            <c:v>BES_TR2_six758_B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Charge_kW!$CH$2:$CH$49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0.20699999999999999</c:v>
                </c:pt>
                <c:pt idx="11">
                  <c:v>0.40600000000000003</c:v>
                </c:pt>
                <c:pt idx="12">
                  <c:v>0.44</c:v>
                </c:pt>
                <c:pt idx="13">
                  <c:v>0.79900000000000004</c:v>
                </c:pt>
                <c:pt idx="14">
                  <c:v>0.92100000000000004</c:v>
                </c:pt>
                <c:pt idx="15">
                  <c:v>1.0820000000000001</c:v>
                </c:pt>
                <c:pt idx="16">
                  <c:v>1.365</c:v>
                </c:pt>
                <c:pt idx="17">
                  <c:v>1.181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1.4E-2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27A5-4B49-9A84-0F079EDF4F01}"/>
            </c:ext>
          </c:extLst>
        </c:ser>
        <c:ser>
          <c:idx val="84"/>
          <c:order val="84"/>
          <c:tx>
            <c:v>BES_TR2_six784_B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Charge_kW!$CI$2:$CI$49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6.7000000000000004E-2</c:v>
                </c:pt>
                <c:pt idx="10">
                  <c:v>0.182</c:v>
                </c:pt>
                <c:pt idx="11">
                  <c:v>0.30599999999999999</c:v>
                </c:pt>
                <c:pt idx="12">
                  <c:v>0.45700000000000002</c:v>
                </c:pt>
                <c:pt idx="13">
                  <c:v>0.61199999999999999</c:v>
                </c:pt>
                <c:pt idx="14">
                  <c:v>0.55800000000000005</c:v>
                </c:pt>
                <c:pt idx="15">
                  <c:v>0.92</c:v>
                </c:pt>
                <c:pt idx="16">
                  <c:v>0.96799999999999997</c:v>
                </c:pt>
                <c:pt idx="17">
                  <c:v>1.2010000000000001</c:v>
                </c:pt>
                <c:pt idx="18">
                  <c:v>0.502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0.23899999999999999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7A5-4B49-9A84-0F079EDF4F01}"/>
            </c:ext>
          </c:extLst>
        </c:ser>
        <c:ser>
          <c:idx val="85"/>
          <c:order val="85"/>
          <c:tx>
            <c:v>BES_TR2_six799_B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Charge_kW!$CJ$2:$CJ$49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3.5000000000000003E-2</c:v>
                </c:pt>
                <c:pt idx="10">
                  <c:v>0.17899999999999999</c:v>
                </c:pt>
                <c:pt idx="11">
                  <c:v>6.9999999999999993E-2</c:v>
                </c:pt>
                <c:pt idx="12">
                  <c:v>0.47199999999999998</c:v>
                </c:pt>
                <c:pt idx="13">
                  <c:v>0.47599999999999998</c:v>
                </c:pt>
                <c:pt idx="14">
                  <c:v>0.44700000000000001</c:v>
                </c:pt>
                <c:pt idx="15">
                  <c:v>0.93499999999999994</c:v>
                </c:pt>
                <c:pt idx="16">
                  <c:v>0.92800000000000005</c:v>
                </c:pt>
                <c:pt idx="17">
                  <c:v>0.13</c:v>
                </c:pt>
                <c:pt idx="18">
                  <c:v>1.296</c:v>
                </c:pt>
                <c:pt idx="19">
                  <c:v>0.252</c:v>
                </c:pt>
                <c:pt idx="20">
                  <c:v>0.32800000000000001</c:v>
                </c:pt>
                <c:pt idx="21">
                  <c:v>1.2490000000000001</c:v>
                </c:pt>
                <c:pt idx="22">
                  <c:v>1.171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27A5-4B49-9A84-0F079EDF4F01}"/>
            </c:ext>
          </c:extLst>
        </c:ser>
        <c:ser>
          <c:idx val="86"/>
          <c:order val="86"/>
          <c:tx>
            <c:v>BES_TR2_six807_A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Charge_kW!$CK$2:$CK$49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9.8000000000000004E-2</c:v>
                </c:pt>
                <c:pt idx="10">
                  <c:v>0.35599999999999998</c:v>
                </c:pt>
                <c:pt idx="11">
                  <c:v>0.51200000000000001</c:v>
                </c:pt>
                <c:pt idx="12">
                  <c:v>0.80699999999999994</c:v>
                </c:pt>
                <c:pt idx="13">
                  <c:v>1.113</c:v>
                </c:pt>
                <c:pt idx="14">
                  <c:v>1.2350000000000001</c:v>
                </c:pt>
                <c:pt idx="15">
                  <c:v>1.665</c:v>
                </c:pt>
                <c:pt idx="16">
                  <c:v>1.7589999999999999</c:v>
                </c:pt>
                <c:pt idx="17">
                  <c:v>0.22500000000000001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0.71599999999999997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7A5-4B49-9A84-0F079EDF4F01}"/>
            </c:ext>
          </c:extLst>
        </c:ser>
        <c:ser>
          <c:idx val="87"/>
          <c:order val="87"/>
          <c:tx>
            <c:v>BES_TR2_six885_A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Charge_kW!$CL$2:$CL$49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0.113</c:v>
                </c:pt>
                <c:pt idx="10">
                  <c:v>0.19400000000000001</c:v>
                </c:pt>
                <c:pt idx="11">
                  <c:v>0.41599999999999998</c:v>
                </c:pt>
                <c:pt idx="12">
                  <c:v>0.77100000000000002</c:v>
                </c:pt>
                <c:pt idx="13">
                  <c:v>0.94200000000000006</c:v>
                </c:pt>
                <c:pt idx="14">
                  <c:v>1.34</c:v>
                </c:pt>
                <c:pt idx="15">
                  <c:v>1.6140000000000001</c:v>
                </c:pt>
                <c:pt idx="16">
                  <c:v>1.304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27A5-4B49-9A84-0F079EDF4F01}"/>
            </c:ext>
          </c:extLst>
        </c:ser>
        <c:ser>
          <c:idx val="88"/>
          <c:order val="88"/>
          <c:tx>
            <c:v>BES_TR2_six894_B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Charge_kW!$CM$2:$CM$49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3.9E-2</c:v>
                </c:pt>
                <c:pt idx="10">
                  <c:v>4.7E-2</c:v>
                </c:pt>
                <c:pt idx="11">
                  <c:v>0.23</c:v>
                </c:pt>
                <c:pt idx="12">
                  <c:v>0.33200000000000002</c:v>
                </c:pt>
                <c:pt idx="13">
                  <c:v>0.39600000000000002</c:v>
                </c:pt>
                <c:pt idx="14">
                  <c:v>0.53799999999999992</c:v>
                </c:pt>
                <c:pt idx="15">
                  <c:v>0.65399999999999991</c:v>
                </c:pt>
                <c:pt idx="16">
                  <c:v>0.79199999999999993</c:v>
                </c:pt>
                <c:pt idx="17">
                  <c:v>0.83399999999999996</c:v>
                </c:pt>
                <c:pt idx="18">
                  <c:v>0.99</c:v>
                </c:pt>
                <c:pt idx="19">
                  <c:v>1.0640000000000001</c:v>
                </c:pt>
                <c:pt idx="20">
                  <c:v>0.21299999999999999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7A5-4B49-9A84-0F079EDF4F01}"/>
            </c:ext>
          </c:extLst>
        </c:ser>
        <c:ser>
          <c:idx val="89"/>
          <c:order val="89"/>
          <c:tx>
            <c:v>BES_TR2_six914_A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Charge_kW!$CN$2:$CN$49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8.6999999999999994E-2</c:v>
                </c:pt>
                <c:pt idx="11">
                  <c:v>0.23400000000000001</c:v>
                </c:pt>
                <c:pt idx="12">
                  <c:v>0.20200000000000001</c:v>
                </c:pt>
                <c:pt idx="13">
                  <c:v>0.45800000000000002</c:v>
                </c:pt>
                <c:pt idx="14">
                  <c:v>0.185</c:v>
                </c:pt>
                <c:pt idx="15">
                  <c:v>0.64800000000000002</c:v>
                </c:pt>
                <c:pt idx="16">
                  <c:v>0.65100000000000002</c:v>
                </c:pt>
                <c:pt idx="17">
                  <c:v>0.90700000000000003</c:v>
                </c:pt>
                <c:pt idx="18">
                  <c:v>0.93300000000000005</c:v>
                </c:pt>
                <c:pt idx="19">
                  <c:v>0.81400000000000006</c:v>
                </c:pt>
                <c:pt idx="20">
                  <c:v>1.0309999999999999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0.214</c:v>
                </c:pt>
                <c:pt idx="37">
                  <c:v>6.7000000000000004E-2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27A5-4B49-9A84-0F079EDF4F01}"/>
            </c:ext>
          </c:extLst>
        </c:ser>
        <c:ser>
          <c:idx val="90"/>
          <c:order val="90"/>
          <c:tx>
            <c:v>BES_TR2_six921_B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Charge_kW!$CO$2:$CO$49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0.154</c:v>
                </c:pt>
                <c:pt idx="10">
                  <c:v>0.35399999999999998</c:v>
                </c:pt>
                <c:pt idx="11">
                  <c:v>0.59899999999999998</c:v>
                </c:pt>
                <c:pt idx="12">
                  <c:v>0.86699999999999999</c:v>
                </c:pt>
                <c:pt idx="13">
                  <c:v>1.1379999999999999</c:v>
                </c:pt>
                <c:pt idx="14">
                  <c:v>1.3540000000000001</c:v>
                </c:pt>
                <c:pt idx="15">
                  <c:v>1.6240000000000001</c:v>
                </c:pt>
                <c:pt idx="16">
                  <c:v>0.14899999999999999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7A5-4B49-9A84-0F079EDF4F01}"/>
            </c:ext>
          </c:extLst>
        </c:ser>
        <c:ser>
          <c:idx val="91"/>
          <c:order val="91"/>
          <c:tx>
            <c:v>BES_TR2_six929_A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Charge_kW!$CP$2:$CP$49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0.24099999999999999</c:v>
                </c:pt>
                <c:pt idx="12">
                  <c:v>0.19400000000000001</c:v>
                </c:pt>
                <c:pt idx="13">
                  <c:v>0.39500000000000002</c:v>
                </c:pt>
                <c:pt idx="14">
                  <c:v>0.58799999999999997</c:v>
                </c:pt>
                <c:pt idx="15">
                  <c:v>0.14299999999999999</c:v>
                </c:pt>
                <c:pt idx="16">
                  <c:v>0.754</c:v>
                </c:pt>
                <c:pt idx="17">
                  <c:v>0.81400000000000006</c:v>
                </c:pt>
                <c:pt idx="18">
                  <c:v>0.875</c:v>
                </c:pt>
                <c:pt idx="19">
                  <c:v>0</c:v>
                </c:pt>
                <c:pt idx="20">
                  <c:v>0.99599999999999989</c:v>
                </c:pt>
                <c:pt idx="21">
                  <c:v>0.76400000000000001</c:v>
                </c:pt>
                <c:pt idx="22">
                  <c:v>0.96699999999999997</c:v>
                </c:pt>
                <c:pt idx="23">
                  <c:v>0.125</c:v>
                </c:pt>
                <c:pt idx="24">
                  <c:v>0</c:v>
                </c:pt>
                <c:pt idx="25">
                  <c:v>0</c:v>
                </c:pt>
                <c:pt idx="26">
                  <c:v>0.93700000000000006</c:v>
                </c:pt>
                <c:pt idx="27">
                  <c:v>0.98799999999999999</c:v>
                </c:pt>
                <c:pt idx="28">
                  <c:v>0.81899999999999995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0.107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27A5-4B49-9A84-0F079EDF4F01}"/>
            </c:ext>
          </c:extLst>
        </c:ser>
        <c:ser>
          <c:idx val="92"/>
          <c:order val="92"/>
          <c:tx>
            <c:v>BES_TR2_six938_A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Charge_kW!$CQ$2:$CQ$49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0.182</c:v>
                </c:pt>
                <c:pt idx="10">
                  <c:v>0.22900000000000001</c:v>
                </c:pt>
                <c:pt idx="11">
                  <c:v>0.69099999999999995</c:v>
                </c:pt>
                <c:pt idx="12">
                  <c:v>0.99700000000000011</c:v>
                </c:pt>
                <c:pt idx="13">
                  <c:v>1.1830000000000001</c:v>
                </c:pt>
                <c:pt idx="14">
                  <c:v>1.5569999999999999</c:v>
                </c:pt>
                <c:pt idx="15">
                  <c:v>1.4950000000000001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0.33800000000000002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7A5-4B49-9A84-0F079EDF4F01}"/>
            </c:ext>
          </c:extLst>
        </c:ser>
        <c:ser>
          <c:idx val="93"/>
          <c:order val="93"/>
          <c:tx>
            <c:v>BES_TR2_six990_B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Charge_kW!$CR$2:$CR$49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0.113</c:v>
                </c:pt>
                <c:pt idx="10">
                  <c:v>0.27200000000000002</c:v>
                </c:pt>
                <c:pt idx="11">
                  <c:v>0.26700000000000002</c:v>
                </c:pt>
                <c:pt idx="12">
                  <c:v>0.72400000000000009</c:v>
                </c:pt>
                <c:pt idx="13">
                  <c:v>0.88099999999999989</c:v>
                </c:pt>
                <c:pt idx="14">
                  <c:v>1.1200000000000001</c:v>
                </c:pt>
                <c:pt idx="15">
                  <c:v>1.3220000000000001</c:v>
                </c:pt>
                <c:pt idx="16">
                  <c:v>1.5</c:v>
                </c:pt>
                <c:pt idx="17">
                  <c:v>0.60099999999999998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27A5-4B49-9A84-0F079EDF4F01}"/>
            </c:ext>
          </c:extLst>
        </c:ser>
        <c:ser>
          <c:idx val="94"/>
          <c:order val="94"/>
          <c:tx>
            <c:v>BES_TR2_six1020_A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Charge_kW!$CS$2:$CS$49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9.4E-2</c:v>
                </c:pt>
                <c:pt idx="11">
                  <c:v>0.222</c:v>
                </c:pt>
                <c:pt idx="12">
                  <c:v>0.378</c:v>
                </c:pt>
                <c:pt idx="13">
                  <c:v>0.63600000000000001</c:v>
                </c:pt>
                <c:pt idx="14">
                  <c:v>0.68300000000000005</c:v>
                </c:pt>
                <c:pt idx="15">
                  <c:v>0.75600000000000001</c:v>
                </c:pt>
                <c:pt idx="16">
                  <c:v>1.0289999999999999</c:v>
                </c:pt>
                <c:pt idx="17">
                  <c:v>1.0489999999999999</c:v>
                </c:pt>
                <c:pt idx="18">
                  <c:v>1.282</c:v>
                </c:pt>
                <c:pt idx="19">
                  <c:v>1.3520000000000001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0.28299999999999997</c:v>
                </c:pt>
                <c:pt idx="28">
                  <c:v>0</c:v>
                </c:pt>
                <c:pt idx="29">
                  <c:v>0</c:v>
                </c:pt>
                <c:pt idx="30">
                  <c:v>0.38300000000000001</c:v>
                </c:pt>
                <c:pt idx="31">
                  <c:v>1.0149999999999999</c:v>
                </c:pt>
                <c:pt idx="32">
                  <c:v>0.66200000000000003</c:v>
                </c:pt>
                <c:pt idx="33">
                  <c:v>0.31900000000000001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7A5-4B49-9A84-0F079EDF4F01}"/>
            </c:ext>
          </c:extLst>
        </c:ser>
        <c:ser>
          <c:idx val="95"/>
          <c:order val="95"/>
          <c:tx>
            <c:v>fleet average</c:v>
          </c:tx>
          <c:spPr>
            <a:ln w="28575">
              <a:solidFill>
                <a:srgbClr val="19A974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5.3684210526315794E-4</c:v>
                </c:pt>
                <c:pt idx="9">
                  <c:v>8.6557894736842111E-2</c:v>
                </c:pt>
                <c:pt idx="10">
                  <c:v>0.24218947368421051</c:v>
                </c:pt>
                <c:pt idx="11">
                  <c:v>0.45467368421052634</c:v>
                </c:pt>
                <c:pt idx="12">
                  <c:v>0.68843157894736839</c:v>
                </c:pt>
                <c:pt idx="13">
                  <c:v>0.9173684210526315</c:v>
                </c:pt>
                <c:pt idx="14">
                  <c:v>1.1195157894736849</c:v>
                </c:pt>
                <c:pt idx="15">
                  <c:v>1.1933157894736843</c:v>
                </c:pt>
                <c:pt idx="16">
                  <c:v>0.82097894736842114</c:v>
                </c:pt>
                <c:pt idx="17">
                  <c:v>0.46883157894736843</c:v>
                </c:pt>
                <c:pt idx="18">
                  <c:v>0.30967368421052627</c:v>
                </c:pt>
                <c:pt idx="19">
                  <c:v>0.20947368421052634</c:v>
                </c:pt>
                <c:pt idx="20">
                  <c:v>0.15412631578947367</c:v>
                </c:pt>
                <c:pt idx="21">
                  <c:v>7.6042105263157911E-2</c:v>
                </c:pt>
                <c:pt idx="22">
                  <c:v>8.3673684210526317E-2</c:v>
                </c:pt>
                <c:pt idx="23">
                  <c:v>2.4915789473684211E-2</c:v>
                </c:pt>
                <c:pt idx="24">
                  <c:v>2.4210526315789475E-3</c:v>
                </c:pt>
                <c:pt idx="25">
                  <c:v>1.9957894736842105E-2</c:v>
                </c:pt>
                <c:pt idx="26">
                  <c:v>4.3505263157894734E-2</c:v>
                </c:pt>
                <c:pt idx="27">
                  <c:v>2.1294736842105266E-2</c:v>
                </c:pt>
                <c:pt idx="28">
                  <c:v>1.4947368421052631E-2</c:v>
                </c:pt>
                <c:pt idx="29">
                  <c:v>3.9894736842105262E-3</c:v>
                </c:pt>
                <c:pt idx="30">
                  <c:v>5.8842105263157887E-3</c:v>
                </c:pt>
                <c:pt idx="31">
                  <c:v>2.5715789473684206E-2</c:v>
                </c:pt>
                <c:pt idx="32">
                  <c:v>6.9684210526315795E-3</c:v>
                </c:pt>
                <c:pt idx="33">
                  <c:v>2.1263157894736841E-2</c:v>
                </c:pt>
                <c:pt idx="34">
                  <c:v>1.4515789473684211E-2</c:v>
                </c:pt>
                <c:pt idx="35">
                  <c:v>1.3778947368421054E-2</c:v>
                </c:pt>
                <c:pt idx="36">
                  <c:v>2.2642105263157894E-2</c:v>
                </c:pt>
                <c:pt idx="37">
                  <c:v>2.0894736842105261E-2</c:v>
                </c:pt>
                <c:pt idx="38">
                  <c:v>1.1168421052631579E-2</c:v>
                </c:pt>
                <c:pt idx="39">
                  <c:v>1.2947368421052632E-3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27A5-4B49-9A84-0F079EDF4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2.8"/>
          <c:min val="-0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Charging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BES_TR2_three312_A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Discharge_kW!$C$2:$C$49</c:f>
              <c:numCache>
                <c:formatCode>#,##0.000</c:formatCode>
                <c:ptCount val="48"/>
                <c:pt idx="0">
                  <c:v>0.27100000000000002</c:v>
                </c:pt>
                <c:pt idx="1">
                  <c:v>8.3999999999999991E-2</c:v>
                </c:pt>
                <c:pt idx="2">
                  <c:v>0.184</c:v>
                </c:pt>
                <c:pt idx="3">
                  <c:v>5.5E-2</c:v>
                </c:pt>
                <c:pt idx="4">
                  <c:v>0.14099999999999999</c:v>
                </c:pt>
                <c:pt idx="5">
                  <c:v>0.127</c:v>
                </c:pt>
                <c:pt idx="6">
                  <c:v>5.5E-2</c:v>
                </c:pt>
                <c:pt idx="7">
                  <c:v>0.13100000000000001</c:v>
                </c:pt>
                <c:pt idx="8">
                  <c:v>9.6000000000000002E-2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0.70499999999999996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0.14499999999999999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0.27800000000000002</c:v>
                </c:pt>
                <c:pt idx="36">
                  <c:v>0.36199999999999999</c:v>
                </c:pt>
                <c:pt idx="37">
                  <c:v>0</c:v>
                </c:pt>
                <c:pt idx="38">
                  <c:v>0</c:v>
                </c:pt>
                <c:pt idx="39">
                  <c:v>8.8999999999999996E-2</c:v>
                </c:pt>
                <c:pt idx="40">
                  <c:v>0.04</c:v>
                </c:pt>
                <c:pt idx="41">
                  <c:v>0.21199999999999999</c:v>
                </c:pt>
                <c:pt idx="42">
                  <c:v>5.5E-2</c:v>
                </c:pt>
                <c:pt idx="43">
                  <c:v>5.5E-2</c:v>
                </c:pt>
                <c:pt idx="44">
                  <c:v>0.246</c:v>
                </c:pt>
                <c:pt idx="45">
                  <c:v>0.41199999999999998</c:v>
                </c:pt>
                <c:pt idx="46">
                  <c:v>0.24099999999999999</c:v>
                </c:pt>
                <c:pt idx="47">
                  <c:v>0.44700000000000001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1B-474A-8D2E-6AE97EF26749}"/>
            </c:ext>
          </c:extLst>
        </c:ser>
        <c:ser>
          <c:idx val="1"/>
          <c:order val="1"/>
          <c:tx>
            <c:v>BES_TR2_three321_B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Discharge_kW!$D$2:$D$49</c:f>
              <c:numCache>
                <c:formatCode>#,##0.000</c:formatCode>
                <c:ptCount val="48"/>
                <c:pt idx="0">
                  <c:v>4.2999999999999997E-2</c:v>
                </c:pt>
                <c:pt idx="1">
                  <c:v>0.21099999999999999</c:v>
                </c:pt>
                <c:pt idx="2">
                  <c:v>4.2999999999999997E-2</c:v>
                </c:pt>
                <c:pt idx="3">
                  <c:v>0.16600000000000001</c:v>
                </c:pt>
                <c:pt idx="4">
                  <c:v>8.8999999999999996E-2</c:v>
                </c:pt>
                <c:pt idx="5">
                  <c:v>5.8000000000000003E-2</c:v>
                </c:pt>
                <c:pt idx="6">
                  <c:v>0.19600000000000001</c:v>
                </c:pt>
                <c:pt idx="7">
                  <c:v>0.04</c:v>
                </c:pt>
                <c:pt idx="8">
                  <c:v>0.16200000000000001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0.13700000000000001</c:v>
                </c:pt>
                <c:pt idx="39">
                  <c:v>0.54699999999999993</c:v>
                </c:pt>
                <c:pt idx="40">
                  <c:v>1.0509999999999999</c:v>
                </c:pt>
                <c:pt idx="41">
                  <c:v>0.20100000000000001</c:v>
                </c:pt>
                <c:pt idx="42">
                  <c:v>0.34799999999999998</c:v>
                </c:pt>
                <c:pt idx="43">
                  <c:v>0.22</c:v>
                </c:pt>
                <c:pt idx="44">
                  <c:v>0.42399999999999999</c:v>
                </c:pt>
                <c:pt idx="45">
                  <c:v>0.26300000000000001</c:v>
                </c:pt>
                <c:pt idx="46">
                  <c:v>0.317</c:v>
                </c:pt>
                <c:pt idx="47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1B-474A-8D2E-6AE97EF26749}"/>
            </c:ext>
          </c:extLst>
        </c:ser>
        <c:ser>
          <c:idx val="2"/>
          <c:order val="2"/>
          <c:tx>
            <c:v>BES_TR2_three368_A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Discharge_kW!$E$2:$E$49</c:f>
              <c:numCache>
                <c:formatCode>#,##0.000</c:formatCode>
                <c:ptCount val="48"/>
                <c:pt idx="0">
                  <c:v>0.20599999999999999</c:v>
                </c:pt>
                <c:pt idx="1">
                  <c:v>5.6000000000000001E-2</c:v>
                </c:pt>
                <c:pt idx="2">
                  <c:v>0.19600000000000001</c:v>
                </c:pt>
                <c:pt idx="3">
                  <c:v>0.20599999999999999</c:v>
                </c:pt>
                <c:pt idx="4">
                  <c:v>5.6000000000000001E-2</c:v>
                </c:pt>
                <c:pt idx="5">
                  <c:v>0.34599999999999997</c:v>
                </c:pt>
                <c:pt idx="6">
                  <c:v>5.6000000000000001E-2</c:v>
                </c:pt>
                <c:pt idx="7">
                  <c:v>0.19600000000000001</c:v>
                </c:pt>
                <c:pt idx="8">
                  <c:v>0.17899999999999999</c:v>
                </c:pt>
                <c:pt idx="9">
                  <c:v>0</c:v>
                </c:pt>
                <c:pt idx="10">
                  <c:v>3.2000000000000001E-2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0.115</c:v>
                </c:pt>
                <c:pt idx="19">
                  <c:v>0</c:v>
                </c:pt>
                <c:pt idx="20">
                  <c:v>0.64700000000000002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0.42199999999999999</c:v>
                </c:pt>
                <c:pt idx="36">
                  <c:v>0</c:v>
                </c:pt>
                <c:pt idx="37">
                  <c:v>0.76</c:v>
                </c:pt>
                <c:pt idx="38">
                  <c:v>0</c:v>
                </c:pt>
                <c:pt idx="39">
                  <c:v>0.41699999999999998</c:v>
                </c:pt>
                <c:pt idx="40">
                  <c:v>0.21299999999999999</c:v>
                </c:pt>
                <c:pt idx="41">
                  <c:v>0.44500000000000001</c:v>
                </c:pt>
                <c:pt idx="42">
                  <c:v>0.50700000000000001</c:v>
                </c:pt>
                <c:pt idx="43">
                  <c:v>0.40500000000000003</c:v>
                </c:pt>
                <c:pt idx="44">
                  <c:v>0.54900000000000004</c:v>
                </c:pt>
                <c:pt idx="45">
                  <c:v>0.27100000000000002</c:v>
                </c:pt>
                <c:pt idx="46">
                  <c:v>0.17299999999999999</c:v>
                </c:pt>
                <c:pt idx="47">
                  <c:v>0.34599999999999997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1B-474A-8D2E-6AE97EF26749}"/>
            </c:ext>
          </c:extLst>
        </c:ser>
        <c:ser>
          <c:idx val="3"/>
          <c:order val="3"/>
          <c:tx>
            <c:v>BES_TR2_three388_A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Discharge_kW!$F$2:$F$49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5.3999999999999999E-2</c:v>
                </c:pt>
                <c:pt idx="8">
                  <c:v>7.0000000000000001E-3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0.31</c:v>
                </c:pt>
                <c:pt idx="40">
                  <c:v>0.23200000000000001</c:v>
                </c:pt>
                <c:pt idx="41">
                  <c:v>0.187</c:v>
                </c:pt>
                <c:pt idx="42">
                  <c:v>0.30199999999999999</c:v>
                </c:pt>
                <c:pt idx="43">
                  <c:v>0.34499999999999997</c:v>
                </c:pt>
                <c:pt idx="44">
                  <c:v>0.29899999999999999</c:v>
                </c:pt>
                <c:pt idx="45">
                  <c:v>0.32100000000000001</c:v>
                </c:pt>
                <c:pt idx="46">
                  <c:v>5.7000000000000002E-2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1B-474A-8D2E-6AE97EF26749}"/>
            </c:ext>
          </c:extLst>
        </c:ser>
        <c:ser>
          <c:idx val="4"/>
          <c:order val="4"/>
          <c:tx>
            <c:v>BES_TR2_three409_C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Discharge_kW!$G$2:$G$49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0.17199999999999999</c:v>
                </c:pt>
                <c:pt idx="2">
                  <c:v>0.21299999999999999</c:v>
                </c:pt>
                <c:pt idx="3">
                  <c:v>5.3999999999999999E-2</c:v>
                </c:pt>
                <c:pt idx="4">
                  <c:v>0.154</c:v>
                </c:pt>
                <c:pt idx="5">
                  <c:v>0.23100000000000001</c:v>
                </c:pt>
                <c:pt idx="6">
                  <c:v>0.104</c:v>
                </c:pt>
                <c:pt idx="7">
                  <c:v>0.245</c:v>
                </c:pt>
                <c:pt idx="8">
                  <c:v>3.5999999999999997E-2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0.38</c:v>
                </c:pt>
                <c:pt idx="39">
                  <c:v>1.7829999999999999</c:v>
                </c:pt>
                <c:pt idx="40">
                  <c:v>0.16300000000000001</c:v>
                </c:pt>
                <c:pt idx="41">
                  <c:v>5.3999999999999999E-2</c:v>
                </c:pt>
                <c:pt idx="42">
                  <c:v>0.22500000000000001</c:v>
                </c:pt>
                <c:pt idx="43">
                  <c:v>0.16</c:v>
                </c:pt>
                <c:pt idx="44">
                  <c:v>5.3999999999999999E-2</c:v>
                </c:pt>
                <c:pt idx="45">
                  <c:v>0.30199999999999999</c:v>
                </c:pt>
                <c:pt idx="46">
                  <c:v>8.3000000000000004E-2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1B-474A-8D2E-6AE97EF26749}"/>
            </c:ext>
          </c:extLst>
        </c:ser>
        <c:ser>
          <c:idx val="5"/>
          <c:order val="5"/>
          <c:tx>
            <c:v>BES_TR2_three478_B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Discharge_kW!$H$2:$H$49</c:f>
              <c:numCache>
                <c:formatCode>#,##0.000</c:formatCode>
                <c:ptCount val="48"/>
                <c:pt idx="0">
                  <c:v>0.16200000000000001</c:v>
                </c:pt>
                <c:pt idx="1">
                  <c:v>0.14000000000000001</c:v>
                </c:pt>
                <c:pt idx="2">
                  <c:v>0.193</c:v>
                </c:pt>
                <c:pt idx="3">
                  <c:v>0.156</c:v>
                </c:pt>
                <c:pt idx="4">
                  <c:v>0.125</c:v>
                </c:pt>
                <c:pt idx="5">
                  <c:v>0.17599999999999999</c:v>
                </c:pt>
                <c:pt idx="6">
                  <c:v>0.105</c:v>
                </c:pt>
                <c:pt idx="7">
                  <c:v>0.17699999999999999</c:v>
                </c:pt>
                <c:pt idx="8">
                  <c:v>0.03</c:v>
                </c:pt>
                <c:pt idx="9">
                  <c:v>0.107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0.371</c:v>
                </c:pt>
                <c:pt idx="39">
                  <c:v>0.95200000000000007</c:v>
                </c:pt>
                <c:pt idx="40">
                  <c:v>0.28899999999999998</c:v>
                </c:pt>
                <c:pt idx="41">
                  <c:v>0.52400000000000002</c:v>
                </c:pt>
                <c:pt idx="42">
                  <c:v>1.496</c:v>
                </c:pt>
                <c:pt idx="43">
                  <c:v>0.19700000000000001</c:v>
                </c:pt>
                <c:pt idx="44">
                  <c:v>0.193</c:v>
                </c:pt>
                <c:pt idx="45">
                  <c:v>0.156</c:v>
                </c:pt>
                <c:pt idx="46">
                  <c:v>0.05</c:v>
                </c:pt>
                <c:pt idx="47">
                  <c:v>0.19400000000000001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1B-474A-8D2E-6AE97EF26749}"/>
            </c:ext>
          </c:extLst>
        </c:ser>
        <c:ser>
          <c:idx val="6"/>
          <c:order val="6"/>
          <c:tx>
            <c:v>BES_TR2_three97_B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Discharge_kW!$I$2:$I$49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4.2999999999999997E-2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2.5999999999999999E-2</c:v>
                </c:pt>
                <c:pt idx="41">
                  <c:v>4.5999999999999999E-2</c:v>
                </c:pt>
                <c:pt idx="42">
                  <c:v>4.5999999999999999E-2</c:v>
                </c:pt>
                <c:pt idx="43">
                  <c:v>0.10100000000000001</c:v>
                </c:pt>
                <c:pt idx="44">
                  <c:v>0.23400000000000001</c:v>
                </c:pt>
                <c:pt idx="45">
                  <c:v>0.35199999999999998</c:v>
                </c:pt>
                <c:pt idx="46">
                  <c:v>0.13100000000000001</c:v>
                </c:pt>
                <c:pt idx="47">
                  <c:v>8.1000000000000003E-2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1B-474A-8D2E-6AE97EF26749}"/>
            </c:ext>
          </c:extLst>
        </c:ser>
        <c:ser>
          <c:idx val="7"/>
          <c:order val="7"/>
          <c:tx>
            <c:v>BES_TR2_three133_C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Discharge_kW!$J$2:$J$49</c:f>
              <c:numCache>
                <c:formatCode>#,##0.000</c:formatCode>
                <c:ptCount val="48"/>
                <c:pt idx="0">
                  <c:v>5.5E-2</c:v>
                </c:pt>
                <c:pt idx="1">
                  <c:v>0.11600000000000001</c:v>
                </c:pt>
                <c:pt idx="2">
                  <c:v>0.13100000000000001</c:v>
                </c:pt>
                <c:pt idx="3">
                  <c:v>5.0999999999999997E-2</c:v>
                </c:pt>
                <c:pt idx="4">
                  <c:v>0.11700000000000001</c:v>
                </c:pt>
                <c:pt idx="5">
                  <c:v>6.4000000000000001E-2</c:v>
                </c:pt>
                <c:pt idx="6">
                  <c:v>0.109</c:v>
                </c:pt>
                <c:pt idx="7">
                  <c:v>7.1000000000000008E-2</c:v>
                </c:pt>
                <c:pt idx="8">
                  <c:v>8.8999999999999996E-2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0.437</c:v>
                </c:pt>
                <c:pt idx="37">
                  <c:v>1.228</c:v>
                </c:pt>
                <c:pt idx="38">
                  <c:v>6.3E-2</c:v>
                </c:pt>
                <c:pt idx="39">
                  <c:v>0.33400000000000002</c:v>
                </c:pt>
                <c:pt idx="40">
                  <c:v>0.33900000000000002</c:v>
                </c:pt>
                <c:pt idx="41">
                  <c:v>0.1</c:v>
                </c:pt>
                <c:pt idx="42">
                  <c:v>0.1</c:v>
                </c:pt>
                <c:pt idx="43">
                  <c:v>8.2000000000000003E-2</c:v>
                </c:pt>
                <c:pt idx="44">
                  <c:v>5.0999999999999997E-2</c:v>
                </c:pt>
                <c:pt idx="45">
                  <c:v>0.20499999999999999</c:v>
                </c:pt>
                <c:pt idx="46">
                  <c:v>0.10299999999999999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1B-474A-8D2E-6AE97EF26749}"/>
            </c:ext>
          </c:extLst>
        </c:ser>
        <c:ser>
          <c:idx val="8"/>
          <c:order val="8"/>
          <c:tx>
            <c:v>BES_TR2_three160_C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Discharge_kW!$K$2:$K$49</c:f>
              <c:numCache>
                <c:formatCode>#,##0.000</c:formatCode>
                <c:ptCount val="48"/>
                <c:pt idx="0">
                  <c:v>0.67800000000000005</c:v>
                </c:pt>
                <c:pt idx="1">
                  <c:v>0.29699999999999999</c:v>
                </c:pt>
                <c:pt idx="2">
                  <c:v>0.13300000000000001</c:v>
                </c:pt>
                <c:pt idx="3">
                  <c:v>0.20300000000000001</c:v>
                </c:pt>
                <c:pt idx="4">
                  <c:v>3.9E-2</c:v>
                </c:pt>
                <c:pt idx="5">
                  <c:v>0.152</c:v>
                </c:pt>
                <c:pt idx="6">
                  <c:v>3.9E-2</c:v>
                </c:pt>
                <c:pt idx="7">
                  <c:v>0.17499999999999999</c:v>
                </c:pt>
                <c:pt idx="8">
                  <c:v>0.10299999999999999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0.48099999999999998</c:v>
                </c:pt>
                <c:pt idx="36">
                  <c:v>0</c:v>
                </c:pt>
                <c:pt idx="37">
                  <c:v>0.37</c:v>
                </c:pt>
                <c:pt idx="38">
                  <c:v>2.4350000000000001</c:v>
                </c:pt>
                <c:pt idx="39">
                  <c:v>1.9179999999999999</c:v>
                </c:pt>
                <c:pt idx="40">
                  <c:v>0.45600000000000002</c:v>
                </c:pt>
                <c:pt idx="41">
                  <c:v>1.446</c:v>
                </c:pt>
                <c:pt idx="42">
                  <c:v>9.5000000000000001E-2</c:v>
                </c:pt>
                <c:pt idx="43">
                  <c:v>0.20799999999999999</c:v>
                </c:pt>
                <c:pt idx="44">
                  <c:v>4.2999999999999997E-2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1B-474A-8D2E-6AE97EF26749}"/>
            </c:ext>
          </c:extLst>
        </c:ser>
        <c:ser>
          <c:idx val="9"/>
          <c:order val="9"/>
          <c:tx>
            <c:v>BES_TR2_five58_C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Discharge_kW!$L$2:$L$49</c:f>
              <c:numCache>
                <c:formatCode>#,##0.000</c:formatCode>
                <c:ptCount val="48"/>
                <c:pt idx="0">
                  <c:v>0.21299999999999999</c:v>
                </c:pt>
                <c:pt idx="1">
                  <c:v>0.28399999999999997</c:v>
                </c:pt>
                <c:pt idx="2">
                  <c:v>0.13500000000000001</c:v>
                </c:pt>
                <c:pt idx="3">
                  <c:v>4.1000000000000002E-2</c:v>
                </c:pt>
                <c:pt idx="4">
                  <c:v>0.25900000000000001</c:v>
                </c:pt>
                <c:pt idx="5">
                  <c:v>4.1000000000000002E-2</c:v>
                </c:pt>
                <c:pt idx="6">
                  <c:v>4.1000000000000002E-2</c:v>
                </c:pt>
                <c:pt idx="7">
                  <c:v>3.7999999999999999E-2</c:v>
                </c:pt>
                <c:pt idx="8">
                  <c:v>8.5000000000000006E-2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0.106</c:v>
                </c:pt>
                <c:pt idx="39">
                  <c:v>0.21199999999999999</c:v>
                </c:pt>
                <c:pt idx="40">
                  <c:v>0.105</c:v>
                </c:pt>
                <c:pt idx="41">
                  <c:v>0.29399999999999998</c:v>
                </c:pt>
                <c:pt idx="42">
                  <c:v>0.17499999999999999</c:v>
                </c:pt>
                <c:pt idx="43">
                  <c:v>0.55400000000000005</c:v>
                </c:pt>
                <c:pt idx="44">
                  <c:v>0.24399999999999999</c:v>
                </c:pt>
                <c:pt idx="45">
                  <c:v>0.52899999999999991</c:v>
                </c:pt>
                <c:pt idx="46">
                  <c:v>0.32600000000000001</c:v>
                </c:pt>
                <c:pt idx="47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1B-474A-8D2E-6AE97EF26749}"/>
            </c:ext>
          </c:extLst>
        </c:ser>
        <c:ser>
          <c:idx val="10"/>
          <c:order val="10"/>
          <c:tx>
            <c:v>BES_TR2_five147_C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Discharge_kW!$M$2:$M$49</c:f>
              <c:numCache>
                <c:formatCode>#,##0.000</c:formatCode>
                <c:ptCount val="48"/>
                <c:pt idx="0">
                  <c:v>0.14199999999999999</c:v>
                </c:pt>
                <c:pt idx="1">
                  <c:v>8.6999999999999994E-2</c:v>
                </c:pt>
                <c:pt idx="2">
                  <c:v>7.1000000000000008E-2</c:v>
                </c:pt>
                <c:pt idx="3">
                  <c:v>0.159</c:v>
                </c:pt>
                <c:pt idx="4">
                  <c:v>5.3999999999999999E-2</c:v>
                </c:pt>
                <c:pt idx="5">
                  <c:v>0.115</c:v>
                </c:pt>
                <c:pt idx="6">
                  <c:v>0.115</c:v>
                </c:pt>
                <c:pt idx="7">
                  <c:v>7.8E-2</c:v>
                </c:pt>
                <c:pt idx="8">
                  <c:v>9.8000000000000004E-2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0.218</c:v>
                </c:pt>
                <c:pt idx="40">
                  <c:v>0.39400000000000002</c:v>
                </c:pt>
                <c:pt idx="41">
                  <c:v>0.63900000000000001</c:v>
                </c:pt>
                <c:pt idx="42">
                  <c:v>0.68199999999999994</c:v>
                </c:pt>
                <c:pt idx="43">
                  <c:v>0.372</c:v>
                </c:pt>
                <c:pt idx="44">
                  <c:v>0.58799999999999997</c:v>
                </c:pt>
                <c:pt idx="45">
                  <c:v>0.53600000000000003</c:v>
                </c:pt>
                <c:pt idx="46">
                  <c:v>0.34100000000000003</c:v>
                </c:pt>
                <c:pt idx="47">
                  <c:v>0.11700000000000001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71B-474A-8D2E-6AE97EF26749}"/>
            </c:ext>
          </c:extLst>
        </c:ser>
        <c:ser>
          <c:idx val="11"/>
          <c:order val="11"/>
          <c:tx>
            <c:v>BES_TR2_five149_A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Discharge_kW!$N$2:$N$49</c:f>
              <c:numCache>
                <c:formatCode>#,##0.000</c:formatCode>
                <c:ptCount val="48"/>
                <c:pt idx="0">
                  <c:v>0.11899999999999999</c:v>
                </c:pt>
                <c:pt idx="1">
                  <c:v>0.1</c:v>
                </c:pt>
                <c:pt idx="2">
                  <c:v>0.19800000000000001</c:v>
                </c:pt>
                <c:pt idx="3">
                  <c:v>0.112</c:v>
                </c:pt>
                <c:pt idx="4">
                  <c:v>0.22</c:v>
                </c:pt>
                <c:pt idx="5">
                  <c:v>0.106</c:v>
                </c:pt>
                <c:pt idx="6">
                  <c:v>0.21099999999999999</c:v>
                </c:pt>
                <c:pt idx="7">
                  <c:v>8.8999999999999996E-2</c:v>
                </c:pt>
                <c:pt idx="8">
                  <c:v>0.16800000000000001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</c:v>
                </c:pt>
                <c:pt idx="40">
                  <c:v>0.47599999999999998</c:v>
                </c:pt>
                <c:pt idx="41">
                  <c:v>0.46500000000000002</c:v>
                </c:pt>
                <c:pt idx="42">
                  <c:v>0.76100000000000001</c:v>
                </c:pt>
                <c:pt idx="43">
                  <c:v>0.61399999999999999</c:v>
                </c:pt>
                <c:pt idx="44">
                  <c:v>0.41</c:v>
                </c:pt>
                <c:pt idx="45">
                  <c:v>0.66799999999999993</c:v>
                </c:pt>
                <c:pt idx="46">
                  <c:v>0.38600000000000001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71B-474A-8D2E-6AE97EF26749}"/>
            </c:ext>
          </c:extLst>
        </c:ser>
        <c:ser>
          <c:idx val="12"/>
          <c:order val="12"/>
          <c:tx>
            <c:v>BES_TR2_five160_C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Discharge_kW!$O$2:$O$49</c:f>
              <c:numCache>
                <c:formatCode>#,##0.000</c:formatCode>
                <c:ptCount val="48"/>
                <c:pt idx="0">
                  <c:v>0.13900000000000001</c:v>
                </c:pt>
                <c:pt idx="1">
                  <c:v>5.3999999999999999E-2</c:v>
                </c:pt>
                <c:pt idx="2">
                  <c:v>0.10100000000000001</c:v>
                </c:pt>
                <c:pt idx="3">
                  <c:v>9.1999999999999998E-2</c:v>
                </c:pt>
                <c:pt idx="4">
                  <c:v>0.106</c:v>
                </c:pt>
                <c:pt idx="5">
                  <c:v>8.6999999999999994E-2</c:v>
                </c:pt>
                <c:pt idx="6">
                  <c:v>6.8000000000000005E-2</c:v>
                </c:pt>
                <c:pt idx="7">
                  <c:v>0.123</c:v>
                </c:pt>
                <c:pt idx="8">
                  <c:v>2.9000000000000001E-2</c:v>
                </c:pt>
                <c:pt idx="9">
                  <c:v>2.1999999999999999E-2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0.245</c:v>
                </c:pt>
                <c:pt idx="39">
                  <c:v>0.36399999999999999</c:v>
                </c:pt>
                <c:pt idx="40">
                  <c:v>0.42</c:v>
                </c:pt>
                <c:pt idx="41">
                  <c:v>0.28499999999999998</c:v>
                </c:pt>
                <c:pt idx="42">
                  <c:v>0.115</c:v>
                </c:pt>
                <c:pt idx="43">
                  <c:v>9.6000000000000002E-2</c:v>
                </c:pt>
                <c:pt idx="44">
                  <c:v>9.6000000000000002E-2</c:v>
                </c:pt>
                <c:pt idx="45">
                  <c:v>0.21199999999999999</c:v>
                </c:pt>
                <c:pt idx="46">
                  <c:v>0.36599999999999999</c:v>
                </c:pt>
                <c:pt idx="47">
                  <c:v>0.42399999999999999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71B-474A-8D2E-6AE97EF26749}"/>
            </c:ext>
          </c:extLst>
        </c:ser>
        <c:ser>
          <c:idx val="13"/>
          <c:order val="13"/>
          <c:tx>
            <c:v>BES_TR2_five170_A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Discharge_kW!$P$2:$P$49</c:f>
              <c:numCache>
                <c:formatCode>#,##0.000</c:formatCode>
                <c:ptCount val="48"/>
                <c:pt idx="0">
                  <c:v>0.19</c:v>
                </c:pt>
                <c:pt idx="1">
                  <c:v>4.7E-2</c:v>
                </c:pt>
                <c:pt idx="2">
                  <c:v>0.17699999999999999</c:v>
                </c:pt>
                <c:pt idx="3">
                  <c:v>0.06</c:v>
                </c:pt>
                <c:pt idx="4">
                  <c:v>0.13800000000000001</c:v>
                </c:pt>
                <c:pt idx="5">
                  <c:v>9.8999999999999991E-2</c:v>
                </c:pt>
                <c:pt idx="6">
                  <c:v>4.7E-2</c:v>
                </c:pt>
                <c:pt idx="7">
                  <c:v>0.188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5.1999999999999998E-2</c:v>
                </c:pt>
                <c:pt idx="39">
                  <c:v>0.29299999999999998</c:v>
                </c:pt>
                <c:pt idx="40">
                  <c:v>0.52500000000000002</c:v>
                </c:pt>
                <c:pt idx="41">
                  <c:v>0.47799999999999998</c:v>
                </c:pt>
                <c:pt idx="42">
                  <c:v>0.26100000000000001</c:v>
                </c:pt>
                <c:pt idx="43">
                  <c:v>4.7E-2</c:v>
                </c:pt>
                <c:pt idx="44">
                  <c:v>9.2999999999999999E-2</c:v>
                </c:pt>
                <c:pt idx="45">
                  <c:v>0.14499999999999999</c:v>
                </c:pt>
                <c:pt idx="46">
                  <c:v>4.7E-2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71B-474A-8D2E-6AE97EF26749}"/>
            </c:ext>
          </c:extLst>
        </c:ser>
        <c:ser>
          <c:idx val="14"/>
          <c:order val="14"/>
          <c:tx>
            <c:v>BES_TR2_five177_A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Discharge_kW!$Q$2:$Q$49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0.13200000000000001</c:v>
                </c:pt>
                <c:pt idx="2">
                  <c:v>5.3999999999999999E-2</c:v>
                </c:pt>
                <c:pt idx="3">
                  <c:v>0.123</c:v>
                </c:pt>
                <c:pt idx="4">
                  <c:v>6.3E-2</c:v>
                </c:pt>
                <c:pt idx="5">
                  <c:v>0.11</c:v>
                </c:pt>
                <c:pt idx="6">
                  <c:v>7.5999999999999998E-2</c:v>
                </c:pt>
                <c:pt idx="7">
                  <c:v>8.3000000000000004E-2</c:v>
                </c:pt>
                <c:pt idx="8">
                  <c:v>8.3000000000000004E-2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0.127</c:v>
                </c:pt>
                <c:pt idx="39">
                  <c:v>0.23599999999999999</c:v>
                </c:pt>
                <c:pt idx="40">
                  <c:v>0.30099999999999999</c:v>
                </c:pt>
                <c:pt idx="41">
                  <c:v>0.39200000000000002</c:v>
                </c:pt>
                <c:pt idx="42">
                  <c:v>0.435</c:v>
                </c:pt>
                <c:pt idx="43">
                  <c:v>0.36199999999999999</c:v>
                </c:pt>
                <c:pt idx="44">
                  <c:v>0.25600000000000001</c:v>
                </c:pt>
                <c:pt idx="45">
                  <c:v>0.35699999999999998</c:v>
                </c:pt>
                <c:pt idx="46">
                  <c:v>0.217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71B-474A-8D2E-6AE97EF26749}"/>
            </c:ext>
          </c:extLst>
        </c:ser>
        <c:ser>
          <c:idx val="15"/>
          <c:order val="15"/>
          <c:tx>
            <c:v>BES_TR2_five67_C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Discharge_kW!$R$2:$R$49</c:f>
              <c:numCache>
                <c:formatCode>#,##0.000</c:formatCode>
                <c:ptCount val="48"/>
                <c:pt idx="0">
                  <c:v>9.4E-2</c:v>
                </c:pt>
                <c:pt idx="1">
                  <c:v>0.15</c:v>
                </c:pt>
                <c:pt idx="2">
                  <c:v>0.193</c:v>
                </c:pt>
                <c:pt idx="3">
                  <c:v>0.182</c:v>
                </c:pt>
                <c:pt idx="4">
                  <c:v>0.12</c:v>
                </c:pt>
                <c:pt idx="5">
                  <c:v>0.13500000000000001</c:v>
                </c:pt>
                <c:pt idx="6">
                  <c:v>0.13500000000000001</c:v>
                </c:pt>
                <c:pt idx="7">
                  <c:v>0.252</c:v>
                </c:pt>
                <c:pt idx="8">
                  <c:v>2.4E-2</c:v>
                </c:pt>
                <c:pt idx="9">
                  <c:v>0.01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0.13100000000000001</c:v>
                </c:pt>
                <c:pt idx="39">
                  <c:v>0.35299999999999998</c:v>
                </c:pt>
                <c:pt idx="40">
                  <c:v>0.307</c:v>
                </c:pt>
                <c:pt idx="41">
                  <c:v>0.26400000000000001</c:v>
                </c:pt>
                <c:pt idx="42">
                  <c:v>4.7E-2</c:v>
                </c:pt>
                <c:pt idx="43">
                  <c:v>0.224</c:v>
                </c:pt>
                <c:pt idx="44">
                  <c:v>0.16600000000000001</c:v>
                </c:pt>
                <c:pt idx="45">
                  <c:v>4.7E-2</c:v>
                </c:pt>
                <c:pt idx="46">
                  <c:v>4.7E-2</c:v>
                </c:pt>
                <c:pt idx="47">
                  <c:v>0.34300000000000003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71B-474A-8D2E-6AE97EF26749}"/>
            </c:ext>
          </c:extLst>
        </c:ser>
        <c:ser>
          <c:idx val="16"/>
          <c:order val="16"/>
          <c:tx>
            <c:v>BES_TR2_five243_B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Discharge_kW!$S$2:$S$49</c:f>
              <c:numCache>
                <c:formatCode>#,##0.000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4.7E-2</c:v>
                </c:pt>
                <c:pt idx="8">
                  <c:v>2.6551390000000003E-4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5.7000000000000002E-2</c:v>
                </c:pt>
                <c:pt idx="40">
                  <c:v>0.03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71B-474A-8D2E-6AE97EF26749}"/>
            </c:ext>
          </c:extLst>
        </c:ser>
        <c:ser>
          <c:idx val="17"/>
          <c:order val="17"/>
          <c:tx>
            <c:v>BES_TR2_five284_C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Discharge_kW!$T$2:$T$49</c:f>
              <c:numCache>
                <c:formatCode>#,##0.000</c:formatCode>
                <c:ptCount val="48"/>
                <c:pt idx="0">
                  <c:v>0.05</c:v>
                </c:pt>
                <c:pt idx="1">
                  <c:v>0.129</c:v>
                </c:pt>
                <c:pt idx="2">
                  <c:v>0.19500000000000001</c:v>
                </c:pt>
                <c:pt idx="3">
                  <c:v>0.104</c:v>
                </c:pt>
                <c:pt idx="4">
                  <c:v>9.8000000000000004E-2</c:v>
                </c:pt>
                <c:pt idx="5">
                  <c:v>0.28000000000000003</c:v>
                </c:pt>
                <c:pt idx="6">
                  <c:v>0.05</c:v>
                </c:pt>
                <c:pt idx="7">
                  <c:v>0.193</c:v>
                </c:pt>
                <c:pt idx="8">
                  <c:v>0.158</c:v>
                </c:pt>
                <c:pt idx="9">
                  <c:v>0</c:v>
                </c:pt>
                <c:pt idx="10">
                  <c:v>4.7E-2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9.5000000000000001E-2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0.38</c:v>
                </c:pt>
                <c:pt idx="40">
                  <c:v>0.495</c:v>
                </c:pt>
                <c:pt idx="41">
                  <c:v>0.48</c:v>
                </c:pt>
                <c:pt idx="42">
                  <c:v>0.60299999999999998</c:v>
                </c:pt>
                <c:pt idx="43">
                  <c:v>0.57600000000000007</c:v>
                </c:pt>
                <c:pt idx="44">
                  <c:v>0.49399999999999999</c:v>
                </c:pt>
                <c:pt idx="45">
                  <c:v>0.58600000000000008</c:v>
                </c:pt>
                <c:pt idx="46">
                  <c:v>0.495</c:v>
                </c:pt>
                <c:pt idx="47">
                  <c:v>0.32800000000000001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71B-474A-8D2E-6AE97EF26749}"/>
            </c:ext>
          </c:extLst>
        </c:ser>
        <c:ser>
          <c:idx val="18"/>
          <c:order val="18"/>
          <c:tx>
            <c:v>BES_TR2_five285_B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Discharge_kW!$U$2:$U$49</c:f>
              <c:numCache>
                <c:formatCode>#,##0.000</c:formatCode>
                <c:ptCount val="48"/>
                <c:pt idx="0">
                  <c:v>0.41</c:v>
                </c:pt>
                <c:pt idx="1">
                  <c:v>0.48599999999999999</c:v>
                </c:pt>
                <c:pt idx="2">
                  <c:v>0.58299999999999996</c:v>
                </c:pt>
                <c:pt idx="3">
                  <c:v>0.63800000000000001</c:v>
                </c:pt>
                <c:pt idx="4">
                  <c:v>0.17299999999999999</c:v>
                </c:pt>
                <c:pt idx="5">
                  <c:v>5.6000000000000001E-2</c:v>
                </c:pt>
                <c:pt idx="6">
                  <c:v>4.3999999999999997E-2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3.5999999999999997E-2</c:v>
                </c:pt>
                <c:pt idx="41">
                  <c:v>5.6000000000000001E-2</c:v>
                </c:pt>
                <c:pt idx="42">
                  <c:v>5.6000000000000001E-2</c:v>
                </c:pt>
                <c:pt idx="43">
                  <c:v>5.6000000000000001E-2</c:v>
                </c:pt>
                <c:pt idx="44">
                  <c:v>0.47799999999999998</c:v>
                </c:pt>
                <c:pt idx="45">
                  <c:v>0.39</c:v>
                </c:pt>
                <c:pt idx="46">
                  <c:v>2.0329999999999999</c:v>
                </c:pt>
                <c:pt idx="47">
                  <c:v>0.48599999999999999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71B-474A-8D2E-6AE97EF26749}"/>
            </c:ext>
          </c:extLst>
        </c:ser>
        <c:ser>
          <c:idx val="19"/>
          <c:order val="19"/>
          <c:tx>
            <c:v>BES_TR2_five303_B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Discharge_kW!$V$2:$V$49</c:f>
              <c:numCache>
                <c:formatCode>#,##0.000</c:formatCode>
                <c:ptCount val="48"/>
                <c:pt idx="0">
                  <c:v>0.14899999999999999</c:v>
                </c:pt>
                <c:pt idx="1">
                  <c:v>0.14299999999999999</c:v>
                </c:pt>
                <c:pt idx="2">
                  <c:v>4.1000000000000002E-2</c:v>
                </c:pt>
                <c:pt idx="3">
                  <c:v>8.2000000000000003E-2</c:v>
                </c:pt>
                <c:pt idx="4">
                  <c:v>0.15</c:v>
                </c:pt>
                <c:pt idx="5">
                  <c:v>4.1000000000000002E-2</c:v>
                </c:pt>
                <c:pt idx="6">
                  <c:v>0.191</c:v>
                </c:pt>
                <c:pt idx="7">
                  <c:v>3.7999999999999999E-2</c:v>
                </c:pt>
                <c:pt idx="8">
                  <c:v>0.121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0.34</c:v>
                </c:pt>
                <c:pt idx="40">
                  <c:v>0.626</c:v>
                </c:pt>
                <c:pt idx="41">
                  <c:v>0.74399999999999999</c:v>
                </c:pt>
                <c:pt idx="42">
                  <c:v>0.58499999999999996</c:v>
                </c:pt>
                <c:pt idx="43">
                  <c:v>0.67400000000000004</c:v>
                </c:pt>
                <c:pt idx="44">
                  <c:v>0.503</c:v>
                </c:pt>
                <c:pt idx="45">
                  <c:v>1.885</c:v>
                </c:pt>
                <c:pt idx="46">
                  <c:v>0.184</c:v>
                </c:pt>
                <c:pt idx="47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71B-474A-8D2E-6AE97EF26749}"/>
            </c:ext>
          </c:extLst>
        </c:ser>
        <c:ser>
          <c:idx val="20"/>
          <c:order val="20"/>
          <c:tx>
            <c:v>BES_TR2_five324_B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Discharge_kW!$W$2:$W$49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0.11</c:v>
                </c:pt>
                <c:pt idx="2">
                  <c:v>4.9000000000000002E-2</c:v>
                </c:pt>
                <c:pt idx="3">
                  <c:v>0.11</c:v>
                </c:pt>
                <c:pt idx="4">
                  <c:v>4.9000000000000002E-2</c:v>
                </c:pt>
                <c:pt idx="5">
                  <c:v>8.6000000000000007E-2</c:v>
                </c:pt>
                <c:pt idx="6">
                  <c:v>7.2999999999999995E-2</c:v>
                </c:pt>
                <c:pt idx="7">
                  <c:v>4.5999999999999999E-2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0.315</c:v>
                </c:pt>
                <c:pt idx="40">
                  <c:v>0.73899999999999999</c:v>
                </c:pt>
                <c:pt idx="41">
                  <c:v>2.73</c:v>
                </c:pt>
                <c:pt idx="42">
                  <c:v>2.956</c:v>
                </c:pt>
                <c:pt idx="43">
                  <c:v>0.432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71B-474A-8D2E-6AE97EF26749}"/>
            </c:ext>
          </c:extLst>
        </c:ser>
        <c:ser>
          <c:idx val="21"/>
          <c:order val="21"/>
          <c:tx>
            <c:v>BES_TR2_five355_A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Discharge_kW!$X$2:$X$49</c:f>
              <c:numCache>
                <c:formatCode>#,##0.000</c:formatCode>
                <c:ptCount val="48"/>
                <c:pt idx="0">
                  <c:v>0.185</c:v>
                </c:pt>
                <c:pt idx="1">
                  <c:v>0.128</c:v>
                </c:pt>
                <c:pt idx="2">
                  <c:v>0.27500000000000002</c:v>
                </c:pt>
                <c:pt idx="3">
                  <c:v>8.3999999999999991E-2</c:v>
                </c:pt>
                <c:pt idx="4">
                  <c:v>0.247</c:v>
                </c:pt>
                <c:pt idx="5">
                  <c:v>0.112</c:v>
                </c:pt>
                <c:pt idx="6">
                  <c:v>3.9E-2</c:v>
                </c:pt>
                <c:pt idx="7">
                  <c:v>0.14799999999999999</c:v>
                </c:pt>
                <c:pt idx="8">
                  <c:v>0.216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1.7999999999999999E-2</c:v>
                </c:pt>
                <c:pt idx="39">
                  <c:v>0</c:v>
                </c:pt>
                <c:pt idx="40">
                  <c:v>0.23300000000000001</c:v>
                </c:pt>
                <c:pt idx="41">
                  <c:v>0.50800000000000001</c:v>
                </c:pt>
                <c:pt idx="42">
                  <c:v>0.47199999999999998</c:v>
                </c:pt>
                <c:pt idx="43">
                  <c:v>0.28100000000000003</c:v>
                </c:pt>
                <c:pt idx="44">
                  <c:v>0.246</c:v>
                </c:pt>
                <c:pt idx="45">
                  <c:v>0.14299999999999999</c:v>
                </c:pt>
                <c:pt idx="46">
                  <c:v>0.152</c:v>
                </c:pt>
                <c:pt idx="47">
                  <c:v>8.7999999999999995E-2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71B-474A-8D2E-6AE97EF26749}"/>
            </c:ext>
          </c:extLst>
        </c:ser>
        <c:ser>
          <c:idx val="22"/>
          <c:order val="22"/>
          <c:tx>
            <c:v>BES_TR2_five394_C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Discharge_kW!$Y$2:$Y$49</c:f>
              <c:numCache>
                <c:formatCode>#,##0.000</c:formatCode>
                <c:ptCount val="48"/>
                <c:pt idx="0">
                  <c:v>1.5649999999999999</c:v>
                </c:pt>
                <c:pt idx="1">
                  <c:v>5.8000000000000003E-2</c:v>
                </c:pt>
                <c:pt idx="2">
                  <c:v>0.10100000000000001</c:v>
                </c:pt>
                <c:pt idx="3">
                  <c:v>0.17299999999999999</c:v>
                </c:pt>
                <c:pt idx="4">
                  <c:v>5.8000000000000003E-2</c:v>
                </c:pt>
                <c:pt idx="5">
                  <c:v>0.217</c:v>
                </c:pt>
                <c:pt idx="6">
                  <c:v>5.8000000000000003E-2</c:v>
                </c:pt>
                <c:pt idx="7">
                  <c:v>0.16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7.1000000000000008E-2</c:v>
                </c:pt>
                <c:pt idx="39">
                  <c:v>0.56499999999999995</c:v>
                </c:pt>
                <c:pt idx="40">
                  <c:v>0.53900000000000003</c:v>
                </c:pt>
                <c:pt idx="41">
                  <c:v>0.73299999999999998</c:v>
                </c:pt>
                <c:pt idx="42">
                  <c:v>0.53100000000000003</c:v>
                </c:pt>
                <c:pt idx="43">
                  <c:v>0.622</c:v>
                </c:pt>
                <c:pt idx="44">
                  <c:v>0.433</c:v>
                </c:pt>
                <c:pt idx="45">
                  <c:v>0.14399999999999999</c:v>
                </c:pt>
                <c:pt idx="46">
                  <c:v>0.217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71B-474A-8D2E-6AE97EF26749}"/>
            </c:ext>
          </c:extLst>
        </c:ser>
        <c:ser>
          <c:idx val="23"/>
          <c:order val="23"/>
          <c:tx>
            <c:v>BES_TR2_five451_A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Discharge_kW!$Z$2:$Z$49</c:f>
              <c:numCache>
                <c:formatCode>#,##0.000</c:formatCode>
                <c:ptCount val="48"/>
                <c:pt idx="0">
                  <c:v>0.182</c:v>
                </c:pt>
                <c:pt idx="1">
                  <c:v>0.161</c:v>
                </c:pt>
                <c:pt idx="2">
                  <c:v>4.7E-2</c:v>
                </c:pt>
                <c:pt idx="3">
                  <c:v>0.129</c:v>
                </c:pt>
                <c:pt idx="4">
                  <c:v>0.108</c:v>
                </c:pt>
                <c:pt idx="5">
                  <c:v>0.153</c:v>
                </c:pt>
                <c:pt idx="6">
                  <c:v>0.111</c:v>
                </c:pt>
                <c:pt idx="7">
                  <c:v>7.8E-2</c:v>
                </c:pt>
                <c:pt idx="8">
                  <c:v>0.16800000000000001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0.34300000000000003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2.4E-2</c:v>
                </c:pt>
                <c:pt idx="38">
                  <c:v>0</c:v>
                </c:pt>
                <c:pt idx="39">
                  <c:v>0</c:v>
                </c:pt>
                <c:pt idx="40">
                  <c:v>0.27200000000000002</c:v>
                </c:pt>
                <c:pt idx="41">
                  <c:v>4.7E-2</c:v>
                </c:pt>
                <c:pt idx="42">
                  <c:v>0.19</c:v>
                </c:pt>
                <c:pt idx="43">
                  <c:v>0.153</c:v>
                </c:pt>
                <c:pt idx="44">
                  <c:v>0.1</c:v>
                </c:pt>
                <c:pt idx="45">
                  <c:v>0.19600000000000001</c:v>
                </c:pt>
                <c:pt idx="46">
                  <c:v>0.376</c:v>
                </c:pt>
                <c:pt idx="47">
                  <c:v>0.47799999999999998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71B-474A-8D2E-6AE97EF26749}"/>
            </c:ext>
          </c:extLst>
        </c:ser>
        <c:ser>
          <c:idx val="24"/>
          <c:order val="24"/>
          <c:tx>
            <c:v>BES_TR2_five466_A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Discharge_kW!$AA$2:$AA$49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0.186</c:v>
                </c:pt>
                <c:pt idx="2">
                  <c:v>0.06</c:v>
                </c:pt>
                <c:pt idx="3">
                  <c:v>5.3999999999999999E-2</c:v>
                </c:pt>
                <c:pt idx="4">
                  <c:v>0.186</c:v>
                </c:pt>
                <c:pt idx="5">
                  <c:v>0.06</c:v>
                </c:pt>
                <c:pt idx="6">
                  <c:v>6.7000000000000004E-2</c:v>
                </c:pt>
                <c:pt idx="7">
                  <c:v>0.17899999999999999</c:v>
                </c:pt>
                <c:pt idx="8">
                  <c:v>3.5000000000000003E-2</c:v>
                </c:pt>
                <c:pt idx="9">
                  <c:v>9.2999999999999999E-2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0.191</c:v>
                </c:pt>
                <c:pt idx="34">
                  <c:v>0.44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0.153</c:v>
                </c:pt>
                <c:pt idx="40">
                  <c:v>4.7E-2</c:v>
                </c:pt>
                <c:pt idx="41">
                  <c:v>5.3999999999999999E-2</c:v>
                </c:pt>
                <c:pt idx="42">
                  <c:v>0.123</c:v>
                </c:pt>
                <c:pt idx="43">
                  <c:v>0.123</c:v>
                </c:pt>
                <c:pt idx="44">
                  <c:v>0.13600000000000001</c:v>
                </c:pt>
                <c:pt idx="45">
                  <c:v>0.502</c:v>
                </c:pt>
                <c:pt idx="46">
                  <c:v>5.3999999999999999E-2</c:v>
                </c:pt>
                <c:pt idx="47">
                  <c:v>0.17399999999999999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71B-474A-8D2E-6AE97EF26749}"/>
            </c:ext>
          </c:extLst>
        </c:ser>
        <c:ser>
          <c:idx val="25"/>
          <c:order val="25"/>
          <c:tx>
            <c:v>BES_TR2_five494_B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Discharge_kW!$AB$2:$AB$49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0.188</c:v>
                </c:pt>
                <c:pt idx="2">
                  <c:v>5.3999999999999999E-2</c:v>
                </c:pt>
                <c:pt idx="3">
                  <c:v>0.188</c:v>
                </c:pt>
                <c:pt idx="4">
                  <c:v>5.3999999999999999E-2</c:v>
                </c:pt>
                <c:pt idx="5">
                  <c:v>0.155</c:v>
                </c:pt>
                <c:pt idx="6">
                  <c:v>8.7999999999999995E-2</c:v>
                </c:pt>
                <c:pt idx="7">
                  <c:v>0.106</c:v>
                </c:pt>
                <c:pt idx="8">
                  <c:v>0.11600000000000001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0.34399999999999997</c:v>
                </c:pt>
                <c:pt idx="31">
                  <c:v>0</c:v>
                </c:pt>
                <c:pt idx="32">
                  <c:v>0.69200000000000006</c:v>
                </c:pt>
                <c:pt idx="33">
                  <c:v>1.004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0.32200000000000001</c:v>
                </c:pt>
                <c:pt idx="40">
                  <c:v>0.27600000000000002</c:v>
                </c:pt>
                <c:pt idx="41">
                  <c:v>0.35199999999999998</c:v>
                </c:pt>
                <c:pt idx="42">
                  <c:v>0.501</c:v>
                </c:pt>
                <c:pt idx="43">
                  <c:v>0.58600000000000008</c:v>
                </c:pt>
                <c:pt idx="44">
                  <c:v>0.69599999999999995</c:v>
                </c:pt>
                <c:pt idx="45">
                  <c:v>0.46100000000000002</c:v>
                </c:pt>
                <c:pt idx="46">
                  <c:v>0.37</c:v>
                </c:pt>
                <c:pt idx="47">
                  <c:v>0.192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71B-474A-8D2E-6AE97EF26749}"/>
            </c:ext>
          </c:extLst>
        </c:ser>
        <c:ser>
          <c:idx val="26"/>
          <c:order val="26"/>
          <c:tx>
            <c:v>BES_TR2_five512_A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Discharge_kW!$AC$2:$AC$49</c:f>
              <c:numCache>
                <c:formatCode>#,##0.000</c:formatCode>
                <c:ptCount val="48"/>
                <c:pt idx="0">
                  <c:v>0.25700000000000001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9.2999999999999999E-2</c:v>
                </c:pt>
                <c:pt idx="5">
                  <c:v>0.221</c:v>
                </c:pt>
                <c:pt idx="6">
                  <c:v>5.6000000000000001E-2</c:v>
                </c:pt>
                <c:pt idx="7">
                  <c:v>0.255</c:v>
                </c:pt>
                <c:pt idx="8">
                  <c:v>3.1E-2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0.38600000000000001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0.70399999999999996</c:v>
                </c:pt>
                <c:pt idx="40">
                  <c:v>1.18</c:v>
                </c:pt>
                <c:pt idx="41">
                  <c:v>1.1499999999999999</c:v>
                </c:pt>
                <c:pt idx="42">
                  <c:v>0.66200000000000003</c:v>
                </c:pt>
                <c:pt idx="43">
                  <c:v>0.60699999999999998</c:v>
                </c:pt>
                <c:pt idx="44">
                  <c:v>0.46</c:v>
                </c:pt>
                <c:pt idx="45">
                  <c:v>5.6000000000000001E-2</c:v>
                </c:pt>
                <c:pt idx="46">
                  <c:v>5.6000000000000001E-2</c:v>
                </c:pt>
                <c:pt idx="47">
                  <c:v>0.129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71B-474A-8D2E-6AE97EF26749}"/>
            </c:ext>
          </c:extLst>
        </c:ser>
        <c:ser>
          <c:idx val="27"/>
          <c:order val="27"/>
          <c:tx>
            <c:v>BES_TR2_five520_C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Discharge_kW!$AD$2:$AD$49</c:f>
              <c:numCache>
                <c:formatCode>#,##0.000</c:formatCode>
                <c:ptCount val="48"/>
                <c:pt idx="0">
                  <c:v>8.6000000000000007E-2</c:v>
                </c:pt>
                <c:pt idx="1">
                  <c:v>0.156</c:v>
                </c:pt>
                <c:pt idx="2">
                  <c:v>4.5000000000000012E-2</c:v>
                </c:pt>
                <c:pt idx="3">
                  <c:v>0.19700000000000001</c:v>
                </c:pt>
                <c:pt idx="4">
                  <c:v>4.5000000000000012E-2</c:v>
                </c:pt>
                <c:pt idx="5">
                  <c:v>4.5000000000000012E-2</c:v>
                </c:pt>
                <c:pt idx="6">
                  <c:v>0.19700000000000001</c:v>
                </c:pt>
                <c:pt idx="7">
                  <c:v>4.3999999999999997E-2</c:v>
                </c:pt>
                <c:pt idx="8">
                  <c:v>9.5000000000000001E-2</c:v>
                </c:pt>
                <c:pt idx="9">
                  <c:v>4.1000000000000002E-2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1.0669999999999999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1.4810000000000001</c:v>
                </c:pt>
                <c:pt idx="34">
                  <c:v>0.23</c:v>
                </c:pt>
                <c:pt idx="35">
                  <c:v>0</c:v>
                </c:pt>
                <c:pt idx="36">
                  <c:v>0</c:v>
                </c:pt>
                <c:pt idx="37">
                  <c:v>1.4E-2</c:v>
                </c:pt>
                <c:pt idx="38">
                  <c:v>0</c:v>
                </c:pt>
                <c:pt idx="39">
                  <c:v>0.28499999999999998</c:v>
                </c:pt>
                <c:pt idx="40">
                  <c:v>0.40500000000000003</c:v>
                </c:pt>
                <c:pt idx="41">
                  <c:v>0.30499999999999999</c:v>
                </c:pt>
                <c:pt idx="42">
                  <c:v>0.52100000000000002</c:v>
                </c:pt>
                <c:pt idx="43">
                  <c:v>0.74</c:v>
                </c:pt>
                <c:pt idx="44">
                  <c:v>0.82399999999999995</c:v>
                </c:pt>
                <c:pt idx="45">
                  <c:v>0.499</c:v>
                </c:pt>
                <c:pt idx="46">
                  <c:v>0.435</c:v>
                </c:pt>
                <c:pt idx="47">
                  <c:v>0.54799999999999993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71B-474A-8D2E-6AE97EF26749}"/>
            </c:ext>
          </c:extLst>
        </c:ser>
        <c:ser>
          <c:idx val="28"/>
          <c:order val="28"/>
          <c:tx>
            <c:v>BES_TR2_five540_A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Discharge_kW!$AE$2:$AE$49</c:f>
              <c:numCache>
                <c:formatCode>#,##0.000</c:formatCode>
                <c:ptCount val="48"/>
                <c:pt idx="0">
                  <c:v>0.124</c:v>
                </c:pt>
                <c:pt idx="1">
                  <c:v>0.10199999999999999</c:v>
                </c:pt>
                <c:pt idx="2">
                  <c:v>5.1999999999999998E-2</c:v>
                </c:pt>
                <c:pt idx="3">
                  <c:v>9.0999999999999998E-2</c:v>
                </c:pt>
                <c:pt idx="4">
                  <c:v>0.13500000000000001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0.115</c:v>
                </c:pt>
                <c:pt idx="8">
                  <c:v>5.8000000000000003E-2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0.41199999999999998</c:v>
                </c:pt>
                <c:pt idx="35">
                  <c:v>0.747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0.13800000000000001</c:v>
                </c:pt>
                <c:pt idx="41">
                  <c:v>6.8999999999999992E-2</c:v>
                </c:pt>
                <c:pt idx="42">
                  <c:v>5.1999999999999998E-2</c:v>
                </c:pt>
                <c:pt idx="43">
                  <c:v>7.2000000000000008E-2</c:v>
                </c:pt>
                <c:pt idx="44">
                  <c:v>0.36799999999999999</c:v>
                </c:pt>
                <c:pt idx="45">
                  <c:v>0.374</c:v>
                </c:pt>
                <c:pt idx="46">
                  <c:v>0.43</c:v>
                </c:pt>
                <c:pt idx="47">
                  <c:v>0.40899999999999997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71B-474A-8D2E-6AE97EF26749}"/>
            </c:ext>
          </c:extLst>
        </c:ser>
        <c:ser>
          <c:idx val="29"/>
          <c:order val="29"/>
          <c:tx>
            <c:v>BES_TR2_five588_A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Discharge_kW!$AF$2:$AF$49</c:f>
              <c:numCache>
                <c:formatCode>#,##0.000</c:formatCode>
                <c:ptCount val="48"/>
                <c:pt idx="0">
                  <c:v>0.28199999999999997</c:v>
                </c:pt>
                <c:pt idx="1">
                  <c:v>0.20300000000000001</c:v>
                </c:pt>
                <c:pt idx="2">
                  <c:v>0.129</c:v>
                </c:pt>
                <c:pt idx="3">
                  <c:v>0.10299999999999999</c:v>
                </c:pt>
                <c:pt idx="4">
                  <c:v>0.21</c:v>
                </c:pt>
                <c:pt idx="5">
                  <c:v>0.17199999999999999</c:v>
                </c:pt>
                <c:pt idx="6">
                  <c:v>7.5999999999999998E-2</c:v>
                </c:pt>
                <c:pt idx="7">
                  <c:v>0.29199999999999998</c:v>
                </c:pt>
                <c:pt idx="8">
                  <c:v>3.4000000000000002E-2</c:v>
                </c:pt>
                <c:pt idx="9">
                  <c:v>7.2999999999999995E-2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0.58499999999999996</c:v>
                </c:pt>
                <c:pt idx="36">
                  <c:v>3.169</c:v>
                </c:pt>
                <c:pt idx="37">
                  <c:v>0</c:v>
                </c:pt>
                <c:pt idx="38">
                  <c:v>0</c:v>
                </c:pt>
                <c:pt idx="39">
                  <c:v>0.246</c:v>
                </c:pt>
                <c:pt idx="40">
                  <c:v>4.2000000000000003E-2</c:v>
                </c:pt>
                <c:pt idx="41">
                  <c:v>5.3999999999999999E-2</c:v>
                </c:pt>
                <c:pt idx="42">
                  <c:v>0.218</c:v>
                </c:pt>
                <c:pt idx="43">
                  <c:v>0.16300000000000001</c:v>
                </c:pt>
                <c:pt idx="44">
                  <c:v>6.8999999999999992E-2</c:v>
                </c:pt>
                <c:pt idx="45">
                  <c:v>0.313</c:v>
                </c:pt>
                <c:pt idx="46">
                  <c:v>5.3999999999999999E-2</c:v>
                </c:pt>
                <c:pt idx="47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71B-474A-8D2E-6AE97EF26749}"/>
            </c:ext>
          </c:extLst>
        </c:ser>
        <c:ser>
          <c:idx val="30"/>
          <c:order val="30"/>
          <c:tx>
            <c:v>BES_TR2_five649_A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Discharge_kW!$AG$2:$AG$49</c:f>
              <c:numCache>
                <c:formatCode>#,##0.000</c:formatCode>
                <c:ptCount val="48"/>
                <c:pt idx="0">
                  <c:v>3.5999999999999997E-2</c:v>
                </c:pt>
                <c:pt idx="1">
                  <c:v>0.153</c:v>
                </c:pt>
                <c:pt idx="2">
                  <c:v>3.5999999999999997E-2</c:v>
                </c:pt>
                <c:pt idx="3">
                  <c:v>3.5999999999999997E-2</c:v>
                </c:pt>
                <c:pt idx="4">
                  <c:v>0.112</c:v>
                </c:pt>
                <c:pt idx="5">
                  <c:v>7.6999999999999999E-2</c:v>
                </c:pt>
                <c:pt idx="6">
                  <c:v>4.8000000000000001E-2</c:v>
                </c:pt>
                <c:pt idx="7">
                  <c:v>0.13800000000000001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0.14599999999999999</c:v>
                </c:pt>
                <c:pt idx="40">
                  <c:v>0.26600000000000001</c:v>
                </c:pt>
                <c:pt idx="41">
                  <c:v>0.37</c:v>
                </c:pt>
                <c:pt idx="42">
                  <c:v>0.503</c:v>
                </c:pt>
                <c:pt idx="43">
                  <c:v>0.61099999999999999</c:v>
                </c:pt>
                <c:pt idx="44">
                  <c:v>0.216</c:v>
                </c:pt>
                <c:pt idx="45">
                  <c:v>0.153</c:v>
                </c:pt>
                <c:pt idx="46">
                  <c:v>3.5999999999999997E-2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71B-474A-8D2E-6AE97EF26749}"/>
            </c:ext>
          </c:extLst>
        </c:ser>
        <c:ser>
          <c:idx val="31"/>
          <c:order val="31"/>
          <c:tx>
            <c:v>BES_TR2_five663_C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Discharge_kW!$AH$2:$AH$49</c:f>
              <c:numCache>
                <c:formatCode>#,##0.000</c:formatCode>
                <c:ptCount val="48"/>
                <c:pt idx="0">
                  <c:v>0.20899999999999999</c:v>
                </c:pt>
                <c:pt idx="1">
                  <c:v>0.10299999999999999</c:v>
                </c:pt>
                <c:pt idx="2">
                  <c:v>0.222</c:v>
                </c:pt>
                <c:pt idx="3">
                  <c:v>0.10299999999999999</c:v>
                </c:pt>
                <c:pt idx="4">
                  <c:v>0.154</c:v>
                </c:pt>
                <c:pt idx="5">
                  <c:v>0.216</c:v>
                </c:pt>
                <c:pt idx="6">
                  <c:v>8.6999999999999994E-2</c:v>
                </c:pt>
                <c:pt idx="7">
                  <c:v>0.18099999999999999</c:v>
                </c:pt>
                <c:pt idx="8">
                  <c:v>3.4000000000000002E-2</c:v>
                </c:pt>
                <c:pt idx="9">
                  <c:v>0.124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0.16400000000000001</c:v>
                </c:pt>
                <c:pt idx="40">
                  <c:v>0.16400000000000001</c:v>
                </c:pt>
                <c:pt idx="41">
                  <c:v>9.6000000000000002E-2</c:v>
                </c:pt>
                <c:pt idx="42">
                  <c:v>0.16800000000000001</c:v>
                </c:pt>
                <c:pt idx="43">
                  <c:v>5.2999999999999999E-2</c:v>
                </c:pt>
                <c:pt idx="44">
                  <c:v>0.23400000000000001</c:v>
                </c:pt>
                <c:pt idx="45">
                  <c:v>0.14199999999999999</c:v>
                </c:pt>
                <c:pt idx="46">
                  <c:v>0.19700000000000001</c:v>
                </c:pt>
                <c:pt idx="47">
                  <c:v>0.17899999999999999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71B-474A-8D2E-6AE97EF26749}"/>
            </c:ext>
          </c:extLst>
        </c:ser>
        <c:ser>
          <c:idx val="32"/>
          <c:order val="32"/>
          <c:tx>
            <c:v>BES_TR2_five685_B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Discharge_kW!$AI$2:$AI$49</c:f>
              <c:numCache>
                <c:formatCode>#,##0.000</c:formatCode>
                <c:ptCount val="48"/>
                <c:pt idx="0">
                  <c:v>0.27200000000000002</c:v>
                </c:pt>
                <c:pt idx="1">
                  <c:v>5.1999999999999998E-2</c:v>
                </c:pt>
                <c:pt idx="2">
                  <c:v>0.17899999999999999</c:v>
                </c:pt>
                <c:pt idx="3">
                  <c:v>0.12</c:v>
                </c:pt>
                <c:pt idx="4">
                  <c:v>0.10100000000000001</c:v>
                </c:pt>
                <c:pt idx="5">
                  <c:v>0.20799999999999999</c:v>
                </c:pt>
                <c:pt idx="6">
                  <c:v>9.7000000000000003E-2</c:v>
                </c:pt>
                <c:pt idx="7">
                  <c:v>0.1</c:v>
                </c:pt>
                <c:pt idx="8">
                  <c:v>0.151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1.0999999999999999E-2</c:v>
                </c:pt>
                <c:pt idx="40">
                  <c:v>0.111</c:v>
                </c:pt>
                <c:pt idx="41">
                  <c:v>0.17899999999999999</c:v>
                </c:pt>
                <c:pt idx="42">
                  <c:v>0.08</c:v>
                </c:pt>
                <c:pt idx="43">
                  <c:v>0.77200000000000002</c:v>
                </c:pt>
                <c:pt idx="44">
                  <c:v>0.29699999999999999</c:v>
                </c:pt>
                <c:pt idx="45">
                  <c:v>5.7000000000000002E-2</c:v>
                </c:pt>
                <c:pt idx="46">
                  <c:v>0.193</c:v>
                </c:pt>
                <c:pt idx="47">
                  <c:v>0.151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71B-474A-8D2E-6AE97EF26749}"/>
            </c:ext>
          </c:extLst>
        </c:ser>
        <c:ser>
          <c:idx val="33"/>
          <c:order val="33"/>
          <c:tx>
            <c:v>BES_TR2_five695_A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Discharge_kW!$AJ$2:$AJ$49</c:f>
              <c:numCache>
                <c:formatCode>#,##0.000</c:formatCode>
                <c:ptCount val="48"/>
                <c:pt idx="0">
                  <c:v>0.158</c:v>
                </c:pt>
                <c:pt idx="1">
                  <c:v>4.9000000000000002E-2</c:v>
                </c:pt>
                <c:pt idx="2">
                  <c:v>0.22500000000000001</c:v>
                </c:pt>
                <c:pt idx="3">
                  <c:v>8.1000000000000003E-2</c:v>
                </c:pt>
                <c:pt idx="4">
                  <c:v>0.17399999999999999</c:v>
                </c:pt>
                <c:pt idx="5">
                  <c:v>0.13200000000000001</c:v>
                </c:pt>
                <c:pt idx="6">
                  <c:v>0.11600000000000001</c:v>
                </c:pt>
                <c:pt idx="7">
                  <c:v>0.186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1.756</c:v>
                </c:pt>
                <c:pt idx="40">
                  <c:v>0.52200000000000002</c:v>
                </c:pt>
                <c:pt idx="41">
                  <c:v>0.23100000000000001</c:v>
                </c:pt>
                <c:pt idx="42">
                  <c:v>0.32900000000000001</c:v>
                </c:pt>
                <c:pt idx="43">
                  <c:v>0.28100000000000003</c:v>
                </c:pt>
                <c:pt idx="44">
                  <c:v>0.307</c:v>
                </c:pt>
                <c:pt idx="45">
                  <c:v>0.42299999999999999</c:v>
                </c:pt>
                <c:pt idx="46">
                  <c:v>0.85699999999999998</c:v>
                </c:pt>
                <c:pt idx="47">
                  <c:v>0.74299999999999999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71B-474A-8D2E-6AE97EF26749}"/>
            </c:ext>
          </c:extLst>
        </c:ser>
        <c:ser>
          <c:idx val="34"/>
          <c:order val="34"/>
          <c:tx>
            <c:v>BES_TR2_five704_A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Discharge_kW!$AK$2:$AK$49</c:f>
              <c:numCache>
                <c:formatCode>#,##0.000</c:formatCode>
                <c:ptCount val="48"/>
                <c:pt idx="0">
                  <c:v>0.70899999999999996</c:v>
                </c:pt>
                <c:pt idx="1">
                  <c:v>0.85599999999999998</c:v>
                </c:pt>
                <c:pt idx="2">
                  <c:v>0.67900000000000005</c:v>
                </c:pt>
                <c:pt idx="3">
                  <c:v>0.14699999999999999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1.526</c:v>
                </c:pt>
                <c:pt idx="39">
                  <c:v>1.3480000000000001</c:v>
                </c:pt>
                <c:pt idx="40">
                  <c:v>0.60400000000000009</c:v>
                </c:pt>
                <c:pt idx="41">
                  <c:v>0.93499999999999994</c:v>
                </c:pt>
                <c:pt idx="42">
                  <c:v>0.74299999999999999</c:v>
                </c:pt>
                <c:pt idx="43">
                  <c:v>1.07</c:v>
                </c:pt>
                <c:pt idx="44">
                  <c:v>0.94600000000000006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71B-474A-8D2E-6AE97EF26749}"/>
            </c:ext>
          </c:extLst>
        </c:ser>
        <c:ser>
          <c:idx val="35"/>
          <c:order val="35"/>
          <c:tx>
            <c:v>BES_TR2_five733_C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Discharge_kW!$AL$2:$AL$49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0.05</c:v>
                </c:pt>
                <c:pt idx="8">
                  <c:v>2.7E-2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4.2000000000000003E-2</c:v>
                </c:pt>
                <c:pt idx="41">
                  <c:v>5.1999999999999998E-2</c:v>
                </c:pt>
                <c:pt idx="42">
                  <c:v>5.1999999999999998E-2</c:v>
                </c:pt>
                <c:pt idx="43">
                  <c:v>0.222</c:v>
                </c:pt>
                <c:pt idx="44">
                  <c:v>0.42599999999999999</c:v>
                </c:pt>
                <c:pt idx="45">
                  <c:v>0.56099999999999994</c:v>
                </c:pt>
                <c:pt idx="46">
                  <c:v>0.51600000000000001</c:v>
                </c:pt>
                <c:pt idx="47">
                  <c:v>0.159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71B-474A-8D2E-6AE97EF26749}"/>
            </c:ext>
          </c:extLst>
        </c:ser>
        <c:ser>
          <c:idx val="36"/>
          <c:order val="36"/>
          <c:tx>
            <c:v>BES_TR2_five117_B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Discharge_kW!$AM$2:$AM$49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0.22700000000000001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0.22700000000000001</c:v>
                </c:pt>
                <c:pt idx="5">
                  <c:v>4.8000000000000001E-2</c:v>
                </c:pt>
                <c:pt idx="6">
                  <c:v>0.154</c:v>
                </c:pt>
                <c:pt idx="7">
                  <c:v>0.11799999999999999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0.16400000000000001</c:v>
                </c:pt>
                <c:pt idx="40">
                  <c:v>0.06</c:v>
                </c:pt>
                <c:pt idx="41">
                  <c:v>0.28899999999999998</c:v>
                </c:pt>
                <c:pt idx="42">
                  <c:v>0.249</c:v>
                </c:pt>
                <c:pt idx="43">
                  <c:v>0.434</c:v>
                </c:pt>
                <c:pt idx="44">
                  <c:v>1.448</c:v>
                </c:pt>
                <c:pt idx="45">
                  <c:v>0.59299999999999997</c:v>
                </c:pt>
                <c:pt idx="46">
                  <c:v>0.223</c:v>
                </c:pt>
                <c:pt idx="47">
                  <c:v>0.16200000000000001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71B-474A-8D2E-6AE97EF26749}"/>
            </c:ext>
          </c:extLst>
        </c:ser>
        <c:ser>
          <c:idx val="37"/>
          <c:order val="37"/>
          <c:tx>
            <c:v>BES_TR2_five778_B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Discharge_kW!$AN$2:$AN$49</c:f>
              <c:numCache>
                <c:formatCode>#,##0.000</c:formatCode>
                <c:ptCount val="48"/>
                <c:pt idx="0">
                  <c:v>0.214</c:v>
                </c:pt>
                <c:pt idx="1">
                  <c:v>4.5999999999999999E-2</c:v>
                </c:pt>
                <c:pt idx="2">
                  <c:v>0.183</c:v>
                </c:pt>
                <c:pt idx="3">
                  <c:v>7.6999999999999999E-2</c:v>
                </c:pt>
                <c:pt idx="4">
                  <c:v>0.115</c:v>
                </c:pt>
                <c:pt idx="5">
                  <c:v>0.14499999999999999</c:v>
                </c:pt>
                <c:pt idx="6">
                  <c:v>4.5999999999999999E-2</c:v>
                </c:pt>
                <c:pt idx="7">
                  <c:v>0.21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0.19400000000000001</c:v>
                </c:pt>
                <c:pt idx="41">
                  <c:v>4.5999999999999999E-2</c:v>
                </c:pt>
                <c:pt idx="42">
                  <c:v>0.14499999999999999</c:v>
                </c:pt>
                <c:pt idx="43">
                  <c:v>0.115</c:v>
                </c:pt>
                <c:pt idx="44">
                  <c:v>4.5999999999999999E-2</c:v>
                </c:pt>
                <c:pt idx="45">
                  <c:v>4.5999999999999999E-2</c:v>
                </c:pt>
                <c:pt idx="46">
                  <c:v>0.192</c:v>
                </c:pt>
                <c:pt idx="47">
                  <c:v>0.72499999999999998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71B-474A-8D2E-6AE97EF26749}"/>
            </c:ext>
          </c:extLst>
        </c:ser>
        <c:ser>
          <c:idx val="38"/>
          <c:order val="38"/>
          <c:tx>
            <c:v>BES_TR2_five799_C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Discharge_kW!$AO$2:$AO$49</c:f>
              <c:numCache>
                <c:formatCode>#,##0.000</c:formatCode>
                <c:ptCount val="48"/>
                <c:pt idx="0">
                  <c:v>0.86</c:v>
                </c:pt>
                <c:pt idx="1">
                  <c:v>0.63900000000000001</c:v>
                </c:pt>
                <c:pt idx="2">
                  <c:v>0.38700000000000001</c:v>
                </c:pt>
                <c:pt idx="3">
                  <c:v>0.192</c:v>
                </c:pt>
                <c:pt idx="4">
                  <c:v>0.18</c:v>
                </c:pt>
                <c:pt idx="5">
                  <c:v>6.4000000000000001E-2</c:v>
                </c:pt>
                <c:pt idx="6">
                  <c:v>6.8999999999999992E-2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0.28799999999999998</c:v>
                </c:pt>
                <c:pt idx="20">
                  <c:v>0.32300000000000001</c:v>
                </c:pt>
                <c:pt idx="21">
                  <c:v>0.29099999999999998</c:v>
                </c:pt>
                <c:pt idx="22">
                  <c:v>0</c:v>
                </c:pt>
                <c:pt idx="23">
                  <c:v>0</c:v>
                </c:pt>
                <c:pt idx="24">
                  <c:v>0.48299999999999998</c:v>
                </c:pt>
                <c:pt idx="25">
                  <c:v>0.27400000000000002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0.39200000000000002</c:v>
                </c:pt>
                <c:pt idx="40">
                  <c:v>0.438</c:v>
                </c:pt>
                <c:pt idx="41">
                  <c:v>0.53700000000000003</c:v>
                </c:pt>
                <c:pt idx="42">
                  <c:v>0.60199999999999998</c:v>
                </c:pt>
                <c:pt idx="43">
                  <c:v>0.46500000000000002</c:v>
                </c:pt>
                <c:pt idx="44">
                  <c:v>0.06</c:v>
                </c:pt>
                <c:pt idx="45">
                  <c:v>0.111</c:v>
                </c:pt>
                <c:pt idx="46">
                  <c:v>0.26700000000000002</c:v>
                </c:pt>
                <c:pt idx="47">
                  <c:v>6.3E-2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71B-474A-8D2E-6AE97EF26749}"/>
            </c:ext>
          </c:extLst>
        </c:ser>
        <c:ser>
          <c:idx val="39"/>
          <c:order val="39"/>
          <c:tx>
            <c:v>BES_TR2_five801_C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Discharge_kW!$AP$2:$AP$49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0.121</c:v>
                </c:pt>
                <c:pt idx="2">
                  <c:v>5.2999999999999999E-2</c:v>
                </c:pt>
                <c:pt idx="3">
                  <c:v>8.3000000000000004E-2</c:v>
                </c:pt>
                <c:pt idx="4">
                  <c:v>9.0999999999999998E-2</c:v>
                </c:pt>
                <c:pt idx="5">
                  <c:v>5.2999999999999999E-2</c:v>
                </c:pt>
                <c:pt idx="6">
                  <c:v>0.121</c:v>
                </c:pt>
                <c:pt idx="7">
                  <c:v>0.05</c:v>
                </c:pt>
                <c:pt idx="8">
                  <c:v>3.0000000000000001E-3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0.34699999999999998</c:v>
                </c:pt>
                <c:pt idx="40">
                  <c:v>0.76100000000000001</c:v>
                </c:pt>
                <c:pt idx="41">
                  <c:v>0.71699999999999997</c:v>
                </c:pt>
                <c:pt idx="42">
                  <c:v>0.51700000000000002</c:v>
                </c:pt>
                <c:pt idx="43">
                  <c:v>0.61899999999999999</c:v>
                </c:pt>
                <c:pt idx="44">
                  <c:v>0.81800000000000006</c:v>
                </c:pt>
                <c:pt idx="45">
                  <c:v>0.73699999999999999</c:v>
                </c:pt>
                <c:pt idx="46">
                  <c:v>0.70200000000000007</c:v>
                </c:pt>
                <c:pt idx="47">
                  <c:v>0.32100000000000001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271B-474A-8D2E-6AE97EF26749}"/>
            </c:ext>
          </c:extLst>
        </c:ser>
        <c:ser>
          <c:idx val="40"/>
          <c:order val="40"/>
          <c:tx>
            <c:v>BES_TR2_five831_C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Discharge_kW!$AQ$2:$AQ$49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5.8000000000000003E-2</c:v>
                </c:pt>
                <c:pt idx="2">
                  <c:v>0.161</c:v>
                </c:pt>
                <c:pt idx="3">
                  <c:v>0.106</c:v>
                </c:pt>
                <c:pt idx="4">
                  <c:v>9.1999999999999998E-2</c:v>
                </c:pt>
                <c:pt idx="5">
                  <c:v>0.17399999999999999</c:v>
                </c:pt>
                <c:pt idx="6">
                  <c:v>5.8000000000000003E-2</c:v>
                </c:pt>
                <c:pt idx="7">
                  <c:v>0.2</c:v>
                </c:pt>
                <c:pt idx="8">
                  <c:v>3.4000000000000002E-2</c:v>
                </c:pt>
                <c:pt idx="9">
                  <c:v>2E-3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2.0880000000000001</c:v>
                </c:pt>
                <c:pt idx="24">
                  <c:v>1.0720000000000001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0.06</c:v>
                </c:pt>
                <c:pt idx="38">
                  <c:v>0</c:v>
                </c:pt>
                <c:pt idx="39">
                  <c:v>0</c:v>
                </c:pt>
                <c:pt idx="40">
                  <c:v>0.14799999999999999</c:v>
                </c:pt>
                <c:pt idx="41">
                  <c:v>0.106</c:v>
                </c:pt>
                <c:pt idx="42">
                  <c:v>1.0089999999999999</c:v>
                </c:pt>
                <c:pt idx="43">
                  <c:v>1.0620000000000001</c:v>
                </c:pt>
                <c:pt idx="44">
                  <c:v>5.8000000000000003E-2</c:v>
                </c:pt>
                <c:pt idx="45">
                  <c:v>0.188</c:v>
                </c:pt>
                <c:pt idx="46">
                  <c:v>7.9000000000000001E-2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71B-474A-8D2E-6AE97EF26749}"/>
            </c:ext>
          </c:extLst>
        </c:ser>
        <c:ser>
          <c:idx val="41"/>
          <c:order val="41"/>
          <c:tx>
            <c:v>BES_TR2_five881_C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Discharge_kW!$AR$2:$AR$49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4.9000000000000002E-2</c:v>
                </c:pt>
                <c:pt idx="2">
                  <c:v>0.14799999999999999</c:v>
                </c:pt>
                <c:pt idx="3">
                  <c:v>7.3999999999999996E-2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0.17299999999999999</c:v>
                </c:pt>
                <c:pt idx="7">
                  <c:v>4.7E-2</c:v>
                </c:pt>
                <c:pt idx="8">
                  <c:v>2.4E-2</c:v>
                </c:pt>
                <c:pt idx="9">
                  <c:v>3.7999999999999999E-2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0.22800000000000001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2.5999999999999999E-2</c:v>
                </c:pt>
                <c:pt idx="22">
                  <c:v>0</c:v>
                </c:pt>
                <c:pt idx="23">
                  <c:v>0.115</c:v>
                </c:pt>
                <c:pt idx="24">
                  <c:v>0.14499999999999999</c:v>
                </c:pt>
                <c:pt idx="25">
                  <c:v>7.1000000000000008E-2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0.66299999999999992</c:v>
                </c:pt>
                <c:pt idx="32">
                  <c:v>1.524</c:v>
                </c:pt>
                <c:pt idx="33">
                  <c:v>1.9530000000000001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0.107</c:v>
                </c:pt>
                <c:pt idx="40">
                  <c:v>5.0999999999999997E-2</c:v>
                </c:pt>
                <c:pt idx="41">
                  <c:v>5.5E-2</c:v>
                </c:pt>
                <c:pt idx="42">
                  <c:v>0.16600000000000001</c:v>
                </c:pt>
                <c:pt idx="43">
                  <c:v>5.5E-2</c:v>
                </c:pt>
                <c:pt idx="44">
                  <c:v>0.16600000000000001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6.8000000000000005E-2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271B-474A-8D2E-6AE97EF26749}"/>
            </c:ext>
          </c:extLst>
        </c:ser>
        <c:ser>
          <c:idx val="42"/>
          <c:order val="42"/>
          <c:tx>
            <c:v>BES_TR2_five118_B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Discharge_kW!$AS$2:$AS$49</c:f>
              <c:numCache>
                <c:formatCode>#,##0.000</c:formatCode>
                <c:ptCount val="48"/>
                <c:pt idx="0">
                  <c:v>0.23499999999999999</c:v>
                </c:pt>
                <c:pt idx="1">
                  <c:v>0.20300000000000001</c:v>
                </c:pt>
                <c:pt idx="2">
                  <c:v>0.1</c:v>
                </c:pt>
                <c:pt idx="3">
                  <c:v>0.20300000000000001</c:v>
                </c:pt>
                <c:pt idx="4">
                  <c:v>0.27100000000000002</c:v>
                </c:pt>
                <c:pt idx="5">
                  <c:v>0.248</c:v>
                </c:pt>
                <c:pt idx="6">
                  <c:v>6.2E-2</c:v>
                </c:pt>
                <c:pt idx="7">
                  <c:v>0.32400000000000001</c:v>
                </c:pt>
                <c:pt idx="8">
                  <c:v>0.115</c:v>
                </c:pt>
                <c:pt idx="9">
                  <c:v>1.2E-2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0.67800000000000005</c:v>
                </c:pt>
                <c:pt idx="40">
                  <c:v>0.89800000000000002</c:v>
                </c:pt>
                <c:pt idx="41">
                  <c:v>0.63500000000000001</c:v>
                </c:pt>
                <c:pt idx="42">
                  <c:v>0.878</c:v>
                </c:pt>
                <c:pt idx="43">
                  <c:v>0.63200000000000001</c:v>
                </c:pt>
                <c:pt idx="44">
                  <c:v>0.69300000000000006</c:v>
                </c:pt>
                <c:pt idx="45">
                  <c:v>0.84299999999999997</c:v>
                </c:pt>
                <c:pt idx="46">
                  <c:v>0.70100000000000007</c:v>
                </c:pt>
                <c:pt idx="47">
                  <c:v>0.68499999999999994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71B-474A-8D2E-6AE97EF26749}"/>
            </c:ext>
          </c:extLst>
        </c:ser>
        <c:ser>
          <c:idx val="43"/>
          <c:order val="43"/>
          <c:tx>
            <c:v>BES_TR2_six64_A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Discharge_kW!$AT$2:$AT$49</c:f>
              <c:numCache>
                <c:formatCode>#,##0.000</c:formatCode>
                <c:ptCount val="48"/>
                <c:pt idx="0">
                  <c:v>0.27300000000000002</c:v>
                </c:pt>
                <c:pt idx="1">
                  <c:v>0.25</c:v>
                </c:pt>
                <c:pt idx="2">
                  <c:v>0.16700000000000001</c:v>
                </c:pt>
                <c:pt idx="3">
                  <c:v>7.5999999999999998E-2</c:v>
                </c:pt>
                <c:pt idx="4">
                  <c:v>0.39200000000000002</c:v>
                </c:pt>
                <c:pt idx="5">
                  <c:v>0.13</c:v>
                </c:pt>
                <c:pt idx="6">
                  <c:v>0.123</c:v>
                </c:pt>
                <c:pt idx="7">
                  <c:v>0.26800000000000002</c:v>
                </c:pt>
                <c:pt idx="8">
                  <c:v>0.14899999999999999</c:v>
                </c:pt>
                <c:pt idx="9">
                  <c:v>9.8999999999999991E-2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0.158</c:v>
                </c:pt>
                <c:pt idx="40">
                  <c:v>9.6000000000000002E-2</c:v>
                </c:pt>
                <c:pt idx="41">
                  <c:v>0.40400000000000003</c:v>
                </c:pt>
                <c:pt idx="42">
                  <c:v>9.0999999999999998E-2</c:v>
                </c:pt>
                <c:pt idx="43">
                  <c:v>0.25900000000000001</c:v>
                </c:pt>
                <c:pt idx="44">
                  <c:v>0.23799999999999999</c:v>
                </c:pt>
                <c:pt idx="45">
                  <c:v>0.20899999999999999</c:v>
                </c:pt>
                <c:pt idx="46">
                  <c:v>0.26500000000000001</c:v>
                </c:pt>
                <c:pt idx="47">
                  <c:v>0.21299999999999999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271B-474A-8D2E-6AE97EF26749}"/>
            </c:ext>
          </c:extLst>
        </c:ser>
        <c:ser>
          <c:idx val="44"/>
          <c:order val="44"/>
          <c:tx>
            <c:v>BES_TR2_six154_C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Discharge_kW!$AU$2:$AU$49</c:f>
              <c:numCache>
                <c:formatCode>#,##0.000</c:formatCode>
                <c:ptCount val="48"/>
                <c:pt idx="0">
                  <c:v>0.156</c:v>
                </c:pt>
                <c:pt idx="1">
                  <c:v>5.3999999999999999E-2</c:v>
                </c:pt>
                <c:pt idx="2">
                  <c:v>5.3999999999999999E-2</c:v>
                </c:pt>
                <c:pt idx="3">
                  <c:v>0.16400000000000001</c:v>
                </c:pt>
                <c:pt idx="4">
                  <c:v>5.3999999999999999E-2</c:v>
                </c:pt>
                <c:pt idx="5">
                  <c:v>0.16400000000000001</c:v>
                </c:pt>
                <c:pt idx="6">
                  <c:v>5.3999999999999999E-2</c:v>
                </c:pt>
                <c:pt idx="7">
                  <c:v>5.1999999999999998E-2</c:v>
                </c:pt>
                <c:pt idx="8">
                  <c:v>8.3999999999999991E-2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1.4139999999999999</c:v>
                </c:pt>
                <c:pt idx="38">
                  <c:v>2.1269999999999998</c:v>
                </c:pt>
                <c:pt idx="39">
                  <c:v>0.97799999999999987</c:v>
                </c:pt>
                <c:pt idx="40">
                  <c:v>0.4</c:v>
                </c:pt>
                <c:pt idx="41">
                  <c:v>1.276</c:v>
                </c:pt>
                <c:pt idx="42">
                  <c:v>0.66400000000000003</c:v>
                </c:pt>
                <c:pt idx="43">
                  <c:v>0.312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71B-474A-8D2E-6AE97EF26749}"/>
            </c:ext>
          </c:extLst>
        </c:ser>
        <c:ser>
          <c:idx val="45"/>
          <c:order val="45"/>
          <c:tx>
            <c:v>BES_TR2_six173_C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Discharge_kW!$AV$2:$AV$49</c:f>
              <c:numCache>
                <c:formatCode>#,##0.000</c:formatCode>
                <c:ptCount val="48"/>
                <c:pt idx="0">
                  <c:v>0.53</c:v>
                </c:pt>
                <c:pt idx="1">
                  <c:v>0.36299999999999999</c:v>
                </c:pt>
                <c:pt idx="2">
                  <c:v>0.871</c:v>
                </c:pt>
                <c:pt idx="3">
                  <c:v>0.309</c:v>
                </c:pt>
                <c:pt idx="4">
                  <c:v>4.3999999999999997E-2</c:v>
                </c:pt>
                <c:pt idx="5">
                  <c:v>0.192</c:v>
                </c:pt>
                <c:pt idx="6">
                  <c:v>6.7000000000000004E-2</c:v>
                </c:pt>
                <c:pt idx="7">
                  <c:v>1.4E-2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0.41199999999999998</c:v>
                </c:pt>
                <c:pt idx="40">
                  <c:v>0.71799999999999997</c:v>
                </c:pt>
                <c:pt idx="41">
                  <c:v>0.78299999999999992</c:v>
                </c:pt>
                <c:pt idx="42">
                  <c:v>0.57999999999999996</c:v>
                </c:pt>
                <c:pt idx="43">
                  <c:v>1.008</c:v>
                </c:pt>
                <c:pt idx="44">
                  <c:v>0.72900000000000009</c:v>
                </c:pt>
                <c:pt idx="45">
                  <c:v>0.85299999999999998</c:v>
                </c:pt>
                <c:pt idx="46">
                  <c:v>0.67599999999999993</c:v>
                </c:pt>
                <c:pt idx="47">
                  <c:v>0.60899999999999999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271B-474A-8D2E-6AE97EF26749}"/>
            </c:ext>
          </c:extLst>
        </c:ser>
        <c:ser>
          <c:idx val="46"/>
          <c:order val="46"/>
          <c:tx>
            <c:v>BES_TR2_six186_A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Discharge_kW!$AW$2:$AW$49</c:f>
              <c:numCache>
                <c:formatCode>#,##0.000</c:formatCode>
                <c:ptCount val="48"/>
                <c:pt idx="0">
                  <c:v>0.192</c:v>
                </c:pt>
                <c:pt idx="1">
                  <c:v>0.17399999999999999</c:v>
                </c:pt>
                <c:pt idx="2">
                  <c:v>7.9000000000000001E-2</c:v>
                </c:pt>
                <c:pt idx="3">
                  <c:v>0.22900000000000001</c:v>
                </c:pt>
                <c:pt idx="4">
                  <c:v>0.104</c:v>
                </c:pt>
                <c:pt idx="5">
                  <c:v>0.19800000000000001</c:v>
                </c:pt>
                <c:pt idx="6">
                  <c:v>0.16900000000000001</c:v>
                </c:pt>
                <c:pt idx="7">
                  <c:v>4.2999999999999997E-2</c:v>
                </c:pt>
                <c:pt idx="8">
                  <c:v>0.26400000000000001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0.35</c:v>
                </c:pt>
                <c:pt idx="40">
                  <c:v>0.371</c:v>
                </c:pt>
                <c:pt idx="41">
                  <c:v>0.754</c:v>
                </c:pt>
                <c:pt idx="42">
                  <c:v>0.41499999999999998</c:v>
                </c:pt>
                <c:pt idx="43">
                  <c:v>0.52400000000000002</c:v>
                </c:pt>
                <c:pt idx="44">
                  <c:v>0.69599999999999995</c:v>
                </c:pt>
                <c:pt idx="45">
                  <c:v>0.33</c:v>
                </c:pt>
                <c:pt idx="46">
                  <c:v>0.26100000000000001</c:v>
                </c:pt>
                <c:pt idx="47">
                  <c:v>0.16400000000000001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71B-474A-8D2E-6AE97EF26749}"/>
            </c:ext>
          </c:extLst>
        </c:ser>
        <c:ser>
          <c:idx val="47"/>
          <c:order val="47"/>
          <c:tx>
            <c:v>BES_TR2_six191_B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Discharge_kW!$AX$2:$AX$49</c:f>
              <c:numCache>
                <c:formatCode>#,##0.000</c:formatCode>
                <c:ptCount val="48"/>
                <c:pt idx="0">
                  <c:v>0.16700000000000001</c:v>
                </c:pt>
                <c:pt idx="1">
                  <c:v>0.26200000000000001</c:v>
                </c:pt>
                <c:pt idx="2">
                  <c:v>0.188</c:v>
                </c:pt>
                <c:pt idx="3">
                  <c:v>0.23699999999999999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5.7000000000000002E-2</c:v>
                </c:pt>
                <c:pt idx="8">
                  <c:v>2.3E-2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0.29899999999999999</c:v>
                </c:pt>
                <c:pt idx="40">
                  <c:v>0.48899999999999988</c:v>
                </c:pt>
                <c:pt idx="41">
                  <c:v>0.53900000000000003</c:v>
                </c:pt>
                <c:pt idx="42">
                  <c:v>0.73299999999999998</c:v>
                </c:pt>
                <c:pt idx="43">
                  <c:v>0.36900000000000011</c:v>
                </c:pt>
                <c:pt idx="44">
                  <c:v>0.48799999999999999</c:v>
                </c:pt>
                <c:pt idx="45">
                  <c:v>0.59799999999999998</c:v>
                </c:pt>
                <c:pt idx="46">
                  <c:v>0.55500000000000005</c:v>
                </c:pt>
                <c:pt idx="47">
                  <c:v>0.623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271B-474A-8D2E-6AE97EF26749}"/>
            </c:ext>
          </c:extLst>
        </c:ser>
        <c:ser>
          <c:idx val="48"/>
          <c:order val="48"/>
          <c:tx>
            <c:v>BES_TR2_six203_A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Discharge_kW!$AY$2:$AY$49</c:f>
              <c:numCache>
                <c:formatCode>#,##0.000</c:formatCode>
                <c:ptCount val="48"/>
                <c:pt idx="0">
                  <c:v>0.14399999999999999</c:v>
                </c:pt>
                <c:pt idx="1">
                  <c:v>4.9000000000000002E-2</c:v>
                </c:pt>
                <c:pt idx="2">
                  <c:v>0.14399999999999999</c:v>
                </c:pt>
                <c:pt idx="3">
                  <c:v>4.9000000000000002E-2</c:v>
                </c:pt>
                <c:pt idx="4">
                  <c:v>0.111</c:v>
                </c:pt>
                <c:pt idx="5">
                  <c:v>8.2000000000000003E-2</c:v>
                </c:pt>
                <c:pt idx="6">
                  <c:v>4.9000000000000002E-2</c:v>
                </c:pt>
                <c:pt idx="7">
                  <c:v>0.14099999999999999</c:v>
                </c:pt>
                <c:pt idx="8">
                  <c:v>1.2E-2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0.48299999999999998</c:v>
                </c:pt>
                <c:pt idx="39">
                  <c:v>1.3560000000000001</c:v>
                </c:pt>
                <c:pt idx="40">
                  <c:v>2.0259999999999998</c:v>
                </c:pt>
                <c:pt idx="41">
                  <c:v>0.52700000000000002</c:v>
                </c:pt>
                <c:pt idx="42">
                  <c:v>0.44600000000000001</c:v>
                </c:pt>
                <c:pt idx="43">
                  <c:v>0.35</c:v>
                </c:pt>
                <c:pt idx="44">
                  <c:v>0.12</c:v>
                </c:pt>
                <c:pt idx="45">
                  <c:v>4.9000000000000002E-2</c:v>
                </c:pt>
                <c:pt idx="46">
                  <c:v>0.14399999999999999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71B-474A-8D2E-6AE97EF26749}"/>
            </c:ext>
          </c:extLst>
        </c:ser>
        <c:ser>
          <c:idx val="49"/>
          <c:order val="49"/>
          <c:tx>
            <c:v>BES_TR2_six232_C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Discharge_kW!$AZ$2:$AZ$49</c:f>
              <c:numCache>
                <c:formatCode>#,##0.000</c:formatCode>
                <c:ptCount val="48"/>
                <c:pt idx="0">
                  <c:v>0.16700000000000001</c:v>
                </c:pt>
                <c:pt idx="1">
                  <c:v>0.129</c:v>
                </c:pt>
                <c:pt idx="2">
                  <c:v>0.05</c:v>
                </c:pt>
                <c:pt idx="3">
                  <c:v>0.109</c:v>
                </c:pt>
                <c:pt idx="4">
                  <c:v>0.188</c:v>
                </c:pt>
                <c:pt idx="5">
                  <c:v>6.4999999999999988E-2</c:v>
                </c:pt>
                <c:pt idx="6">
                  <c:v>0.11899999999999999</c:v>
                </c:pt>
                <c:pt idx="7">
                  <c:v>0.111</c:v>
                </c:pt>
                <c:pt idx="8">
                  <c:v>1.0999999999999999E-2</c:v>
                </c:pt>
                <c:pt idx="9">
                  <c:v>6.4999999999999988E-2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0.18</c:v>
                </c:pt>
                <c:pt idx="39">
                  <c:v>0.23899999999999999</c:v>
                </c:pt>
                <c:pt idx="40">
                  <c:v>0.50900000000000001</c:v>
                </c:pt>
                <c:pt idx="41">
                  <c:v>0.70899999999999996</c:v>
                </c:pt>
                <c:pt idx="42">
                  <c:v>0.6130000000000001</c:v>
                </c:pt>
                <c:pt idx="43">
                  <c:v>0.13700000000000001</c:v>
                </c:pt>
                <c:pt idx="44">
                  <c:v>0.106</c:v>
                </c:pt>
                <c:pt idx="45">
                  <c:v>0.19</c:v>
                </c:pt>
                <c:pt idx="46">
                  <c:v>0.13300000000000001</c:v>
                </c:pt>
                <c:pt idx="47">
                  <c:v>0.113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271B-474A-8D2E-6AE97EF26749}"/>
            </c:ext>
          </c:extLst>
        </c:ser>
        <c:ser>
          <c:idx val="50"/>
          <c:order val="50"/>
          <c:tx>
            <c:v>BES_TR2_six238_A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Discharge_kW!$BA$2:$BA$49</c:f>
              <c:numCache>
                <c:formatCode>#,##0.000</c:formatCode>
                <c:ptCount val="48"/>
                <c:pt idx="0">
                  <c:v>3.4000000000000002E-2</c:v>
                </c:pt>
                <c:pt idx="1">
                  <c:v>3.4000000000000002E-2</c:v>
                </c:pt>
                <c:pt idx="2">
                  <c:v>0.151</c:v>
                </c:pt>
                <c:pt idx="3">
                  <c:v>8.8999999999999996E-2</c:v>
                </c:pt>
                <c:pt idx="4">
                  <c:v>3.4000000000000002E-2</c:v>
                </c:pt>
                <c:pt idx="5">
                  <c:v>3.4000000000000002E-2</c:v>
                </c:pt>
                <c:pt idx="6">
                  <c:v>3.4000000000000002E-2</c:v>
                </c:pt>
                <c:pt idx="7">
                  <c:v>0.17899999999999999</c:v>
                </c:pt>
                <c:pt idx="8">
                  <c:v>1.4E-2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0.16</c:v>
                </c:pt>
                <c:pt idx="34">
                  <c:v>0</c:v>
                </c:pt>
                <c:pt idx="35">
                  <c:v>0.222</c:v>
                </c:pt>
                <c:pt idx="36">
                  <c:v>0.16700000000000001</c:v>
                </c:pt>
                <c:pt idx="37">
                  <c:v>1.115</c:v>
                </c:pt>
                <c:pt idx="38">
                  <c:v>0.13900000000000001</c:v>
                </c:pt>
                <c:pt idx="39">
                  <c:v>0.16600000000000001</c:v>
                </c:pt>
                <c:pt idx="40">
                  <c:v>0.41699999999999998</c:v>
                </c:pt>
                <c:pt idx="41">
                  <c:v>0.35499999999999998</c:v>
                </c:pt>
                <c:pt idx="42">
                  <c:v>0.55599999999999994</c:v>
                </c:pt>
                <c:pt idx="43">
                  <c:v>0.75900000000000001</c:v>
                </c:pt>
                <c:pt idx="44">
                  <c:v>0.501</c:v>
                </c:pt>
                <c:pt idx="45">
                  <c:v>0.371</c:v>
                </c:pt>
                <c:pt idx="46">
                  <c:v>0.38900000000000001</c:v>
                </c:pt>
                <c:pt idx="47">
                  <c:v>0.33700000000000002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71B-474A-8D2E-6AE97EF26749}"/>
            </c:ext>
          </c:extLst>
        </c:ser>
        <c:ser>
          <c:idx val="51"/>
          <c:order val="51"/>
          <c:tx>
            <c:v>BES_TR2_six249_B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Discharge_kW!$BB$2:$BB$49</c:f>
              <c:numCache>
                <c:formatCode>#,##0.000</c:formatCode>
                <c:ptCount val="48"/>
                <c:pt idx="0">
                  <c:v>3.7999999999999999E-2</c:v>
                </c:pt>
                <c:pt idx="1">
                  <c:v>0.13800000000000001</c:v>
                </c:pt>
                <c:pt idx="2">
                  <c:v>8.3999999999999991E-2</c:v>
                </c:pt>
                <c:pt idx="3">
                  <c:v>0.26100000000000001</c:v>
                </c:pt>
                <c:pt idx="4">
                  <c:v>3.7999999999999999E-2</c:v>
                </c:pt>
                <c:pt idx="5">
                  <c:v>0.20699999999999999</c:v>
                </c:pt>
                <c:pt idx="6">
                  <c:v>0.13800000000000001</c:v>
                </c:pt>
                <c:pt idx="7">
                  <c:v>0.17399999999999999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0.161</c:v>
                </c:pt>
                <c:pt idx="39">
                  <c:v>0.48399999999999999</c:v>
                </c:pt>
                <c:pt idx="40">
                  <c:v>0.36099999999999999</c:v>
                </c:pt>
                <c:pt idx="41">
                  <c:v>0.246</c:v>
                </c:pt>
                <c:pt idx="42">
                  <c:v>3.7999999999999999E-2</c:v>
                </c:pt>
                <c:pt idx="43">
                  <c:v>6.7000000000000004E-2</c:v>
                </c:pt>
                <c:pt idx="44">
                  <c:v>0.24</c:v>
                </c:pt>
                <c:pt idx="45">
                  <c:v>7.5999999999999998E-2</c:v>
                </c:pt>
                <c:pt idx="46">
                  <c:v>0.13800000000000001</c:v>
                </c:pt>
                <c:pt idx="47">
                  <c:v>0.20699999999999999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271B-474A-8D2E-6AE97EF26749}"/>
            </c:ext>
          </c:extLst>
        </c:ser>
        <c:ser>
          <c:idx val="52"/>
          <c:order val="52"/>
          <c:tx>
            <c:v>BES_TR2_six254_B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Discharge_kW!$BC$2:$BC$49</c:f>
              <c:numCache>
                <c:formatCode>#,##0.000</c:formatCode>
                <c:ptCount val="48"/>
                <c:pt idx="0">
                  <c:v>0.40100000000000002</c:v>
                </c:pt>
                <c:pt idx="1">
                  <c:v>0.56200000000000006</c:v>
                </c:pt>
                <c:pt idx="2">
                  <c:v>4.8000000000000001E-2</c:v>
                </c:pt>
                <c:pt idx="3">
                  <c:v>8.2000000000000003E-2</c:v>
                </c:pt>
                <c:pt idx="4">
                  <c:v>0.16300000000000001</c:v>
                </c:pt>
                <c:pt idx="5">
                  <c:v>4.8000000000000001E-2</c:v>
                </c:pt>
                <c:pt idx="6">
                  <c:v>0.184</c:v>
                </c:pt>
                <c:pt idx="7">
                  <c:v>5.8000000000000003E-2</c:v>
                </c:pt>
                <c:pt idx="8">
                  <c:v>9.2999999999999999E-2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0.32300000000000001</c:v>
                </c:pt>
                <c:pt idx="40">
                  <c:v>0.40200000000000002</c:v>
                </c:pt>
                <c:pt idx="41">
                  <c:v>0.77100000000000002</c:v>
                </c:pt>
                <c:pt idx="42">
                  <c:v>0.49</c:v>
                </c:pt>
                <c:pt idx="43">
                  <c:v>0.66799999999999993</c:v>
                </c:pt>
                <c:pt idx="44">
                  <c:v>0.36399999999999999</c:v>
                </c:pt>
                <c:pt idx="45">
                  <c:v>5.5E-2</c:v>
                </c:pt>
                <c:pt idx="46">
                  <c:v>0.30299999999999999</c:v>
                </c:pt>
                <c:pt idx="47">
                  <c:v>0.39400000000000002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71B-474A-8D2E-6AE97EF26749}"/>
            </c:ext>
          </c:extLst>
        </c:ser>
        <c:ser>
          <c:idx val="53"/>
          <c:order val="53"/>
          <c:tx>
            <c:v>BES_TR2_six269_C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Discharge_kW!$BD$2:$BD$49</c:f>
              <c:numCache>
                <c:formatCode>#,##0.000</c:formatCode>
                <c:ptCount val="48"/>
                <c:pt idx="0">
                  <c:v>0.17799999999999999</c:v>
                </c:pt>
                <c:pt idx="1">
                  <c:v>0.10100000000000001</c:v>
                </c:pt>
                <c:pt idx="2">
                  <c:v>0.128</c:v>
                </c:pt>
                <c:pt idx="3">
                  <c:v>0.22500000000000001</c:v>
                </c:pt>
                <c:pt idx="4">
                  <c:v>6.3E-2</c:v>
                </c:pt>
                <c:pt idx="5">
                  <c:v>0.12</c:v>
                </c:pt>
                <c:pt idx="6">
                  <c:v>0.245</c:v>
                </c:pt>
                <c:pt idx="7">
                  <c:v>0.105</c:v>
                </c:pt>
                <c:pt idx="8">
                  <c:v>0.19500000000000001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0.26500000000000001</c:v>
                </c:pt>
                <c:pt idx="41">
                  <c:v>6.9999999999999993E-2</c:v>
                </c:pt>
                <c:pt idx="42">
                  <c:v>0.14099999999999999</c:v>
                </c:pt>
                <c:pt idx="43">
                  <c:v>0.21099999999999999</c:v>
                </c:pt>
                <c:pt idx="44">
                  <c:v>5.5E-2</c:v>
                </c:pt>
                <c:pt idx="45">
                  <c:v>0.26100000000000001</c:v>
                </c:pt>
                <c:pt idx="46">
                  <c:v>9.0999999999999998E-2</c:v>
                </c:pt>
                <c:pt idx="47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271B-474A-8D2E-6AE97EF26749}"/>
            </c:ext>
          </c:extLst>
        </c:ser>
        <c:ser>
          <c:idx val="54"/>
          <c:order val="54"/>
          <c:tx>
            <c:v>BES_TR2_six289_C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Discharge_kW!$BE$2:$BE$49</c:f>
              <c:numCache>
                <c:formatCode>#,##0.000</c:formatCode>
                <c:ptCount val="48"/>
                <c:pt idx="0">
                  <c:v>0.61</c:v>
                </c:pt>
                <c:pt idx="1">
                  <c:v>0.23</c:v>
                </c:pt>
                <c:pt idx="2">
                  <c:v>0.104</c:v>
                </c:pt>
                <c:pt idx="3">
                  <c:v>0.16400000000000001</c:v>
                </c:pt>
                <c:pt idx="4">
                  <c:v>0.17</c:v>
                </c:pt>
                <c:pt idx="5">
                  <c:v>9.0999999999999998E-2</c:v>
                </c:pt>
                <c:pt idx="6">
                  <c:v>0.217</c:v>
                </c:pt>
                <c:pt idx="7">
                  <c:v>6.9999999999999993E-2</c:v>
                </c:pt>
                <c:pt idx="8">
                  <c:v>0.22700000000000001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0.129</c:v>
                </c:pt>
                <c:pt idx="39">
                  <c:v>0.33800000000000002</c:v>
                </c:pt>
                <c:pt idx="40">
                  <c:v>2.1509999999999998</c:v>
                </c:pt>
                <c:pt idx="41">
                  <c:v>2.4649999999999999</c:v>
                </c:pt>
                <c:pt idx="42">
                  <c:v>1.923</c:v>
                </c:pt>
                <c:pt idx="43">
                  <c:v>0.16700000000000001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71B-474A-8D2E-6AE97EF26749}"/>
            </c:ext>
          </c:extLst>
        </c:ser>
        <c:ser>
          <c:idx val="55"/>
          <c:order val="55"/>
          <c:tx>
            <c:v>BES_TR2_six317_C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Discharge_kW!$BF$2:$BF$49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4.5000000000000012E-2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0.36399999999999999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0.10299999999999999</c:v>
                </c:pt>
                <c:pt idx="40">
                  <c:v>0.28899999999999998</c:v>
                </c:pt>
                <c:pt idx="41">
                  <c:v>0.189</c:v>
                </c:pt>
                <c:pt idx="42">
                  <c:v>0.24199999999999999</c:v>
                </c:pt>
                <c:pt idx="43">
                  <c:v>0.24099999999999999</c:v>
                </c:pt>
                <c:pt idx="44">
                  <c:v>0.32100000000000001</c:v>
                </c:pt>
                <c:pt idx="45">
                  <c:v>0.84699999999999998</c:v>
                </c:pt>
                <c:pt idx="46">
                  <c:v>0.28899999999999998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271B-474A-8D2E-6AE97EF26749}"/>
            </c:ext>
          </c:extLst>
        </c:ser>
        <c:ser>
          <c:idx val="56"/>
          <c:order val="56"/>
          <c:tx>
            <c:v>BES_TR2_six326_A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Discharge_kW!$BG$2:$BG$49</c:f>
              <c:numCache>
                <c:formatCode>#,##0.000</c:formatCode>
                <c:ptCount val="48"/>
                <c:pt idx="0">
                  <c:v>0.14499999999999999</c:v>
                </c:pt>
                <c:pt idx="1">
                  <c:v>4.7E-2</c:v>
                </c:pt>
                <c:pt idx="2">
                  <c:v>0.114</c:v>
                </c:pt>
                <c:pt idx="3">
                  <c:v>0.183</c:v>
                </c:pt>
                <c:pt idx="4">
                  <c:v>8.3000000000000004E-2</c:v>
                </c:pt>
                <c:pt idx="5">
                  <c:v>0.214</c:v>
                </c:pt>
                <c:pt idx="6">
                  <c:v>4.7E-2</c:v>
                </c:pt>
                <c:pt idx="7">
                  <c:v>0.1</c:v>
                </c:pt>
                <c:pt idx="8">
                  <c:v>0.151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0.314</c:v>
                </c:pt>
                <c:pt idx="40">
                  <c:v>0.57099999999999995</c:v>
                </c:pt>
                <c:pt idx="41">
                  <c:v>0.625</c:v>
                </c:pt>
                <c:pt idx="42">
                  <c:v>4.7E-2</c:v>
                </c:pt>
                <c:pt idx="43">
                  <c:v>0.11899999999999999</c:v>
                </c:pt>
                <c:pt idx="44">
                  <c:v>8.7999999999999995E-2</c:v>
                </c:pt>
                <c:pt idx="45">
                  <c:v>6.2E-2</c:v>
                </c:pt>
                <c:pt idx="46">
                  <c:v>0.23499999999999999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71B-474A-8D2E-6AE97EF26749}"/>
            </c:ext>
          </c:extLst>
        </c:ser>
        <c:ser>
          <c:idx val="57"/>
          <c:order val="57"/>
          <c:tx>
            <c:v>BES_TR2_six329_A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Discharge_kW!$BH$2:$BH$49</c:f>
              <c:numCache>
                <c:formatCode>#,##0.000</c:formatCode>
                <c:ptCount val="48"/>
                <c:pt idx="0">
                  <c:v>2.9000000000000001E-2</c:v>
                </c:pt>
                <c:pt idx="1">
                  <c:v>2.9000000000000001E-2</c:v>
                </c:pt>
                <c:pt idx="2">
                  <c:v>2.9000000000000001E-2</c:v>
                </c:pt>
                <c:pt idx="3">
                  <c:v>2.9000000000000001E-2</c:v>
                </c:pt>
                <c:pt idx="4">
                  <c:v>2.9000000000000001E-2</c:v>
                </c:pt>
                <c:pt idx="5">
                  <c:v>2.9000000000000001E-2</c:v>
                </c:pt>
                <c:pt idx="6">
                  <c:v>2.9000000000000001E-2</c:v>
                </c:pt>
                <c:pt idx="7">
                  <c:v>2.5999999999999999E-2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1.2370000000000001</c:v>
                </c:pt>
                <c:pt idx="40">
                  <c:v>0.48899999999999988</c:v>
                </c:pt>
                <c:pt idx="41">
                  <c:v>0.56700000000000006</c:v>
                </c:pt>
                <c:pt idx="42">
                  <c:v>0.59500000000000008</c:v>
                </c:pt>
                <c:pt idx="43">
                  <c:v>0.47</c:v>
                </c:pt>
                <c:pt idx="44">
                  <c:v>0.38300000000000001</c:v>
                </c:pt>
                <c:pt idx="45">
                  <c:v>0.46200000000000002</c:v>
                </c:pt>
                <c:pt idx="46">
                  <c:v>0.185</c:v>
                </c:pt>
                <c:pt idx="47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271B-474A-8D2E-6AE97EF26749}"/>
            </c:ext>
          </c:extLst>
        </c:ser>
        <c:ser>
          <c:idx val="58"/>
          <c:order val="58"/>
          <c:tx>
            <c:v>BES_TR2_six342_A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Discharge_kW!$BI$2:$BI$49</c:f>
              <c:numCache>
                <c:formatCode>#,##0.000</c:formatCode>
                <c:ptCount val="48"/>
                <c:pt idx="0">
                  <c:v>0.36699999999999999</c:v>
                </c:pt>
                <c:pt idx="1">
                  <c:v>0.44700000000000001</c:v>
                </c:pt>
                <c:pt idx="2">
                  <c:v>0.17199999999999999</c:v>
                </c:pt>
                <c:pt idx="3">
                  <c:v>0.54400000000000004</c:v>
                </c:pt>
                <c:pt idx="4">
                  <c:v>0.23100000000000001</c:v>
                </c:pt>
                <c:pt idx="5">
                  <c:v>0.33300000000000002</c:v>
                </c:pt>
                <c:pt idx="6">
                  <c:v>0.29499999999999998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6.6000000000000003E-2</c:v>
                </c:pt>
                <c:pt idx="38">
                  <c:v>0</c:v>
                </c:pt>
                <c:pt idx="39">
                  <c:v>0.13800000000000001</c:v>
                </c:pt>
                <c:pt idx="40">
                  <c:v>0.26500000000000001</c:v>
                </c:pt>
                <c:pt idx="41">
                  <c:v>0.19600000000000001</c:v>
                </c:pt>
                <c:pt idx="42">
                  <c:v>0.36900000000000011</c:v>
                </c:pt>
                <c:pt idx="43">
                  <c:v>0.36699999999999999</c:v>
                </c:pt>
                <c:pt idx="44">
                  <c:v>0.44900000000000001</c:v>
                </c:pt>
                <c:pt idx="45">
                  <c:v>0.439</c:v>
                </c:pt>
                <c:pt idx="46">
                  <c:v>0.44</c:v>
                </c:pt>
                <c:pt idx="47">
                  <c:v>0.253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71B-474A-8D2E-6AE97EF26749}"/>
            </c:ext>
          </c:extLst>
        </c:ser>
        <c:ser>
          <c:idx val="59"/>
          <c:order val="59"/>
          <c:tx>
            <c:v>BES_TR2_six349_A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Discharge_kW!$BJ$2:$BJ$49</c:f>
              <c:numCache>
                <c:formatCode>#,##0.000</c:formatCode>
                <c:ptCount val="48"/>
                <c:pt idx="0">
                  <c:v>0.43099999999999999</c:v>
                </c:pt>
                <c:pt idx="1">
                  <c:v>0.437</c:v>
                </c:pt>
                <c:pt idx="2">
                  <c:v>3.9E-2</c:v>
                </c:pt>
                <c:pt idx="3">
                  <c:v>0.14199999999999999</c:v>
                </c:pt>
                <c:pt idx="4">
                  <c:v>0.19400000000000001</c:v>
                </c:pt>
                <c:pt idx="5">
                  <c:v>3.9E-2</c:v>
                </c:pt>
                <c:pt idx="6">
                  <c:v>0.105</c:v>
                </c:pt>
                <c:pt idx="7">
                  <c:v>0.23</c:v>
                </c:pt>
                <c:pt idx="8">
                  <c:v>1.4E-2</c:v>
                </c:pt>
                <c:pt idx="9">
                  <c:v>7.8E-2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0.83299999999999996</c:v>
                </c:pt>
                <c:pt idx="38">
                  <c:v>0.20899999999999999</c:v>
                </c:pt>
                <c:pt idx="39">
                  <c:v>0.216</c:v>
                </c:pt>
                <c:pt idx="40">
                  <c:v>2.9000000000000001E-2</c:v>
                </c:pt>
                <c:pt idx="41">
                  <c:v>0.14199999999999999</c:v>
                </c:pt>
                <c:pt idx="42">
                  <c:v>0.19400000000000001</c:v>
                </c:pt>
                <c:pt idx="43">
                  <c:v>8.3000000000000004E-2</c:v>
                </c:pt>
                <c:pt idx="44">
                  <c:v>0.11899999999999999</c:v>
                </c:pt>
                <c:pt idx="45">
                  <c:v>0.17299999999999999</c:v>
                </c:pt>
                <c:pt idx="46">
                  <c:v>0.14199999999999999</c:v>
                </c:pt>
                <c:pt idx="47">
                  <c:v>0.14499999999999999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271B-474A-8D2E-6AE97EF26749}"/>
            </c:ext>
          </c:extLst>
        </c:ser>
        <c:ser>
          <c:idx val="60"/>
          <c:order val="60"/>
          <c:tx>
            <c:v>BES_TR2_six350_B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Discharge_kW!$BK$2:$BK$49</c:f>
              <c:numCache>
                <c:formatCode>#,##0.000</c:formatCode>
                <c:ptCount val="48"/>
                <c:pt idx="0">
                  <c:v>6.2E-2</c:v>
                </c:pt>
                <c:pt idx="1">
                  <c:v>0.192</c:v>
                </c:pt>
                <c:pt idx="2">
                  <c:v>3.7999999999999999E-2</c:v>
                </c:pt>
                <c:pt idx="3">
                  <c:v>0.153</c:v>
                </c:pt>
                <c:pt idx="4">
                  <c:v>0.10100000000000001</c:v>
                </c:pt>
                <c:pt idx="5">
                  <c:v>3.7999999999999999E-2</c:v>
                </c:pt>
                <c:pt idx="6">
                  <c:v>0.16</c:v>
                </c:pt>
                <c:pt idx="7">
                  <c:v>9.0999999999999998E-2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0.45600000000000002</c:v>
                </c:pt>
                <c:pt idx="40">
                  <c:v>0.50700000000000001</c:v>
                </c:pt>
                <c:pt idx="41">
                  <c:v>0.308</c:v>
                </c:pt>
                <c:pt idx="42">
                  <c:v>0.55699999999999994</c:v>
                </c:pt>
                <c:pt idx="43">
                  <c:v>0.61499999999999999</c:v>
                </c:pt>
                <c:pt idx="44">
                  <c:v>0.59299999999999997</c:v>
                </c:pt>
                <c:pt idx="45">
                  <c:v>0.54500000000000004</c:v>
                </c:pt>
                <c:pt idx="46">
                  <c:v>3.7999999999999999E-2</c:v>
                </c:pt>
                <c:pt idx="47">
                  <c:v>0.153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71B-474A-8D2E-6AE97EF26749}"/>
            </c:ext>
          </c:extLst>
        </c:ser>
        <c:ser>
          <c:idx val="61"/>
          <c:order val="61"/>
          <c:tx>
            <c:v>BES_TR2_six362_C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Discharge_kW!$BL$2:$BL$49</c:f>
              <c:numCache>
                <c:formatCode>#,##0.000</c:formatCode>
                <c:ptCount val="48"/>
                <c:pt idx="0">
                  <c:v>4.7E-2</c:v>
                </c:pt>
                <c:pt idx="1">
                  <c:v>4.7E-2</c:v>
                </c:pt>
                <c:pt idx="2">
                  <c:v>4.7E-2</c:v>
                </c:pt>
                <c:pt idx="3">
                  <c:v>4.7E-2</c:v>
                </c:pt>
                <c:pt idx="4">
                  <c:v>4.7E-2</c:v>
                </c:pt>
                <c:pt idx="5">
                  <c:v>4.7E-2</c:v>
                </c:pt>
                <c:pt idx="6">
                  <c:v>4.7E-2</c:v>
                </c:pt>
                <c:pt idx="7">
                  <c:v>4.5999999999999999E-2</c:v>
                </c:pt>
                <c:pt idx="8">
                  <c:v>2.8000000000000001E-2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5.6000000000000001E-2</c:v>
                </c:pt>
                <c:pt idx="38">
                  <c:v>0.125</c:v>
                </c:pt>
                <c:pt idx="39">
                  <c:v>0.36099999999999999</c:v>
                </c:pt>
                <c:pt idx="40">
                  <c:v>0.38100000000000001</c:v>
                </c:pt>
                <c:pt idx="41">
                  <c:v>0.20899999999999999</c:v>
                </c:pt>
                <c:pt idx="42">
                  <c:v>0.26100000000000001</c:v>
                </c:pt>
                <c:pt idx="43">
                  <c:v>0.40100000000000002</c:v>
                </c:pt>
                <c:pt idx="44">
                  <c:v>0.30399999999999999</c:v>
                </c:pt>
                <c:pt idx="45">
                  <c:v>0.16500000000000001</c:v>
                </c:pt>
                <c:pt idx="46">
                  <c:v>0.182</c:v>
                </c:pt>
                <c:pt idx="47">
                  <c:v>0.34699999999999998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271B-474A-8D2E-6AE97EF26749}"/>
            </c:ext>
          </c:extLst>
        </c:ser>
        <c:ser>
          <c:idx val="62"/>
          <c:order val="62"/>
          <c:tx>
            <c:v>BES_TR2_six365_C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Discharge_kW!$BM$2:$BM$49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0.21199999999999999</c:v>
                </c:pt>
                <c:pt idx="3">
                  <c:v>0.45700000000000002</c:v>
                </c:pt>
                <c:pt idx="4">
                  <c:v>0.93599999999999994</c:v>
                </c:pt>
                <c:pt idx="5">
                  <c:v>0.69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1.0680000000000001</c:v>
                </c:pt>
                <c:pt idx="40">
                  <c:v>0.65500000000000003</c:v>
                </c:pt>
                <c:pt idx="41">
                  <c:v>0.76</c:v>
                </c:pt>
                <c:pt idx="42">
                  <c:v>0.75800000000000001</c:v>
                </c:pt>
                <c:pt idx="43">
                  <c:v>0.46700000000000003</c:v>
                </c:pt>
                <c:pt idx="44">
                  <c:v>0.621</c:v>
                </c:pt>
                <c:pt idx="45">
                  <c:v>1.66</c:v>
                </c:pt>
                <c:pt idx="46">
                  <c:v>0.68</c:v>
                </c:pt>
                <c:pt idx="47">
                  <c:v>0.505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71B-474A-8D2E-6AE97EF26749}"/>
            </c:ext>
          </c:extLst>
        </c:ser>
        <c:ser>
          <c:idx val="63"/>
          <c:order val="63"/>
          <c:tx>
            <c:v>BES_TR2_six378_A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Discharge_kW!$BN$2:$BN$49</c:f>
              <c:numCache>
                <c:formatCode>#,##0.000</c:formatCode>
                <c:ptCount val="48"/>
                <c:pt idx="0">
                  <c:v>0.16</c:v>
                </c:pt>
                <c:pt idx="1">
                  <c:v>0.25</c:v>
                </c:pt>
                <c:pt idx="2">
                  <c:v>0.20799999999999999</c:v>
                </c:pt>
                <c:pt idx="3">
                  <c:v>5.7000000000000002E-2</c:v>
                </c:pt>
                <c:pt idx="4">
                  <c:v>0.28999999999999998</c:v>
                </c:pt>
                <c:pt idx="5">
                  <c:v>0.16</c:v>
                </c:pt>
                <c:pt idx="6">
                  <c:v>0.21</c:v>
                </c:pt>
                <c:pt idx="7">
                  <c:v>0.214</c:v>
                </c:pt>
                <c:pt idx="8">
                  <c:v>7.1000000000000008E-2</c:v>
                </c:pt>
                <c:pt idx="9">
                  <c:v>7.2000000000000008E-2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0.20699999999999999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0.45300000000000001</c:v>
                </c:pt>
                <c:pt idx="30">
                  <c:v>0.68900000000000006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0.13</c:v>
                </c:pt>
                <c:pt idx="40">
                  <c:v>3.4000000000000002E-2</c:v>
                </c:pt>
                <c:pt idx="41">
                  <c:v>0.27400000000000002</c:v>
                </c:pt>
                <c:pt idx="42">
                  <c:v>0.184</c:v>
                </c:pt>
                <c:pt idx="43">
                  <c:v>8.8999999999999996E-2</c:v>
                </c:pt>
                <c:pt idx="44">
                  <c:v>0.36799999999999999</c:v>
                </c:pt>
                <c:pt idx="45">
                  <c:v>4.9000000000000002E-2</c:v>
                </c:pt>
                <c:pt idx="46">
                  <c:v>0.11700000000000001</c:v>
                </c:pt>
                <c:pt idx="47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271B-474A-8D2E-6AE97EF26749}"/>
            </c:ext>
          </c:extLst>
        </c:ser>
        <c:ser>
          <c:idx val="64"/>
          <c:order val="64"/>
          <c:tx>
            <c:v>BES_TR2_six385_B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Discharge_kW!$BO$2:$BO$49</c:f>
              <c:numCache>
                <c:formatCode>#,##0.000</c:formatCode>
                <c:ptCount val="48"/>
                <c:pt idx="0">
                  <c:v>0.45500000000000002</c:v>
                </c:pt>
                <c:pt idx="1">
                  <c:v>0.47699999999999998</c:v>
                </c:pt>
                <c:pt idx="2">
                  <c:v>0.223</c:v>
                </c:pt>
                <c:pt idx="3">
                  <c:v>4.7E-2</c:v>
                </c:pt>
                <c:pt idx="4">
                  <c:v>0.109</c:v>
                </c:pt>
                <c:pt idx="5">
                  <c:v>0.156</c:v>
                </c:pt>
                <c:pt idx="6">
                  <c:v>4.7E-2</c:v>
                </c:pt>
                <c:pt idx="7">
                  <c:v>0.216</c:v>
                </c:pt>
                <c:pt idx="8">
                  <c:v>1.6E-2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1.6519999999999999</c:v>
                </c:pt>
                <c:pt idx="15">
                  <c:v>5.3999999999999999E-2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0.34</c:v>
                </c:pt>
                <c:pt idx="40">
                  <c:v>0.57099999999999995</c:v>
                </c:pt>
                <c:pt idx="41">
                  <c:v>0.45100000000000001</c:v>
                </c:pt>
                <c:pt idx="42">
                  <c:v>0.26800000000000002</c:v>
                </c:pt>
                <c:pt idx="43">
                  <c:v>0.621</c:v>
                </c:pt>
                <c:pt idx="44">
                  <c:v>0.374</c:v>
                </c:pt>
                <c:pt idx="45">
                  <c:v>0.313</c:v>
                </c:pt>
                <c:pt idx="46">
                  <c:v>0.13200000000000001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71B-474A-8D2E-6AE97EF26749}"/>
            </c:ext>
          </c:extLst>
        </c:ser>
        <c:ser>
          <c:idx val="65"/>
          <c:order val="65"/>
          <c:tx>
            <c:v>BES_TR2_six387_A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Discharge_kW!$BP$2:$BP$49</c:f>
              <c:numCache>
                <c:formatCode>#,##0.000</c:formatCode>
                <c:ptCount val="48"/>
                <c:pt idx="0">
                  <c:v>0.90100000000000002</c:v>
                </c:pt>
                <c:pt idx="1">
                  <c:v>0.79500000000000004</c:v>
                </c:pt>
                <c:pt idx="2">
                  <c:v>0.69499999999999995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0.13300000000000001</c:v>
                </c:pt>
                <c:pt idx="39">
                  <c:v>0.71299999999999997</c:v>
                </c:pt>
                <c:pt idx="40">
                  <c:v>0.54799999999999993</c:v>
                </c:pt>
                <c:pt idx="41">
                  <c:v>0.48299999999999998</c:v>
                </c:pt>
                <c:pt idx="42">
                  <c:v>0.53700000000000003</c:v>
                </c:pt>
                <c:pt idx="43">
                  <c:v>0.86</c:v>
                </c:pt>
                <c:pt idx="44">
                  <c:v>1.147</c:v>
                </c:pt>
                <c:pt idx="45">
                  <c:v>0.67400000000000004</c:v>
                </c:pt>
                <c:pt idx="46">
                  <c:v>1.002</c:v>
                </c:pt>
                <c:pt idx="47">
                  <c:v>6.3E-2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271B-474A-8D2E-6AE97EF26749}"/>
            </c:ext>
          </c:extLst>
        </c:ser>
        <c:ser>
          <c:idx val="66"/>
          <c:order val="66"/>
          <c:tx>
            <c:v>BES_TR2_six392_C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Discharge_kW!$BQ$2:$BQ$49</c:f>
              <c:numCache>
                <c:formatCode>#,##0.000</c:formatCode>
                <c:ptCount val="48"/>
                <c:pt idx="0">
                  <c:v>0.313</c:v>
                </c:pt>
                <c:pt idx="1">
                  <c:v>0.05</c:v>
                </c:pt>
                <c:pt idx="2">
                  <c:v>0.27300000000000002</c:v>
                </c:pt>
                <c:pt idx="3">
                  <c:v>0.13100000000000001</c:v>
                </c:pt>
                <c:pt idx="4">
                  <c:v>0.189</c:v>
                </c:pt>
                <c:pt idx="5">
                  <c:v>0.13600000000000001</c:v>
                </c:pt>
                <c:pt idx="6">
                  <c:v>0.22</c:v>
                </c:pt>
                <c:pt idx="7">
                  <c:v>0.17599999999999999</c:v>
                </c:pt>
                <c:pt idx="8">
                  <c:v>0.183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0.158</c:v>
                </c:pt>
                <c:pt idx="40">
                  <c:v>0.20499999999999999</c:v>
                </c:pt>
                <c:pt idx="41">
                  <c:v>0.55999999999999994</c:v>
                </c:pt>
                <c:pt idx="42">
                  <c:v>0.51600000000000001</c:v>
                </c:pt>
                <c:pt idx="43">
                  <c:v>0.35099999999999998</c:v>
                </c:pt>
                <c:pt idx="44">
                  <c:v>0.98599999999999988</c:v>
                </c:pt>
                <c:pt idx="45">
                  <c:v>0.42</c:v>
                </c:pt>
                <c:pt idx="46">
                  <c:v>0.38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71B-474A-8D2E-6AE97EF26749}"/>
            </c:ext>
          </c:extLst>
        </c:ser>
        <c:ser>
          <c:idx val="67"/>
          <c:order val="67"/>
          <c:tx>
            <c:v>BES_TR2_six410_A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Discharge_kW!$BR$2:$BR$49</c:f>
              <c:numCache>
                <c:formatCode>#,##0.000</c:formatCode>
                <c:ptCount val="48"/>
                <c:pt idx="0">
                  <c:v>0.75700000000000001</c:v>
                </c:pt>
                <c:pt idx="1">
                  <c:v>1.6339999999999999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6.9999999999999993E-2</c:v>
                </c:pt>
                <c:pt idx="39">
                  <c:v>1.29</c:v>
                </c:pt>
                <c:pt idx="40">
                  <c:v>0.61099999999999999</c:v>
                </c:pt>
                <c:pt idx="41">
                  <c:v>0.29499999999999998</c:v>
                </c:pt>
                <c:pt idx="42">
                  <c:v>0.28399999999999997</c:v>
                </c:pt>
                <c:pt idx="43">
                  <c:v>0.35899999999999999</c:v>
                </c:pt>
                <c:pt idx="44">
                  <c:v>0.30599999999999999</c:v>
                </c:pt>
                <c:pt idx="45">
                  <c:v>0.38600000000000001</c:v>
                </c:pt>
                <c:pt idx="46">
                  <c:v>0.27700000000000002</c:v>
                </c:pt>
                <c:pt idx="47">
                  <c:v>9.0000000000000011E-2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271B-474A-8D2E-6AE97EF26749}"/>
            </c:ext>
          </c:extLst>
        </c:ser>
        <c:ser>
          <c:idx val="68"/>
          <c:order val="68"/>
          <c:tx>
            <c:v>BES_TR2_six431_C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Discharge_kW!$BS$2:$BS$49</c:f>
              <c:numCache>
                <c:formatCode>#,##0.000</c:formatCode>
                <c:ptCount val="48"/>
                <c:pt idx="0">
                  <c:v>0.17799999999999999</c:v>
                </c:pt>
                <c:pt idx="1">
                  <c:v>5.1999999999999998E-2</c:v>
                </c:pt>
                <c:pt idx="2">
                  <c:v>0.20599999999999999</c:v>
                </c:pt>
                <c:pt idx="3">
                  <c:v>5.1999999999999998E-2</c:v>
                </c:pt>
                <c:pt idx="4">
                  <c:v>0.108</c:v>
                </c:pt>
                <c:pt idx="5">
                  <c:v>0.15</c:v>
                </c:pt>
                <c:pt idx="6">
                  <c:v>5.1999999999999998E-2</c:v>
                </c:pt>
                <c:pt idx="7">
                  <c:v>4.9000000000000002E-2</c:v>
                </c:pt>
                <c:pt idx="8">
                  <c:v>7.2000000000000008E-2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7.2999999999999995E-2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2.4649999999999999</c:v>
                </c:pt>
                <c:pt idx="38">
                  <c:v>3.3290000000000002</c:v>
                </c:pt>
                <c:pt idx="39">
                  <c:v>0.93800000000000006</c:v>
                </c:pt>
                <c:pt idx="40">
                  <c:v>0.44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71B-474A-8D2E-6AE97EF26749}"/>
            </c:ext>
          </c:extLst>
        </c:ser>
        <c:ser>
          <c:idx val="69"/>
          <c:order val="69"/>
          <c:tx>
            <c:v>BES_TR2_six484_B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Discharge_kW!$BT$2:$BT$49</c:f>
              <c:numCache>
                <c:formatCode>#,##0.000</c:formatCode>
                <c:ptCount val="48"/>
                <c:pt idx="0">
                  <c:v>3.7999999999999999E-2</c:v>
                </c:pt>
                <c:pt idx="1">
                  <c:v>3.7999999999999999E-2</c:v>
                </c:pt>
                <c:pt idx="2">
                  <c:v>0.13900000000000001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0.13900000000000001</c:v>
                </c:pt>
                <c:pt idx="6">
                  <c:v>3.7999999999999999E-2</c:v>
                </c:pt>
                <c:pt idx="7">
                  <c:v>3.5999999999999997E-2</c:v>
                </c:pt>
                <c:pt idx="8">
                  <c:v>0.108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0.57399999999999995</c:v>
                </c:pt>
                <c:pt idx="21">
                  <c:v>0.58600000000000008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2.4E-2</c:v>
                </c:pt>
                <c:pt idx="39">
                  <c:v>0.38500000000000001</c:v>
                </c:pt>
                <c:pt idx="40">
                  <c:v>0.42</c:v>
                </c:pt>
                <c:pt idx="41">
                  <c:v>0.53799999999999992</c:v>
                </c:pt>
                <c:pt idx="42">
                  <c:v>0.34699999999999998</c:v>
                </c:pt>
                <c:pt idx="43">
                  <c:v>0.70699999999999996</c:v>
                </c:pt>
                <c:pt idx="44">
                  <c:v>0.13100000000000001</c:v>
                </c:pt>
                <c:pt idx="45">
                  <c:v>3.7999999999999999E-2</c:v>
                </c:pt>
                <c:pt idx="46">
                  <c:v>0.13900000000000001</c:v>
                </c:pt>
                <c:pt idx="47">
                  <c:v>3.7999999999999999E-2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271B-474A-8D2E-6AE97EF26749}"/>
            </c:ext>
          </c:extLst>
        </c:ser>
        <c:ser>
          <c:idx val="70"/>
          <c:order val="70"/>
          <c:tx>
            <c:v>BES_TR2_six512_B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Discharge_kW!$BU$2:$BU$49</c:f>
              <c:numCache>
                <c:formatCode>#,##0.000</c:formatCode>
                <c:ptCount val="48"/>
                <c:pt idx="0">
                  <c:v>0.40899999999999997</c:v>
                </c:pt>
                <c:pt idx="1">
                  <c:v>0.35699999999999998</c:v>
                </c:pt>
                <c:pt idx="2">
                  <c:v>6.6000000000000003E-2</c:v>
                </c:pt>
                <c:pt idx="3">
                  <c:v>0.19</c:v>
                </c:pt>
                <c:pt idx="4">
                  <c:v>0.13400000000000001</c:v>
                </c:pt>
                <c:pt idx="5">
                  <c:v>0.13</c:v>
                </c:pt>
                <c:pt idx="6">
                  <c:v>0.19400000000000001</c:v>
                </c:pt>
                <c:pt idx="7">
                  <c:v>3.6999999999999998E-2</c:v>
                </c:pt>
                <c:pt idx="8">
                  <c:v>0.23499999999999999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0.189</c:v>
                </c:pt>
                <c:pt idx="37">
                  <c:v>0</c:v>
                </c:pt>
                <c:pt idx="38">
                  <c:v>0</c:v>
                </c:pt>
                <c:pt idx="39">
                  <c:v>0.128</c:v>
                </c:pt>
                <c:pt idx="40">
                  <c:v>0.33600000000000002</c:v>
                </c:pt>
                <c:pt idx="41">
                  <c:v>0.186</c:v>
                </c:pt>
                <c:pt idx="42">
                  <c:v>0.28299999999999997</c:v>
                </c:pt>
                <c:pt idx="43">
                  <c:v>0.311</c:v>
                </c:pt>
                <c:pt idx="44">
                  <c:v>0.32</c:v>
                </c:pt>
                <c:pt idx="45">
                  <c:v>0.39600000000000002</c:v>
                </c:pt>
                <c:pt idx="46">
                  <c:v>0.35799999999999998</c:v>
                </c:pt>
                <c:pt idx="47">
                  <c:v>0.17100000000000001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71B-474A-8D2E-6AE97EF26749}"/>
            </c:ext>
          </c:extLst>
        </c:ser>
        <c:ser>
          <c:idx val="71"/>
          <c:order val="71"/>
          <c:tx>
            <c:v>BES_TR2_six518_B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Discharge_kW!$BV$2:$BV$49</c:f>
              <c:numCache>
                <c:formatCode>#,##0.000</c:formatCode>
                <c:ptCount val="48"/>
                <c:pt idx="0">
                  <c:v>0.11600000000000001</c:v>
                </c:pt>
                <c:pt idx="1">
                  <c:v>0.14399999999999999</c:v>
                </c:pt>
                <c:pt idx="2">
                  <c:v>5.3999999999999999E-2</c:v>
                </c:pt>
                <c:pt idx="3">
                  <c:v>0.157</c:v>
                </c:pt>
                <c:pt idx="4">
                  <c:v>0.10199999999999999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0.114</c:v>
                </c:pt>
                <c:pt idx="8">
                  <c:v>0.11899999999999999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0.67400000000000004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0.124</c:v>
                </c:pt>
                <c:pt idx="38">
                  <c:v>0.13800000000000001</c:v>
                </c:pt>
                <c:pt idx="39">
                  <c:v>0.50700000000000001</c:v>
                </c:pt>
                <c:pt idx="40">
                  <c:v>0.44800000000000001</c:v>
                </c:pt>
                <c:pt idx="41">
                  <c:v>1.4</c:v>
                </c:pt>
                <c:pt idx="42">
                  <c:v>0.49799999999999989</c:v>
                </c:pt>
                <c:pt idx="43">
                  <c:v>0.36299999999999999</c:v>
                </c:pt>
                <c:pt idx="44">
                  <c:v>0.53399999999999992</c:v>
                </c:pt>
                <c:pt idx="45">
                  <c:v>0.28399999999999997</c:v>
                </c:pt>
                <c:pt idx="46">
                  <c:v>0.48399999999999999</c:v>
                </c:pt>
                <c:pt idx="47">
                  <c:v>0.151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271B-474A-8D2E-6AE97EF26749}"/>
            </c:ext>
          </c:extLst>
        </c:ser>
        <c:ser>
          <c:idx val="72"/>
          <c:order val="72"/>
          <c:tx>
            <c:v>BES_TR2_six523_C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Discharge_kW!$BW$2:$BW$49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0.1</c:v>
                </c:pt>
                <c:pt idx="2">
                  <c:v>0.30399999999999999</c:v>
                </c:pt>
                <c:pt idx="3">
                  <c:v>7.6999999999999999E-2</c:v>
                </c:pt>
                <c:pt idx="4">
                  <c:v>0.12</c:v>
                </c:pt>
                <c:pt idx="5">
                  <c:v>0.26900000000000002</c:v>
                </c:pt>
                <c:pt idx="6">
                  <c:v>0.106</c:v>
                </c:pt>
                <c:pt idx="7">
                  <c:v>0.23799999999999999</c:v>
                </c:pt>
                <c:pt idx="8">
                  <c:v>0.154</c:v>
                </c:pt>
                <c:pt idx="9">
                  <c:v>0</c:v>
                </c:pt>
                <c:pt idx="10">
                  <c:v>3.1E-2</c:v>
                </c:pt>
                <c:pt idx="11">
                  <c:v>0</c:v>
                </c:pt>
                <c:pt idx="12">
                  <c:v>0</c:v>
                </c:pt>
                <c:pt idx="13">
                  <c:v>0.88200000000000001</c:v>
                </c:pt>
                <c:pt idx="14">
                  <c:v>0</c:v>
                </c:pt>
                <c:pt idx="15">
                  <c:v>0.435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0.89200000000000002</c:v>
                </c:pt>
                <c:pt idx="37">
                  <c:v>0</c:v>
                </c:pt>
                <c:pt idx="38">
                  <c:v>0.11799999999999999</c:v>
                </c:pt>
                <c:pt idx="39">
                  <c:v>0.51999999999999991</c:v>
                </c:pt>
                <c:pt idx="40">
                  <c:v>0.22700000000000001</c:v>
                </c:pt>
                <c:pt idx="41">
                  <c:v>0.40899999999999997</c:v>
                </c:pt>
                <c:pt idx="42">
                  <c:v>0.52300000000000002</c:v>
                </c:pt>
                <c:pt idx="43">
                  <c:v>1.2310000000000001</c:v>
                </c:pt>
                <c:pt idx="44">
                  <c:v>0.68099999999999994</c:v>
                </c:pt>
                <c:pt idx="45">
                  <c:v>0.75</c:v>
                </c:pt>
                <c:pt idx="46">
                  <c:v>0.56700000000000006</c:v>
                </c:pt>
                <c:pt idx="47">
                  <c:v>0.501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71B-474A-8D2E-6AE97EF26749}"/>
            </c:ext>
          </c:extLst>
        </c:ser>
        <c:ser>
          <c:idx val="73"/>
          <c:order val="73"/>
          <c:tx>
            <c:v>BES_TR2_six571_C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Discharge_kW!$BX$2:$BX$49</c:f>
              <c:numCache>
                <c:formatCode>#,##0.000</c:formatCode>
                <c:ptCount val="48"/>
                <c:pt idx="0">
                  <c:v>0.38400000000000001</c:v>
                </c:pt>
                <c:pt idx="1">
                  <c:v>5.3999999999999999E-2</c:v>
                </c:pt>
                <c:pt idx="2">
                  <c:v>0.34599999999999997</c:v>
                </c:pt>
                <c:pt idx="3">
                  <c:v>7.3999999999999996E-2</c:v>
                </c:pt>
                <c:pt idx="4">
                  <c:v>0.34100000000000003</c:v>
                </c:pt>
                <c:pt idx="5">
                  <c:v>0.114</c:v>
                </c:pt>
                <c:pt idx="6">
                  <c:v>0.309</c:v>
                </c:pt>
                <c:pt idx="7">
                  <c:v>0.18</c:v>
                </c:pt>
                <c:pt idx="8">
                  <c:v>0.122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5.8000000000000003E-2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0.157</c:v>
                </c:pt>
                <c:pt idx="37">
                  <c:v>2.1999999999999999E-2</c:v>
                </c:pt>
                <c:pt idx="38">
                  <c:v>0.437</c:v>
                </c:pt>
                <c:pt idx="39">
                  <c:v>0.28599999999999998</c:v>
                </c:pt>
                <c:pt idx="40">
                  <c:v>0.20899999999999999</c:v>
                </c:pt>
                <c:pt idx="41">
                  <c:v>0.13500000000000001</c:v>
                </c:pt>
                <c:pt idx="42">
                  <c:v>0.28899999999999998</c:v>
                </c:pt>
                <c:pt idx="43">
                  <c:v>8.5000000000000006E-2</c:v>
                </c:pt>
                <c:pt idx="44">
                  <c:v>0.21</c:v>
                </c:pt>
                <c:pt idx="45">
                  <c:v>5.3999999999999999E-2</c:v>
                </c:pt>
                <c:pt idx="46">
                  <c:v>0.40600000000000003</c:v>
                </c:pt>
                <c:pt idx="47">
                  <c:v>6.6000000000000003E-2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271B-474A-8D2E-6AE97EF26749}"/>
            </c:ext>
          </c:extLst>
        </c:ser>
        <c:ser>
          <c:idx val="74"/>
          <c:order val="74"/>
          <c:tx>
            <c:v>BES_TR2_six583_A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Discharge_kW!$BY$2:$BY$49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0.215</c:v>
                </c:pt>
                <c:pt idx="2">
                  <c:v>5.8000000000000003E-2</c:v>
                </c:pt>
                <c:pt idx="3">
                  <c:v>5.3999999999999999E-2</c:v>
                </c:pt>
                <c:pt idx="4">
                  <c:v>0.13100000000000001</c:v>
                </c:pt>
                <c:pt idx="5">
                  <c:v>0.14199999999999999</c:v>
                </c:pt>
                <c:pt idx="6">
                  <c:v>5.3999999999999999E-2</c:v>
                </c:pt>
                <c:pt idx="7">
                  <c:v>5.0999999999999997E-2</c:v>
                </c:pt>
                <c:pt idx="8">
                  <c:v>9.8999999999999991E-2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3.7999999999999999E-2</c:v>
                </c:pt>
                <c:pt idx="40">
                  <c:v>5.6000000000000001E-2</c:v>
                </c:pt>
                <c:pt idx="41">
                  <c:v>0.20100000000000001</c:v>
                </c:pt>
                <c:pt idx="42">
                  <c:v>5.8000000000000003E-2</c:v>
                </c:pt>
                <c:pt idx="43">
                  <c:v>0.36</c:v>
                </c:pt>
                <c:pt idx="44">
                  <c:v>0.499</c:v>
                </c:pt>
                <c:pt idx="45">
                  <c:v>0.43600000000000011</c:v>
                </c:pt>
                <c:pt idx="46">
                  <c:v>0.59599999999999997</c:v>
                </c:pt>
                <c:pt idx="47">
                  <c:v>0.74299999999999999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71B-474A-8D2E-6AE97EF26749}"/>
            </c:ext>
          </c:extLst>
        </c:ser>
        <c:ser>
          <c:idx val="75"/>
          <c:order val="75"/>
          <c:tx>
            <c:v>BES_TR2_six625_A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Discharge_kW!$BZ$2:$BZ$49</c:f>
              <c:numCache>
                <c:formatCode>#,##0.000</c:formatCode>
                <c:ptCount val="48"/>
                <c:pt idx="0">
                  <c:v>0.59399999999999997</c:v>
                </c:pt>
                <c:pt idx="1">
                  <c:v>0.57200000000000006</c:v>
                </c:pt>
                <c:pt idx="2">
                  <c:v>0.56300000000000006</c:v>
                </c:pt>
                <c:pt idx="3">
                  <c:v>5.8000000000000003E-2</c:v>
                </c:pt>
                <c:pt idx="4">
                  <c:v>0.29099999999999998</c:v>
                </c:pt>
                <c:pt idx="5">
                  <c:v>0.13</c:v>
                </c:pt>
                <c:pt idx="6">
                  <c:v>0.10100000000000001</c:v>
                </c:pt>
                <c:pt idx="7">
                  <c:v>8.2000000000000003E-2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0.16800000000000001</c:v>
                </c:pt>
                <c:pt idx="38">
                  <c:v>1.365</c:v>
                </c:pt>
                <c:pt idx="39">
                  <c:v>0.41099999999999998</c:v>
                </c:pt>
                <c:pt idx="40">
                  <c:v>0.54799999999999993</c:v>
                </c:pt>
                <c:pt idx="41">
                  <c:v>0.65100000000000002</c:v>
                </c:pt>
                <c:pt idx="42">
                  <c:v>0.496</c:v>
                </c:pt>
                <c:pt idx="43">
                  <c:v>0.17</c:v>
                </c:pt>
                <c:pt idx="44">
                  <c:v>5.8000000000000003E-2</c:v>
                </c:pt>
                <c:pt idx="45">
                  <c:v>0.27300000000000002</c:v>
                </c:pt>
                <c:pt idx="46">
                  <c:v>0.14799999999999999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271B-474A-8D2E-6AE97EF26749}"/>
            </c:ext>
          </c:extLst>
        </c:ser>
        <c:ser>
          <c:idx val="76"/>
          <c:order val="76"/>
          <c:tx>
            <c:v>BES_TR2_six646_B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Discharge_kW!$CA$2:$CA$49</c:f>
              <c:numCache>
                <c:formatCode>#,##0.000</c:formatCode>
                <c:ptCount val="48"/>
                <c:pt idx="0">
                  <c:v>0.21099999999999999</c:v>
                </c:pt>
                <c:pt idx="1">
                  <c:v>4.5999999999999999E-2</c:v>
                </c:pt>
                <c:pt idx="2">
                  <c:v>0.316</c:v>
                </c:pt>
                <c:pt idx="3">
                  <c:v>8.8999999999999996E-2</c:v>
                </c:pt>
                <c:pt idx="4">
                  <c:v>8.8999999999999996E-2</c:v>
                </c:pt>
                <c:pt idx="5">
                  <c:v>0.30399999999999999</c:v>
                </c:pt>
                <c:pt idx="6">
                  <c:v>5.8000000000000003E-2</c:v>
                </c:pt>
                <c:pt idx="7">
                  <c:v>0.13900000000000001</c:v>
                </c:pt>
                <c:pt idx="8">
                  <c:v>9.8000000000000004E-2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0.67900000000000005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0.22</c:v>
                </c:pt>
                <c:pt idx="41">
                  <c:v>6.4000000000000001E-2</c:v>
                </c:pt>
                <c:pt idx="42">
                  <c:v>0.20200000000000001</c:v>
                </c:pt>
                <c:pt idx="43">
                  <c:v>0.20300000000000001</c:v>
                </c:pt>
                <c:pt idx="44">
                  <c:v>0.15</c:v>
                </c:pt>
                <c:pt idx="45">
                  <c:v>7.2000000000000008E-2</c:v>
                </c:pt>
                <c:pt idx="46">
                  <c:v>0.33400000000000002</c:v>
                </c:pt>
                <c:pt idx="47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71B-474A-8D2E-6AE97EF26749}"/>
            </c:ext>
          </c:extLst>
        </c:ser>
        <c:ser>
          <c:idx val="77"/>
          <c:order val="77"/>
          <c:tx>
            <c:v>BES_TR2_six87_A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Discharge_kW!$CB$2:$CB$49</c:f>
              <c:numCache>
                <c:formatCode>#,##0.000</c:formatCode>
                <c:ptCount val="48"/>
                <c:pt idx="0">
                  <c:v>0.14499999999999999</c:v>
                </c:pt>
                <c:pt idx="1">
                  <c:v>0.19800000000000001</c:v>
                </c:pt>
                <c:pt idx="2">
                  <c:v>0.17100000000000001</c:v>
                </c:pt>
                <c:pt idx="3">
                  <c:v>0.34799999999999998</c:v>
                </c:pt>
                <c:pt idx="4">
                  <c:v>0.154</c:v>
                </c:pt>
                <c:pt idx="5">
                  <c:v>0.184</c:v>
                </c:pt>
                <c:pt idx="6">
                  <c:v>0.23499999999999999</c:v>
                </c:pt>
                <c:pt idx="7">
                  <c:v>0.16900000000000001</c:v>
                </c:pt>
                <c:pt idx="8">
                  <c:v>0.18099999999999999</c:v>
                </c:pt>
                <c:pt idx="9">
                  <c:v>4.5000000000000012E-2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1.4830000000000001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1.0329999999999999</c:v>
                </c:pt>
                <c:pt idx="33">
                  <c:v>0</c:v>
                </c:pt>
                <c:pt idx="34">
                  <c:v>0</c:v>
                </c:pt>
                <c:pt idx="35">
                  <c:v>0.66600000000000004</c:v>
                </c:pt>
                <c:pt idx="36">
                  <c:v>0.55900000000000005</c:v>
                </c:pt>
                <c:pt idx="37">
                  <c:v>0.82499999999999996</c:v>
                </c:pt>
                <c:pt idx="38">
                  <c:v>2.008</c:v>
                </c:pt>
                <c:pt idx="39">
                  <c:v>0.49399999999999999</c:v>
                </c:pt>
                <c:pt idx="40">
                  <c:v>0.39700000000000002</c:v>
                </c:pt>
                <c:pt idx="41">
                  <c:v>0.71599999999999997</c:v>
                </c:pt>
                <c:pt idx="42">
                  <c:v>0.83399999999999996</c:v>
                </c:pt>
                <c:pt idx="43">
                  <c:v>0.67199999999999993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271B-474A-8D2E-6AE97EF26749}"/>
            </c:ext>
          </c:extLst>
        </c:ser>
        <c:ser>
          <c:idx val="78"/>
          <c:order val="78"/>
          <c:tx>
            <c:v>BES_TR2_six652_A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Discharge_kW!$CC$2:$CC$49</c:f>
              <c:numCache>
                <c:formatCode>#,##0.000</c:formatCode>
                <c:ptCount val="48"/>
                <c:pt idx="0">
                  <c:v>0.156</c:v>
                </c:pt>
                <c:pt idx="1">
                  <c:v>0.29299999999999998</c:v>
                </c:pt>
                <c:pt idx="2">
                  <c:v>0.121</c:v>
                </c:pt>
                <c:pt idx="3">
                  <c:v>0.222</c:v>
                </c:pt>
                <c:pt idx="4">
                  <c:v>8.3000000000000004E-2</c:v>
                </c:pt>
                <c:pt idx="5">
                  <c:v>0.28699999999999998</c:v>
                </c:pt>
                <c:pt idx="6">
                  <c:v>0.16700000000000001</c:v>
                </c:pt>
                <c:pt idx="7">
                  <c:v>0.22600000000000001</c:v>
                </c:pt>
                <c:pt idx="8">
                  <c:v>0.17100000000000001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0.32900000000000001</c:v>
                </c:pt>
                <c:pt idx="39">
                  <c:v>0.26200000000000001</c:v>
                </c:pt>
                <c:pt idx="40">
                  <c:v>0.28000000000000003</c:v>
                </c:pt>
                <c:pt idx="41">
                  <c:v>0.6</c:v>
                </c:pt>
                <c:pt idx="42">
                  <c:v>0.23300000000000001</c:v>
                </c:pt>
                <c:pt idx="43">
                  <c:v>9.1999999999999998E-2</c:v>
                </c:pt>
                <c:pt idx="44">
                  <c:v>0.13800000000000001</c:v>
                </c:pt>
                <c:pt idx="45">
                  <c:v>0.17100000000000001</c:v>
                </c:pt>
                <c:pt idx="46">
                  <c:v>0.20599999999999999</c:v>
                </c:pt>
                <c:pt idx="47">
                  <c:v>0.193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71B-474A-8D2E-6AE97EF26749}"/>
            </c:ext>
          </c:extLst>
        </c:ser>
        <c:ser>
          <c:idx val="79"/>
          <c:order val="79"/>
          <c:tx>
            <c:v>BES_TR2_six665_B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Discharge_kW!$CD$2:$CD$49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6.0999999999999999E-2</c:v>
                </c:pt>
                <c:pt idx="2">
                  <c:v>0.11899999999999999</c:v>
                </c:pt>
                <c:pt idx="3">
                  <c:v>6.0999999999999999E-2</c:v>
                </c:pt>
                <c:pt idx="4">
                  <c:v>0.11899999999999999</c:v>
                </c:pt>
                <c:pt idx="5">
                  <c:v>5.2999999999999999E-2</c:v>
                </c:pt>
                <c:pt idx="6">
                  <c:v>8.6000000000000007E-2</c:v>
                </c:pt>
                <c:pt idx="7">
                  <c:v>9.0999999999999998E-2</c:v>
                </c:pt>
                <c:pt idx="8">
                  <c:v>3.0000000000000001E-3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0.38600000000000001</c:v>
                </c:pt>
                <c:pt idx="22">
                  <c:v>0</c:v>
                </c:pt>
                <c:pt idx="23">
                  <c:v>0</c:v>
                </c:pt>
                <c:pt idx="24">
                  <c:v>0.44800000000000001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0.32900000000000001</c:v>
                </c:pt>
                <c:pt idx="40">
                  <c:v>0.51300000000000001</c:v>
                </c:pt>
                <c:pt idx="41">
                  <c:v>0.84099999999999997</c:v>
                </c:pt>
                <c:pt idx="42">
                  <c:v>0.45400000000000001</c:v>
                </c:pt>
                <c:pt idx="43">
                  <c:v>0.38900000000000001</c:v>
                </c:pt>
                <c:pt idx="44">
                  <c:v>0.39600000000000002</c:v>
                </c:pt>
                <c:pt idx="45">
                  <c:v>0.46200000000000002</c:v>
                </c:pt>
                <c:pt idx="46">
                  <c:v>5.2999999999999999E-2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271B-474A-8D2E-6AE97EF26749}"/>
            </c:ext>
          </c:extLst>
        </c:ser>
        <c:ser>
          <c:idx val="80"/>
          <c:order val="80"/>
          <c:tx>
            <c:v>BES_TR2_six667_A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Discharge_kW!$CE$2:$CE$49</c:f>
              <c:numCache>
                <c:formatCode>#,##0.000</c:formatCode>
                <c:ptCount val="48"/>
                <c:pt idx="0">
                  <c:v>5.6000000000000001E-2</c:v>
                </c:pt>
                <c:pt idx="1">
                  <c:v>0.24099999999999999</c:v>
                </c:pt>
                <c:pt idx="2">
                  <c:v>5.6000000000000001E-2</c:v>
                </c:pt>
                <c:pt idx="3">
                  <c:v>0.13200000000000001</c:v>
                </c:pt>
                <c:pt idx="4">
                  <c:v>0.16500000000000001</c:v>
                </c:pt>
                <c:pt idx="5">
                  <c:v>5.6000000000000001E-2</c:v>
                </c:pt>
                <c:pt idx="6">
                  <c:v>0.157</c:v>
                </c:pt>
                <c:pt idx="7">
                  <c:v>0.13800000000000001</c:v>
                </c:pt>
                <c:pt idx="8">
                  <c:v>2.5000000000000001E-2</c:v>
                </c:pt>
                <c:pt idx="9">
                  <c:v>6.9999999999999993E-2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2.4140000000000001</c:v>
                </c:pt>
                <c:pt idx="39">
                  <c:v>1.339</c:v>
                </c:pt>
                <c:pt idx="40">
                  <c:v>0.48699999999999999</c:v>
                </c:pt>
                <c:pt idx="41">
                  <c:v>0.60599999999999998</c:v>
                </c:pt>
                <c:pt idx="42">
                  <c:v>2.2029999999999998</c:v>
                </c:pt>
                <c:pt idx="43">
                  <c:v>0.122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71B-474A-8D2E-6AE97EF26749}"/>
            </c:ext>
          </c:extLst>
        </c:ser>
        <c:ser>
          <c:idx val="81"/>
          <c:order val="81"/>
          <c:tx>
            <c:v>BES_TR2_six721_A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Discharge_kW!$CF$2:$CF$49</c:f>
              <c:numCache>
                <c:formatCode>#,##0.000</c:formatCode>
                <c:ptCount val="48"/>
                <c:pt idx="0">
                  <c:v>0.70600000000000007</c:v>
                </c:pt>
                <c:pt idx="1">
                  <c:v>0.13600000000000001</c:v>
                </c:pt>
                <c:pt idx="2">
                  <c:v>0.14899999999999999</c:v>
                </c:pt>
                <c:pt idx="3">
                  <c:v>0.186</c:v>
                </c:pt>
                <c:pt idx="4">
                  <c:v>0.17399999999999999</c:v>
                </c:pt>
                <c:pt idx="5">
                  <c:v>4.7E-2</c:v>
                </c:pt>
                <c:pt idx="6">
                  <c:v>0.18</c:v>
                </c:pt>
                <c:pt idx="7">
                  <c:v>0.121</c:v>
                </c:pt>
                <c:pt idx="8">
                  <c:v>0.16800000000000001</c:v>
                </c:pt>
                <c:pt idx="9">
                  <c:v>1.2999999999999999E-2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0.06</c:v>
                </c:pt>
                <c:pt idx="39">
                  <c:v>1.9E-2</c:v>
                </c:pt>
                <c:pt idx="40">
                  <c:v>0.16400000000000001</c:v>
                </c:pt>
                <c:pt idx="41">
                  <c:v>0.186</c:v>
                </c:pt>
                <c:pt idx="42">
                  <c:v>0.17399999999999999</c:v>
                </c:pt>
                <c:pt idx="43">
                  <c:v>0.129</c:v>
                </c:pt>
                <c:pt idx="44">
                  <c:v>0.13600000000000001</c:v>
                </c:pt>
                <c:pt idx="45">
                  <c:v>0.14199999999999999</c:v>
                </c:pt>
                <c:pt idx="46">
                  <c:v>0.14199999999999999</c:v>
                </c:pt>
                <c:pt idx="47">
                  <c:v>0.218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271B-474A-8D2E-6AE97EF26749}"/>
            </c:ext>
          </c:extLst>
        </c:ser>
        <c:ser>
          <c:idx val="82"/>
          <c:order val="82"/>
          <c:tx>
            <c:v>BES_TR2_six740_A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Discharge_kW!$CG$2:$CG$49</c:f>
              <c:numCache>
                <c:formatCode>#,##0.000</c:formatCode>
                <c:ptCount val="48"/>
                <c:pt idx="0">
                  <c:v>0.13500000000000001</c:v>
                </c:pt>
                <c:pt idx="1">
                  <c:v>0.13200000000000001</c:v>
                </c:pt>
                <c:pt idx="2">
                  <c:v>5.3999999999999999E-2</c:v>
                </c:pt>
                <c:pt idx="3">
                  <c:v>8.7999999999999995E-2</c:v>
                </c:pt>
                <c:pt idx="4">
                  <c:v>7.2000000000000008E-2</c:v>
                </c:pt>
                <c:pt idx="5">
                  <c:v>0.187</c:v>
                </c:pt>
                <c:pt idx="6">
                  <c:v>4.1000000000000002E-2</c:v>
                </c:pt>
                <c:pt idx="7">
                  <c:v>0.16800000000000001</c:v>
                </c:pt>
                <c:pt idx="8">
                  <c:v>5.2999999999999999E-2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0.153</c:v>
                </c:pt>
                <c:pt idx="40">
                  <c:v>0.38600000000000001</c:v>
                </c:pt>
                <c:pt idx="41">
                  <c:v>0.72099999999999997</c:v>
                </c:pt>
                <c:pt idx="42">
                  <c:v>1.4930000000000001</c:v>
                </c:pt>
                <c:pt idx="43">
                  <c:v>0.49299999999999988</c:v>
                </c:pt>
                <c:pt idx="44">
                  <c:v>0.30099999999999999</c:v>
                </c:pt>
                <c:pt idx="45">
                  <c:v>8.5000000000000006E-2</c:v>
                </c:pt>
                <c:pt idx="46">
                  <c:v>7.9000000000000001E-2</c:v>
                </c:pt>
                <c:pt idx="47">
                  <c:v>0.13700000000000001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71B-474A-8D2E-6AE97EF26749}"/>
            </c:ext>
          </c:extLst>
        </c:ser>
        <c:ser>
          <c:idx val="83"/>
          <c:order val="83"/>
          <c:tx>
            <c:v>BES_TR2_six758_B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Discharge_kW!$CH$2:$CH$49</c:f>
              <c:numCache>
                <c:formatCode>#,##0.000</c:formatCode>
                <c:ptCount val="48"/>
                <c:pt idx="0">
                  <c:v>0.05</c:v>
                </c:pt>
                <c:pt idx="1">
                  <c:v>0.222</c:v>
                </c:pt>
                <c:pt idx="2">
                  <c:v>0.05</c:v>
                </c:pt>
                <c:pt idx="3">
                  <c:v>0.16</c:v>
                </c:pt>
                <c:pt idx="4">
                  <c:v>0.113</c:v>
                </c:pt>
                <c:pt idx="5">
                  <c:v>7.3999999999999996E-2</c:v>
                </c:pt>
                <c:pt idx="6">
                  <c:v>0.19900000000000001</c:v>
                </c:pt>
                <c:pt idx="7">
                  <c:v>4.8000000000000001E-2</c:v>
                </c:pt>
                <c:pt idx="8">
                  <c:v>1.9E-2</c:v>
                </c:pt>
                <c:pt idx="9">
                  <c:v>4.5999999999999999E-2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1.2999999999999999E-2</c:v>
                </c:pt>
                <c:pt idx="36">
                  <c:v>0</c:v>
                </c:pt>
                <c:pt idx="37">
                  <c:v>0</c:v>
                </c:pt>
                <c:pt idx="38">
                  <c:v>2.5999999999999999E-2</c:v>
                </c:pt>
                <c:pt idx="39">
                  <c:v>0.4</c:v>
                </c:pt>
                <c:pt idx="40">
                  <c:v>0.65399999999999991</c:v>
                </c:pt>
                <c:pt idx="41">
                  <c:v>0.85199999999999998</c:v>
                </c:pt>
                <c:pt idx="42">
                  <c:v>0.55999999999999994</c:v>
                </c:pt>
                <c:pt idx="43">
                  <c:v>0.48799999999999999</c:v>
                </c:pt>
                <c:pt idx="44">
                  <c:v>0.47299999999999998</c:v>
                </c:pt>
                <c:pt idx="45">
                  <c:v>7.3999999999999996E-2</c:v>
                </c:pt>
                <c:pt idx="46">
                  <c:v>0.19900000000000001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271B-474A-8D2E-6AE97EF26749}"/>
            </c:ext>
          </c:extLst>
        </c:ser>
        <c:ser>
          <c:idx val="84"/>
          <c:order val="84"/>
          <c:tx>
            <c:v>BES_TR2_six784_B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Discharge_kW!$CI$2:$CI$49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4.9000000000000002E-2</c:v>
                </c:pt>
                <c:pt idx="2">
                  <c:v>4.9000000000000002E-2</c:v>
                </c:pt>
                <c:pt idx="3">
                  <c:v>4.9000000000000002E-2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4.7E-2</c:v>
                </c:pt>
                <c:pt idx="8">
                  <c:v>2.4E-2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1.3420000000000001</c:v>
                </c:pt>
                <c:pt idx="36">
                  <c:v>0</c:v>
                </c:pt>
                <c:pt idx="37">
                  <c:v>1.0999999999999999E-2</c:v>
                </c:pt>
                <c:pt idx="38">
                  <c:v>1.407</c:v>
                </c:pt>
                <c:pt idx="39">
                  <c:v>1.2829999999999999</c:v>
                </c:pt>
                <c:pt idx="40">
                  <c:v>0.96199999999999997</c:v>
                </c:pt>
                <c:pt idx="41">
                  <c:v>0.38800000000000001</c:v>
                </c:pt>
                <c:pt idx="42">
                  <c:v>0.46400000000000002</c:v>
                </c:pt>
                <c:pt idx="43">
                  <c:v>0.57600000000000007</c:v>
                </c:pt>
                <c:pt idx="44">
                  <c:v>0.45400000000000001</c:v>
                </c:pt>
                <c:pt idx="45">
                  <c:v>0.17399999999999999</c:v>
                </c:pt>
                <c:pt idx="46">
                  <c:v>0.32300000000000001</c:v>
                </c:pt>
                <c:pt idx="47">
                  <c:v>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71B-474A-8D2E-6AE97EF26749}"/>
            </c:ext>
          </c:extLst>
        </c:ser>
        <c:ser>
          <c:idx val="85"/>
          <c:order val="85"/>
          <c:tx>
            <c:v>BES_TR2_six799_B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Discharge_kW!$CJ$2:$CJ$49</c:f>
              <c:numCache>
                <c:formatCode>#,##0.000</c:formatCode>
                <c:ptCount val="48"/>
                <c:pt idx="0">
                  <c:v>1.071</c:v>
                </c:pt>
                <c:pt idx="1">
                  <c:v>1.0429999999999999</c:v>
                </c:pt>
                <c:pt idx="2">
                  <c:v>5.8000000000000003E-2</c:v>
                </c:pt>
                <c:pt idx="3">
                  <c:v>0.219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0.77899999999999991</c:v>
                </c:pt>
                <c:pt idx="36">
                  <c:v>0.20399999999999999</c:v>
                </c:pt>
                <c:pt idx="37">
                  <c:v>1.175</c:v>
                </c:pt>
                <c:pt idx="38">
                  <c:v>0.32</c:v>
                </c:pt>
                <c:pt idx="39">
                  <c:v>5.0000000000000001E-3</c:v>
                </c:pt>
                <c:pt idx="40">
                  <c:v>1.3939999999999999</c:v>
                </c:pt>
                <c:pt idx="41">
                  <c:v>0.61699999999999999</c:v>
                </c:pt>
                <c:pt idx="42">
                  <c:v>1.244</c:v>
                </c:pt>
                <c:pt idx="43">
                  <c:v>0.63400000000000001</c:v>
                </c:pt>
                <c:pt idx="44">
                  <c:v>0.80099999999999993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271B-474A-8D2E-6AE97EF26749}"/>
            </c:ext>
          </c:extLst>
        </c:ser>
        <c:ser>
          <c:idx val="86"/>
          <c:order val="86"/>
          <c:tx>
            <c:v>BES_TR2_six807_A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Discharge_kW!$CK$2:$CK$49</c:f>
              <c:numCache>
                <c:formatCode>#,##0.000</c:formatCode>
                <c:ptCount val="48"/>
                <c:pt idx="0">
                  <c:v>0.56999999999999995</c:v>
                </c:pt>
                <c:pt idx="1">
                  <c:v>0.71299999999999997</c:v>
                </c:pt>
                <c:pt idx="2">
                  <c:v>9.2999999999999999E-2</c:v>
                </c:pt>
                <c:pt idx="3">
                  <c:v>0.17100000000000001</c:v>
                </c:pt>
                <c:pt idx="4">
                  <c:v>0.14199999999999999</c:v>
                </c:pt>
                <c:pt idx="5">
                  <c:v>4.8000000000000001E-2</c:v>
                </c:pt>
                <c:pt idx="6">
                  <c:v>0.26500000000000001</c:v>
                </c:pt>
                <c:pt idx="7">
                  <c:v>4.5000000000000012E-2</c:v>
                </c:pt>
                <c:pt idx="8">
                  <c:v>0.16400000000000001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0.64400000000000002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2.9000000000000001E-2</c:v>
                </c:pt>
                <c:pt idx="40">
                  <c:v>9.8000000000000004E-2</c:v>
                </c:pt>
                <c:pt idx="41">
                  <c:v>0.19800000000000001</c:v>
                </c:pt>
                <c:pt idx="42">
                  <c:v>0.152</c:v>
                </c:pt>
                <c:pt idx="43">
                  <c:v>0.30399999999999999</c:v>
                </c:pt>
                <c:pt idx="44">
                  <c:v>0.69700000000000006</c:v>
                </c:pt>
                <c:pt idx="45">
                  <c:v>0.56899999999999995</c:v>
                </c:pt>
                <c:pt idx="46">
                  <c:v>0.51</c:v>
                </c:pt>
                <c:pt idx="47">
                  <c:v>7.4999999999999997E-2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71B-474A-8D2E-6AE97EF26749}"/>
            </c:ext>
          </c:extLst>
        </c:ser>
        <c:ser>
          <c:idx val="87"/>
          <c:order val="87"/>
          <c:tx>
            <c:v>BES_TR2_six885_A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Discharge_kW!$CL$2:$CL$49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0.159</c:v>
                </c:pt>
                <c:pt idx="2">
                  <c:v>0.11899999999999999</c:v>
                </c:pt>
                <c:pt idx="3">
                  <c:v>0.28799999999999998</c:v>
                </c:pt>
                <c:pt idx="4">
                  <c:v>5.7000000000000002E-2</c:v>
                </c:pt>
                <c:pt idx="5">
                  <c:v>4.5999999999999999E-2</c:v>
                </c:pt>
                <c:pt idx="6">
                  <c:v>0.23100000000000001</c:v>
                </c:pt>
                <c:pt idx="7">
                  <c:v>0.185</c:v>
                </c:pt>
                <c:pt idx="8">
                  <c:v>0.114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0.36499999999999999</c:v>
                </c:pt>
                <c:pt idx="40">
                  <c:v>0.77500000000000002</c:v>
                </c:pt>
                <c:pt idx="41">
                  <c:v>0.41899999999999998</c:v>
                </c:pt>
                <c:pt idx="42">
                  <c:v>0.29099999999999998</c:v>
                </c:pt>
                <c:pt idx="43">
                  <c:v>0.46300000000000002</c:v>
                </c:pt>
                <c:pt idx="44">
                  <c:v>0.53300000000000003</c:v>
                </c:pt>
                <c:pt idx="45">
                  <c:v>0.59299999999999997</c:v>
                </c:pt>
                <c:pt idx="46">
                  <c:v>0.54600000000000004</c:v>
                </c:pt>
                <c:pt idx="47">
                  <c:v>0.23499999999999999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271B-474A-8D2E-6AE97EF26749}"/>
            </c:ext>
          </c:extLst>
        </c:ser>
        <c:ser>
          <c:idx val="88"/>
          <c:order val="88"/>
          <c:tx>
            <c:v>BES_TR2_six894_B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Discharge_kW!$CM$2:$CM$49</c:f>
              <c:numCache>
                <c:formatCode>#,##0.000</c:formatCode>
                <c:ptCount val="48"/>
                <c:pt idx="0">
                  <c:v>6.0999999999999999E-2</c:v>
                </c:pt>
                <c:pt idx="1">
                  <c:v>5.1999999999999998E-2</c:v>
                </c:pt>
                <c:pt idx="2">
                  <c:v>0.121</c:v>
                </c:pt>
                <c:pt idx="3">
                  <c:v>4.8000000000000001E-2</c:v>
                </c:pt>
                <c:pt idx="4">
                  <c:v>0.126</c:v>
                </c:pt>
                <c:pt idx="5">
                  <c:v>5.1999999999999998E-2</c:v>
                </c:pt>
                <c:pt idx="6">
                  <c:v>0.121</c:v>
                </c:pt>
                <c:pt idx="7">
                  <c:v>5.0999999999999997E-2</c:v>
                </c:pt>
                <c:pt idx="8">
                  <c:v>0.10299999999999999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0.13400000000000001</c:v>
                </c:pt>
                <c:pt idx="40">
                  <c:v>0.33500000000000002</c:v>
                </c:pt>
                <c:pt idx="41">
                  <c:v>0.308</c:v>
                </c:pt>
                <c:pt idx="42">
                  <c:v>0.33800000000000002</c:v>
                </c:pt>
                <c:pt idx="43">
                  <c:v>0.104</c:v>
                </c:pt>
                <c:pt idx="44">
                  <c:v>4.8000000000000001E-2</c:v>
                </c:pt>
                <c:pt idx="45">
                  <c:v>6.4999999999999988E-2</c:v>
                </c:pt>
                <c:pt idx="46">
                  <c:v>0.108</c:v>
                </c:pt>
                <c:pt idx="47">
                  <c:v>7.8E-2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71B-474A-8D2E-6AE97EF26749}"/>
            </c:ext>
          </c:extLst>
        </c:ser>
        <c:ser>
          <c:idx val="89"/>
          <c:order val="89"/>
          <c:tx>
            <c:v>BES_TR2_six914_A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Discharge_kW!$CN$2:$CN$49</c:f>
              <c:numCache>
                <c:formatCode>#,##0.000</c:formatCode>
                <c:ptCount val="48"/>
                <c:pt idx="0">
                  <c:v>8.6000000000000007E-2</c:v>
                </c:pt>
                <c:pt idx="1">
                  <c:v>0.156</c:v>
                </c:pt>
                <c:pt idx="2">
                  <c:v>4.3999999999999997E-2</c:v>
                </c:pt>
                <c:pt idx="3">
                  <c:v>0.19800000000000001</c:v>
                </c:pt>
                <c:pt idx="4">
                  <c:v>4.3999999999999997E-2</c:v>
                </c:pt>
                <c:pt idx="5">
                  <c:v>4.3999999999999997E-2</c:v>
                </c:pt>
                <c:pt idx="6">
                  <c:v>4.3999999999999997E-2</c:v>
                </c:pt>
                <c:pt idx="7">
                  <c:v>4.2999999999999997E-2</c:v>
                </c:pt>
                <c:pt idx="8">
                  <c:v>2.5000000000000001E-2</c:v>
                </c:pt>
                <c:pt idx="9">
                  <c:v>6.8999999999999992E-2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0.80900000000000005</c:v>
                </c:pt>
                <c:pt idx="36">
                  <c:v>0</c:v>
                </c:pt>
                <c:pt idx="37">
                  <c:v>0</c:v>
                </c:pt>
                <c:pt idx="38">
                  <c:v>0.218</c:v>
                </c:pt>
                <c:pt idx="39">
                  <c:v>0.187</c:v>
                </c:pt>
                <c:pt idx="40">
                  <c:v>0.624</c:v>
                </c:pt>
                <c:pt idx="41">
                  <c:v>0.54799999999999993</c:v>
                </c:pt>
                <c:pt idx="42">
                  <c:v>0.38500000000000001</c:v>
                </c:pt>
                <c:pt idx="43">
                  <c:v>0.82299999999999995</c:v>
                </c:pt>
                <c:pt idx="44">
                  <c:v>0.41599999999999998</c:v>
                </c:pt>
                <c:pt idx="45">
                  <c:v>0.78799999999999992</c:v>
                </c:pt>
                <c:pt idx="46">
                  <c:v>0.27400000000000002</c:v>
                </c:pt>
                <c:pt idx="47">
                  <c:v>7.2000000000000008E-2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271B-474A-8D2E-6AE97EF26749}"/>
            </c:ext>
          </c:extLst>
        </c:ser>
        <c:ser>
          <c:idx val="90"/>
          <c:order val="90"/>
          <c:tx>
            <c:v>BES_TR2_six921_B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Discharge_kW!$CO$2:$CO$49</c:f>
              <c:numCache>
                <c:formatCode>#,##0.000</c:formatCode>
                <c:ptCount val="48"/>
                <c:pt idx="0">
                  <c:v>8.2000000000000003E-2</c:v>
                </c:pt>
                <c:pt idx="1">
                  <c:v>0.125</c:v>
                </c:pt>
                <c:pt idx="2">
                  <c:v>5.5E-2</c:v>
                </c:pt>
                <c:pt idx="3">
                  <c:v>0.152</c:v>
                </c:pt>
                <c:pt idx="4">
                  <c:v>0.05</c:v>
                </c:pt>
                <c:pt idx="5">
                  <c:v>0.14699999999999999</c:v>
                </c:pt>
                <c:pt idx="6">
                  <c:v>6.0999999999999999E-2</c:v>
                </c:pt>
                <c:pt idx="7">
                  <c:v>4.7E-2</c:v>
                </c:pt>
                <c:pt idx="8">
                  <c:v>0.114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0.627</c:v>
                </c:pt>
                <c:pt idx="40">
                  <c:v>0.63900000000000001</c:v>
                </c:pt>
                <c:pt idx="41">
                  <c:v>0.39300000000000002</c:v>
                </c:pt>
                <c:pt idx="42">
                  <c:v>0.57399999999999995</c:v>
                </c:pt>
                <c:pt idx="43">
                  <c:v>0.55800000000000005</c:v>
                </c:pt>
                <c:pt idx="44">
                  <c:v>0.60099999999999998</c:v>
                </c:pt>
                <c:pt idx="45">
                  <c:v>0.53</c:v>
                </c:pt>
                <c:pt idx="46">
                  <c:v>0.05</c:v>
                </c:pt>
                <c:pt idx="47">
                  <c:v>8.7999999999999995E-2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71B-474A-8D2E-6AE97EF26749}"/>
            </c:ext>
          </c:extLst>
        </c:ser>
        <c:ser>
          <c:idx val="91"/>
          <c:order val="91"/>
          <c:tx>
            <c:v>BES_TR2_six929_A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Discharge_kW!$CP$2:$CP$49</c:f>
              <c:numCache>
                <c:formatCode>#,##0.000</c:formatCode>
                <c:ptCount val="48"/>
                <c:pt idx="0">
                  <c:v>0.77800000000000002</c:v>
                </c:pt>
                <c:pt idx="1">
                  <c:v>0.66799999999999993</c:v>
                </c:pt>
                <c:pt idx="2">
                  <c:v>0.17</c:v>
                </c:pt>
                <c:pt idx="3">
                  <c:v>3.6999999999999998E-2</c:v>
                </c:pt>
                <c:pt idx="4">
                  <c:v>0.27700000000000002</c:v>
                </c:pt>
                <c:pt idx="5">
                  <c:v>3.6999999999999998E-2</c:v>
                </c:pt>
                <c:pt idx="6">
                  <c:v>3.6999999999999998E-2</c:v>
                </c:pt>
                <c:pt idx="7">
                  <c:v>0.23699999999999999</c:v>
                </c:pt>
                <c:pt idx="8">
                  <c:v>5.7000000000000002E-2</c:v>
                </c:pt>
                <c:pt idx="9">
                  <c:v>4.9000000000000002E-2</c:v>
                </c:pt>
                <c:pt idx="10">
                  <c:v>5.0000000000000001E-3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9.6000000000000002E-2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0.57200000000000006</c:v>
                </c:pt>
                <c:pt idx="25">
                  <c:v>0.84099999999999997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1.012</c:v>
                </c:pt>
                <c:pt idx="37">
                  <c:v>0</c:v>
                </c:pt>
                <c:pt idx="38">
                  <c:v>8.1000000000000003E-2</c:v>
                </c:pt>
                <c:pt idx="39">
                  <c:v>0.38200000000000001</c:v>
                </c:pt>
                <c:pt idx="40">
                  <c:v>0.41699999999999998</c:v>
                </c:pt>
                <c:pt idx="41">
                  <c:v>0.63100000000000001</c:v>
                </c:pt>
                <c:pt idx="42">
                  <c:v>0.68</c:v>
                </c:pt>
                <c:pt idx="43">
                  <c:v>0.496</c:v>
                </c:pt>
                <c:pt idx="44">
                  <c:v>0.49700000000000011</c:v>
                </c:pt>
                <c:pt idx="45">
                  <c:v>0.60699999999999998</c:v>
                </c:pt>
                <c:pt idx="46">
                  <c:v>0.26500000000000001</c:v>
                </c:pt>
                <c:pt idx="47">
                  <c:v>0.14199999999999999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271B-474A-8D2E-6AE97EF26749}"/>
            </c:ext>
          </c:extLst>
        </c:ser>
        <c:ser>
          <c:idx val="92"/>
          <c:order val="92"/>
          <c:tx>
            <c:v>BES_TR2_six938_A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Discharge_kW!$CQ$2:$CQ$49</c:f>
              <c:numCache>
                <c:formatCode>#,##0.000</c:formatCode>
                <c:ptCount val="48"/>
                <c:pt idx="0">
                  <c:v>0.20100000000000001</c:v>
                </c:pt>
                <c:pt idx="1">
                  <c:v>5.0999999999999997E-2</c:v>
                </c:pt>
                <c:pt idx="2">
                  <c:v>0.20799999999999999</c:v>
                </c:pt>
                <c:pt idx="3">
                  <c:v>7.5999999999999998E-2</c:v>
                </c:pt>
                <c:pt idx="4">
                  <c:v>5.0999999999999997E-2</c:v>
                </c:pt>
                <c:pt idx="5">
                  <c:v>0.11700000000000001</c:v>
                </c:pt>
                <c:pt idx="6">
                  <c:v>0.16600000000000001</c:v>
                </c:pt>
                <c:pt idx="7">
                  <c:v>4.8000000000000001E-2</c:v>
                </c:pt>
                <c:pt idx="8">
                  <c:v>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0.30399999999999999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0.122</c:v>
                </c:pt>
                <c:pt idx="41">
                  <c:v>0.14199999999999999</c:v>
                </c:pt>
                <c:pt idx="42">
                  <c:v>5.0999999999999997E-2</c:v>
                </c:pt>
                <c:pt idx="43">
                  <c:v>0.191</c:v>
                </c:pt>
                <c:pt idx="44">
                  <c:v>9.1999999999999998E-2</c:v>
                </c:pt>
                <c:pt idx="45">
                  <c:v>5.0999999999999997E-2</c:v>
                </c:pt>
                <c:pt idx="46">
                  <c:v>0.16600000000000001</c:v>
                </c:pt>
                <c:pt idx="47">
                  <c:v>0.11700000000000001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71B-474A-8D2E-6AE97EF26749}"/>
            </c:ext>
          </c:extLst>
        </c:ser>
        <c:ser>
          <c:idx val="93"/>
          <c:order val="93"/>
          <c:tx>
            <c:v>BES_TR2_six990_B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Discharge_kW!$CR$2:$CR$49</c:f>
              <c:numCache>
                <c:formatCode>#,##0.000</c:formatCode>
                <c:ptCount val="48"/>
                <c:pt idx="0">
                  <c:v>0.16400000000000001</c:v>
                </c:pt>
                <c:pt idx="1">
                  <c:v>4.8000000000000001E-2</c:v>
                </c:pt>
                <c:pt idx="2">
                  <c:v>0.309</c:v>
                </c:pt>
                <c:pt idx="3">
                  <c:v>6.8999999999999992E-2</c:v>
                </c:pt>
                <c:pt idx="4">
                  <c:v>4.8000000000000001E-2</c:v>
                </c:pt>
                <c:pt idx="5">
                  <c:v>0.247</c:v>
                </c:pt>
                <c:pt idx="6">
                  <c:v>0.13</c:v>
                </c:pt>
                <c:pt idx="7">
                  <c:v>4.5000000000000012E-2</c:v>
                </c:pt>
                <c:pt idx="8">
                  <c:v>0.27800000000000002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0.218</c:v>
                </c:pt>
                <c:pt idx="40">
                  <c:v>0.10100000000000001</c:v>
                </c:pt>
                <c:pt idx="41">
                  <c:v>0.19500000000000001</c:v>
                </c:pt>
                <c:pt idx="42">
                  <c:v>0.36599999999999999</c:v>
                </c:pt>
                <c:pt idx="43">
                  <c:v>0.99900000000000011</c:v>
                </c:pt>
                <c:pt idx="44">
                  <c:v>0.39100000000000001</c:v>
                </c:pt>
                <c:pt idx="45">
                  <c:v>0.309</c:v>
                </c:pt>
                <c:pt idx="46">
                  <c:v>0.16800000000000001</c:v>
                </c:pt>
                <c:pt idx="47">
                  <c:v>0.22500000000000001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271B-474A-8D2E-6AE97EF26749}"/>
            </c:ext>
          </c:extLst>
        </c:ser>
        <c:ser>
          <c:idx val="94"/>
          <c:order val="94"/>
          <c:tx>
            <c:v>BES_TR2_six1020_A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Discharge_kW!$CS$2:$CS$49</c:f>
              <c:numCache>
                <c:formatCode>#,##0.000</c:formatCode>
                <c:ptCount val="48"/>
                <c:pt idx="0">
                  <c:v>0.47499999999999998</c:v>
                </c:pt>
                <c:pt idx="1">
                  <c:v>0.39700000000000002</c:v>
                </c:pt>
                <c:pt idx="2">
                  <c:v>0.17</c:v>
                </c:pt>
                <c:pt idx="3">
                  <c:v>0.05</c:v>
                </c:pt>
                <c:pt idx="4">
                  <c:v>0.318</c:v>
                </c:pt>
                <c:pt idx="5">
                  <c:v>6.3E-2</c:v>
                </c:pt>
                <c:pt idx="6">
                  <c:v>9.0000000000000011E-2</c:v>
                </c:pt>
                <c:pt idx="7">
                  <c:v>0.28899999999999998</c:v>
                </c:pt>
                <c:pt idx="8">
                  <c:v>1.7999999999999999E-2</c:v>
                </c:pt>
                <c:pt idx="9">
                  <c:v>8.1000000000000003E-2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0.254</c:v>
                </c:pt>
                <c:pt idx="27">
                  <c:v>0</c:v>
                </c:pt>
                <c:pt idx="28">
                  <c:v>0.98599999999999988</c:v>
                </c:pt>
                <c:pt idx="29">
                  <c:v>1.1559999999999999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3.1510609999999998E-4</c:v>
                </c:pt>
                <c:pt idx="39">
                  <c:v>0.65799999999999992</c:v>
                </c:pt>
                <c:pt idx="40">
                  <c:v>0.36900000000000011</c:v>
                </c:pt>
                <c:pt idx="41">
                  <c:v>0.35299999999999998</c:v>
                </c:pt>
                <c:pt idx="42">
                  <c:v>0.36599999999999999</c:v>
                </c:pt>
                <c:pt idx="43">
                  <c:v>0.59299999999999997</c:v>
                </c:pt>
                <c:pt idx="44">
                  <c:v>0.39100000000000001</c:v>
                </c:pt>
                <c:pt idx="45">
                  <c:v>0.16800000000000001</c:v>
                </c:pt>
                <c:pt idx="46">
                  <c:v>0.16300000000000001</c:v>
                </c:pt>
                <c:pt idx="47">
                  <c:v>0.218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71B-474A-8D2E-6AE97EF26749}"/>
            </c:ext>
          </c:extLst>
        </c:ser>
        <c:ser>
          <c:idx val="95"/>
          <c:order val="95"/>
          <c:tx>
            <c:v>fleet average</c:v>
          </c:tx>
          <c:spPr>
            <a:ln w="28575">
              <a:solidFill>
                <a:srgbClr val="F05A28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ChartData!$X$2:$X$49</c:f>
              <c:numCache>
                <c:formatCode>#,##0.000</c:formatCode>
                <c:ptCount val="48"/>
                <c:pt idx="0">
                  <c:v>0.23728421052631576</c:v>
                </c:pt>
                <c:pt idx="1">
                  <c:v>0.2101684210526315</c:v>
                </c:pt>
                <c:pt idx="2">
                  <c:v>0.15441052631578947</c:v>
                </c:pt>
                <c:pt idx="3">
                  <c:v>0.12967368421052636</c:v>
                </c:pt>
                <c:pt idx="4">
                  <c:v>0.12770526315789468</c:v>
                </c:pt>
                <c:pt idx="5">
                  <c:v>0.12175789473684215</c:v>
                </c:pt>
                <c:pt idx="6">
                  <c:v>0.10091578947368425</c:v>
                </c:pt>
                <c:pt idx="7">
                  <c:v>0.11187368421052633</c:v>
                </c:pt>
                <c:pt idx="8">
                  <c:v>7.2518584356842095E-2</c:v>
                </c:pt>
                <c:pt idx="9">
                  <c:v>1.2726315789473681E-2</c:v>
                </c:pt>
                <c:pt idx="10">
                  <c:v>1.2105263157894737E-3</c:v>
                </c:pt>
                <c:pt idx="11">
                  <c:v>0</c:v>
                </c:pt>
                <c:pt idx="12">
                  <c:v>0</c:v>
                </c:pt>
                <c:pt idx="13">
                  <c:v>1.0052631578947369E-2</c:v>
                </c:pt>
                <c:pt idx="14">
                  <c:v>1.7389473684210524E-2</c:v>
                </c:pt>
                <c:pt idx="15">
                  <c:v>2.0757894736842104E-2</c:v>
                </c:pt>
                <c:pt idx="16">
                  <c:v>4.6526315789473683E-3</c:v>
                </c:pt>
                <c:pt idx="17">
                  <c:v>1E-3</c:v>
                </c:pt>
                <c:pt idx="18">
                  <c:v>8.3052631578947374E-3</c:v>
                </c:pt>
                <c:pt idx="19">
                  <c:v>2.6305263157894738E-2</c:v>
                </c:pt>
                <c:pt idx="20">
                  <c:v>1.6252631578947369E-2</c:v>
                </c:pt>
                <c:pt idx="21">
                  <c:v>1.356842105263158E-2</c:v>
                </c:pt>
                <c:pt idx="22">
                  <c:v>6.1052631578947369E-4</c:v>
                </c:pt>
                <c:pt idx="23">
                  <c:v>2.5368421052631582E-2</c:v>
                </c:pt>
                <c:pt idx="24">
                  <c:v>3.2736842105263154E-2</c:v>
                </c:pt>
                <c:pt idx="25">
                  <c:v>1.568421052631579E-2</c:v>
                </c:pt>
                <c:pt idx="26">
                  <c:v>2.673684210526316E-3</c:v>
                </c:pt>
                <c:pt idx="27">
                  <c:v>4.0631578947368423E-3</c:v>
                </c:pt>
                <c:pt idx="28">
                  <c:v>1.1905263157894735E-2</c:v>
                </c:pt>
                <c:pt idx="29">
                  <c:v>1.6936842105263156E-2</c:v>
                </c:pt>
                <c:pt idx="30">
                  <c:v>1.0873684210526315E-2</c:v>
                </c:pt>
                <c:pt idx="31">
                  <c:v>6.9789473684210516E-3</c:v>
                </c:pt>
                <c:pt idx="32">
                  <c:v>4.0978947368421052E-2</c:v>
                </c:pt>
                <c:pt idx="33">
                  <c:v>5.4242105263157897E-2</c:v>
                </c:pt>
                <c:pt idx="34">
                  <c:v>1.1389473684210527E-2</c:v>
                </c:pt>
                <c:pt idx="35">
                  <c:v>6.6778947368421063E-2</c:v>
                </c:pt>
                <c:pt idx="36">
                  <c:v>8.2389473684210526E-2</c:v>
                </c:pt>
                <c:pt idx="37">
                  <c:v>0.11294736842105263</c:v>
                </c:pt>
                <c:pt idx="38">
                  <c:v>0.22834015901157895</c:v>
                </c:pt>
                <c:pt idx="39">
                  <c:v>0.40452631578947396</c:v>
                </c:pt>
                <c:pt idx="40">
                  <c:v>0.41721052631578975</c:v>
                </c:pt>
                <c:pt idx="41">
                  <c:v>0.46176842105263166</c:v>
                </c:pt>
                <c:pt idx="42">
                  <c:v>0.45969473684210527</c:v>
                </c:pt>
                <c:pt idx="43">
                  <c:v>0.38945263157894744</c:v>
                </c:pt>
                <c:pt idx="44">
                  <c:v>0.34802105263157884</c:v>
                </c:pt>
                <c:pt idx="45">
                  <c:v>0.32164210526315784</c:v>
                </c:pt>
                <c:pt idx="46">
                  <c:v>0.26464210526315796</c:v>
                </c:pt>
                <c:pt idx="47">
                  <c:v>0.18569473684210527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271B-474A-8D2E-6AE97EF26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7"/>
          <c:min val="-0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Discharging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8</xdr:col>
      <xdr:colOff>0</xdr:colOff>
      <xdr:row>59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showGridLines="0" workbookViewId="0"/>
  </sheetViews>
  <sheetFormatPr defaultRowHeight="15" x14ac:dyDescent="0.25"/>
  <cols>
    <col min="1" max="1" width="118" customWidth="1"/>
  </cols>
  <sheetData>
    <row r="1" spans="1:1" ht="27.95" customHeight="1" x14ac:dyDescent="0.25">
      <c r="A1" s="1" t="s">
        <v>0</v>
      </c>
    </row>
    <row r="2" spans="1:1" ht="33.950000000000003" customHeight="1" x14ac:dyDescent="0.25">
      <c r="A2" s="2" t="s">
        <v>1</v>
      </c>
    </row>
    <row r="3" spans="1:1" ht="33.950000000000003" customHeight="1" x14ac:dyDescent="0.25">
      <c r="A3" s="2" t="s">
        <v>2</v>
      </c>
    </row>
    <row r="4" spans="1:1" ht="33.950000000000003" customHeight="1" x14ac:dyDescent="0.25">
      <c r="A4" s="2" t="s">
        <v>3</v>
      </c>
    </row>
    <row r="5" spans="1:1" ht="33.950000000000003" customHeight="1" x14ac:dyDescent="0.25">
      <c r="A5" s="2" t="s">
        <v>4</v>
      </c>
    </row>
    <row r="6" spans="1:1" ht="33.950000000000003" customHeight="1" x14ac:dyDescent="0.25">
      <c r="A6" s="2" t="s">
        <v>5</v>
      </c>
    </row>
    <row r="7" spans="1:1" ht="33.950000000000003" customHeight="1" x14ac:dyDescent="0.25">
      <c r="A7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/>
  </sheetViews>
  <sheetFormatPr defaultRowHeight="15" x14ac:dyDescent="0.25"/>
  <cols>
    <col min="1" max="1" width="30" customWidth="1"/>
    <col min="2" max="2" width="82" customWidth="1"/>
  </cols>
  <sheetData>
    <row r="1" spans="1:2" ht="30" customHeight="1" x14ac:dyDescent="0.25">
      <c r="A1" s="8" t="s">
        <v>7</v>
      </c>
      <c r="B1" s="9" t="s">
        <v>8</v>
      </c>
    </row>
    <row r="2" spans="1:2" x14ac:dyDescent="0.25">
      <c r="A2" s="10" t="s">
        <v>9</v>
      </c>
      <c r="B2" s="13" t="s">
        <v>10</v>
      </c>
    </row>
    <row r="3" spans="1:2" x14ac:dyDescent="0.25">
      <c r="A3" s="10" t="s">
        <v>11</v>
      </c>
      <c r="B3" s="13" t="s">
        <v>12</v>
      </c>
    </row>
    <row r="4" spans="1:2" x14ac:dyDescent="0.25">
      <c r="A4" s="10" t="s">
        <v>13</v>
      </c>
      <c r="B4" s="13" t="s">
        <v>14</v>
      </c>
    </row>
    <row r="5" spans="1:2" x14ac:dyDescent="0.25">
      <c r="A5" s="14" t="s">
        <v>15</v>
      </c>
      <c r="B5" s="16">
        <v>95</v>
      </c>
    </row>
    <row r="6" spans="1:2" x14ac:dyDescent="0.25">
      <c r="A6" s="14" t="s">
        <v>16</v>
      </c>
      <c r="B6" s="16">
        <v>2370.4</v>
      </c>
    </row>
    <row r="7" spans="1:2" x14ac:dyDescent="0.25">
      <c r="A7" s="14" t="s">
        <v>17</v>
      </c>
      <c r="B7" s="16">
        <v>666.4</v>
      </c>
    </row>
    <row r="8" spans="1:2" x14ac:dyDescent="0.25">
      <c r="A8" s="14" t="s">
        <v>18</v>
      </c>
      <c r="B8" s="16">
        <v>1638.2</v>
      </c>
    </row>
    <row r="9" spans="1:2" x14ac:dyDescent="0.25">
      <c r="A9" s="14" t="s">
        <v>19</v>
      </c>
      <c r="B9" s="16">
        <v>16.100000000000001</v>
      </c>
    </row>
    <row r="10" spans="1:2" x14ac:dyDescent="0.25">
      <c r="A10" s="14" t="s">
        <v>20</v>
      </c>
      <c r="B10" s="17">
        <v>30.9</v>
      </c>
    </row>
    <row r="11" spans="1:2" x14ac:dyDescent="0.25">
      <c r="A11" s="14" t="s">
        <v>21</v>
      </c>
      <c r="B11" s="17">
        <v>97.6</v>
      </c>
    </row>
    <row r="12" spans="1:2" x14ac:dyDescent="0.25">
      <c r="A12" s="14" t="s">
        <v>22</v>
      </c>
      <c r="B12" s="17">
        <v>56.9</v>
      </c>
    </row>
    <row r="13" spans="1:2" x14ac:dyDescent="0.25">
      <c r="A13" s="14" t="s">
        <v>23</v>
      </c>
      <c r="B13" s="11" t="s">
        <v>24</v>
      </c>
    </row>
    <row r="14" spans="1:2" x14ac:dyDescent="0.25">
      <c r="A14" s="15" t="s">
        <v>25</v>
      </c>
      <c r="B14" s="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11" width="15" customWidth="1"/>
  </cols>
  <sheetData>
    <row r="1" spans="1:11" ht="30" customHeight="1" x14ac:dyDescent="0.25">
      <c r="A1" s="8" t="s">
        <v>26</v>
      </c>
      <c r="B1" s="21" t="s">
        <v>27</v>
      </c>
      <c r="C1" s="21" t="s">
        <v>28</v>
      </c>
      <c r="D1" s="21" t="s">
        <v>29</v>
      </c>
      <c r="E1" s="21" t="s">
        <v>30</v>
      </c>
      <c r="F1" s="21" t="s">
        <v>31</v>
      </c>
      <c r="G1" s="21" t="s">
        <v>32</v>
      </c>
      <c r="H1" s="21" t="s">
        <v>33</v>
      </c>
      <c r="I1" s="21" t="s">
        <v>34</v>
      </c>
      <c r="J1" s="21" t="s">
        <v>35</v>
      </c>
      <c r="K1" s="9" t="s">
        <v>36</v>
      </c>
    </row>
    <row r="2" spans="1:11" x14ac:dyDescent="0.25">
      <c r="A2" s="24">
        <f>Demand_kW!A2</f>
        <v>1</v>
      </c>
      <c r="B2" s="26">
        <f>Demand_kW!B2</f>
        <v>0</v>
      </c>
      <c r="C2" s="28">
        <f>AVERAGE(Demand_kW!$C2:$CS2)</f>
        <v>0.23729350175438593</v>
      </c>
      <c r="D2" s="28">
        <f>AVERAGE(PV_kW!$C2:$CS2)</f>
        <v>0</v>
      </c>
      <c r="E2" s="28">
        <f>AVERAGE(Charge_kW!$C2:$CS2)</f>
        <v>0</v>
      </c>
      <c r="F2" s="28">
        <f>AVERAGE(Discharge_kW!$C2:$CS2)</f>
        <v>0.23728421052631576</v>
      </c>
      <c r="G2" s="28">
        <f t="shared" ref="G2:G49" si="0">C2-D2+E2-F2</f>
        <v>9.2912280701684669E-6</v>
      </c>
      <c r="H2" s="26">
        <f>AVERAGE(SOC_pct!$C2:$CS2)</f>
        <v>40</v>
      </c>
      <c r="I2" s="30">
        <f>SUM(Demand_kW!$C2:$CS2)</f>
        <v>22.542882666666664</v>
      </c>
      <c r="J2" s="30">
        <f>SUM(PV_kW!$C2:$CS2)</f>
        <v>0</v>
      </c>
      <c r="K2" s="16">
        <f>I2-J2+SUM(Charge_kW!$C2:$CS2)-SUM(Discharge_kW!$C2:$CS2)</f>
        <v>8.8266666666569904E-4</v>
      </c>
    </row>
    <row r="3" spans="1:11" x14ac:dyDescent="0.25">
      <c r="A3" s="24">
        <f>Demand_kW!A3</f>
        <v>2</v>
      </c>
      <c r="B3" s="26">
        <f>Demand_kW!B3</f>
        <v>0.5</v>
      </c>
      <c r="C3" s="28">
        <f>AVERAGE(Demand_kW!$C3:$CS3)</f>
        <v>0.21140077894736845</v>
      </c>
      <c r="D3" s="28">
        <f>AVERAGE(PV_kW!$C3:$CS3)</f>
        <v>0</v>
      </c>
      <c r="E3" s="28">
        <f>AVERAGE(Charge_kW!$C3:$CS3)</f>
        <v>0</v>
      </c>
      <c r="F3" s="28">
        <f>AVERAGE(Discharge_kW!$C3:$CS3)</f>
        <v>0.2101684210526315</v>
      </c>
      <c r="G3" s="28">
        <f t="shared" si="0"/>
        <v>1.2323578947369407E-3</v>
      </c>
      <c r="H3" s="26">
        <f>AVERAGE(SOC_pct!$C3:$CS3)</f>
        <v>37.022328421052649</v>
      </c>
      <c r="I3" s="30">
        <f>SUM(Demand_kW!$C3:$CS3)</f>
        <v>20.083074000000003</v>
      </c>
      <c r="J3" s="30">
        <f>SUM(PV_kW!$C3:$CS3)</f>
        <v>0</v>
      </c>
      <c r="K3" s="16">
        <f>I3-J3+SUM(Charge_kW!$C3:$CS3)-SUM(Discharge_kW!$C3:$CS3)</f>
        <v>0.11707400000000945</v>
      </c>
    </row>
    <row r="4" spans="1:11" x14ac:dyDescent="0.25">
      <c r="A4" s="24">
        <f>Demand_kW!A4</f>
        <v>3</v>
      </c>
      <c r="B4" s="26">
        <f>Demand_kW!B4</f>
        <v>1</v>
      </c>
      <c r="C4" s="28">
        <f>AVERAGE(Demand_kW!$C4:$CS4)</f>
        <v>0.15961575473684222</v>
      </c>
      <c r="D4" s="28">
        <f>AVERAGE(PV_kW!$C4:$CS4)</f>
        <v>0</v>
      </c>
      <c r="E4" s="28">
        <f>AVERAGE(Charge_kW!$C4:$CS4)</f>
        <v>0</v>
      </c>
      <c r="F4" s="28">
        <f>AVERAGE(Discharge_kW!$C4:$CS4)</f>
        <v>0.15441052631578947</v>
      </c>
      <c r="G4" s="28">
        <f t="shared" si="0"/>
        <v>5.2052284210527544E-3</v>
      </c>
      <c r="H4" s="26">
        <f>AVERAGE(SOC_pct!$C4:$CS4)</f>
        <v>34.384641052631579</v>
      </c>
      <c r="I4" s="30">
        <f>SUM(Demand_kW!$C4:$CS4)</f>
        <v>15.16349670000001</v>
      </c>
      <c r="J4" s="30">
        <f>SUM(PV_kW!$C4:$CS4)</f>
        <v>0</v>
      </c>
      <c r="K4" s="16">
        <f>I4-J4+SUM(Charge_kW!$C4:$CS4)-SUM(Discharge_kW!$C4:$CS4)</f>
        <v>0.49449670000001156</v>
      </c>
    </row>
    <row r="5" spans="1:11" x14ac:dyDescent="0.25">
      <c r="A5" s="24">
        <f>Demand_kW!A5</f>
        <v>4</v>
      </c>
      <c r="B5" s="26">
        <f>Demand_kW!B5</f>
        <v>1.5</v>
      </c>
      <c r="C5" s="28">
        <f>AVERAGE(Demand_kW!$C5:$CS5)</f>
        <v>0.13979604561403511</v>
      </c>
      <c r="D5" s="28">
        <f>AVERAGE(PV_kW!$C5:$CS5)</f>
        <v>0</v>
      </c>
      <c r="E5" s="28">
        <f>AVERAGE(Charge_kW!$C5:$CS5)</f>
        <v>0</v>
      </c>
      <c r="F5" s="28">
        <f>AVERAGE(Discharge_kW!$C5:$CS5)</f>
        <v>0.12967368421052636</v>
      </c>
      <c r="G5" s="28">
        <f t="shared" si="0"/>
        <v>1.0122361403508751E-2</v>
      </c>
      <c r="H5" s="26">
        <f>AVERAGE(SOC_pct!$C5:$CS5)</f>
        <v>32.446776842105265</v>
      </c>
      <c r="I5" s="30">
        <f>SUM(Demand_kW!$C5:$CS5)</f>
        <v>13.280624333333336</v>
      </c>
      <c r="J5" s="30">
        <f>SUM(PV_kW!$C5:$CS5)</f>
        <v>0</v>
      </c>
      <c r="K5" s="16">
        <f>I5-J5+SUM(Charge_kW!$C5:$CS5)-SUM(Discharge_kW!$C5:$CS5)</f>
        <v>0.96162433333333119</v>
      </c>
    </row>
    <row r="6" spans="1:11" x14ac:dyDescent="0.25">
      <c r="A6" s="24">
        <f>Demand_kW!A6</f>
        <v>5</v>
      </c>
      <c r="B6" s="26">
        <f>Demand_kW!B6</f>
        <v>2</v>
      </c>
      <c r="C6" s="28">
        <f>AVERAGE(Demand_kW!$C6:$CS6)</f>
        <v>0.13803694035087724</v>
      </c>
      <c r="D6" s="28">
        <f>AVERAGE(PV_kW!$C6:$CS6)</f>
        <v>0</v>
      </c>
      <c r="E6" s="28">
        <f>AVERAGE(Charge_kW!$C6:$CS6)</f>
        <v>0</v>
      </c>
      <c r="F6" s="28">
        <f>AVERAGE(Discharge_kW!$C6:$CS6)</f>
        <v>0.12770526315789468</v>
      </c>
      <c r="G6" s="28">
        <f t="shared" si="0"/>
        <v>1.0331677192982558E-2</v>
      </c>
      <c r="H6" s="26">
        <f>AVERAGE(SOC_pct!$C6:$CS6)</f>
        <v>30.819590526315775</v>
      </c>
      <c r="I6" s="30">
        <f>SUM(Demand_kW!$C6:$CS6)</f>
        <v>13.113509333333337</v>
      </c>
      <c r="J6" s="30">
        <f>SUM(PV_kW!$C6:$CS6)</f>
        <v>0</v>
      </c>
      <c r="K6" s="16">
        <f>I6-J6+SUM(Charge_kW!$C6:$CS6)-SUM(Discharge_kW!$C6:$CS6)</f>
        <v>0.98150933333334045</v>
      </c>
    </row>
    <row r="7" spans="1:11" x14ac:dyDescent="0.25">
      <c r="A7" s="24">
        <f>Demand_kW!A7</f>
        <v>6</v>
      </c>
      <c r="B7" s="26">
        <f>Demand_kW!B7</f>
        <v>2.5</v>
      </c>
      <c r="C7" s="28">
        <f>AVERAGE(Demand_kW!$C7:$CS7)</f>
        <v>0.13469393684210529</v>
      </c>
      <c r="D7" s="28">
        <f>AVERAGE(PV_kW!$C7:$CS7)</f>
        <v>0</v>
      </c>
      <c r="E7" s="28">
        <f>AVERAGE(Charge_kW!$C7:$CS7)</f>
        <v>0</v>
      </c>
      <c r="F7" s="28">
        <f>AVERAGE(Discharge_kW!$C7:$CS7)</f>
        <v>0.12175789473684215</v>
      </c>
      <c r="G7" s="28">
        <f t="shared" si="0"/>
        <v>1.293604210526314E-2</v>
      </c>
      <c r="H7" s="26">
        <f>AVERAGE(SOC_pct!$C7:$CS7)</f>
        <v>29.216691578947369</v>
      </c>
      <c r="I7" s="30">
        <f>SUM(Demand_kW!$C7:$CS7)</f>
        <v>12.795924000000001</v>
      </c>
      <c r="J7" s="30">
        <f>SUM(PV_kW!$C7:$CS7)</f>
        <v>0</v>
      </c>
      <c r="K7" s="16">
        <f>I7-J7+SUM(Charge_kW!$C7:$CS7)-SUM(Discharge_kW!$C7:$CS7)</f>
        <v>1.2289239999999975</v>
      </c>
    </row>
    <row r="8" spans="1:11" x14ac:dyDescent="0.25">
      <c r="A8" s="24">
        <f>Demand_kW!A8</f>
        <v>7</v>
      </c>
      <c r="B8" s="26">
        <f>Demand_kW!B8</f>
        <v>3</v>
      </c>
      <c r="C8" s="28">
        <f>AVERAGE(Demand_kW!$C8:$CS8)</f>
        <v>0.1310651438596491</v>
      </c>
      <c r="D8" s="28">
        <f>AVERAGE(PV_kW!$C8:$CS8)</f>
        <v>0</v>
      </c>
      <c r="E8" s="28">
        <f>AVERAGE(Charge_kW!$C8:$CS8)</f>
        <v>0</v>
      </c>
      <c r="F8" s="28">
        <f>AVERAGE(Discharge_kW!$C8:$CS8)</f>
        <v>0.10091578947368425</v>
      </c>
      <c r="G8" s="28">
        <f t="shared" si="0"/>
        <v>3.0149354385964847E-2</v>
      </c>
      <c r="H8" s="26">
        <f>AVERAGE(SOC_pct!$C8:$CS8)</f>
        <v>27.689062105263154</v>
      </c>
      <c r="I8" s="30">
        <f>SUM(Demand_kW!$C8:$CS8)</f>
        <v>12.451188666666663</v>
      </c>
      <c r="J8" s="30">
        <f>SUM(PV_kW!$C8:$CS8)</f>
        <v>0</v>
      </c>
      <c r="K8" s="16">
        <f>I8-J8+SUM(Charge_kW!$C8:$CS8)-SUM(Discharge_kW!$C8:$CS8)</f>
        <v>2.8641886666666601</v>
      </c>
    </row>
    <row r="9" spans="1:11" x14ac:dyDescent="0.25">
      <c r="A9" s="24">
        <f>Demand_kW!A9</f>
        <v>8</v>
      </c>
      <c r="B9" s="26">
        <f>Demand_kW!B9</f>
        <v>3.5</v>
      </c>
      <c r="C9" s="28">
        <f>AVERAGE(Demand_kW!$C9:$CS9)</f>
        <v>0.12422709473684207</v>
      </c>
      <c r="D9" s="28">
        <f>AVERAGE(PV_kW!$C9:$CS9)</f>
        <v>2.6575679407017565E-3</v>
      </c>
      <c r="E9" s="28">
        <f>AVERAGE(Charge_kW!$C9:$CS9)</f>
        <v>0</v>
      </c>
      <c r="F9" s="28">
        <f>AVERAGE(Discharge_kW!$C9:$CS9)</f>
        <v>0.11187368421052633</v>
      </c>
      <c r="G9" s="28">
        <f t="shared" si="0"/>
        <v>9.695842585613984E-3</v>
      </c>
      <c r="H9" s="26">
        <f>AVERAGE(SOC_pct!$C9:$CS9)</f>
        <v>26.422723157894747</v>
      </c>
      <c r="I9" s="30">
        <f>SUM(Demand_kW!$C9:$CS9)</f>
        <v>11.801573999999997</v>
      </c>
      <c r="J9" s="30">
        <f>SUM(PV_kW!$C9:$CS9)</f>
        <v>0.25246895436666689</v>
      </c>
      <c r="K9" s="16">
        <f>I9-J9+SUM(Charge_kW!$C9:$CS9)-SUM(Discharge_kW!$C9:$CS9)</f>
        <v>0.92110504563332896</v>
      </c>
    </row>
    <row r="10" spans="1:11" x14ac:dyDescent="0.25">
      <c r="A10" s="24">
        <f>Demand_kW!A10</f>
        <v>9</v>
      </c>
      <c r="B10" s="26">
        <f>Demand_kW!B10</f>
        <v>4</v>
      </c>
      <c r="C10" s="28">
        <f>AVERAGE(Demand_kW!$C10:$CS10)</f>
        <v>0.12011074385964916</v>
      </c>
      <c r="D10" s="28">
        <f>AVERAGE(PV_kW!$C10:$CS10)</f>
        <v>3.8413351469824469E-2</v>
      </c>
      <c r="E10" s="28">
        <f>AVERAGE(Charge_kW!$C10:$CS10)</f>
        <v>5.3684210526315794E-4</v>
      </c>
      <c r="F10" s="28">
        <f>AVERAGE(Discharge_kW!$C10:$CS10)</f>
        <v>7.2518584356842095E-2</v>
      </c>
      <c r="G10" s="28">
        <f t="shared" si="0"/>
        <v>9.7156501382457544E-3</v>
      </c>
      <c r="H10" s="26">
        <f>AVERAGE(SOC_pct!$C10:$CS10)</f>
        <v>25.01964105263157</v>
      </c>
      <c r="I10" s="30">
        <f>SUM(Demand_kW!$C10:$CS10)</f>
        <v>11.41052066666667</v>
      </c>
      <c r="J10" s="30">
        <f>SUM(PV_kW!$C10:$CS10)</f>
        <v>3.6492683896333249</v>
      </c>
      <c r="K10" s="16">
        <f>I10-J10+SUM(Charge_kW!$C10:$CS10)-SUM(Discharge_kW!$C10:$CS10)</f>
        <v>0.9229867631333466</v>
      </c>
    </row>
    <row r="11" spans="1:11" x14ac:dyDescent="0.25">
      <c r="A11" s="24">
        <f>Demand_kW!A11</f>
        <v>10</v>
      </c>
      <c r="B11" s="26">
        <f>Demand_kW!B11</f>
        <v>4.5</v>
      </c>
      <c r="C11" s="28">
        <f>AVERAGE(Demand_kW!$C11:$CS11)</f>
        <v>0.10826528947368423</v>
      </c>
      <c r="D11" s="28">
        <f>AVERAGE(PV_kW!$C11:$CS11)</f>
        <v>0.17963247115315797</v>
      </c>
      <c r="E11" s="28">
        <f>AVERAGE(Charge_kW!$C11:$CS11)</f>
        <v>8.6557894736842111E-2</v>
      </c>
      <c r="F11" s="28">
        <f>AVERAGE(Discharge_kW!$C11:$CS11)</f>
        <v>1.2726315789473681E-2</v>
      </c>
      <c r="G11" s="28">
        <f t="shared" si="0"/>
        <v>2.4643972678946875E-3</v>
      </c>
      <c r="H11" s="26">
        <f>AVERAGE(SOC_pct!$C11:$CS11)</f>
        <v>24.115159999999999</v>
      </c>
      <c r="I11" s="30">
        <f>SUM(Demand_kW!$C11:$CS11)</f>
        <v>10.285202500000002</v>
      </c>
      <c r="J11" s="30">
        <f>SUM(PV_kW!$C11:$CS11)</f>
        <v>17.065084759550007</v>
      </c>
      <c r="K11" s="16">
        <f>I11-J11+SUM(Charge_kW!$C11:$CS11)-SUM(Discharge_kW!$C11:$CS11)</f>
        <v>0.23411774044999589</v>
      </c>
    </row>
    <row r="12" spans="1:11" x14ac:dyDescent="0.25">
      <c r="A12" s="24">
        <f>Demand_kW!A12</f>
        <v>11</v>
      </c>
      <c r="B12" s="26">
        <f>Demand_kW!B12</f>
        <v>5</v>
      </c>
      <c r="C12" s="28">
        <f>AVERAGE(Demand_kW!$C12:$CS12)</f>
        <v>0.11527114035087722</v>
      </c>
      <c r="D12" s="28">
        <f>AVERAGE(PV_kW!$C12:$CS12)</f>
        <v>0.35632467001649226</v>
      </c>
      <c r="E12" s="28">
        <f>AVERAGE(Charge_kW!$C12:$CS12)</f>
        <v>0.24218947368421051</v>
      </c>
      <c r="F12" s="28">
        <f>AVERAGE(Discharge_kW!$C12:$CS12)</f>
        <v>1.2105263157894737E-3</v>
      </c>
      <c r="G12" s="28">
        <f t="shared" si="0"/>
        <v>-7.4582297194015395E-5</v>
      </c>
      <c r="H12" s="26">
        <f>AVERAGE(SOC_pct!$C12:$CS12)</f>
        <v>24.932733684210515</v>
      </c>
      <c r="I12" s="30">
        <f>SUM(Demand_kW!$C12:$CS12)</f>
        <v>10.950758333333336</v>
      </c>
      <c r="J12" s="30">
        <f>SUM(PV_kW!$C12:$CS12)</f>
        <v>33.850843651566763</v>
      </c>
      <c r="K12" s="16">
        <f>I12-J12+SUM(Charge_kW!$C12:$CS12)-SUM(Discharge_kW!$C12:$CS12)</f>
        <v>-7.0853182334269654E-3</v>
      </c>
    </row>
    <row r="13" spans="1:11" x14ac:dyDescent="0.25">
      <c r="A13" s="24">
        <f>Demand_kW!A13</f>
        <v>12</v>
      </c>
      <c r="B13" s="26">
        <f>Demand_kW!B13</f>
        <v>5.5</v>
      </c>
      <c r="C13" s="28">
        <f>AVERAGE(Demand_kW!$C13:$CS13)</f>
        <v>0.11836402771929823</v>
      </c>
      <c r="D13" s="28">
        <f>AVERAGE(PV_kW!$C13:$CS13)</f>
        <v>0.57298767398035</v>
      </c>
      <c r="E13" s="28">
        <f>AVERAGE(Charge_kW!$C13:$CS13)</f>
        <v>0.45467368421052634</v>
      </c>
      <c r="F13" s="28">
        <f>AVERAGE(Discharge_kW!$C13:$CS13)</f>
        <v>0</v>
      </c>
      <c r="G13" s="28">
        <f t="shared" si="0"/>
        <v>5.0037949474557308E-5</v>
      </c>
      <c r="H13" s="26">
        <f>AVERAGE(SOC_pct!$C13:$CS13)</f>
        <v>27.653683157894726</v>
      </c>
      <c r="I13" s="30">
        <f>SUM(Demand_kW!$C13:$CS13)</f>
        <v>11.244582633333332</v>
      </c>
      <c r="J13" s="30">
        <f>SUM(PV_kW!$C13:$CS13)</f>
        <v>54.433829028133246</v>
      </c>
      <c r="K13" s="16">
        <f>I13-J13+SUM(Charge_kW!$C13:$CS13)-SUM(Discharge_kW!$C13:$CS13)</f>
        <v>4.753605200086497E-3</v>
      </c>
    </row>
    <row r="14" spans="1:11" x14ac:dyDescent="0.25">
      <c r="A14" s="24">
        <f>Demand_kW!A14</f>
        <v>13</v>
      </c>
      <c r="B14" s="26">
        <f>Demand_kW!B14</f>
        <v>6</v>
      </c>
      <c r="C14" s="28">
        <f>AVERAGE(Demand_kW!$C14:$CS14)</f>
        <v>0.12095574035087721</v>
      </c>
      <c r="D14" s="28">
        <f>AVERAGE(PV_kW!$C14:$CS14)</f>
        <v>0.80937922880965019</v>
      </c>
      <c r="E14" s="28">
        <f>AVERAGE(Charge_kW!$C14:$CS14)</f>
        <v>0.68843157894736839</v>
      </c>
      <c r="F14" s="28">
        <f>AVERAGE(Discharge_kW!$C14:$CS14)</f>
        <v>0</v>
      </c>
      <c r="G14" s="28">
        <f t="shared" si="0"/>
        <v>8.0904885954025119E-6</v>
      </c>
      <c r="H14" s="26">
        <f>AVERAGE(SOC_pct!$C14:$CS14)</f>
        <v>32.788230526315793</v>
      </c>
      <c r="I14" s="30">
        <f>SUM(Demand_kW!$C14:$CS14)</f>
        <v>11.490795333333335</v>
      </c>
      <c r="J14" s="30">
        <f>SUM(PV_kW!$C14:$CS14)</f>
        <v>76.891026736916771</v>
      </c>
      <c r="K14" s="16">
        <f>I14-J14+SUM(Charge_kW!$C14:$CS14)-SUM(Discharge_kW!$C14:$CS14)</f>
        <v>7.685964165631276E-4</v>
      </c>
    </row>
    <row r="15" spans="1:11" x14ac:dyDescent="0.25">
      <c r="A15" s="24">
        <f>Demand_kW!A15</f>
        <v>14</v>
      </c>
      <c r="B15" s="26">
        <f>Demand_kW!B15</f>
        <v>6.5</v>
      </c>
      <c r="C15" s="28">
        <f>AVERAGE(Demand_kW!$C15:$CS15)</f>
        <v>0.14136717754385972</v>
      </c>
      <c r="D15" s="28">
        <f>AVERAGE(PV_kW!$C15:$CS15)</f>
        <v>1.0486764019203503</v>
      </c>
      <c r="E15" s="28">
        <f>AVERAGE(Charge_kW!$C15:$CS15)</f>
        <v>0.9173684210526315</v>
      </c>
      <c r="F15" s="28">
        <f>AVERAGE(Discharge_kW!$C15:$CS15)</f>
        <v>1.0052631578947369E-2</v>
      </c>
      <c r="G15" s="28">
        <f t="shared" si="0"/>
        <v>6.5650971936004332E-6</v>
      </c>
      <c r="H15" s="26">
        <f>AVERAGE(SOC_pct!$C15:$CS15)</f>
        <v>40.563310526315789</v>
      </c>
      <c r="I15" s="30">
        <f>SUM(Demand_kW!$C15:$CS15)</f>
        <v>13.429881866666674</v>
      </c>
      <c r="J15" s="30">
        <f>SUM(PV_kW!$C15:$CS15)</f>
        <v>99.62425818243328</v>
      </c>
      <c r="K15" s="16">
        <f>I15-J15+SUM(Charge_kW!$C15:$CS15)-SUM(Discharge_kW!$C15:$CS15)</f>
        <v>6.2368423338743373E-4</v>
      </c>
    </row>
    <row r="16" spans="1:11" x14ac:dyDescent="0.25">
      <c r="A16" s="24">
        <f>Demand_kW!A16</f>
        <v>15</v>
      </c>
      <c r="B16" s="26">
        <f>Demand_kW!B16</f>
        <v>7</v>
      </c>
      <c r="C16" s="28">
        <f>AVERAGE(Demand_kW!$C16:$CS16)</f>
        <v>0.18459600035087706</v>
      </c>
      <c r="D16" s="28">
        <f>AVERAGE(PV_kW!$C16:$CS16)</f>
        <v>1.2867344736415796</v>
      </c>
      <c r="E16" s="28">
        <f>AVERAGE(Charge_kW!$C16:$CS16)</f>
        <v>1.1195157894736849</v>
      </c>
      <c r="F16" s="28">
        <f>AVERAGE(Discharge_kW!$C16:$CS16)</f>
        <v>1.7389473684210524E-2</v>
      </c>
      <c r="G16" s="28">
        <f t="shared" si="0"/>
        <v>-1.2157501228085565E-5</v>
      </c>
      <c r="H16" s="26">
        <f>AVERAGE(SOC_pct!$C16:$CS16)</f>
        <v>50.797911578947378</v>
      </c>
      <c r="I16" s="30">
        <f>SUM(Demand_kW!$C16:$CS16)</f>
        <v>17.536620033333321</v>
      </c>
      <c r="J16" s="30">
        <f>SUM(PV_kW!$C16:$CS16)</f>
        <v>122.23977499595006</v>
      </c>
      <c r="K16" s="16">
        <f>I16-J16+SUM(Charge_kW!$C16:$CS16)-SUM(Discharge_kW!$C16:$CS16)</f>
        <v>-1.154962616680022E-3</v>
      </c>
    </row>
    <row r="17" spans="1:11" x14ac:dyDescent="0.25">
      <c r="A17" s="24">
        <f>Demand_kW!A17</f>
        <v>16</v>
      </c>
      <c r="B17" s="26">
        <f>Demand_kW!B17</f>
        <v>7.5</v>
      </c>
      <c r="C17" s="28">
        <f>AVERAGE(Demand_kW!$C17:$CS17)</f>
        <v>0.2206401171929826</v>
      </c>
      <c r="D17" s="28">
        <f>AVERAGE(PV_kW!$C17:$CS17)</f>
        <v>1.5251388353026305</v>
      </c>
      <c r="E17" s="28">
        <f>AVERAGE(Charge_kW!$C17:$CS17)</f>
        <v>1.1933157894736843</v>
      </c>
      <c r="F17" s="28">
        <f>AVERAGE(Discharge_kW!$C17:$CS17)</f>
        <v>2.0757894736842104E-2</v>
      </c>
      <c r="G17" s="28">
        <f t="shared" si="0"/>
        <v>-0.13194082337280569</v>
      </c>
      <c r="H17" s="26">
        <f>AVERAGE(SOC_pct!$C17:$CS17)</f>
        <v>63.223697894736851</v>
      </c>
      <c r="I17" s="30">
        <f>SUM(Demand_kW!$C17:$CS17)</f>
        <v>20.960811133333348</v>
      </c>
      <c r="J17" s="30">
        <f>SUM(PV_kW!$C17:$CS17)</f>
        <v>144.88818935374991</v>
      </c>
      <c r="K17" s="16">
        <f>I17-J17+SUM(Charge_kW!$C17:$CS17)-SUM(Discharge_kW!$C17:$CS17)</f>
        <v>-12.534378220416547</v>
      </c>
    </row>
    <row r="18" spans="1:11" x14ac:dyDescent="0.25">
      <c r="A18" s="24">
        <f>Demand_kW!A18</f>
        <v>17</v>
      </c>
      <c r="B18" s="26">
        <f>Demand_kW!B18</f>
        <v>8</v>
      </c>
      <c r="C18" s="28">
        <f>AVERAGE(Demand_kW!$C18:$CS18)</f>
        <v>0.23541452491228074</v>
      </c>
      <c r="D18" s="28">
        <f>AVERAGE(PV_kW!$C18:$CS18)</f>
        <v>1.7488965220822839</v>
      </c>
      <c r="E18" s="28">
        <f>AVERAGE(Charge_kW!$C18:$CS18)</f>
        <v>0.82097894736842114</v>
      </c>
      <c r="F18" s="28">
        <f>AVERAGE(Discharge_kW!$C18:$CS18)</f>
        <v>4.6526315789473683E-3</v>
      </c>
      <c r="G18" s="28">
        <f t="shared" si="0"/>
        <v>-0.6971556813805293</v>
      </c>
      <c r="H18" s="26">
        <f>AVERAGE(SOC_pct!$C18:$CS18)</f>
        <v>76.44060105263155</v>
      </c>
      <c r="I18" s="30">
        <f>SUM(Demand_kW!$C18:$CS18)</f>
        <v>22.36437986666667</v>
      </c>
      <c r="J18" s="30">
        <f>SUM(PV_kW!$C18:$CS18)</f>
        <v>166.14516959781696</v>
      </c>
      <c r="K18" s="16">
        <f>I18-J18+SUM(Charge_kW!$C18:$CS18)-SUM(Discharge_kW!$C18:$CS18)</f>
        <v>-66.229789731150277</v>
      </c>
    </row>
    <row r="19" spans="1:11" x14ac:dyDescent="0.25">
      <c r="A19" s="24">
        <f>Demand_kW!A19</f>
        <v>18</v>
      </c>
      <c r="B19" s="26">
        <f>Demand_kW!B19</f>
        <v>8.5</v>
      </c>
      <c r="C19" s="28">
        <f>AVERAGE(Demand_kW!$C19:$CS19)</f>
        <v>0.26946848280701746</v>
      </c>
      <c r="D19" s="28">
        <f>AVERAGE(PV_kW!$C19:$CS19)</f>
        <v>1.9592290763463152</v>
      </c>
      <c r="E19" s="28">
        <f>AVERAGE(Charge_kW!$C19:$CS19)</f>
        <v>0.46883157894736843</v>
      </c>
      <c r="F19" s="28">
        <f>AVERAGE(Discharge_kW!$C19:$CS19)</f>
        <v>1E-3</v>
      </c>
      <c r="G19" s="28">
        <f t="shared" si="0"/>
        <v>-1.221929014591929</v>
      </c>
      <c r="H19" s="26">
        <f>AVERAGE(SOC_pct!$C19:$CS19)</f>
        <v>85.654446315789471</v>
      </c>
      <c r="I19" s="30">
        <f>SUM(Demand_kW!$C19:$CS19)</f>
        <v>25.599505866666657</v>
      </c>
      <c r="J19" s="30">
        <f>SUM(PV_kW!$C19:$CS19)</f>
        <v>186.12676225289994</v>
      </c>
      <c r="K19" s="16">
        <f>I19-J19+SUM(Charge_kW!$C19:$CS19)-SUM(Discharge_kW!$C19:$CS19)</f>
        <v>-116.08325638623329</v>
      </c>
    </row>
    <row r="20" spans="1:11" x14ac:dyDescent="0.25">
      <c r="A20" s="24">
        <f>Demand_kW!A20</f>
        <v>19</v>
      </c>
      <c r="B20" s="26">
        <f>Demand_kW!B20</f>
        <v>9</v>
      </c>
      <c r="C20" s="28">
        <f>AVERAGE(Demand_kW!$C20:$CS20)</f>
        <v>0.30232556421052631</v>
      </c>
      <c r="D20" s="28">
        <f>AVERAGE(PV_kW!$C20:$CS20)</f>
        <v>2.1383601814280713</v>
      </c>
      <c r="E20" s="28">
        <f>AVERAGE(Charge_kW!$C20:$CS20)</f>
        <v>0.30967368421052627</v>
      </c>
      <c r="F20" s="28">
        <f>AVERAGE(Discharge_kW!$C20:$CS20)</f>
        <v>8.3052631578947374E-3</v>
      </c>
      <c r="G20" s="28">
        <f t="shared" si="0"/>
        <v>-1.5346661961649135</v>
      </c>
      <c r="H20" s="26">
        <f>AVERAGE(SOC_pct!$C20:$CS20)</f>
        <v>90.936964210526313</v>
      </c>
      <c r="I20" s="30">
        <f>SUM(Demand_kW!$C20:$CS20)</f>
        <v>28.720928600000001</v>
      </c>
      <c r="J20" s="30">
        <f>SUM(PV_kW!$C20:$CS20)</f>
        <v>203.14421723566679</v>
      </c>
      <c r="K20" s="16">
        <f>I20-J20+SUM(Charge_kW!$C20:$CS20)-SUM(Discharge_kW!$C20:$CS20)</f>
        <v>-145.79328863566678</v>
      </c>
    </row>
    <row r="21" spans="1:11" x14ac:dyDescent="0.25">
      <c r="A21" s="24">
        <f>Demand_kW!A21</f>
        <v>20</v>
      </c>
      <c r="B21" s="26">
        <f>Demand_kW!B21</f>
        <v>9.5</v>
      </c>
      <c r="C21" s="28">
        <f>AVERAGE(Demand_kW!$C21:$CS21)</f>
        <v>0.39961920140350882</v>
      </c>
      <c r="D21" s="28">
        <f>AVERAGE(PV_kW!$C21:$CS21)</f>
        <v>2.2911408676319258</v>
      </c>
      <c r="E21" s="28">
        <f>AVERAGE(Charge_kW!$C21:$CS21)</f>
        <v>0.20947368421052634</v>
      </c>
      <c r="F21" s="28">
        <f>AVERAGE(Discharge_kW!$C21:$CS21)</f>
        <v>2.6305263157894738E-2</v>
      </c>
      <c r="G21" s="28">
        <f t="shared" si="0"/>
        <v>-1.7083532451757855</v>
      </c>
      <c r="H21" s="26">
        <f>AVERAGE(SOC_pct!$C21:$CS21)</f>
        <v>94.330286315789479</v>
      </c>
      <c r="I21" s="30">
        <f>SUM(Demand_kW!$C21:$CS21)</f>
        <v>37.96382413333334</v>
      </c>
      <c r="J21" s="30">
        <f>SUM(PV_kW!$C21:$CS21)</f>
        <v>217.65838242503295</v>
      </c>
      <c r="K21" s="16">
        <f>I21-J21+SUM(Charge_kW!$C21:$CS21)-SUM(Discharge_kW!$C21:$CS21)</f>
        <v>-162.29355829169961</v>
      </c>
    </row>
    <row r="22" spans="1:11" x14ac:dyDescent="0.25">
      <c r="A22" s="24">
        <f>Demand_kW!A22</f>
        <v>21</v>
      </c>
      <c r="B22" s="26">
        <f>Demand_kW!B22</f>
        <v>10</v>
      </c>
      <c r="C22" s="28">
        <f>AVERAGE(Demand_kW!$C22:$CS22)</f>
        <v>0.40710600280701753</v>
      </c>
      <c r="D22" s="28">
        <f>AVERAGE(PV_kW!$C22:$CS22)</f>
        <v>2.4252437494475454</v>
      </c>
      <c r="E22" s="28">
        <f>AVERAGE(Charge_kW!$C22:$CS22)</f>
        <v>0.15412631578947367</v>
      </c>
      <c r="F22" s="28">
        <f>AVERAGE(Discharge_kW!$C22:$CS22)</f>
        <v>1.6252631578947369E-2</v>
      </c>
      <c r="G22" s="28">
        <f t="shared" si="0"/>
        <v>-1.8802640624300015</v>
      </c>
      <c r="H22" s="26">
        <f>AVERAGE(SOC_pct!$C22:$CS22)</f>
        <v>96.366255789473698</v>
      </c>
      <c r="I22" s="30">
        <f>SUM(Demand_kW!$C22:$CS22)</f>
        <v>38.675070266666665</v>
      </c>
      <c r="J22" s="30">
        <f>SUM(PV_kW!$C22:$CS22)</f>
        <v>230.39815619751681</v>
      </c>
      <c r="K22" s="16">
        <f>I22-J22+SUM(Charge_kW!$C22:$CS22)-SUM(Discharge_kW!$C22:$CS22)</f>
        <v>-178.62508593085016</v>
      </c>
    </row>
    <row r="23" spans="1:11" x14ac:dyDescent="0.25">
      <c r="A23" s="24">
        <f>Demand_kW!A23</f>
        <v>22</v>
      </c>
      <c r="B23" s="26">
        <f>Demand_kW!B23</f>
        <v>10.5</v>
      </c>
      <c r="C23" s="28">
        <f>AVERAGE(Demand_kW!$C23:$CS23)</f>
        <v>0.38128440175438588</v>
      </c>
      <c r="D23" s="28">
        <f>AVERAGE(PV_kW!$C23:$CS23)</f>
        <v>2.535921192295262</v>
      </c>
      <c r="E23" s="28">
        <f>AVERAGE(Charge_kW!$C23:$CS23)</f>
        <v>7.6042105263157911E-2</v>
      </c>
      <c r="F23" s="28">
        <f>AVERAGE(Discharge_kW!$C23:$CS23)</f>
        <v>1.356842105263158E-2</v>
      </c>
      <c r="G23" s="28">
        <f t="shared" si="0"/>
        <v>-2.0921631063303501</v>
      </c>
      <c r="H23" s="26">
        <f>AVERAGE(SOC_pct!$C23:$CS23)</f>
        <v>97.902461052631594</v>
      </c>
      <c r="I23" s="30">
        <f>SUM(Demand_kW!$C23:$CS23)</f>
        <v>36.222018166666658</v>
      </c>
      <c r="J23" s="30">
        <f>SUM(PV_kW!$C23:$CS23)</f>
        <v>240.91251326804988</v>
      </c>
      <c r="K23" s="16">
        <f>I23-J23+SUM(Charge_kW!$C23:$CS23)-SUM(Discharge_kW!$C23:$CS23)</f>
        <v>-198.75549510138322</v>
      </c>
    </row>
    <row r="24" spans="1:11" x14ac:dyDescent="0.25">
      <c r="A24" s="24">
        <f>Demand_kW!A24</f>
        <v>23</v>
      </c>
      <c r="B24" s="26">
        <f>Demand_kW!B24</f>
        <v>11</v>
      </c>
      <c r="C24" s="28">
        <f>AVERAGE(Demand_kW!$C24:$CS24)</f>
        <v>0.40429446701754373</v>
      </c>
      <c r="D24" s="28">
        <f>AVERAGE(PV_kW!$C24:$CS24)</f>
        <v>2.6144500549728065</v>
      </c>
      <c r="E24" s="28">
        <f>AVERAGE(Charge_kW!$C24:$CS24)</f>
        <v>8.3673684210526317E-2</v>
      </c>
      <c r="F24" s="28">
        <f>AVERAGE(Discharge_kW!$C24:$CS24)</f>
        <v>6.1052631578947369E-4</v>
      </c>
      <c r="G24" s="28">
        <f t="shared" si="0"/>
        <v>-2.1270924300605261</v>
      </c>
      <c r="H24" s="26">
        <f>AVERAGE(SOC_pct!$C24:$CS24)</f>
        <v>98.591155789473675</v>
      </c>
      <c r="I24" s="30">
        <f>SUM(Demand_kW!$C24:$CS24)</f>
        <v>38.407974366666657</v>
      </c>
      <c r="J24" s="30">
        <f>SUM(PV_kW!$C24:$CS24)</f>
        <v>248.3727552224166</v>
      </c>
      <c r="K24" s="16">
        <f>I24-J24+SUM(Charge_kW!$C24:$CS24)-SUM(Discharge_kW!$C24:$CS24)</f>
        <v>-202.07378085574993</v>
      </c>
    </row>
    <row r="25" spans="1:11" x14ac:dyDescent="0.25">
      <c r="A25" s="24">
        <f>Demand_kW!A25</f>
        <v>24</v>
      </c>
      <c r="B25" s="26">
        <f>Demand_kW!B25</f>
        <v>11.5</v>
      </c>
      <c r="C25" s="28">
        <f>AVERAGE(Demand_kW!$C25:$CS25)</f>
        <v>0.4586086982456139</v>
      </c>
      <c r="D25" s="28">
        <f>AVERAGE(PV_kW!$C25:$CS25)</f>
        <v>2.6488890237705265</v>
      </c>
      <c r="E25" s="28">
        <f>AVERAGE(Charge_kW!$C25:$CS25)</f>
        <v>2.4915789473684211E-2</v>
      </c>
      <c r="F25" s="28">
        <f>AVERAGE(Discharge_kW!$C25:$CS25)</f>
        <v>2.5368421052631582E-2</v>
      </c>
      <c r="G25" s="28">
        <f t="shared" si="0"/>
        <v>-2.1907329571038598</v>
      </c>
      <c r="H25" s="26">
        <f>AVERAGE(SOC_pct!$C25:$CS25)</f>
        <v>99.528662105263152</v>
      </c>
      <c r="I25" s="30">
        <f>SUM(Demand_kW!$C25:$CS25)</f>
        <v>43.567826333333322</v>
      </c>
      <c r="J25" s="30">
        <f>SUM(PV_kW!$C25:$CS25)</f>
        <v>251.64445725820002</v>
      </c>
      <c r="K25" s="16">
        <f>I25-J25+SUM(Charge_kW!$C25:$CS25)-SUM(Discharge_kW!$C25:$CS25)</f>
        <v>-208.1196309248667</v>
      </c>
    </row>
    <row r="26" spans="1:11" x14ac:dyDescent="0.25">
      <c r="A26" s="24">
        <f>Demand_kW!A26</f>
        <v>25</v>
      </c>
      <c r="B26" s="26">
        <f>Demand_kW!B26</f>
        <v>12</v>
      </c>
      <c r="C26" s="28">
        <f>AVERAGE(Demand_kW!$C26:$CS26)</f>
        <v>0.42806195508771944</v>
      </c>
      <c r="D26" s="28">
        <f>AVERAGE(PV_kW!$C26:$CS26)</f>
        <v>2.6588638686343882</v>
      </c>
      <c r="E26" s="28">
        <f>AVERAGE(Charge_kW!$C26:$CS26)</f>
        <v>2.4210526315789475E-3</v>
      </c>
      <c r="F26" s="28">
        <f>AVERAGE(Discharge_kW!$C26:$CS26)</f>
        <v>3.2736842105263154E-2</v>
      </c>
      <c r="G26" s="28">
        <f t="shared" si="0"/>
        <v>-2.2611177030203526</v>
      </c>
      <c r="H26" s="26">
        <f>AVERAGE(SOC_pct!$C26:$CS26)</f>
        <v>99.491741052631568</v>
      </c>
      <c r="I26" s="30">
        <f>SUM(Demand_kW!$C26:$CS26)</f>
        <v>40.665885733333347</v>
      </c>
      <c r="J26" s="30">
        <f>SUM(PV_kW!$C26:$CS26)</f>
        <v>252.59206752026688</v>
      </c>
      <c r="K26" s="16">
        <f>I26-J26+SUM(Charge_kW!$C26:$CS26)-SUM(Discharge_kW!$C26:$CS26)</f>
        <v>-214.80618178693356</v>
      </c>
    </row>
    <row r="27" spans="1:11" x14ac:dyDescent="0.25">
      <c r="A27" s="24">
        <f>Demand_kW!A27</f>
        <v>26</v>
      </c>
      <c r="B27" s="26">
        <f>Demand_kW!B27</f>
        <v>12.5</v>
      </c>
      <c r="C27" s="28">
        <f>AVERAGE(Demand_kW!$C27:$CS27)</f>
        <v>0.41766496526315766</v>
      </c>
      <c r="D27" s="28">
        <f>AVERAGE(PV_kW!$C27:$CS27)</f>
        <v>2.6402037124526321</v>
      </c>
      <c r="E27" s="28">
        <f>AVERAGE(Charge_kW!$C27:$CS27)</f>
        <v>1.9957894736842105E-2</v>
      </c>
      <c r="F27" s="28">
        <f>AVERAGE(Discharge_kW!$C27:$CS27)</f>
        <v>1.568421052631579E-2</v>
      </c>
      <c r="G27" s="28">
        <f t="shared" si="0"/>
        <v>-2.218265062978948</v>
      </c>
      <c r="H27" s="26">
        <f>AVERAGE(SOC_pct!$C27:$CS27)</f>
        <v>99.108356842105266</v>
      </c>
      <c r="I27" s="30">
        <f>SUM(Demand_kW!$C27:$CS27)</f>
        <v>39.678171699999979</v>
      </c>
      <c r="J27" s="30">
        <f>SUM(PV_kW!$C27:$CS27)</f>
        <v>250.81935268300006</v>
      </c>
      <c r="K27" s="16">
        <f>I27-J27+SUM(Charge_kW!$C27:$CS27)-SUM(Discharge_kW!$C27:$CS27)</f>
        <v>-210.73518098300011</v>
      </c>
    </row>
    <row r="28" spans="1:11" x14ac:dyDescent="0.25">
      <c r="A28" s="24">
        <f>Demand_kW!A28</f>
        <v>27</v>
      </c>
      <c r="B28" s="26">
        <f>Demand_kW!B28</f>
        <v>13</v>
      </c>
      <c r="C28" s="28">
        <f>AVERAGE(Demand_kW!$C28:$CS28)</f>
        <v>0.26613932982456151</v>
      </c>
      <c r="D28" s="28">
        <f>AVERAGE(PV_kW!$C28:$CS28)</f>
        <v>2.5775158275447398</v>
      </c>
      <c r="E28" s="28">
        <f>AVERAGE(Charge_kW!$C28:$CS28)</f>
        <v>4.3505263157894734E-2</v>
      </c>
      <c r="F28" s="28">
        <f>AVERAGE(Discharge_kW!$C28:$CS28)</f>
        <v>2.673684210526316E-3</v>
      </c>
      <c r="G28" s="28">
        <f t="shared" si="0"/>
        <v>-2.27054491877281</v>
      </c>
      <c r="H28" s="26">
        <f>AVERAGE(SOC_pct!$C28:$CS28)</f>
        <v>99.136881052631566</v>
      </c>
      <c r="I28" s="30">
        <f>SUM(Demand_kW!$C28:$CS28)</f>
        <v>25.283236333333342</v>
      </c>
      <c r="J28" s="30">
        <f>SUM(PV_kW!$C28:$CS28)</f>
        <v>244.86400361675027</v>
      </c>
      <c r="K28" s="16">
        <f>I28-J28+SUM(Charge_kW!$C28:$CS28)-SUM(Discharge_kW!$C28:$CS28)</f>
        <v>-215.7017672834169</v>
      </c>
    </row>
    <row r="29" spans="1:11" x14ac:dyDescent="0.25">
      <c r="A29" s="24">
        <f>Demand_kW!A29</f>
        <v>28</v>
      </c>
      <c r="B29" s="26">
        <f>Demand_kW!B29</f>
        <v>13.5</v>
      </c>
      <c r="C29" s="28">
        <f>AVERAGE(Demand_kW!$C29:$CS29)</f>
        <v>0.28218541052631596</v>
      </c>
      <c r="D29" s="28">
        <f>AVERAGE(PV_kW!$C29:$CS29)</f>
        <v>2.4818779608196482</v>
      </c>
      <c r="E29" s="28">
        <f>AVERAGE(Charge_kW!$C29:$CS29)</f>
        <v>2.1294736842105266E-2</v>
      </c>
      <c r="F29" s="28">
        <f>AVERAGE(Discharge_kW!$C29:$CS29)</f>
        <v>4.0631578947368423E-3</v>
      </c>
      <c r="G29" s="28">
        <f t="shared" si="0"/>
        <v>-2.182460971345964</v>
      </c>
      <c r="H29" s="26">
        <f>AVERAGE(SOC_pct!$C29:$CS29)</f>
        <v>99.594821052631573</v>
      </c>
      <c r="I29" s="30">
        <f>SUM(Demand_kW!$C29:$CS29)</f>
        <v>26.807614000000019</v>
      </c>
      <c r="J29" s="30">
        <f>SUM(PV_kW!$C29:$CS29)</f>
        <v>235.77840627786659</v>
      </c>
      <c r="K29" s="16">
        <f>I29-J29+SUM(Charge_kW!$C29:$CS29)-SUM(Discharge_kW!$C29:$CS29)</f>
        <v>-207.33379227786656</v>
      </c>
    </row>
    <row r="30" spans="1:11" x14ac:dyDescent="0.25">
      <c r="A30" s="24">
        <f>Demand_kW!A30</f>
        <v>29</v>
      </c>
      <c r="B30" s="26">
        <f>Demand_kW!B30</f>
        <v>14</v>
      </c>
      <c r="C30" s="28">
        <f>AVERAGE(Demand_kW!$C30:$CS30)</f>
        <v>0.33113872350877183</v>
      </c>
      <c r="D30" s="28">
        <f>AVERAGE(PV_kW!$C30:$CS30)</f>
        <v>2.3677014911952607</v>
      </c>
      <c r="E30" s="28">
        <f>AVERAGE(Charge_kW!$C30:$CS30)</f>
        <v>1.4947368421052631E-2</v>
      </c>
      <c r="F30" s="28">
        <f>AVERAGE(Discharge_kW!$C30:$CS30)</f>
        <v>1.1905263157894735E-2</v>
      </c>
      <c r="G30" s="28">
        <f t="shared" si="0"/>
        <v>-2.0335206624233311</v>
      </c>
      <c r="H30" s="26">
        <f>AVERAGE(SOC_pct!$C30:$CS30)</f>
        <v>99.784386315789476</v>
      </c>
      <c r="I30" s="30">
        <f>SUM(Demand_kW!$C30:$CS30)</f>
        <v>31.458178733333323</v>
      </c>
      <c r="J30" s="30">
        <f>SUM(PV_kW!$C30:$CS30)</f>
        <v>224.93164166354978</v>
      </c>
      <c r="K30" s="16">
        <f>I30-J30+SUM(Charge_kW!$C30:$CS30)-SUM(Discharge_kW!$C30:$CS30)</f>
        <v>-193.18446293021648</v>
      </c>
    </row>
    <row r="31" spans="1:11" x14ac:dyDescent="0.25">
      <c r="A31" s="24">
        <f>Demand_kW!A31</f>
        <v>30</v>
      </c>
      <c r="B31" s="26">
        <f>Demand_kW!B31</f>
        <v>14.5</v>
      </c>
      <c r="C31" s="28">
        <f>AVERAGE(Demand_kW!$C31:$CS31)</f>
        <v>0.33723106245614032</v>
      </c>
      <c r="D31" s="28">
        <f>AVERAGE(PV_kW!$C31:$CS31)</f>
        <v>2.2230231994607021</v>
      </c>
      <c r="E31" s="28">
        <f>AVERAGE(Charge_kW!$C31:$CS31)</f>
        <v>3.9894736842105262E-3</v>
      </c>
      <c r="F31" s="28">
        <f>AVERAGE(Discharge_kW!$C31:$CS31)</f>
        <v>1.6936842105263156E-2</v>
      </c>
      <c r="G31" s="28">
        <f t="shared" si="0"/>
        <v>-1.8987395054256144</v>
      </c>
      <c r="H31" s="26">
        <f>AVERAGE(SOC_pct!$C31:$CS31)</f>
        <v>99.80376315789475</v>
      </c>
      <c r="I31" s="30">
        <f>SUM(Demand_kW!$C31:$CS31)</f>
        <v>32.03695093333333</v>
      </c>
      <c r="J31" s="30">
        <f>SUM(PV_kW!$C31:$CS31)</f>
        <v>211.18720394876669</v>
      </c>
      <c r="K31" s="16">
        <f>I31-J31+SUM(Charge_kW!$C31:$CS31)-SUM(Discharge_kW!$C31:$CS31)</f>
        <v>-180.38025301543337</v>
      </c>
    </row>
    <row r="32" spans="1:11" x14ac:dyDescent="0.25">
      <c r="A32" s="24">
        <f>Demand_kW!A32</f>
        <v>31</v>
      </c>
      <c r="B32" s="26">
        <f>Demand_kW!B32</f>
        <v>15</v>
      </c>
      <c r="C32" s="28">
        <f>AVERAGE(Demand_kW!$C32:$CS32)</f>
        <v>0.32670129052631575</v>
      </c>
      <c r="D32" s="28">
        <f>AVERAGE(PV_kW!$C32:$CS32)</f>
        <v>2.0692742453257891</v>
      </c>
      <c r="E32" s="28">
        <f>AVERAGE(Charge_kW!$C32:$CS32)</f>
        <v>5.8842105263157887E-3</v>
      </c>
      <c r="F32" s="28">
        <f>AVERAGE(Discharge_kW!$C32:$CS32)</f>
        <v>1.0873684210526315E-2</v>
      </c>
      <c r="G32" s="28">
        <f t="shared" si="0"/>
        <v>-1.7475624284836839</v>
      </c>
      <c r="H32" s="26">
        <f>AVERAGE(SOC_pct!$C32:$CS32)</f>
        <v>99.636244210526314</v>
      </c>
      <c r="I32" s="30">
        <f>SUM(Demand_kW!$C32:$CS32)</f>
        <v>31.036622599999994</v>
      </c>
      <c r="J32" s="30">
        <f>SUM(PV_kW!$C32:$CS32)</f>
        <v>196.58105330594998</v>
      </c>
      <c r="K32" s="16">
        <f>I32-J32+SUM(Charge_kW!$C32:$CS32)-SUM(Discharge_kW!$C32:$CS32)</f>
        <v>-166.01843070594998</v>
      </c>
    </row>
    <row r="33" spans="1:11" x14ac:dyDescent="0.25">
      <c r="A33" s="24">
        <f>Demand_kW!A33</f>
        <v>32</v>
      </c>
      <c r="B33" s="26">
        <f>Demand_kW!B33</f>
        <v>15.5</v>
      </c>
      <c r="C33" s="28">
        <f>AVERAGE(Demand_kW!$C33:$CS33)</f>
        <v>0.33447911052631563</v>
      </c>
      <c r="D33" s="28">
        <f>AVERAGE(PV_kW!$C33:$CS33)</f>
        <v>1.8842575292364943</v>
      </c>
      <c r="E33" s="28">
        <f>AVERAGE(Charge_kW!$C33:$CS33)</f>
        <v>2.5715789473684206E-2</v>
      </c>
      <c r="F33" s="28">
        <f>AVERAGE(Discharge_kW!$C33:$CS33)</f>
        <v>6.9789473684210516E-3</v>
      </c>
      <c r="G33" s="28">
        <f t="shared" si="0"/>
        <v>-1.5310415766049155</v>
      </c>
      <c r="H33" s="26">
        <f>AVERAGE(SOC_pct!$C33:$CS33)</f>
        <v>99.566207368421061</v>
      </c>
      <c r="I33" s="30">
        <f>SUM(Demand_kW!$C33:$CS33)</f>
        <v>31.775515499999987</v>
      </c>
      <c r="J33" s="30">
        <f>SUM(PV_kW!$C33:$CS33)</f>
        <v>179.00446527746695</v>
      </c>
      <c r="K33" s="16">
        <f>I33-J33+SUM(Charge_kW!$C33:$CS33)-SUM(Discharge_kW!$C33:$CS33)</f>
        <v>-145.44894977746696</v>
      </c>
    </row>
    <row r="34" spans="1:11" x14ac:dyDescent="0.25">
      <c r="A34" s="24">
        <f>Demand_kW!A34</f>
        <v>33</v>
      </c>
      <c r="B34" s="26">
        <f>Demand_kW!B34</f>
        <v>16</v>
      </c>
      <c r="C34" s="28">
        <f>AVERAGE(Demand_kW!$C34:$CS34)</f>
        <v>0.29869174385964897</v>
      </c>
      <c r="D34" s="28">
        <f>AVERAGE(PV_kW!$C34:$CS34)</f>
        <v>1.6758850442824547</v>
      </c>
      <c r="E34" s="28">
        <f>AVERAGE(Charge_kW!$C34:$CS34)</f>
        <v>6.9684210526315795E-3</v>
      </c>
      <c r="F34" s="28">
        <f>AVERAGE(Discharge_kW!$C34:$CS34)</f>
        <v>4.0978947368421052E-2</v>
      </c>
      <c r="G34" s="28">
        <f t="shared" si="0"/>
        <v>-1.4112038267385951</v>
      </c>
      <c r="H34" s="26">
        <f>AVERAGE(SOC_pct!$C34:$CS34)</f>
        <v>99.769125263157918</v>
      </c>
      <c r="I34" s="30">
        <f>SUM(Demand_kW!$C34:$CS34)</f>
        <v>28.37571566666665</v>
      </c>
      <c r="J34" s="30">
        <f>SUM(PV_kW!$C34:$CS34)</f>
        <v>159.2090792068332</v>
      </c>
      <c r="K34" s="16">
        <f>I34-J34+SUM(Charge_kW!$C34:$CS34)-SUM(Discharge_kW!$C34:$CS34)</f>
        <v>-134.06436354016654</v>
      </c>
    </row>
    <row r="35" spans="1:11" x14ac:dyDescent="0.25">
      <c r="A35" s="24">
        <f>Demand_kW!A35</f>
        <v>34</v>
      </c>
      <c r="B35" s="26">
        <f>Demand_kW!B35</f>
        <v>16.5</v>
      </c>
      <c r="C35" s="28">
        <f>AVERAGE(Demand_kW!$C35:$CS35)</f>
        <v>0.33391201649122804</v>
      </c>
      <c r="D35" s="28">
        <f>AVERAGE(PV_kW!$C35:$CS35)</f>
        <v>1.4243024173840353</v>
      </c>
      <c r="E35" s="28">
        <f>AVERAGE(Charge_kW!$C35:$CS35)</f>
        <v>2.1263157894736841E-2</v>
      </c>
      <c r="F35" s="28">
        <f>AVERAGE(Discharge_kW!$C35:$CS35)</f>
        <v>5.4242105263157897E-2</v>
      </c>
      <c r="G35" s="28">
        <f t="shared" si="0"/>
        <v>-1.1233693482612281</v>
      </c>
      <c r="H35" s="26">
        <f>AVERAGE(SOC_pct!$C35:$CS35)</f>
        <v>99.333614736842108</v>
      </c>
      <c r="I35" s="30">
        <f>SUM(Demand_kW!$C35:$CS35)</f>
        <v>31.721641566666666</v>
      </c>
      <c r="J35" s="30">
        <f>SUM(PV_kW!$C35:$CS35)</f>
        <v>135.30872965148336</v>
      </c>
      <c r="K35" s="16">
        <f>I35-J35+SUM(Charge_kW!$C35:$CS35)-SUM(Discharge_kW!$C35:$CS35)</f>
        <v>-106.72008808481671</v>
      </c>
    </row>
    <row r="36" spans="1:11" x14ac:dyDescent="0.25">
      <c r="A36" s="24">
        <f>Demand_kW!A36</f>
        <v>35</v>
      </c>
      <c r="B36" s="26">
        <f>Demand_kW!B36</f>
        <v>17</v>
      </c>
      <c r="C36" s="28">
        <f>AVERAGE(Demand_kW!$C36:$CS36)</f>
        <v>0.30708890210526296</v>
      </c>
      <c r="D36" s="28">
        <f>AVERAGE(PV_kW!$C36:$CS36)</f>
        <v>1.1888385315061396</v>
      </c>
      <c r="E36" s="28">
        <f>AVERAGE(Charge_kW!$C36:$CS36)</f>
        <v>1.4515789473684211E-2</v>
      </c>
      <c r="F36" s="28">
        <f>AVERAGE(Discharge_kW!$C36:$CS36)</f>
        <v>1.1389473684210527E-2</v>
      </c>
      <c r="G36" s="28">
        <f t="shared" si="0"/>
        <v>-0.87862331361140289</v>
      </c>
      <c r="H36" s="26">
        <f>AVERAGE(SOC_pct!$C36:$CS36)</f>
        <v>98.893053684210543</v>
      </c>
      <c r="I36" s="30">
        <f>SUM(Demand_kW!$C36:$CS36)</f>
        <v>29.173445699999981</v>
      </c>
      <c r="J36" s="30">
        <f>SUM(PV_kW!$C36:$CS36)</f>
        <v>112.93966049308327</v>
      </c>
      <c r="K36" s="16">
        <f>I36-J36+SUM(Charge_kW!$C36:$CS36)-SUM(Discharge_kW!$C36:$CS36)</f>
        <v>-83.469214793083282</v>
      </c>
    </row>
    <row r="37" spans="1:11" x14ac:dyDescent="0.25">
      <c r="A37" s="24">
        <f>Demand_kW!A37</f>
        <v>36</v>
      </c>
      <c r="B37" s="26">
        <f>Demand_kW!B37</f>
        <v>17.5</v>
      </c>
      <c r="C37" s="28">
        <f>AVERAGE(Demand_kW!$C37:$CS37)</f>
        <v>0.36107614912280678</v>
      </c>
      <c r="D37" s="28">
        <f>AVERAGE(PV_kW!$C37:$CS37)</f>
        <v>0.94688477321631559</v>
      </c>
      <c r="E37" s="28">
        <f>AVERAGE(Charge_kW!$C37:$CS37)</f>
        <v>1.3778947368421054E-2</v>
      </c>
      <c r="F37" s="28">
        <f>AVERAGE(Discharge_kW!$C37:$CS37)</f>
        <v>6.6778947368421063E-2</v>
      </c>
      <c r="G37" s="28">
        <f t="shared" si="0"/>
        <v>-0.6388086240935088</v>
      </c>
      <c r="H37" s="26">
        <f>AVERAGE(SOC_pct!$C37:$CS37)</f>
        <v>98.914183157894726</v>
      </c>
      <c r="I37" s="30">
        <f>SUM(Demand_kW!$C37:$CS37)</f>
        <v>34.302234166666643</v>
      </c>
      <c r="J37" s="30">
        <f>SUM(PV_kW!$C37:$CS37)</f>
        <v>89.954053455549982</v>
      </c>
      <c r="K37" s="16">
        <f>I37-J37+SUM(Charge_kW!$C37:$CS37)-SUM(Discharge_kW!$C37:$CS37)</f>
        <v>-60.686819288883342</v>
      </c>
    </row>
    <row r="38" spans="1:11" x14ac:dyDescent="0.25">
      <c r="A38" s="24">
        <f>Demand_kW!A38</f>
        <v>37</v>
      </c>
      <c r="B38" s="26">
        <f>Demand_kW!B38</f>
        <v>18</v>
      </c>
      <c r="C38" s="28">
        <f>AVERAGE(Demand_kW!$C38:$CS38)</f>
        <v>0.36241131368421042</v>
      </c>
      <c r="D38" s="28">
        <f>AVERAGE(PV_kW!$C38:$CS38)</f>
        <v>0.71283189559122906</v>
      </c>
      <c r="E38" s="28">
        <f>AVERAGE(Charge_kW!$C38:$CS38)</f>
        <v>2.2642105263157894E-2</v>
      </c>
      <c r="F38" s="28">
        <f>AVERAGE(Discharge_kW!$C38:$CS38)</f>
        <v>8.2389473684210526E-2</v>
      </c>
      <c r="G38" s="28">
        <f t="shared" si="0"/>
        <v>-0.41016795032807124</v>
      </c>
      <c r="H38" s="26">
        <f>AVERAGE(SOC_pct!$C38:$CS38)</f>
        <v>98.231587368421074</v>
      </c>
      <c r="I38" s="30">
        <f>SUM(Demand_kW!$C38:$CS38)</f>
        <v>34.429074799999988</v>
      </c>
      <c r="J38" s="30">
        <f>SUM(PV_kW!$C38:$CS38)</f>
        <v>67.719030081166764</v>
      </c>
      <c r="K38" s="16">
        <f>I38-J38+SUM(Charge_kW!$C38:$CS38)-SUM(Discharge_kW!$C38:$CS38)</f>
        <v>-38.965955281166778</v>
      </c>
    </row>
    <row r="39" spans="1:11" x14ac:dyDescent="0.25">
      <c r="A39" s="24">
        <f>Demand_kW!A39</f>
        <v>38</v>
      </c>
      <c r="B39" s="26">
        <f>Demand_kW!B39</f>
        <v>18.5</v>
      </c>
      <c r="C39" s="28">
        <f>AVERAGE(Demand_kW!$C39:$CS39)</f>
        <v>0.35544384491228076</v>
      </c>
      <c r="D39" s="28">
        <f>AVERAGE(PV_kW!$C39:$CS39)</f>
        <v>0.48717194231842104</v>
      </c>
      <c r="E39" s="28">
        <f>AVERAGE(Charge_kW!$C39:$CS39)</f>
        <v>2.0894736842105261E-2</v>
      </c>
      <c r="F39" s="28">
        <f>AVERAGE(Discharge_kW!$C39:$CS39)</f>
        <v>0.11294736842105263</v>
      </c>
      <c r="G39" s="28">
        <f t="shared" si="0"/>
        <v>-0.22378072898508766</v>
      </c>
      <c r="H39" s="26">
        <f>AVERAGE(SOC_pct!$C39:$CS39)</f>
        <v>97.453587368421069</v>
      </c>
      <c r="I39" s="30">
        <f>SUM(Demand_kW!$C39:$CS39)</f>
        <v>33.767165266666673</v>
      </c>
      <c r="J39" s="30">
        <f>SUM(PV_kW!$C39:$CS39)</f>
        <v>46.281334520249999</v>
      </c>
      <c r="K39" s="16">
        <f>I39-J39+SUM(Charge_kW!$C39:$CS39)-SUM(Discharge_kW!$C39:$CS39)</f>
        <v>-21.259169253583327</v>
      </c>
    </row>
    <row r="40" spans="1:11" x14ac:dyDescent="0.25">
      <c r="A40" s="24">
        <f>Demand_kW!A40</f>
        <v>39</v>
      </c>
      <c r="B40" s="26">
        <f>Demand_kW!B40</f>
        <v>19</v>
      </c>
      <c r="C40" s="28">
        <f>AVERAGE(Demand_kW!$C40:$CS40)</f>
        <v>0.43347688175438603</v>
      </c>
      <c r="D40" s="28">
        <f>AVERAGE(PV_kW!$C40:$CS40)</f>
        <v>0.28447931436771917</v>
      </c>
      <c r="E40" s="28">
        <f>AVERAGE(Charge_kW!$C40:$CS40)</f>
        <v>1.1168421052631579E-2</v>
      </c>
      <c r="F40" s="28">
        <f>AVERAGE(Discharge_kW!$C40:$CS40)</f>
        <v>0.22834015901157895</v>
      </c>
      <c r="G40" s="28">
        <f t="shared" si="0"/>
        <v>-6.8174170572280507E-2</v>
      </c>
      <c r="H40" s="26">
        <f>AVERAGE(SOC_pct!$C40:$CS40)</f>
        <v>96.272210526315817</v>
      </c>
      <c r="I40" s="30">
        <f>SUM(Demand_kW!$C40:$CS40)</f>
        <v>41.180303766666675</v>
      </c>
      <c r="J40" s="30">
        <f>SUM(PV_kW!$C40:$CS40)</f>
        <v>27.025534864933324</v>
      </c>
      <c r="K40" s="16">
        <f>I40-J40+SUM(Charge_kW!$C40:$CS40)-SUM(Discharge_kW!$C40:$CS40)</f>
        <v>-6.4765462043666489</v>
      </c>
    </row>
    <row r="41" spans="1:11" x14ac:dyDescent="0.25">
      <c r="A41" s="24">
        <f>Demand_kW!A41</f>
        <v>40</v>
      </c>
      <c r="B41" s="26">
        <f>Demand_kW!B41</f>
        <v>19.5</v>
      </c>
      <c r="C41" s="28">
        <f>AVERAGE(Demand_kW!$C41:$CS41)</f>
        <v>0.48273342491228061</v>
      </c>
      <c r="D41" s="28">
        <f>AVERAGE(PV_kW!$C41:$CS41)</f>
        <v>8.276696014578945E-2</v>
      </c>
      <c r="E41" s="28">
        <f>AVERAGE(Charge_kW!$C41:$CS41)</f>
        <v>1.2947368421052632E-3</v>
      </c>
      <c r="F41" s="28">
        <f>AVERAGE(Discharge_kW!$C41:$CS41)</f>
        <v>0.40452631578947396</v>
      </c>
      <c r="G41" s="28">
        <f t="shared" si="0"/>
        <v>-3.2651141808775486E-3</v>
      </c>
      <c r="H41" s="26">
        <f>AVERAGE(SOC_pct!$C41:$CS41)</f>
        <v>93.533335789473711</v>
      </c>
      <c r="I41" s="30">
        <f>SUM(Demand_kW!$C41:$CS41)</f>
        <v>45.859675366666657</v>
      </c>
      <c r="J41" s="30">
        <f>SUM(PV_kW!$C41:$CS41)</f>
        <v>7.8628612138499978</v>
      </c>
      <c r="K41" s="16">
        <f>I41-J41+SUM(Charge_kW!$C41:$CS41)-SUM(Discharge_kW!$C41:$CS41)</f>
        <v>-0.31018584718336939</v>
      </c>
    </row>
    <row r="42" spans="1:11" x14ac:dyDescent="0.25">
      <c r="A42" s="24">
        <f>Demand_kW!A42</f>
        <v>41</v>
      </c>
      <c r="B42" s="26">
        <f>Demand_kW!B42</f>
        <v>20</v>
      </c>
      <c r="C42" s="28">
        <f>AVERAGE(Demand_kW!$C42:$CS42)</f>
        <v>0.43260070421052649</v>
      </c>
      <c r="D42" s="28">
        <f>AVERAGE(PV_kW!$C42:$CS42)</f>
        <v>1.5264916669122823E-2</v>
      </c>
      <c r="E42" s="28">
        <f>AVERAGE(Charge_kW!$C42:$CS42)</f>
        <v>0</v>
      </c>
      <c r="F42" s="28">
        <f>AVERAGE(Discharge_kW!$C42:$CS42)</f>
        <v>0.41721052631578975</v>
      </c>
      <c r="G42" s="28">
        <f t="shared" si="0"/>
        <v>1.2526122561390407E-4</v>
      </c>
      <c r="H42" s="26">
        <f>AVERAGE(SOC_pct!$C42:$CS42)</f>
        <v>88.471953684210547</v>
      </c>
      <c r="I42" s="30">
        <f>SUM(Demand_kW!$C42:$CS42)</f>
        <v>41.097066900000016</v>
      </c>
      <c r="J42" s="30">
        <f>SUM(PV_kW!$C42:$CS42)</f>
        <v>1.4501670835666682</v>
      </c>
      <c r="K42" s="16">
        <f>I42-J42+SUM(Charge_kW!$C42:$CS42)-SUM(Discharge_kW!$C42:$CS42)</f>
        <v>1.1899816433320609E-2</v>
      </c>
    </row>
    <row r="43" spans="1:11" x14ac:dyDescent="0.25">
      <c r="A43" s="24">
        <f>Demand_kW!A43</f>
        <v>42</v>
      </c>
      <c r="B43" s="26">
        <f>Demand_kW!B43</f>
        <v>20.5</v>
      </c>
      <c r="C43" s="28">
        <f>AVERAGE(Demand_kW!$C43:$CS43)</f>
        <v>0.46709238877193004</v>
      </c>
      <c r="D43" s="28">
        <f>AVERAGE(PV_kW!$C43:$CS43)</f>
        <v>0</v>
      </c>
      <c r="E43" s="28">
        <f>AVERAGE(Charge_kW!$C43:$CS43)</f>
        <v>0</v>
      </c>
      <c r="F43" s="28">
        <f>AVERAGE(Discharge_kW!$C43:$CS43)</f>
        <v>0.46176842105263166</v>
      </c>
      <c r="G43" s="28">
        <f t="shared" si="0"/>
        <v>5.3239677192983836E-3</v>
      </c>
      <c r="H43" s="26">
        <f>AVERAGE(SOC_pct!$C43:$CS43)</f>
        <v>83.236728421052646</v>
      </c>
      <c r="I43" s="30">
        <f>SUM(Demand_kW!$C43:$CS43)</f>
        <v>44.373776933333353</v>
      </c>
      <c r="J43" s="30">
        <f>SUM(PV_kW!$C43:$CS43)</f>
        <v>0</v>
      </c>
      <c r="K43" s="16">
        <f>I43-J43+SUM(Charge_kW!$C43:$CS43)-SUM(Discharge_kW!$C43:$CS43)</f>
        <v>0.50577693333334395</v>
      </c>
    </row>
    <row r="44" spans="1:11" x14ac:dyDescent="0.25">
      <c r="A44" s="24">
        <f>Demand_kW!A44</f>
        <v>43</v>
      </c>
      <c r="B44" s="26">
        <f>Demand_kW!B44</f>
        <v>21</v>
      </c>
      <c r="C44" s="28">
        <f>AVERAGE(Demand_kW!$C44:$CS44)</f>
        <v>0.47757238280701775</v>
      </c>
      <c r="D44" s="28">
        <f>AVERAGE(PV_kW!$C44:$CS44)</f>
        <v>0</v>
      </c>
      <c r="E44" s="28">
        <f>AVERAGE(Charge_kW!$C44:$CS44)</f>
        <v>0</v>
      </c>
      <c r="F44" s="28">
        <f>AVERAGE(Discharge_kW!$C44:$CS44)</f>
        <v>0.45969473684210527</v>
      </c>
      <c r="G44" s="28">
        <f t="shared" si="0"/>
        <v>1.7877645964912481E-2</v>
      </c>
      <c r="H44" s="26">
        <f>AVERAGE(SOC_pct!$C44:$CS44)</f>
        <v>77.442100000000011</v>
      </c>
      <c r="I44" s="30">
        <f>SUM(Demand_kW!$C44:$CS44)</f>
        <v>45.369376366666685</v>
      </c>
      <c r="J44" s="30">
        <f>SUM(PV_kW!$C44:$CS44)</f>
        <v>0</v>
      </c>
      <c r="K44" s="16">
        <f>I44-J44+SUM(Charge_kW!$C44:$CS44)-SUM(Discharge_kW!$C44:$CS44)</f>
        <v>1.698376366666686</v>
      </c>
    </row>
    <row r="45" spans="1:11" x14ac:dyDescent="0.25">
      <c r="A45" s="24">
        <f>Demand_kW!A45</f>
        <v>44</v>
      </c>
      <c r="B45" s="26">
        <f>Demand_kW!B45</f>
        <v>21.5</v>
      </c>
      <c r="C45" s="28">
        <f>AVERAGE(Demand_kW!$C45:$CS45)</f>
        <v>0.42630495894736847</v>
      </c>
      <c r="D45" s="28">
        <f>AVERAGE(PV_kW!$C45:$CS45)</f>
        <v>0</v>
      </c>
      <c r="E45" s="28">
        <f>AVERAGE(Charge_kW!$C45:$CS45)</f>
        <v>0</v>
      </c>
      <c r="F45" s="28">
        <f>AVERAGE(Discharge_kW!$C45:$CS45)</f>
        <v>0.38945263157894744</v>
      </c>
      <c r="G45" s="28">
        <f t="shared" si="0"/>
        <v>3.6852327368421034E-2</v>
      </c>
      <c r="H45" s="26">
        <f>AVERAGE(SOC_pct!$C45:$CS45)</f>
        <v>71.673122105263161</v>
      </c>
      <c r="I45" s="30">
        <f>SUM(Demand_kW!$C45:$CS45)</f>
        <v>40.498971100000006</v>
      </c>
      <c r="J45" s="30">
        <f>SUM(PV_kW!$C45:$CS45)</f>
        <v>0</v>
      </c>
      <c r="K45" s="16">
        <f>I45-J45+SUM(Charge_kW!$C45:$CS45)-SUM(Discharge_kW!$C45:$CS45)</f>
        <v>3.500971100000001</v>
      </c>
    </row>
    <row r="46" spans="1:11" x14ac:dyDescent="0.25">
      <c r="A46" s="24">
        <f>Demand_kW!A46</f>
        <v>45</v>
      </c>
      <c r="B46" s="26">
        <f>Demand_kW!B46</f>
        <v>22</v>
      </c>
      <c r="C46" s="28">
        <f>AVERAGE(Demand_kW!$C46:$CS46)</f>
        <v>0.40282569473684204</v>
      </c>
      <c r="D46" s="28">
        <f>AVERAGE(PV_kW!$C46:$CS46)</f>
        <v>0</v>
      </c>
      <c r="E46" s="28">
        <f>AVERAGE(Charge_kW!$C46:$CS46)</f>
        <v>0</v>
      </c>
      <c r="F46" s="28">
        <f>AVERAGE(Discharge_kW!$C46:$CS46)</f>
        <v>0.34802105263157884</v>
      </c>
      <c r="G46" s="28">
        <f t="shared" si="0"/>
        <v>5.4804642105263202E-2</v>
      </c>
      <c r="H46" s="26">
        <f>AVERAGE(SOC_pct!$C46:$CS46)</f>
        <v>66.785317894736821</v>
      </c>
      <c r="I46" s="30">
        <f>SUM(Demand_kW!$C46:$CS46)</f>
        <v>38.268440999999996</v>
      </c>
      <c r="J46" s="30">
        <f>SUM(PV_kW!$C46:$CS46)</f>
        <v>0</v>
      </c>
      <c r="K46" s="16">
        <f>I46-J46+SUM(Charge_kW!$C46:$CS46)-SUM(Discharge_kW!$C46:$CS46)</f>
        <v>5.2064410000000052</v>
      </c>
    </row>
    <row r="47" spans="1:11" x14ac:dyDescent="0.25">
      <c r="A47" s="24">
        <f>Demand_kW!A47</f>
        <v>46</v>
      </c>
      <c r="B47" s="26">
        <f>Demand_kW!B47</f>
        <v>22.5</v>
      </c>
      <c r="C47" s="28">
        <f>AVERAGE(Demand_kW!$C47:$CS47)</f>
        <v>0.37488086666666665</v>
      </c>
      <c r="D47" s="28">
        <f>AVERAGE(PV_kW!$C47:$CS47)</f>
        <v>0</v>
      </c>
      <c r="E47" s="28">
        <f>AVERAGE(Charge_kW!$C47:$CS47)</f>
        <v>0</v>
      </c>
      <c r="F47" s="28">
        <f>AVERAGE(Discharge_kW!$C47:$CS47)</f>
        <v>0.32164210526315784</v>
      </c>
      <c r="G47" s="28">
        <f t="shared" si="0"/>
        <v>5.3238761403508805E-2</v>
      </c>
      <c r="H47" s="26">
        <f>AVERAGE(SOC_pct!$C47:$CS47)</f>
        <v>62.4182589473684</v>
      </c>
      <c r="I47" s="30">
        <f>SUM(Demand_kW!$C47:$CS47)</f>
        <v>35.61368233333333</v>
      </c>
      <c r="J47" s="30">
        <f>SUM(PV_kW!$C47:$CS47)</f>
        <v>0</v>
      </c>
      <c r="K47" s="16">
        <f>I47-J47+SUM(Charge_kW!$C47:$CS47)-SUM(Discharge_kW!$C47:$CS47)</f>
        <v>5.0576823333333323</v>
      </c>
    </row>
    <row r="48" spans="1:11" x14ac:dyDescent="0.25">
      <c r="A48" s="24">
        <f>Demand_kW!A48</f>
        <v>47</v>
      </c>
      <c r="B48" s="26">
        <f>Demand_kW!B48</f>
        <v>23</v>
      </c>
      <c r="C48" s="28">
        <f>AVERAGE(Demand_kW!$C48:$CS48)</f>
        <v>0.30440144245614031</v>
      </c>
      <c r="D48" s="28">
        <f>AVERAGE(PV_kW!$C48:$CS48)</f>
        <v>0</v>
      </c>
      <c r="E48" s="28">
        <f>AVERAGE(Charge_kW!$C48:$CS48)</f>
        <v>0</v>
      </c>
      <c r="F48" s="28">
        <f>AVERAGE(Discharge_kW!$C48:$CS48)</f>
        <v>0.26464210526315796</v>
      </c>
      <c r="G48" s="28">
        <f t="shared" si="0"/>
        <v>3.9759337192982358E-2</v>
      </c>
      <c r="H48" s="26">
        <f>AVERAGE(SOC_pct!$C48:$CS48)</f>
        <v>58.382404210526317</v>
      </c>
      <c r="I48" s="30">
        <f>SUM(Demand_kW!$C48:$CS48)</f>
        <v>28.918137033333331</v>
      </c>
      <c r="J48" s="30">
        <f>SUM(PV_kW!$C48:$CS48)</f>
        <v>0</v>
      </c>
      <c r="K48" s="16">
        <f>I48-J48+SUM(Charge_kW!$C48:$CS48)-SUM(Discharge_kW!$C48:$CS48)</f>
        <v>3.7771370333333252</v>
      </c>
    </row>
    <row r="49" spans="1:11" x14ac:dyDescent="0.25">
      <c r="A49" s="25">
        <f>Demand_kW!A49</f>
        <v>48</v>
      </c>
      <c r="B49" s="27">
        <f>Demand_kW!B49</f>
        <v>23.5</v>
      </c>
      <c r="C49" s="29">
        <f>AVERAGE(Demand_kW!$C49:$CS49)</f>
        <v>0.22125743508771931</v>
      </c>
      <c r="D49" s="29">
        <f>AVERAGE(PV_kW!$C49:$CS49)</f>
        <v>0</v>
      </c>
      <c r="E49" s="29">
        <f>AVERAGE(Charge_kW!$C49:$CS49)</f>
        <v>0</v>
      </c>
      <c r="F49" s="29">
        <f>AVERAGE(Discharge_kW!$C49:$CS49)</f>
        <v>0.18569473684210527</v>
      </c>
      <c r="G49" s="29">
        <f t="shared" si="0"/>
        <v>3.5562698245614033E-2</v>
      </c>
      <c r="H49" s="27">
        <f>AVERAGE(SOC_pct!$C49:$CS49)</f>
        <v>55.061211578947365</v>
      </c>
      <c r="I49" s="31">
        <f>SUM(Demand_kW!$C49:$CS49)</f>
        <v>21.019456333333334</v>
      </c>
      <c r="J49" s="31">
        <f>SUM(PV_kW!$C49:$CS49)</f>
        <v>0</v>
      </c>
      <c r="K49" s="32">
        <f>I49-J49+SUM(Charge_kW!$C49:$CS49)-SUM(Discharge_kW!$C49:$CS49)</f>
        <v>3.3784563333333324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U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99" width="15" customWidth="1"/>
  </cols>
  <sheetData>
    <row r="1" spans="1:99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9" t="s">
        <v>133</v>
      </c>
    </row>
    <row r="2" spans="1:99" x14ac:dyDescent="0.25">
      <c r="A2" s="24">
        <v>1</v>
      </c>
      <c r="B2" s="26">
        <v>0</v>
      </c>
      <c r="C2" s="26">
        <v>40</v>
      </c>
      <c r="D2" s="26">
        <v>40</v>
      </c>
      <c r="E2" s="26">
        <v>40</v>
      </c>
      <c r="F2" s="26">
        <v>40</v>
      </c>
      <c r="G2" s="26">
        <v>40</v>
      </c>
      <c r="H2" s="26">
        <v>40</v>
      </c>
      <c r="I2" s="26">
        <v>40</v>
      </c>
      <c r="J2" s="26">
        <v>40</v>
      </c>
      <c r="K2" s="26">
        <v>40</v>
      </c>
      <c r="L2" s="26">
        <v>40</v>
      </c>
      <c r="M2" s="26">
        <v>40</v>
      </c>
      <c r="N2" s="26">
        <v>40</v>
      </c>
      <c r="O2" s="26">
        <v>40</v>
      </c>
      <c r="P2" s="26">
        <v>40</v>
      </c>
      <c r="Q2" s="26">
        <v>40</v>
      </c>
      <c r="R2" s="26">
        <v>40</v>
      </c>
      <c r="S2" s="26">
        <v>40</v>
      </c>
      <c r="T2" s="26">
        <v>40</v>
      </c>
      <c r="U2" s="26">
        <v>40</v>
      </c>
      <c r="V2" s="26">
        <v>40</v>
      </c>
      <c r="W2" s="26">
        <v>40</v>
      </c>
      <c r="X2" s="26">
        <v>40</v>
      </c>
      <c r="Y2" s="26">
        <v>40</v>
      </c>
      <c r="Z2" s="26">
        <v>40</v>
      </c>
      <c r="AA2" s="26">
        <v>40</v>
      </c>
      <c r="AB2" s="26">
        <v>40</v>
      </c>
      <c r="AC2" s="26">
        <v>40</v>
      </c>
      <c r="AD2" s="26">
        <v>40</v>
      </c>
      <c r="AE2" s="26">
        <v>40</v>
      </c>
      <c r="AF2" s="26">
        <v>40</v>
      </c>
      <c r="AG2" s="26">
        <v>40</v>
      </c>
      <c r="AH2" s="26">
        <v>40</v>
      </c>
      <c r="AI2" s="26">
        <v>40</v>
      </c>
      <c r="AJ2" s="26">
        <v>40</v>
      </c>
      <c r="AK2" s="26">
        <v>40</v>
      </c>
      <c r="AL2" s="26">
        <v>40</v>
      </c>
      <c r="AM2" s="26">
        <v>40</v>
      </c>
      <c r="AN2" s="26">
        <v>40</v>
      </c>
      <c r="AO2" s="26">
        <v>40</v>
      </c>
      <c r="AP2" s="26">
        <v>40</v>
      </c>
      <c r="AQ2" s="26">
        <v>40</v>
      </c>
      <c r="AR2" s="26">
        <v>40</v>
      </c>
      <c r="AS2" s="26">
        <v>40</v>
      </c>
      <c r="AT2" s="26">
        <v>40</v>
      </c>
      <c r="AU2" s="26">
        <v>40</v>
      </c>
      <c r="AV2" s="26">
        <v>40</v>
      </c>
      <c r="AW2" s="26">
        <v>40</v>
      </c>
      <c r="AX2" s="26">
        <v>40</v>
      </c>
      <c r="AY2" s="26">
        <v>40</v>
      </c>
      <c r="AZ2" s="26">
        <v>40</v>
      </c>
      <c r="BA2" s="26">
        <v>40</v>
      </c>
      <c r="BB2" s="26">
        <v>40</v>
      </c>
      <c r="BC2" s="26">
        <v>40</v>
      </c>
      <c r="BD2" s="26">
        <v>40</v>
      </c>
      <c r="BE2" s="26">
        <v>40</v>
      </c>
      <c r="BF2" s="26">
        <v>40</v>
      </c>
      <c r="BG2" s="26">
        <v>40</v>
      </c>
      <c r="BH2" s="26">
        <v>40</v>
      </c>
      <c r="BI2" s="26">
        <v>40</v>
      </c>
      <c r="BJ2" s="26">
        <v>40</v>
      </c>
      <c r="BK2" s="26">
        <v>40</v>
      </c>
      <c r="BL2" s="26">
        <v>40</v>
      </c>
      <c r="BM2" s="26">
        <v>40</v>
      </c>
      <c r="BN2" s="26">
        <v>40</v>
      </c>
      <c r="BO2" s="26">
        <v>40</v>
      </c>
      <c r="BP2" s="26">
        <v>40</v>
      </c>
      <c r="BQ2" s="26">
        <v>40</v>
      </c>
      <c r="BR2" s="26">
        <v>40</v>
      </c>
      <c r="BS2" s="26">
        <v>40</v>
      </c>
      <c r="BT2" s="26">
        <v>40</v>
      </c>
      <c r="BU2" s="26">
        <v>40</v>
      </c>
      <c r="BV2" s="26">
        <v>40</v>
      </c>
      <c r="BW2" s="26">
        <v>40</v>
      </c>
      <c r="BX2" s="26">
        <v>40</v>
      </c>
      <c r="BY2" s="26">
        <v>40</v>
      </c>
      <c r="BZ2" s="26">
        <v>40</v>
      </c>
      <c r="CA2" s="26">
        <v>40</v>
      </c>
      <c r="CB2" s="26">
        <v>40</v>
      </c>
      <c r="CC2" s="26">
        <v>40</v>
      </c>
      <c r="CD2" s="26">
        <v>40</v>
      </c>
      <c r="CE2" s="26">
        <v>40</v>
      </c>
      <c r="CF2" s="26">
        <v>40</v>
      </c>
      <c r="CG2" s="26">
        <v>40</v>
      </c>
      <c r="CH2" s="26">
        <v>40</v>
      </c>
      <c r="CI2" s="26">
        <v>40</v>
      </c>
      <c r="CJ2" s="26">
        <v>40</v>
      </c>
      <c r="CK2" s="26">
        <v>40</v>
      </c>
      <c r="CL2" s="26">
        <v>40</v>
      </c>
      <c r="CM2" s="26">
        <v>40</v>
      </c>
      <c r="CN2" s="26">
        <v>40</v>
      </c>
      <c r="CO2" s="26">
        <v>40</v>
      </c>
      <c r="CP2" s="26">
        <v>40</v>
      </c>
      <c r="CQ2" s="26">
        <v>40</v>
      </c>
      <c r="CR2" s="26">
        <v>40</v>
      </c>
      <c r="CS2" s="26">
        <v>40</v>
      </c>
      <c r="CT2" s="26">
        <v>40</v>
      </c>
      <c r="CU2" s="17">
        <v>3800</v>
      </c>
    </row>
    <row r="3" spans="1:99" x14ac:dyDescent="0.25">
      <c r="A3" s="24">
        <v>2</v>
      </c>
      <c r="B3" s="26">
        <v>0.5</v>
      </c>
      <c r="C3" s="26">
        <v>36.593899999999998</v>
      </c>
      <c r="D3" s="26">
        <v>39.4604</v>
      </c>
      <c r="E3" s="26">
        <v>37.415300000000002</v>
      </c>
      <c r="F3" s="26">
        <v>39.284700000000001</v>
      </c>
      <c r="G3" s="26">
        <v>39.322400000000002</v>
      </c>
      <c r="H3" s="26">
        <v>37.973300000000002</v>
      </c>
      <c r="I3" s="26">
        <v>39.422800000000002</v>
      </c>
      <c r="J3" s="26">
        <v>39.304499999999997</v>
      </c>
      <c r="K3" s="26">
        <v>31.4953</v>
      </c>
      <c r="L3" s="26">
        <v>37.330500000000001</v>
      </c>
      <c r="M3" s="26">
        <v>38.214799999999997</v>
      </c>
      <c r="N3" s="26">
        <v>38.505899999999997</v>
      </c>
      <c r="O3" s="26">
        <v>38.260300000000001</v>
      </c>
      <c r="P3" s="26">
        <v>37.612099999999998</v>
      </c>
      <c r="Q3" s="26">
        <v>39.322400000000002</v>
      </c>
      <c r="R3" s="26">
        <v>38.816000000000003</v>
      </c>
      <c r="S3" s="26">
        <v>39.372600000000013</v>
      </c>
      <c r="T3" s="26">
        <v>39.372600000000013</v>
      </c>
      <c r="U3" s="26">
        <v>34.857100000000003</v>
      </c>
      <c r="V3" s="26">
        <v>38.133800000000001</v>
      </c>
      <c r="W3" s="26">
        <v>39.385100000000001</v>
      </c>
      <c r="X3" s="26">
        <v>37.679699999999997</v>
      </c>
      <c r="Y3" s="26">
        <v>20.358899999999998</v>
      </c>
      <c r="Z3" s="26">
        <v>37.717099999999988</v>
      </c>
      <c r="AA3" s="26">
        <v>39.322400000000002</v>
      </c>
      <c r="AB3" s="26">
        <v>39.322400000000002</v>
      </c>
      <c r="AC3" s="26">
        <v>36.774000000000001</v>
      </c>
      <c r="AD3" s="26">
        <v>38.915100000000002</v>
      </c>
      <c r="AE3" s="26">
        <v>38.439500000000002</v>
      </c>
      <c r="AF3" s="26">
        <v>36.466099999999997</v>
      </c>
      <c r="AG3" s="26">
        <v>39.548299999999998</v>
      </c>
      <c r="AH3" s="26">
        <v>37.375100000000003</v>
      </c>
      <c r="AI3" s="26">
        <v>36.588200000000001</v>
      </c>
      <c r="AJ3" s="26">
        <v>38.023400000000002</v>
      </c>
      <c r="AK3" s="26">
        <v>31.109300000000001</v>
      </c>
      <c r="AL3" s="26">
        <v>39.347499999999997</v>
      </c>
      <c r="AM3" s="26">
        <v>39.3977</v>
      </c>
      <c r="AN3" s="26">
        <v>37.317699999999988</v>
      </c>
      <c r="AO3" s="26">
        <v>29.208400000000001</v>
      </c>
      <c r="AP3" s="26">
        <v>39.334899999999998</v>
      </c>
      <c r="AQ3" s="26">
        <v>39.272199999999998</v>
      </c>
      <c r="AR3" s="26">
        <v>39.385100000000001</v>
      </c>
      <c r="AS3" s="26">
        <v>37.052100000000003</v>
      </c>
      <c r="AT3" s="26">
        <v>36.572500000000012</v>
      </c>
      <c r="AU3" s="26">
        <v>38.040400000000012</v>
      </c>
      <c r="AV3" s="26">
        <v>33.348499999999987</v>
      </c>
      <c r="AW3" s="26">
        <v>37.589299999999987</v>
      </c>
      <c r="AX3" s="26">
        <v>37.906500000000001</v>
      </c>
      <c r="AY3" s="26">
        <v>38.1937</v>
      </c>
      <c r="AZ3" s="26">
        <v>37.909399999999998</v>
      </c>
      <c r="BA3" s="26">
        <v>39.573399999999999</v>
      </c>
      <c r="BB3" s="26">
        <v>39.523200000000003</v>
      </c>
      <c r="BC3" s="26">
        <v>34.964399999999998</v>
      </c>
      <c r="BD3" s="26">
        <v>37.762099999999997</v>
      </c>
      <c r="BE3" s="26">
        <v>32.342599999999997</v>
      </c>
      <c r="BF3" s="26">
        <v>39.3977</v>
      </c>
      <c r="BG3" s="26">
        <v>38.176200000000001</v>
      </c>
      <c r="BH3" s="26">
        <v>39.636099999999999</v>
      </c>
      <c r="BI3" s="26">
        <v>35.392099999999999</v>
      </c>
      <c r="BJ3" s="26">
        <v>34.594499999999996</v>
      </c>
      <c r="BK3" s="26">
        <v>39.2166</v>
      </c>
      <c r="BL3" s="26">
        <v>39.410200000000003</v>
      </c>
      <c r="BM3" s="26">
        <v>39.3977</v>
      </c>
      <c r="BN3" s="26">
        <v>37.9985</v>
      </c>
      <c r="BO3" s="26">
        <v>34.286999999999999</v>
      </c>
      <c r="BP3" s="26">
        <v>28.6891</v>
      </c>
      <c r="BQ3" s="26">
        <v>36.066899999999997</v>
      </c>
      <c r="BR3" s="26">
        <v>30.502700000000001</v>
      </c>
      <c r="BS3" s="26">
        <v>37.768900000000002</v>
      </c>
      <c r="BT3" s="26">
        <v>39.523200000000003</v>
      </c>
      <c r="BU3" s="26">
        <v>34.865200000000002</v>
      </c>
      <c r="BV3" s="26">
        <v>38.544600000000003</v>
      </c>
      <c r="BW3" s="26">
        <v>39.3977</v>
      </c>
      <c r="BX3" s="26">
        <v>35.181699999999999</v>
      </c>
      <c r="BY3" s="26">
        <v>39.322400000000002</v>
      </c>
      <c r="BZ3" s="26">
        <v>32.5501</v>
      </c>
      <c r="CA3" s="26">
        <v>37.352200000000003</v>
      </c>
      <c r="CB3" s="26">
        <v>38.180399999999999</v>
      </c>
      <c r="CC3" s="26">
        <v>38.042000000000002</v>
      </c>
      <c r="CD3" s="26">
        <v>39.334899999999998</v>
      </c>
      <c r="CE3" s="26">
        <v>39.2973</v>
      </c>
      <c r="CF3" s="26">
        <v>31.145900000000001</v>
      </c>
      <c r="CG3" s="26">
        <v>38.304299999999998</v>
      </c>
      <c r="CH3" s="26">
        <v>39.372600000000013</v>
      </c>
      <c r="CI3" s="26">
        <v>39.385100000000001</v>
      </c>
      <c r="CJ3" s="26">
        <v>26.566800000000001</v>
      </c>
      <c r="CK3" s="26">
        <v>32.843400000000003</v>
      </c>
      <c r="CL3" s="26">
        <v>39.422800000000002</v>
      </c>
      <c r="CM3" s="26">
        <v>39.234999999999999</v>
      </c>
      <c r="CN3" s="26">
        <v>38.920499999999997</v>
      </c>
      <c r="CO3" s="26">
        <v>38.968200000000003</v>
      </c>
      <c r="CP3" s="26">
        <v>30.2424</v>
      </c>
      <c r="CQ3" s="26">
        <v>37.471900000000012</v>
      </c>
      <c r="CR3" s="26">
        <v>37.939599999999999</v>
      </c>
      <c r="CS3" s="26">
        <v>34.039900000000003</v>
      </c>
      <c r="CT3" s="26">
        <v>37.022328421052649</v>
      </c>
      <c r="CU3" s="17">
        <v>3517.121200000001</v>
      </c>
    </row>
    <row r="4" spans="1:99" x14ac:dyDescent="0.25">
      <c r="A4" s="24">
        <v>3</v>
      </c>
      <c r="B4" s="26">
        <v>1</v>
      </c>
      <c r="C4" s="26">
        <v>35.544400000000003</v>
      </c>
      <c r="D4" s="26">
        <v>36.807000000000002</v>
      </c>
      <c r="E4" s="26">
        <v>36.712600000000002</v>
      </c>
      <c r="F4" s="26">
        <v>38.569499999999998</v>
      </c>
      <c r="G4" s="26">
        <v>37.166200000000003</v>
      </c>
      <c r="H4" s="26">
        <v>36.221800000000002</v>
      </c>
      <c r="I4" s="26">
        <v>38.845500000000001</v>
      </c>
      <c r="J4" s="26">
        <v>37.8551</v>
      </c>
      <c r="K4" s="26">
        <v>27.7624</v>
      </c>
      <c r="L4" s="26">
        <v>33.765799999999999</v>
      </c>
      <c r="M4" s="26">
        <v>37.1218</v>
      </c>
      <c r="N4" s="26">
        <v>37.249499999999998</v>
      </c>
      <c r="O4" s="26">
        <v>37.582599999999999</v>
      </c>
      <c r="P4" s="26">
        <v>37.022300000000001</v>
      </c>
      <c r="Q4" s="26">
        <v>37.666600000000003</v>
      </c>
      <c r="R4" s="26">
        <v>36.939</v>
      </c>
      <c r="S4" s="26">
        <v>38.745100000000001</v>
      </c>
      <c r="T4" s="26">
        <v>37.753799999999998</v>
      </c>
      <c r="U4" s="26">
        <v>28.759399999999999</v>
      </c>
      <c r="V4" s="26">
        <v>36.338099999999997</v>
      </c>
      <c r="W4" s="26">
        <v>38.005299999999998</v>
      </c>
      <c r="X4" s="26">
        <v>36.072899999999997</v>
      </c>
      <c r="Y4" s="26">
        <v>19.6311</v>
      </c>
      <c r="Z4" s="26">
        <v>35.695599999999999</v>
      </c>
      <c r="AA4" s="26">
        <v>36.9831</v>
      </c>
      <c r="AB4" s="26">
        <v>36.9587</v>
      </c>
      <c r="AC4" s="26">
        <v>36.071300000000001</v>
      </c>
      <c r="AD4" s="26">
        <v>36.963099999999997</v>
      </c>
      <c r="AE4" s="26">
        <v>37.158499999999997</v>
      </c>
      <c r="AF4" s="26">
        <v>33.9148</v>
      </c>
      <c r="AG4" s="26">
        <v>37.632300000000001</v>
      </c>
      <c r="AH4" s="26">
        <v>36.077100000000002</v>
      </c>
      <c r="AI4" s="26">
        <v>35.935600000000001</v>
      </c>
      <c r="AJ4" s="26">
        <v>37.408499999999997</v>
      </c>
      <c r="AK4" s="26">
        <v>20.366299999999999</v>
      </c>
      <c r="AL4" s="26">
        <v>38.695</v>
      </c>
      <c r="AM4" s="26">
        <v>36.546799999999998</v>
      </c>
      <c r="AN4" s="26">
        <v>36.740400000000001</v>
      </c>
      <c r="AO4" s="26">
        <v>21.186399999999999</v>
      </c>
      <c r="AP4" s="26">
        <v>37.817999999999998</v>
      </c>
      <c r="AQ4" s="26">
        <v>38.544400000000003</v>
      </c>
      <c r="AR4" s="26">
        <v>38.770200000000003</v>
      </c>
      <c r="AS4" s="26">
        <v>34.508200000000002</v>
      </c>
      <c r="AT4" s="26">
        <v>33.44</v>
      </c>
      <c r="AU4" s="26">
        <v>37.3628</v>
      </c>
      <c r="AV4" s="26">
        <v>28.789400000000001</v>
      </c>
      <c r="AW4" s="26">
        <v>35.403500000000001</v>
      </c>
      <c r="AX4" s="26">
        <v>34.618200000000002</v>
      </c>
      <c r="AY4" s="26">
        <v>37.578800000000001</v>
      </c>
      <c r="AZ4" s="26">
        <v>36.293100000000003</v>
      </c>
      <c r="BA4" s="26">
        <v>39.146700000000003</v>
      </c>
      <c r="BB4" s="26">
        <v>37.788200000000003</v>
      </c>
      <c r="BC4" s="26">
        <v>27.914999999999999</v>
      </c>
      <c r="BD4" s="26">
        <v>36.491600000000012</v>
      </c>
      <c r="BE4" s="26">
        <v>29.450399999999998</v>
      </c>
      <c r="BF4" s="26">
        <v>38.795299999999997</v>
      </c>
      <c r="BG4" s="26">
        <v>37.586399999999998</v>
      </c>
      <c r="BH4" s="26">
        <v>39.272199999999998</v>
      </c>
      <c r="BI4" s="26">
        <v>29.781199999999998</v>
      </c>
      <c r="BJ4" s="26">
        <v>29.109200000000001</v>
      </c>
      <c r="BK4" s="26">
        <v>36.808900000000001</v>
      </c>
      <c r="BL4" s="26">
        <v>38.820399999999999</v>
      </c>
      <c r="BM4" s="26">
        <v>38.795299999999997</v>
      </c>
      <c r="BN4" s="26">
        <v>34.865200000000002</v>
      </c>
      <c r="BO4" s="26">
        <v>28.295999999999999</v>
      </c>
      <c r="BP4" s="26">
        <v>18.718900000000001</v>
      </c>
      <c r="BQ4" s="26">
        <v>35.439500000000002</v>
      </c>
      <c r="BR4" s="26">
        <v>10</v>
      </c>
      <c r="BS4" s="26">
        <v>37.116399999999999</v>
      </c>
      <c r="BT4" s="26">
        <v>39.046300000000002</v>
      </c>
      <c r="BU4" s="26">
        <v>30.3886</v>
      </c>
      <c r="BV4" s="26">
        <v>36.743600000000001</v>
      </c>
      <c r="BW4" s="26">
        <v>38.136800000000001</v>
      </c>
      <c r="BX4" s="26">
        <v>34.504100000000001</v>
      </c>
      <c r="BY4" s="26">
        <v>36.618499999999997</v>
      </c>
      <c r="BZ4" s="26">
        <v>25.366599999999998</v>
      </c>
      <c r="CA4" s="26">
        <v>36.774900000000002</v>
      </c>
      <c r="CB4" s="26">
        <v>35.692599999999999</v>
      </c>
      <c r="CC4" s="26">
        <v>34.360799999999998</v>
      </c>
      <c r="CD4" s="26">
        <v>38.567</v>
      </c>
      <c r="CE4" s="26">
        <v>36.277299999999997</v>
      </c>
      <c r="CF4" s="26">
        <v>29.441800000000001</v>
      </c>
      <c r="CG4" s="26">
        <v>36.642400000000002</v>
      </c>
      <c r="CH4" s="26">
        <v>36.582299999999996</v>
      </c>
      <c r="CI4" s="26">
        <v>38.770200000000003</v>
      </c>
      <c r="CJ4" s="26">
        <v>13.478300000000001</v>
      </c>
      <c r="CK4" s="26">
        <v>23.902000000000001</v>
      </c>
      <c r="CL4" s="26">
        <v>37.429499999999997</v>
      </c>
      <c r="CM4" s="26">
        <v>38.578499999999998</v>
      </c>
      <c r="CN4" s="26">
        <v>36.962200000000003</v>
      </c>
      <c r="CO4" s="26">
        <v>37.397100000000002</v>
      </c>
      <c r="CP4" s="26">
        <v>21.8612</v>
      </c>
      <c r="CQ4" s="26">
        <v>36.832000000000001</v>
      </c>
      <c r="CR4" s="26">
        <v>37.337299999999999</v>
      </c>
      <c r="CS4" s="26">
        <v>29.054300000000001</v>
      </c>
      <c r="CT4" s="26">
        <v>34.384641052631579</v>
      </c>
      <c r="CU4" s="17">
        <v>3266.5409</v>
      </c>
    </row>
    <row r="5" spans="1:99" x14ac:dyDescent="0.25">
      <c r="A5" s="24">
        <v>4</v>
      </c>
      <c r="B5" s="26">
        <v>1.5</v>
      </c>
      <c r="C5" s="26">
        <v>33.237200000000001</v>
      </c>
      <c r="D5" s="26">
        <v>36.267400000000002</v>
      </c>
      <c r="E5" s="26">
        <v>34.255099999999999</v>
      </c>
      <c r="F5" s="26">
        <v>37.854199999999999</v>
      </c>
      <c r="G5" s="26">
        <v>34.491500000000002</v>
      </c>
      <c r="H5" s="26">
        <v>33.797400000000003</v>
      </c>
      <c r="I5" s="26">
        <v>38.268300000000004</v>
      </c>
      <c r="J5" s="26">
        <v>36.2151</v>
      </c>
      <c r="K5" s="26">
        <v>26.0916</v>
      </c>
      <c r="L5" s="26">
        <v>32.074599999999997</v>
      </c>
      <c r="M5" s="26">
        <v>36.236499999999999</v>
      </c>
      <c r="N5" s="26">
        <v>34.762599999999999</v>
      </c>
      <c r="O5" s="26">
        <v>36.314900000000002</v>
      </c>
      <c r="P5" s="26">
        <v>34.797899999999998</v>
      </c>
      <c r="Q5" s="26">
        <v>36.988999999999997</v>
      </c>
      <c r="R5" s="26">
        <v>34.514099999999999</v>
      </c>
      <c r="S5" s="26">
        <v>38.117699999999999</v>
      </c>
      <c r="T5" s="26">
        <v>35.305799999999998</v>
      </c>
      <c r="U5" s="26">
        <v>21.438099999999999</v>
      </c>
      <c r="V5" s="26">
        <v>35.823599999999999</v>
      </c>
      <c r="W5" s="26">
        <v>37.3904</v>
      </c>
      <c r="X5" s="26">
        <v>32.617899999999999</v>
      </c>
      <c r="Y5" s="26">
        <v>18.360099999999999</v>
      </c>
      <c r="Z5" s="26">
        <v>35.105800000000002</v>
      </c>
      <c r="AA5" s="26">
        <v>36.226399999999998</v>
      </c>
      <c r="AB5" s="26">
        <v>36.281100000000002</v>
      </c>
      <c r="AC5" s="26">
        <v>35.368600000000001</v>
      </c>
      <c r="AD5" s="26">
        <v>36.398400000000002</v>
      </c>
      <c r="AE5" s="26">
        <v>36.505899999999997</v>
      </c>
      <c r="AF5" s="26">
        <v>32.2941</v>
      </c>
      <c r="AG5" s="26">
        <v>37.180500000000002</v>
      </c>
      <c r="AH5" s="26">
        <v>33.287199999999999</v>
      </c>
      <c r="AI5" s="26">
        <v>33.686399999999999</v>
      </c>
      <c r="AJ5" s="26">
        <v>34.588000000000001</v>
      </c>
      <c r="AK5" s="26">
        <v>11.8444</v>
      </c>
      <c r="AL5" s="26">
        <v>38.042400000000001</v>
      </c>
      <c r="AM5" s="26">
        <v>35.944400000000002</v>
      </c>
      <c r="AN5" s="26">
        <v>34.440800000000003</v>
      </c>
      <c r="AO5" s="26">
        <v>16.328399999999998</v>
      </c>
      <c r="AP5" s="26">
        <v>37.152900000000002</v>
      </c>
      <c r="AQ5" s="26">
        <v>36.527500000000003</v>
      </c>
      <c r="AR5" s="26">
        <v>36.9146</v>
      </c>
      <c r="AS5" s="26">
        <v>33.257599999999996</v>
      </c>
      <c r="AT5" s="26">
        <v>31.345600000000001</v>
      </c>
      <c r="AU5" s="26">
        <v>36.685200000000002</v>
      </c>
      <c r="AV5" s="26">
        <v>17.860600000000002</v>
      </c>
      <c r="AW5" s="26">
        <v>34.409500000000001</v>
      </c>
      <c r="AX5" s="26">
        <v>32.256</v>
      </c>
      <c r="AY5" s="26">
        <v>35.772500000000001</v>
      </c>
      <c r="AZ5" s="26">
        <v>35.659500000000001</v>
      </c>
      <c r="BA5" s="26">
        <v>37.252899999999997</v>
      </c>
      <c r="BB5" s="26">
        <v>36.7331</v>
      </c>
      <c r="BC5" s="26">
        <v>27.3127</v>
      </c>
      <c r="BD5" s="26">
        <v>34.8872</v>
      </c>
      <c r="BE5" s="26">
        <v>28.1418</v>
      </c>
      <c r="BF5" s="26">
        <v>38.192999999999998</v>
      </c>
      <c r="BG5" s="26">
        <v>36.152200000000001</v>
      </c>
      <c r="BH5" s="26">
        <v>38.908299999999997</v>
      </c>
      <c r="BI5" s="26">
        <v>27.618600000000001</v>
      </c>
      <c r="BJ5" s="26">
        <v>28.619800000000001</v>
      </c>
      <c r="BK5" s="26">
        <v>36.332000000000001</v>
      </c>
      <c r="BL5" s="26">
        <v>38.230699999999999</v>
      </c>
      <c r="BM5" s="26">
        <v>36.137099999999997</v>
      </c>
      <c r="BN5" s="26">
        <v>32.256599999999999</v>
      </c>
      <c r="BO5" s="26">
        <v>25.492799999999999</v>
      </c>
      <c r="BP5" s="26">
        <v>10</v>
      </c>
      <c r="BQ5" s="26">
        <v>32.0197</v>
      </c>
      <c r="BR5" s="26">
        <v>10</v>
      </c>
      <c r="BS5" s="26">
        <v>34.534500000000001</v>
      </c>
      <c r="BT5" s="26">
        <v>37.307200000000002</v>
      </c>
      <c r="BU5" s="26">
        <v>29.5548</v>
      </c>
      <c r="BV5" s="26">
        <v>36.066000000000003</v>
      </c>
      <c r="BW5" s="26">
        <v>34.326099999999997</v>
      </c>
      <c r="BX5" s="26">
        <v>30.160699999999999</v>
      </c>
      <c r="BY5" s="26">
        <v>35.886899999999997</v>
      </c>
      <c r="BZ5" s="26">
        <v>18.302800000000001</v>
      </c>
      <c r="CA5" s="26">
        <v>32.805100000000003</v>
      </c>
      <c r="CB5" s="26">
        <v>33.546500000000002</v>
      </c>
      <c r="CC5" s="26">
        <v>32.839799999999997</v>
      </c>
      <c r="CD5" s="26">
        <v>37.078600000000002</v>
      </c>
      <c r="CE5" s="26">
        <v>35.5745</v>
      </c>
      <c r="CF5" s="26">
        <v>27.577200000000001</v>
      </c>
      <c r="CG5" s="26">
        <v>35.970400000000012</v>
      </c>
      <c r="CH5" s="26">
        <v>35.954900000000002</v>
      </c>
      <c r="CI5" s="26">
        <v>38.1554</v>
      </c>
      <c r="CJ5" s="26">
        <v>12.745699999999999</v>
      </c>
      <c r="CK5" s="26">
        <v>22.739000000000001</v>
      </c>
      <c r="CL5" s="26">
        <v>35.932299999999998</v>
      </c>
      <c r="CM5" s="26">
        <v>37.054600000000001</v>
      </c>
      <c r="CN5" s="26">
        <v>36.409999999999997</v>
      </c>
      <c r="CO5" s="26">
        <v>36.702300000000001</v>
      </c>
      <c r="CP5" s="26">
        <v>19.7334</v>
      </c>
      <c r="CQ5" s="26">
        <v>34.226500000000001</v>
      </c>
      <c r="CR5" s="26">
        <v>33.461799999999997</v>
      </c>
      <c r="CS5" s="26">
        <v>26.922999999999998</v>
      </c>
      <c r="CT5" s="26">
        <v>32.446776842105272</v>
      </c>
      <c r="CU5" s="17">
        <v>3082.4438000000009</v>
      </c>
    </row>
    <row r="6" spans="1:99" x14ac:dyDescent="0.25">
      <c r="A6" s="24">
        <v>5</v>
      </c>
      <c r="B6" s="26">
        <v>2</v>
      </c>
      <c r="C6" s="26">
        <v>32.5471</v>
      </c>
      <c r="D6" s="26">
        <v>34.1905</v>
      </c>
      <c r="E6" s="26">
        <v>31.670400000000001</v>
      </c>
      <c r="F6" s="26">
        <v>37.1389</v>
      </c>
      <c r="G6" s="26">
        <v>33.813899999999997</v>
      </c>
      <c r="H6" s="26">
        <v>31.843900000000001</v>
      </c>
      <c r="I6" s="26">
        <v>37.691099999999999</v>
      </c>
      <c r="J6" s="26">
        <v>35.575200000000002</v>
      </c>
      <c r="K6" s="26">
        <v>23.539000000000001</v>
      </c>
      <c r="L6" s="26">
        <v>31.560099999999998</v>
      </c>
      <c r="M6" s="26">
        <v>34.243600000000001</v>
      </c>
      <c r="N6" s="26">
        <v>33.355699999999999</v>
      </c>
      <c r="O6" s="26">
        <v>35.165300000000002</v>
      </c>
      <c r="P6" s="26">
        <v>34.044600000000003</v>
      </c>
      <c r="Q6" s="26">
        <v>35.441800000000001</v>
      </c>
      <c r="R6" s="26">
        <v>32.226399999999998</v>
      </c>
      <c r="S6" s="26">
        <v>37.490299999999998</v>
      </c>
      <c r="T6" s="26">
        <v>33.9998</v>
      </c>
      <c r="U6" s="26">
        <v>13.4262</v>
      </c>
      <c r="V6" s="26">
        <v>34.796700000000001</v>
      </c>
      <c r="W6" s="26">
        <v>36.010599999999997</v>
      </c>
      <c r="X6" s="26">
        <v>31.569800000000001</v>
      </c>
      <c r="Y6" s="26">
        <v>16.184100000000001</v>
      </c>
      <c r="Z6" s="26">
        <v>33.491100000000003</v>
      </c>
      <c r="AA6" s="26">
        <v>35.548699999999997</v>
      </c>
      <c r="AB6" s="26">
        <v>33.917499999999997</v>
      </c>
      <c r="AC6" s="26">
        <v>34.665900000000001</v>
      </c>
      <c r="AD6" s="26">
        <v>33.926200000000001</v>
      </c>
      <c r="AE6" s="26">
        <v>35.3645</v>
      </c>
      <c r="AF6" s="26">
        <v>30.9983</v>
      </c>
      <c r="AG6" s="26">
        <v>36.7288</v>
      </c>
      <c r="AH6" s="26">
        <v>31.993099999999998</v>
      </c>
      <c r="AI6" s="26">
        <v>32.182499999999997</v>
      </c>
      <c r="AJ6" s="26">
        <v>33.572699999999998</v>
      </c>
      <c r="AK6" s="26">
        <v>10</v>
      </c>
      <c r="AL6" s="26">
        <v>37.389899999999997</v>
      </c>
      <c r="AM6" s="26">
        <v>35.342100000000002</v>
      </c>
      <c r="AN6" s="26">
        <v>33.480900000000013</v>
      </c>
      <c r="AO6" s="26">
        <v>13.92</v>
      </c>
      <c r="AP6" s="26">
        <v>36.109299999999998</v>
      </c>
      <c r="AQ6" s="26">
        <v>35.198099999999997</v>
      </c>
      <c r="AR6" s="26">
        <v>35.989600000000003</v>
      </c>
      <c r="AS6" s="26">
        <v>30.715</v>
      </c>
      <c r="AT6" s="26">
        <v>30.386900000000001</v>
      </c>
      <c r="AU6" s="26">
        <v>34.626899999999999</v>
      </c>
      <c r="AV6" s="26">
        <v>13.978899999999999</v>
      </c>
      <c r="AW6" s="26">
        <v>31.530799999999999</v>
      </c>
      <c r="AX6" s="26">
        <v>29.2834</v>
      </c>
      <c r="AY6" s="26">
        <v>35.157600000000002</v>
      </c>
      <c r="AZ6" s="26">
        <v>34.2943</v>
      </c>
      <c r="BA6" s="26">
        <v>36.141599999999997</v>
      </c>
      <c r="BB6" s="26">
        <v>33.456200000000003</v>
      </c>
      <c r="BC6" s="26">
        <v>26.284700000000001</v>
      </c>
      <c r="BD6" s="26">
        <v>32.068899999999999</v>
      </c>
      <c r="BE6" s="26">
        <v>26.078600000000002</v>
      </c>
      <c r="BF6" s="26">
        <v>37.590699999999998</v>
      </c>
      <c r="BG6" s="26">
        <v>33.854299999999988</v>
      </c>
      <c r="BH6" s="26">
        <v>38.544400000000003</v>
      </c>
      <c r="BI6" s="26">
        <v>20.7867</v>
      </c>
      <c r="BJ6" s="26">
        <v>26.8386</v>
      </c>
      <c r="BK6" s="26">
        <v>34.406100000000002</v>
      </c>
      <c r="BL6" s="26">
        <v>37.640900000000002</v>
      </c>
      <c r="BM6" s="26">
        <v>30.4072</v>
      </c>
      <c r="BN6" s="26">
        <v>31.541799999999999</v>
      </c>
      <c r="BO6" s="26">
        <v>24.902999999999999</v>
      </c>
      <c r="BP6" s="26">
        <v>10</v>
      </c>
      <c r="BQ6" s="26">
        <v>30.377400000000002</v>
      </c>
      <c r="BR6" s="26">
        <v>10</v>
      </c>
      <c r="BS6" s="26">
        <v>33.881999999999998</v>
      </c>
      <c r="BT6" s="26">
        <v>36.830399999999997</v>
      </c>
      <c r="BU6" s="26">
        <v>27.168800000000001</v>
      </c>
      <c r="BV6" s="26">
        <v>34.092099999999988</v>
      </c>
      <c r="BW6" s="26">
        <v>33.360799999999998</v>
      </c>
      <c r="BX6" s="26">
        <v>29.2331</v>
      </c>
      <c r="BY6" s="26">
        <v>35.209299999999999</v>
      </c>
      <c r="BZ6" s="26">
        <v>17.574999999999999</v>
      </c>
      <c r="CA6" s="26">
        <v>31.683</v>
      </c>
      <c r="CB6" s="26">
        <v>29.1769</v>
      </c>
      <c r="CC6" s="26">
        <v>30.051100000000002</v>
      </c>
      <c r="CD6" s="26">
        <v>36.310699999999997</v>
      </c>
      <c r="CE6" s="26">
        <v>33.9238</v>
      </c>
      <c r="CF6" s="26">
        <v>25.237100000000002</v>
      </c>
      <c r="CG6" s="26">
        <v>34.865499999999997</v>
      </c>
      <c r="CH6" s="26">
        <v>33.9512</v>
      </c>
      <c r="CI6" s="26">
        <v>37.540500000000002</v>
      </c>
      <c r="CJ6" s="26">
        <v>10</v>
      </c>
      <c r="CK6" s="26">
        <v>20.593499999999999</v>
      </c>
      <c r="CL6" s="26">
        <v>32.319400000000002</v>
      </c>
      <c r="CM6" s="26">
        <v>36.452300000000001</v>
      </c>
      <c r="CN6" s="26">
        <v>33.924300000000002</v>
      </c>
      <c r="CO6" s="26">
        <v>34.794199999999996</v>
      </c>
      <c r="CP6" s="26">
        <v>19.269100000000002</v>
      </c>
      <c r="CQ6" s="26">
        <v>33.276200000000003</v>
      </c>
      <c r="CR6" s="26">
        <v>32.6021</v>
      </c>
      <c r="CS6" s="26">
        <v>26.299600000000002</v>
      </c>
      <c r="CT6" s="26">
        <v>30.819590526315771</v>
      </c>
      <c r="CU6" s="17">
        <v>2927.8610999999992</v>
      </c>
    </row>
    <row r="7" spans="1:99" x14ac:dyDescent="0.25">
      <c r="A7" s="24">
        <v>6</v>
      </c>
      <c r="B7" s="26">
        <v>2.5</v>
      </c>
      <c r="C7" s="26">
        <v>30.7789</v>
      </c>
      <c r="D7" s="26">
        <v>33.074399999999997</v>
      </c>
      <c r="E7" s="26">
        <v>30.967700000000001</v>
      </c>
      <c r="F7" s="26">
        <v>36.423699999999997</v>
      </c>
      <c r="G7" s="26">
        <v>31.8765</v>
      </c>
      <c r="H7" s="26">
        <v>30.276299999999999</v>
      </c>
      <c r="I7" s="26">
        <v>37.113799999999998</v>
      </c>
      <c r="J7" s="26">
        <v>34.101799999999997</v>
      </c>
      <c r="K7" s="26">
        <v>23.049700000000001</v>
      </c>
      <c r="L7" s="26">
        <v>28.306799999999999</v>
      </c>
      <c r="M7" s="26">
        <v>33.566000000000003</v>
      </c>
      <c r="N7" s="26">
        <v>30.589400000000001</v>
      </c>
      <c r="O7" s="26">
        <v>33.8386</v>
      </c>
      <c r="P7" s="26">
        <v>32.310600000000001</v>
      </c>
      <c r="Q7" s="26">
        <v>34.655500000000004</v>
      </c>
      <c r="R7" s="26">
        <v>30.719000000000001</v>
      </c>
      <c r="S7" s="26">
        <v>36.862900000000003</v>
      </c>
      <c r="T7" s="26">
        <v>32.769300000000001</v>
      </c>
      <c r="U7" s="26">
        <v>11.2606</v>
      </c>
      <c r="V7" s="26">
        <v>32.915599999999998</v>
      </c>
      <c r="W7" s="26">
        <v>35.395700000000012</v>
      </c>
      <c r="X7" s="26">
        <v>28.471599999999999</v>
      </c>
      <c r="Y7" s="26">
        <v>15.456300000000001</v>
      </c>
      <c r="Z7" s="26">
        <v>32.137700000000002</v>
      </c>
      <c r="AA7" s="26">
        <v>33.209499999999998</v>
      </c>
      <c r="AB7" s="26">
        <v>33.239899999999999</v>
      </c>
      <c r="AC7" s="26">
        <v>33.504399999999997</v>
      </c>
      <c r="AD7" s="26">
        <v>33.361499999999999</v>
      </c>
      <c r="AE7" s="26">
        <v>33.664400000000001</v>
      </c>
      <c r="AF7" s="26">
        <v>28.3658</v>
      </c>
      <c r="AG7" s="26">
        <v>35.325299999999999</v>
      </c>
      <c r="AH7" s="26">
        <v>30.0623</v>
      </c>
      <c r="AI7" s="26">
        <v>30.909199999999998</v>
      </c>
      <c r="AJ7" s="26">
        <v>31.393000000000001</v>
      </c>
      <c r="AK7" s="26">
        <v>10</v>
      </c>
      <c r="AL7" s="26">
        <v>36.737400000000001</v>
      </c>
      <c r="AM7" s="26">
        <v>32.491199999999999</v>
      </c>
      <c r="AN7" s="26">
        <v>32.042499999999997</v>
      </c>
      <c r="AO7" s="26">
        <v>11.667299999999999</v>
      </c>
      <c r="AP7" s="26">
        <v>34.970999999999997</v>
      </c>
      <c r="AQ7" s="26">
        <v>34.040700000000001</v>
      </c>
      <c r="AR7" s="26">
        <v>35.374699999999997</v>
      </c>
      <c r="AS7" s="26">
        <v>27.318100000000001</v>
      </c>
      <c r="AT7" s="26">
        <v>25.4634</v>
      </c>
      <c r="AU7" s="26">
        <v>33.949300000000001</v>
      </c>
      <c r="AV7" s="26">
        <v>13.4268</v>
      </c>
      <c r="AW7" s="26">
        <v>30.229700000000001</v>
      </c>
      <c r="AX7" s="26">
        <v>28.5305</v>
      </c>
      <c r="AY7" s="26">
        <v>33.768300000000004</v>
      </c>
      <c r="AZ7" s="26">
        <v>31.937100000000001</v>
      </c>
      <c r="BA7" s="26">
        <v>35.715000000000003</v>
      </c>
      <c r="BB7" s="26">
        <v>32.979300000000002</v>
      </c>
      <c r="BC7" s="26">
        <v>24.234999999999999</v>
      </c>
      <c r="BD7" s="26">
        <v>31.277200000000001</v>
      </c>
      <c r="BE7" s="26">
        <v>23.940999999999999</v>
      </c>
      <c r="BF7" s="26">
        <v>36.988399999999999</v>
      </c>
      <c r="BG7" s="26">
        <v>32.809899999999999</v>
      </c>
      <c r="BH7" s="26">
        <v>38.180500000000002</v>
      </c>
      <c r="BI7" s="26">
        <v>17.885000000000002</v>
      </c>
      <c r="BJ7" s="26">
        <v>24.400400000000001</v>
      </c>
      <c r="BK7" s="26">
        <v>33.140900000000002</v>
      </c>
      <c r="BL7" s="26">
        <v>37.051099999999998</v>
      </c>
      <c r="BM7" s="26">
        <v>18.656400000000001</v>
      </c>
      <c r="BN7" s="26">
        <v>27.901299999999999</v>
      </c>
      <c r="BO7" s="26">
        <v>23.533899999999999</v>
      </c>
      <c r="BP7" s="26">
        <v>10</v>
      </c>
      <c r="BQ7" s="26">
        <v>28.000399999999999</v>
      </c>
      <c r="BR7" s="26">
        <v>10</v>
      </c>
      <c r="BS7" s="26">
        <v>32.527900000000002</v>
      </c>
      <c r="BT7" s="26">
        <v>36.353499999999997</v>
      </c>
      <c r="BU7" s="26">
        <v>25.482800000000001</v>
      </c>
      <c r="BV7" s="26">
        <v>32.8095</v>
      </c>
      <c r="BW7" s="26">
        <v>31.8508</v>
      </c>
      <c r="BX7" s="26">
        <v>24.947800000000001</v>
      </c>
      <c r="BY7" s="26">
        <v>33.559699999999999</v>
      </c>
      <c r="BZ7" s="26">
        <v>13.929</v>
      </c>
      <c r="CA7" s="26">
        <v>30.5608</v>
      </c>
      <c r="CB7" s="26">
        <v>27.240600000000001</v>
      </c>
      <c r="CC7" s="26">
        <v>29.011600000000001</v>
      </c>
      <c r="CD7" s="26">
        <v>34.822299999999998</v>
      </c>
      <c r="CE7" s="26">
        <v>31.851800000000001</v>
      </c>
      <c r="CF7" s="26">
        <v>23.053799999999999</v>
      </c>
      <c r="CG7" s="26">
        <v>33.961000000000013</v>
      </c>
      <c r="CH7" s="26">
        <v>32.537300000000002</v>
      </c>
      <c r="CI7" s="26">
        <v>36.925600000000003</v>
      </c>
      <c r="CJ7" s="26">
        <v>10</v>
      </c>
      <c r="CK7" s="26">
        <v>18.807300000000001</v>
      </c>
      <c r="CL7" s="26">
        <v>31.6005</v>
      </c>
      <c r="CM7" s="26">
        <v>34.874200000000002</v>
      </c>
      <c r="CN7" s="26">
        <v>33.372199999999999</v>
      </c>
      <c r="CO7" s="26">
        <v>34.166800000000002</v>
      </c>
      <c r="CP7" s="26">
        <v>15.799099999999999</v>
      </c>
      <c r="CQ7" s="26">
        <v>32.636200000000002</v>
      </c>
      <c r="CR7" s="26">
        <v>31.9998</v>
      </c>
      <c r="CS7" s="26">
        <v>22.3064</v>
      </c>
      <c r="CT7" s="26">
        <v>29.216691578947369</v>
      </c>
      <c r="CU7" s="17">
        <v>2775.5857000000001</v>
      </c>
    </row>
    <row r="8" spans="1:99" x14ac:dyDescent="0.25">
      <c r="A8" s="24">
        <v>7</v>
      </c>
      <c r="B8" s="26">
        <v>3</v>
      </c>
      <c r="C8" s="26">
        <v>29.1904</v>
      </c>
      <c r="D8" s="26">
        <v>32.342599999999997</v>
      </c>
      <c r="E8" s="26">
        <v>26.6282</v>
      </c>
      <c r="F8" s="26">
        <v>35.708399999999997</v>
      </c>
      <c r="G8" s="26">
        <v>28.9831</v>
      </c>
      <c r="H8" s="26">
        <v>28.071999999999999</v>
      </c>
      <c r="I8" s="26">
        <v>36.5366</v>
      </c>
      <c r="J8" s="26">
        <v>33.295200000000001</v>
      </c>
      <c r="K8" s="26">
        <v>21.146000000000001</v>
      </c>
      <c r="L8" s="26">
        <v>27.792400000000001</v>
      </c>
      <c r="M8" s="26">
        <v>32.126900000000013</v>
      </c>
      <c r="N8" s="26">
        <v>29.254100000000001</v>
      </c>
      <c r="O8" s="26">
        <v>32.747900000000001</v>
      </c>
      <c r="P8" s="26">
        <v>31.067</v>
      </c>
      <c r="Q8" s="26">
        <v>33.271500000000003</v>
      </c>
      <c r="R8" s="26">
        <v>29.028099999999998</v>
      </c>
      <c r="S8" s="26">
        <v>36.235399999999998</v>
      </c>
      <c r="T8" s="26">
        <v>29.2545</v>
      </c>
      <c r="U8" s="26">
        <v>10.5579</v>
      </c>
      <c r="V8" s="26">
        <v>32.4011</v>
      </c>
      <c r="W8" s="26">
        <v>34.313400000000001</v>
      </c>
      <c r="X8" s="26">
        <v>27.066800000000001</v>
      </c>
      <c r="Y8" s="26">
        <v>12.7371</v>
      </c>
      <c r="Z8" s="26">
        <v>30.2117</v>
      </c>
      <c r="AA8" s="26">
        <v>32.4527</v>
      </c>
      <c r="AB8" s="26">
        <v>31.297699999999999</v>
      </c>
      <c r="AC8" s="26">
        <v>30.737200000000001</v>
      </c>
      <c r="AD8" s="26">
        <v>32.796799999999998</v>
      </c>
      <c r="AE8" s="26">
        <v>33.011899999999997</v>
      </c>
      <c r="AF8" s="26">
        <v>26.207999999999998</v>
      </c>
      <c r="AG8" s="26">
        <v>34.360999999999997</v>
      </c>
      <c r="AH8" s="26">
        <v>27.346</v>
      </c>
      <c r="AI8" s="26">
        <v>28.305199999999999</v>
      </c>
      <c r="AJ8" s="26">
        <v>29.736799999999999</v>
      </c>
      <c r="AK8" s="26">
        <v>10</v>
      </c>
      <c r="AL8" s="26">
        <v>36.084899999999998</v>
      </c>
      <c r="AM8" s="26">
        <v>31.8889</v>
      </c>
      <c r="AN8" s="26">
        <v>30.221299999999999</v>
      </c>
      <c r="AO8" s="26">
        <v>10.866300000000001</v>
      </c>
      <c r="AP8" s="26">
        <v>34.305900000000001</v>
      </c>
      <c r="AQ8" s="26">
        <v>31.851900000000001</v>
      </c>
      <c r="AR8" s="26">
        <v>34.759799999999998</v>
      </c>
      <c r="AS8" s="26">
        <v>24.205300000000001</v>
      </c>
      <c r="AT8" s="26">
        <v>23.826899999999998</v>
      </c>
      <c r="AU8" s="26">
        <v>31.891100000000002</v>
      </c>
      <c r="AV8" s="26">
        <v>11.0235</v>
      </c>
      <c r="AW8" s="26">
        <v>27.7502</v>
      </c>
      <c r="AX8" s="26">
        <v>27.7776</v>
      </c>
      <c r="AY8" s="26">
        <v>32.736400000000003</v>
      </c>
      <c r="AZ8" s="26">
        <v>31.1234</v>
      </c>
      <c r="BA8" s="26">
        <v>35.2883</v>
      </c>
      <c r="BB8" s="26">
        <v>30.382200000000001</v>
      </c>
      <c r="BC8" s="26">
        <v>23.6327</v>
      </c>
      <c r="BD8" s="26">
        <v>29.7744</v>
      </c>
      <c r="BE8" s="26">
        <v>22.7987</v>
      </c>
      <c r="BF8" s="26">
        <v>36.386000000000003</v>
      </c>
      <c r="BG8" s="26">
        <v>30.122299999999999</v>
      </c>
      <c r="BH8" s="26">
        <v>37.816600000000001</v>
      </c>
      <c r="BI8" s="26">
        <v>13.7012</v>
      </c>
      <c r="BJ8" s="26">
        <v>23.911000000000001</v>
      </c>
      <c r="BK8" s="26">
        <v>32.664099999999998</v>
      </c>
      <c r="BL8" s="26">
        <v>36.461300000000001</v>
      </c>
      <c r="BM8" s="26">
        <v>10</v>
      </c>
      <c r="BN8" s="26">
        <v>25.899799999999999</v>
      </c>
      <c r="BO8" s="26">
        <v>21.580300000000001</v>
      </c>
      <c r="BP8" s="26">
        <v>10</v>
      </c>
      <c r="BQ8" s="26">
        <v>26.295400000000001</v>
      </c>
      <c r="BR8" s="26">
        <v>10</v>
      </c>
      <c r="BS8" s="26">
        <v>30.647600000000001</v>
      </c>
      <c r="BT8" s="26">
        <v>34.614400000000003</v>
      </c>
      <c r="BU8" s="26">
        <v>23.8504</v>
      </c>
      <c r="BV8" s="26">
        <v>32.131900000000002</v>
      </c>
      <c r="BW8" s="26">
        <v>28.475000000000001</v>
      </c>
      <c r="BX8" s="26">
        <v>23.5121</v>
      </c>
      <c r="BY8" s="26">
        <v>31.773900000000001</v>
      </c>
      <c r="BZ8" s="26">
        <v>12.297700000000001</v>
      </c>
      <c r="CA8" s="26">
        <v>26.745000000000001</v>
      </c>
      <c r="CB8" s="26">
        <v>24.930199999999999</v>
      </c>
      <c r="CC8" s="26">
        <v>25.413900000000002</v>
      </c>
      <c r="CD8" s="26">
        <v>34.157299999999999</v>
      </c>
      <c r="CE8" s="26">
        <v>31.149100000000001</v>
      </c>
      <c r="CF8" s="26">
        <v>22.464099999999998</v>
      </c>
      <c r="CG8" s="26">
        <v>31.616099999999999</v>
      </c>
      <c r="CH8" s="26">
        <v>31.614899999999999</v>
      </c>
      <c r="CI8" s="26">
        <v>36.310699999999997</v>
      </c>
      <c r="CJ8" s="26">
        <v>10</v>
      </c>
      <c r="CK8" s="26">
        <v>18.204999999999998</v>
      </c>
      <c r="CL8" s="26">
        <v>31.023299999999999</v>
      </c>
      <c r="CM8" s="26">
        <v>34.217599999999997</v>
      </c>
      <c r="CN8" s="26">
        <v>32.82</v>
      </c>
      <c r="CO8" s="26">
        <v>32.326099999999997</v>
      </c>
      <c r="CP8" s="26">
        <v>15.3348</v>
      </c>
      <c r="CQ8" s="26">
        <v>31.168700000000001</v>
      </c>
      <c r="CR8" s="26">
        <v>28.8963</v>
      </c>
      <c r="CS8" s="26">
        <v>21.515499999999999</v>
      </c>
      <c r="CT8" s="26">
        <v>27.689062105263162</v>
      </c>
      <c r="CU8" s="17">
        <v>2630.4609</v>
      </c>
    </row>
    <row r="9" spans="1:99" x14ac:dyDescent="0.25">
      <c r="A9" s="24">
        <v>8</v>
      </c>
      <c r="B9" s="26">
        <v>3.5</v>
      </c>
      <c r="C9" s="26">
        <v>28.5002</v>
      </c>
      <c r="D9" s="26">
        <v>29.881399999999999</v>
      </c>
      <c r="E9" s="26">
        <v>25.9255</v>
      </c>
      <c r="F9" s="26">
        <v>34.993099999999998</v>
      </c>
      <c r="G9" s="26">
        <v>27.675599999999999</v>
      </c>
      <c r="H9" s="26">
        <v>26.755099999999999</v>
      </c>
      <c r="I9" s="26">
        <v>35.959400000000002</v>
      </c>
      <c r="J9" s="26">
        <v>31.933</v>
      </c>
      <c r="K9" s="26">
        <v>20.656600000000001</v>
      </c>
      <c r="L9" s="26">
        <v>27.277899999999999</v>
      </c>
      <c r="M9" s="26">
        <v>30.687799999999999</v>
      </c>
      <c r="N9" s="26">
        <v>26.601299999999998</v>
      </c>
      <c r="O9" s="26">
        <v>31.8933</v>
      </c>
      <c r="P9" s="26">
        <v>30.4772</v>
      </c>
      <c r="Q9" s="26">
        <v>32.322099999999999</v>
      </c>
      <c r="R9" s="26">
        <v>27.334700000000002</v>
      </c>
      <c r="S9" s="26">
        <v>35.607999999999997</v>
      </c>
      <c r="T9" s="26">
        <v>28.627099999999999</v>
      </c>
      <c r="U9" s="26">
        <v>10</v>
      </c>
      <c r="V9" s="26">
        <v>30.0075</v>
      </c>
      <c r="W9" s="26">
        <v>33.401000000000003</v>
      </c>
      <c r="X9" s="26">
        <v>26.577400000000001</v>
      </c>
      <c r="Y9" s="26">
        <v>12.0093</v>
      </c>
      <c r="Z9" s="26">
        <v>28.816600000000001</v>
      </c>
      <c r="AA9" s="26">
        <v>31.616800000000001</v>
      </c>
      <c r="AB9" s="26">
        <v>30.198599999999999</v>
      </c>
      <c r="AC9" s="26">
        <v>30.034500000000001</v>
      </c>
      <c r="AD9" s="26">
        <v>30.3246</v>
      </c>
      <c r="AE9" s="26">
        <v>32.359400000000001</v>
      </c>
      <c r="AF9" s="26">
        <v>25.249300000000002</v>
      </c>
      <c r="AG9" s="26">
        <v>33.762900000000002</v>
      </c>
      <c r="AH9" s="26">
        <v>26.249400000000001</v>
      </c>
      <c r="AI9" s="26">
        <v>27.094000000000001</v>
      </c>
      <c r="AJ9" s="26">
        <v>28.278099999999998</v>
      </c>
      <c r="AK9" s="26">
        <v>10</v>
      </c>
      <c r="AL9" s="26">
        <v>35.432299999999998</v>
      </c>
      <c r="AM9" s="26">
        <v>29.957899999999999</v>
      </c>
      <c r="AN9" s="26">
        <v>29.644100000000002</v>
      </c>
      <c r="AO9" s="26">
        <v>10</v>
      </c>
      <c r="AP9" s="26">
        <v>32.789000000000001</v>
      </c>
      <c r="AQ9" s="26">
        <v>31.124099999999999</v>
      </c>
      <c r="AR9" s="26">
        <v>32.594000000000001</v>
      </c>
      <c r="AS9" s="26">
        <v>23.4255</v>
      </c>
      <c r="AT9" s="26">
        <v>22.286100000000001</v>
      </c>
      <c r="AU9" s="26">
        <v>31.2135</v>
      </c>
      <c r="AV9" s="26">
        <v>10.179</v>
      </c>
      <c r="AW9" s="26">
        <v>25.633199999999999</v>
      </c>
      <c r="AX9" s="26">
        <v>27.024699999999999</v>
      </c>
      <c r="AY9" s="26">
        <v>32.121499999999997</v>
      </c>
      <c r="AZ9" s="26">
        <v>29.626100000000001</v>
      </c>
      <c r="BA9" s="26">
        <v>34.861699999999999</v>
      </c>
      <c r="BB9" s="26">
        <v>28.647300000000001</v>
      </c>
      <c r="BC9" s="26">
        <v>21.3276</v>
      </c>
      <c r="BD9" s="26">
        <v>26.702200000000001</v>
      </c>
      <c r="BE9" s="26">
        <v>20.071899999999999</v>
      </c>
      <c r="BF9" s="26">
        <v>35.783700000000003</v>
      </c>
      <c r="BG9" s="26">
        <v>29.532499999999999</v>
      </c>
      <c r="BH9" s="26">
        <v>37.4527</v>
      </c>
      <c r="BI9" s="26">
        <v>10</v>
      </c>
      <c r="BJ9" s="26">
        <v>22.598600000000001</v>
      </c>
      <c r="BK9" s="26">
        <v>30.650600000000001</v>
      </c>
      <c r="BL9" s="26">
        <v>35.871499999999997</v>
      </c>
      <c r="BM9" s="26">
        <v>10</v>
      </c>
      <c r="BN9" s="26">
        <v>23.268699999999999</v>
      </c>
      <c r="BO9" s="26">
        <v>20.990500000000001</v>
      </c>
      <c r="BP9" s="26">
        <v>10</v>
      </c>
      <c r="BQ9" s="26">
        <v>23.534500000000001</v>
      </c>
      <c r="BR9" s="26">
        <v>10</v>
      </c>
      <c r="BS9" s="26">
        <v>29.995100000000001</v>
      </c>
      <c r="BT9" s="26">
        <v>34.137599999999999</v>
      </c>
      <c r="BU9" s="26">
        <v>21.410900000000002</v>
      </c>
      <c r="BV9" s="26">
        <v>31.4543</v>
      </c>
      <c r="BW9" s="26">
        <v>27.142299999999999</v>
      </c>
      <c r="BX9" s="26">
        <v>19.633700000000001</v>
      </c>
      <c r="BY9" s="26">
        <v>31.096299999999999</v>
      </c>
      <c r="BZ9" s="26">
        <v>11.0268</v>
      </c>
      <c r="CA9" s="26">
        <v>26.0138</v>
      </c>
      <c r="CB9" s="26">
        <v>21.983599999999999</v>
      </c>
      <c r="CC9" s="26">
        <v>23.315200000000001</v>
      </c>
      <c r="CD9" s="26">
        <v>33.080599999999997</v>
      </c>
      <c r="CE9" s="26">
        <v>29.182400000000001</v>
      </c>
      <c r="CF9" s="26">
        <v>20.203499999999998</v>
      </c>
      <c r="CG9" s="26">
        <v>31.106400000000001</v>
      </c>
      <c r="CH9" s="26">
        <v>29.119599999999998</v>
      </c>
      <c r="CI9" s="26">
        <v>35.695900000000002</v>
      </c>
      <c r="CJ9" s="26">
        <v>10</v>
      </c>
      <c r="CK9" s="26">
        <v>14.8757</v>
      </c>
      <c r="CL9" s="26">
        <v>28.129000000000001</v>
      </c>
      <c r="CM9" s="26">
        <v>32.693800000000003</v>
      </c>
      <c r="CN9" s="26">
        <v>32.267899999999997</v>
      </c>
      <c r="CO9" s="26">
        <v>31.5639</v>
      </c>
      <c r="CP9" s="26">
        <v>14.8705</v>
      </c>
      <c r="CQ9" s="26">
        <v>29.080500000000001</v>
      </c>
      <c r="CR9" s="26">
        <v>27.264700000000001</v>
      </c>
      <c r="CS9" s="26">
        <v>20.381</v>
      </c>
      <c r="CT9" s="26">
        <v>26.422723157894751</v>
      </c>
      <c r="CU9" s="17">
        <v>2510.1587000000009</v>
      </c>
    </row>
    <row r="10" spans="1:99" x14ac:dyDescent="0.25">
      <c r="A10" s="24">
        <v>9</v>
      </c>
      <c r="B10" s="26">
        <v>4</v>
      </c>
      <c r="C10" s="26">
        <v>26.854199999999999</v>
      </c>
      <c r="D10" s="26">
        <v>29.385000000000002</v>
      </c>
      <c r="E10" s="26">
        <v>23.461500000000001</v>
      </c>
      <c r="F10" s="26">
        <v>34.321100000000001</v>
      </c>
      <c r="G10" s="26">
        <v>24.598299999999998</v>
      </c>
      <c r="H10" s="26">
        <v>24.534400000000002</v>
      </c>
      <c r="I10" s="26">
        <v>35.4253</v>
      </c>
      <c r="J10" s="26">
        <v>31.047599999999999</v>
      </c>
      <c r="K10" s="26">
        <v>18.4633</v>
      </c>
      <c r="L10" s="26">
        <v>26.8066</v>
      </c>
      <c r="M10" s="26">
        <v>29.7072</v>
      </c>
      <c r="N10" s="26">
        <v>25.482399999999998</v>
      </c>
      <c r="O10" s="26">
        <v>30.3521</v>
      </c>
      <c r="P10" s="26">
        <v>28.121700000000001</v>
      </c>
      <c r="Q10" s="26">
        <v>31.2803</v>
      </c>
      <c r="R10" s="26">
        <v>24.1752</v>
      </c>
      <c r="S10" s="26">
        <v>35.023800000000001</v>
      </c>
      <c r="T10" s="26">
        <v>26.202400000000001</v>
      </c>
      <c r="U10" s="26">
        <v>10</v>
      </c>
      <c r="V10" s="26">
        <v>29.536200000000001</v>
      </c>
      <c r="W10" s="26">
        <v>32.829300000000003</v>
      </c>
      <c r="X10" s="26">
        <v>24.723600000000001</v>
      </c>
      <c r="Y10" s="26">
        <v>10</v>
      </c>
      <c r="Z10" s="26">
        <v>27.8432</v>
      </c>
      <c r="AA10" s="26">
        <v>29.372900000000001</v>
      </c>
      <c r="AB10" s="26">
        <v>28.8628</v>
      </c>
      <c r="AC10" s="26">
        <v>26.830100000000002</v>
      </c>
      <c r="AD10" s="26">
        <v>29.7761</v>
      </c>
      <c r="AE10" s="26">
        <v>30.911899999999999</v>
      </c>
      <c r="AF10" s="26">
        <v>21.582100000000001</v>
      </c>
      <c r="AG10" s="26">
        <v>32.036499999999997</v>
      </c>
      <c r="AH10" s="26">
        <v>23.973199999999999</v>
      </c>
      <c r="AI10" s="26">
        <v>25.837299999999999</v>
      </c>
      <c r="AJ10" s="26">
        <v>25.944199999999999</v>
      </c>
      <c r="AK10" s="26">
        <v>10</v>
      </c>
      <c r="AL10" s="26">
        <v>34.801400000000001</v>
      </c>
      <c r="AM10" s="26">
        <v>28.478899999999999</v>
      </c>
      <c r="AN10" s="26">
        <v>27.004899999999999</v>
      </c>
      <c r="AO10" s="26">
        <v>10</v>
      </c>
      <c r="AP10" s="26">
        <v>32.167099999999998</v>
      </c>
      <c r="AQ10" s="26">
        <v>28.618600000000001</v>
      </c>
      <c r="AR10" s="26">
        <v>32.000799999999998</v>
      </c>
      <c r="AS10" s="26">
        <v>19.3596</v>
      </c>
      <c r="AT10" s="26">
        <v>18.922000000000001</v>
      </c>
      <c r="AU10" s="26">
        <v>30.557400000000001</v>
      </c>
      <c r="AV10" s="26">
        <v>10</v>
      </c>
      <c r="AW10" s="26">
        <v>25.0991</v>
      </c>
      <c r="AX10" s="26">
        <v>26.304200000000002</v>
      </c>
      <c r="AY10" s="26">
        <v>30.3476</v>
      </c>
      <c r="AZ10" s="26">
        <v>28.238600000000002</v>
      </c>
      <c r="BA10" s="26">
        <v>32.6145</v>
      </c>
      <c r="BB10" s="26">
        <v>26.468</v>
      </c>
      <c r="BC10" s="26">
        <v>20.598199999999999</v>
      </c>
      <c r="BD10" s="26">
        <v>25.389600000000002</v>
      </c>
      <c r="BE10" s="26">
        <v>19.188199999999998</v>
      </c>
      <c r="BF10" s="26">
        <v>35.224600000000002</v>
      </c>
      <c r="BG10" s="26">
        <v>28.2837</v>
      </c>
      <c r="BH10" s="26">
        <v>37.131900000000002</v>
      </c>
      <c r="BI10" s="26">
        <v>10</v>
      </c>
      <c r="BJ10" s="26">
        <v>19.713200000000001</v>
      </c>
      <c r="BK10" s="26">
        <v>29.505299999999998</v>
      </c>
      <c r="BL10" s="26">
        <v>35.298000000000002</v>
      </c>
      <c r="BM10" s="26">
        <v>10</v>
      </c>
      <c r="BN10" s="26">
        <v>20.586500000000001</v>
      </c>
      <c r="BO10" s="26">
        <v>18.284600000000001</v>
      </c>
      <c r="BP10" s="26">
        <v>10</v>
      </c>
      <c r="BQ10" s="26">
        <v>21.321000000000002</v>
      </c>
      <c r="BR10" s="26">
        <v>10</v>
      </c>
      <c r="BS10" s="26">
        <v>29.3858</v>
      </c>
      <c r="BT10" s="26">
        <v>33.6877</v>
      </c>
      <c r="BU10" s="26">
        <v>20.952100000000002</v>
      </c>
      <c r="BV10" s="26">
        <v>30.020499999999998</v>
      </c>
      <c r="BW10" s="26">
        <v>24.159500000000001</v>
      </c>
      <c r="BX10" s="26">
        <v>17.3735</v>
      </c>
      <c r="BY10" s="26">
        <v>30.456399999999999</v>
      </c>
      <c r="BZ10" s="26">
        <v>10</v>
      </c>
      <c r="CA10" s="26">
        <v>24.275500000000001</v>
      </c>
      <c r="CB10" s="26">
        <v>19.8644</v>
      </c>
      <c r="CC10" s="26">
        <v>20.475100000000001</v>
      </c>
      <c r="CD10" s="26">
        <v>31.944099999999999</v>
      </c>
      <c r="CE10" s="26">
        <v>27.453299999999999</v>
      </c>
      <c r="CF10" s="26">
        <v>18.679300000000001</v>
      </c>
      <c r="CG10" s="26">
        <v>28.999600000000001</v>
      </c>
      <c r="CH10" s="26">
        <v>28.519200000000001</v>
      </c>
      <c r="CI10" s="26">
        <v>35.102600000000002</v>
      </c>
      <c r="CJ10" s="26">
        <v>10</v>
      </c>
      <c r="CK10" s="26">
        <v>14.3111</v>
      </c>
      <c r="CL10" s="26">
        <v>25.8094</v>
      </c>
      <c r="CM10" s="26">
        <v>32.053400000000003</v>
      </c>
      <c r="CN10" s="26">
        <v>31.731999999999999</v>
      </c>
      <c r="CO10" s="26">
        <v>30.9742</v>
      </c>
      <c r="CP10" s="26">
        <v>11.8965</v>
      </c>
      <c r="CQ10" s="26">
        <v>28.483699999999999</v>
      </c>
      <c r="CR10" s="26">
        <v>26.694800000000001</v>
      </c>
      <c r="CS10" s="26">
        <v>16.7529</v>
      </c>
      <c r="CT10" s="26">
        <v>25.01964105263157</v>
      </c>
      <c r="CU10" s="17">
        <v>2376.8658999999989</v>
      </c>
    </row>
    <row r="11" spans="1:99" x14ac:dyDescent="0.25">
      <c r="A11" s="24">
        <v>10</v>
      </c>
      <c r="B11" s="26">
        <v>4.5</v>
      </c>
      <c r="C11" s="26">
        <v>25.643999999999998</v>
      </c>
      <c r="D11" s="26">
        <v>27.355599999999999</v>
      </c>
      <c r="E11" s="26">
        <v>21.216899999999999</v>
      </c>
      <c r="F11" s="26">
        <v>34.229900000000001</v>
      </c>
      <c r="G11" s="26">
        <v>24.1419</v>
      </c>
      <c r="H11" s="26">
        <v>24.1599</v>
      </c>
      <c r="I11" s="26">
        <v>35.467500000000001</v>
      </c>
      <c r="J11" s="26">
        <v>29.9313</v>
      </c>
      <c r="K11" s="26">
        <v>17.171199999999999</v>
      </c>
      <c r="L11" s="26">
        <v>25.7394</v>
      </c>
      <c r="M11" s="26">
        <v>28.476800000000001</v>
      </c>
      <c r="N11" s="26">
        <v>23.3748</v>
      </c>
      <c r="O11" s="26">
        <v>29.986499999999999</v>
      </c>
      <c r="P11" s="26">
        <v>28</v>
      </c>
      <c r="Q11" s="26">
        <v>30.238900000000001</v>
      </c>
      <c r="R11" s="26">
        <v>23.869900000000001</v>
      </c>
      <c r="S11" s="26">
        <v>35.020400000000002</v>
      </c>
      <c r="T11" s="26">
        <v>24.215399999999999</v>
      </c>
      <c r="U11" s="26">
        <v>10</v>
      </c>
      <c r="V11" s="26">
        <v>28.0229</v>
      </c>
      <c r="W11" s="26">
        <v>32.837600000000002</v>
      </c>
      <c r="X11" s="26">
        <v>22.016100000000002</v>
      </c>
      <c r="Y11" s="26">
        <v>10</v>
      </c>
      <c r="Z11" s="26">
        <v>25.734500000000001</v>
      </c>
      <c r="AA11" s="26">
        <v>28.929300000000001</v>
      </c>
      <c r="AB11" s="26">
        <v>27.407599999999999</v>
      </c>
      <c r="AC11" s="26">
        <v>26.439399999999999</v>
      </c>
      <c r="AD11" s="26">
        <v>28.578399999999998</v>
      </c>
      <c r="AE11" s="26">
        <v>30.185099999999998</v>
      </c>
      <c r="AF11" s="26">
        <v>21.1572</v>
      </c>
      <c r="AG11" s="26">
        <v>32.191600000000001</v>
      </c>
      <c r="AH11" s="26">
        <v>23.542200000000001</v>
      </c>
      <c r="AI11" s="26">
        <v>23.946100000000001</v>
      </c>
      <c r="AJ11" s="26">
        <v>25.952400000000001</v>
      </c>
      <c r="AK11" s="26">
        <v>10</v>
      </c>
      <c r="AL11" s="26">
        <v>34.460900000000002</v>
      </c>
      <c r="AM11" s="26">
        <v>28.4984</v>
      </c>
      <c r="AN11" s="26">
        <v>27.0471</v>
      </c>
      <c r="AO11" s="26">
        <v>10</v>
      </c>
      <c r="AP11" s="26">
        <v>32.126100000000001</v>
      </c>
      <c r="AQ11" s="26">
        <v>28.194900000000001</v>
      </c>
      <c r="AR11" s="26">
        <v>31.697900000000001</v>
      </c>
      <c r="AS11" s="26">
        <v>17.910699999999999</v>
      </c>
      <c r="AT11" s="26">
        <v>17.052199999999999</v>
      </c>
      <c r="AU11" s="26">
        <v>29.5016</v>
      </c>
      <c r="AV11" s="26">
        <v>10</v>
      </c>
      <c r="AW11" s="26">
        <v>21.784400000000002</v>
      </c>
      <c r="AX11" s="26">
        <v>26.019300000000001</v>
      </c>
      <c r="AY11" s="26">
        <v>30.200800000000001</v>
      </c>
      <c r="AZ11" s="26">
        <v>28.101600000000001</v>
      </c>
      <c r="BA11" s="26">
        <v>32.4405</v>
      </c>
      <c r="BB11" s="26">
        <v>25.0852</v>
      </c>
      <c r="BC11" s="26">
        <v>19.428000000000001</v>
      </c>
      <c r="BD11" s="26">
        <v>22.945599999999999</v>
      </c>
      <c r="BE11" s="26">
        <v>16.3444</v>
      </c>
      <c r="BF11" s="26">
        <v>35.244100000000003</v>
      </c>
      <c r="BG11" s="26">
        <v>26.3843</v>
      </c>
      <c r="BH11" s="26">
        <v>37.366100000000003</v>
      </c>
      <c r="BI11" s="26">
        <v>10</v>
      </c>
      <c r="BJ11" s="26">
        <v>19.535799999999998</v>
      </c>
      <c r="BK11" s="26">
        <v>28.2545</v>
      </c>
      <c r="BL11" s="26">
        <v>34.9422</v>
      </c>
      <c r="BM11" s="26">
        <v>10.019600000000001</v>
      </c>
      <c r="BN11" s="26">
        <v>19.6937</v>
      </c>
      <c r="BO11" s="26">
        <v>18.084900000000001</v>
      </c>
      <c r="BP11" s="26">
        <v>10</v>
      </c>
      <c r="BQ11" s="26">
        <v>19.020900000000001</v>
      </c>
      <c r="BR11" s="26">
        <v>10</v>
      </c>
      <c r="BS11" s="26">
        <v>28.480399999999999</v>
      </c>
      <c r="BT11" s="26">
        <v>32.338700000000003</v>
      </c>
      <c r="BU11" s="26">
        <v>18.0062</v>
      </c>
      <c r="BV11" s="26">
        <v>28.531500000000001</v>
      </c>
      <c r="BW11" s="26">
        <v>22.222899999999999</v>
      </c>
      <c r="BX11" s="26">
        <v>15.8438</v>
      </c>
      <c r="BY11" s="26">
        <v>29.2166</v>
      </c>
      <c r="BZ11" s="26">
        <v>10</v>
      </c>
      <c r="CA11" s="26">
        <v>23.0456</v>
      </c>
      <c r="CB11" s="26">
        <v>17.5945</v>
      </c>
      <c r="CC11" s="26">
        <v>18.330500000000001</v>
      </c>
      <c r="CD11" s="26">
        <v>31.903199999999998</v>
      </c>
      <c r="CE11" s="26">
        <v>27.140699999999999</v>
      </c>
      <c r="CF11" s="26">
        <v>16.570599999999999</v>
      </c>
      <c r="CG11" s="26">
        <v>28.332599999999999</v>
      </c>
      <c r="CH11" s="26">
        <v>28.2818</v>
      </c>
      <c r="CI11" s="26">
        <v>34.799700000000001</v>
      </c>
      <c r="CJ11" s="26">
        <v>10</v>
      </c>
      <c r="CK11" s="26">
        <v>12.2522</v>
      </c>
      <c r="CL11" s="26">
        <v>24.378599999999999</v>
      </c>
      <c r="CM11" s="26">
        <v>30.7636</v>
      </c>
      <c r="CN11" s="26">
        <v>31.413900000000002</v>
      </c>
      <c r="CO11" s="26">
        <v>29.544899999999998</v>
      </c>
      <c r="CP11" s="26">
        <v>11.1866</v>
      </c>
      <c r="CQ11" s="26">
        <v>28.4678</v>
      </c>
      <c r="CR11" s="26">
        <v>23.201499999999999</v>
      </c>
      <c r="CS11" s="26">
        <v>16.525400000000001</v>
      </c>
      <c r="CT11" s="26">
        <v>24.115159999999999</v>
      </c>
      <c r="CU11" s="17">
        <v>2290.9402</v>
      </c>
    </row>
    <row r="12" spans="1:99" x14ac:dyDescent="0.25">
      <c r="A12" s="24">
        <v>11</v>
      </c>
      <c r="B12" s="26">
        <v>5</v>
      </c>
      <c r="C12" s="26">
        <v>26.992799999999999</v>
      </c>
      <c r="D12" s="26">
        <v>29.496700000000001</v>
      </c>
      <c r="E12" s="26">
        <v>21.8978</v>
      </c>
      <c r="F12" s="26">
        <v>36.212800000000001</v>
      </c>
      <c r="G12" s="26">
        <v>25.024899999999999</v>
      </c>
      <c r="H12" s="26">
        <v>22.813400000000001</v>
      </c>
      <c r="I12" s="26">
        <v>37.5747</v>
      </c>
      <c r="J12" s="26">
        <v>31.275300000000001</v>
      </c>
      <c r="K12" s="26">
        <v>19.069199999999999</v>
      </c>
      <c r="L12" s="26">
        <v>27.902999999999999</v>
      </c>
      <c r="M12" s="26">
        <v>30.493600000000001</v>
      </c>
      <c r="N12" s="26">
        <v>24.418199999999999</v>
      </c>
      <c r="O12" s="26">
        <v>29.706</v>
      </c>
      <c r="P12" s="26">
        <v>29.1449</v>
      </c>
      <c r="Q12" s="26">
        <v>30.614100000000001</v>
      </c>
      <c r="R12" s="26">
        <v>23.7392</v>
      </c>
      <c r="S12" s="26">
        <v>37.0824</v>
      </c>
      <c r="T12" s="26">
        <v>24.3963</v>
      </c>
      <c r="U12" s="26">
        <v>11.994199999999999</v>
      </c>
      <c r="V12" s="26">
        <v>29.956</v>
      </c>
      <c r="W12" s="26">
        <v>34.2224</v>
      </c>
      <c r="X12" s="26">
        <v>23.0428</v>
      </c>
      <c r="Y12" s="26">
        <v>11.6433</v>
      </c>
      <c r="Z12" s="26">
        <v>25.922899999999998</v>
      </c>
      <c r="AA12" s="26">
        <v>27.7636</v>
      </c>
      <c r="AB12" s="26">
        <v>27.782699999999998</v>
      </c>
      <c r="AC12" s="26">
        <v>27.1203</v>
      </c>
      <c r="AD12" s="26">
        <v>28.067699999999999</v>
      </c>
      <c r="AE12" s="26">
        <v>31.847300000000001</v>
      </c>
      <c r="AF12" s="26">
        <v>20.2425</v>
      </c>
      <c r="AG12" s="26">
        <v>33.093800000000002</v>
      </c>
      <c r="AH12" s="26">
        <v>21.982500000000002</v>
      </c>
      <c r="AI12" s="26">
        <v>25.985499999999998</v>
      </c>
      <c r="AJ12" s="26">
        <v>28.025700000000001</v>
      </c>
      <c r="AK12" s="26">
        <v>10</v>
      </c>
      <c r="AL12" s="26">
        <v>35.186999999999998</v>
      </c>
      <c r="AM12" s="26">
        <v>28.559200000000001</v>
      </c>
      <c r="AN12" s="26">
        <v>27.862500000000001</v>
      </c>
      <c r="AO12" s="26">
        <v>12.0959</v>
      </c>
      <c r="AP12" s="26">
        <v>33.728299999999997</v>
      </c>
      <c r="AQ12" s="26">
        <v>28.173999999999999</v>
      </c>
      <c r="AR12" s="26">
        <v>31.224</v>
      </c>
      <c r="AS12" s="26">
        <v>17.758500000000002</v>
      </c>
      <c r="AT12" s="26">
        <v>15.813800000000001</v>
      </c>
      <c r="AU12" s="26">
        <v>29.5837</v>
      </c>
      <c r="AV12" s="26">
        <v>11.8667</v>
      </c>
      <c r="AW12" s="26">
        <v>23.270700000000001</v>
      </c>
      <c r="AX12" s="26">
        <v>27.311699999999998</v>
      </c>
      <c r="AY12" s="26">
        <v>30.545100000000001</v>
      </c>
      <c r="AZ12" s="26">
        <v>27.2818</v>
      </c>
      <c r="BA12" s="26">
        <v>33.826700000000002</v>
      </c>
      <c r="BB12" s="26">
        <v>26.383400000000002</v>
      </c>
      <c r="BC12" s="26">
        <v>20.8996</v>
      </c>
      <c r="BD12" s="26">
        <v>23.954599999999999</v>
      </c>
      <c r="BE12" s="26">
        <v>17.9129</v>
      </c>
      <c r="BF12" s="26">
        <v>37.328699999999998</v>
      </c>
      <c r="BG12" s="26">
        <v>28.151800000000001</v>
      </c>
      <c r="BH12" s="26">
        <v>39.665299999999988</v>
      </c>
      <c r="BI12" s="26">
        <v>11.099600000000001</v>
      </c>
      <c r="BJ12" s="26">
        <v>18.556799999999999</v>
      </c>
      <c r="BK12" s="26">
        <v>29.609000000000002</v>
      </c>
      <c r="BL12" s="26">
        <v>35.3964</v>
      </c>
      <c r="BM12" s="26">
        <v>10.8977</v>
      </c>
      <c r="BN12" s="26">
        <v>18.795500000000001</v>
      </c>
      <c r="BO12" s="26">
        <v>19.195799999999998</v>
      </c>
      <c r="BP12" s="26">
        <v>11.1568</v>
      </c>
      <c r="BQ12" s="26">
        <v>20.7546</v>
      </c>
      <c r="BR12" s="26">
        <v>12.22</v>
      </c>
      <c r="BS12" s="26">
        <v>29.572600000000001</v>
      </c>
      <c r="BT12" s="26">
        <v>33.551199999999987</v>
      </c>
      <c r="BU12" s="26">
        <v>20.181100000000001</v>
      </c>
      <c r="BV12" s="26">
        <v>29.234999999999999</v>
      </c>
      <c r="BW12" s="26">
        <v>22.9941</v>
      </c>
      <c r="BX12" s="26">
        <v>16.009499999999999</v>
      </c>
      <c r="BY12" s="26">
        <v>30.176100000000002</v>
      </c>
      <c r="BZ12" s="26">
        <v>10</v>
      </c>
      <c r="CA12" s="26">
        <v>24.824400000000001</v>
      </c>
      <c r="CB12" s="26">
        <v>17.031300000000002</v>
      </c>
      <c r="CC12" s="26">
        <v>19.588200000000001</v>
      </c>
      <c r="CD12" s="26">
        <v>33.097700000000003</v>
      </c>
      <c r="CE12" s="26">
        <v>26.2607</v>
      </c>
      <c r="CF12" s="26">
        <v>16.405200000000001</v>
      </c>
      <c r="CG12" s="26">
        <v>30.269600000000001</v>
      </c>
      <c r="CH12" s="26">
        <v>27.7089</v>
      </c>
      <c r="CI12" s="26">
        <v>35.559699999999999</v>
      </c>
      <c r="CJ12" s="26">
        <v>10.3992</v>
      </c>
      <c r="CK12" s="26">
        <v>13.3565</v>
      </c>
      <c r="CL12" s="26">
        <v>25.659500000000001</v>
      </c>
      <c r="CM12" s="26">
        <v>31.206499999999998</v>
      </c>
      <c r="CN12" s="26">
        <v>30.549900000000001</v>
      </c>
      <c r="CO12" s="26">
        <v>31.278500000000001</v>
      </c>
      <c r="CP12" s="26">
        <v>10.576499999999999</v>
      </c>
      <c r="CQ12" s="26">
        <v>30.5185</v>
      </c>
      <c r="CR12" s="26">
        <v>24.475000000000001</v>
      </c>
      <c r="CS12" s="26">
        <v>15.5077</v>
      </c>
      <c r="CT12" s="26">
        <v>24.932733684210511</v>
      </c>
      <c r="CU12" s="17">
        <v>2368.6096999999991</v>
      </c>
    </row>
    <row r="13" spans="1:99" x14ac:dyDescent="0.25">
      <c r="A13" s="24">
        <v>12</v>
      </c>
      <c r="B13" s="26">
        <v>5.5</v>
      </c>
      <c r="C13" s="26">
        <v>28.904900000000001</v>
      </c>
      <c r="D13" s="26">
        <v>33.183700000000002</v>
      </c>
      <c r="E13" s="26">
        <v>21.4941</v>
      </c>
      <c r="F13" s="26">
        <v>40.779499999999999</v>
      </c>
      <c r="G13" s="26">
        <v>27.241099999999999</v>
      </c>
      <c r="H13" s="26">
        <v>26.235600000000002</v>
      </c>
      <c r="I13" s="26">
        <v>42.265500000000003</v>
      </c>
      <c r="J13" s="26">
        <v>34.457099999999997</v>
      </c>
      <c r="K13" s="26">
        <v>22.352799999999998</v>
      </c>
      <c r="L13" s="26">
        <v>32.650399999999998</v>
      </c>
      <c r="M13" s="26">
        <v>33.723399999999998</v>
      </c>
      <c r="N13" s="26">
        <v>28.6677</v>
      </c>
      <c r="O13" s="26">
        <v>31.7013</v>
      </c>
      <c r="P13" s="26">
        <v>31.197800000000001</v>
      </c>
      <c r="Q13" s="26">
        <v>31.0777</v>
      </c>
      <c r="R13" s="26">
        <v>27.5929</v>
      </c>
      <c r="S13" s="26">
        <v>41.728099999999998</v>
      </c>
      <c r="T13" s="26">
        <v>23.803799999999999</v>
      </c>
      <c r="U13" s="26">
        <v>16.572199999999999</v>
      </c>
      <c r="V13" s="26">
        <v>34.703299999999999</v>
      </c>
      <c r="W13" s="26">
        <v>38.879399999999997</v>
      </c>
      <c r="X13" s="26">
        <v>25.1692</v>
      </c>
      <c r="Y13" s="26">
        <v>13.755100000000001</v>
      </c>
      <c r="Z13" s="26">
        <v>28.648599999999998</v>
      </c>
      <c r="AA13" s="26">
        <v>28.9651</v>
      </c>
      <c r="AB13" s="26">
        <v>29.1267</v>
      </c>
      <c r="AC13" s="26">
        <v>27.854299999999999</v>
      </c>
      <c r="AD13" s="26">
        <v>29.513400000000001</v>
      </c>
      <c r="AE13" s="26">
        <v>35.464700000000001</v>
      </c>
      <c r="AF13" s="26">
        <v>21.6526</v>
      </c>
      <c r="AG13" s="26">
        <v>37.8977</v>
      </c>
      <c r="AH13" s="26">
        <v>22.079799999999999</v>
      </c>
      <c r="AI13" s="26">
        <v>29.115600000000001</v>
      </c>
      <c r="AJ13" s="26">
        <v>30.3371</v>
      </c>
      <c r="AK13" s="26">
        <v>13.110099999999999</v>
      </c>
      <c r="AL13" s="26">
        <v>37.204900000000002</v>
      </c>
      <c r="AM13" s="26">
        <v>33.227499999999999</v>
      </c>
      <c r="AN13" s="26">
        <v>31.950500000000002</v>
      </c>
      <c r="AO13" s="26">
        <v>15.7971</v>
      </c>
      <c r="AP13" s="26">
        <v>37.999300000000012</v>
      </c>
      <c r="AQ13" s="26">
        <v>30.0793</v>
      </c>
      <c r="AR13" s="26">
        <v>33.066400000000002</v>
      </c>
      <c r="AS13" s="26">
        <v>21.219799999999999</v>
      </c>
      <c r="AT13" s="26">
        <v>18.362400000000001</v>
      </c>
      <c r="AU13" s="26">
        <v>31.5791</v>
      </c>
      <c r="AV13" s="26">
        <v>16.580100000000002</v>
      </c>
      <c r="AW13" s="26">
        <v>27.580100000000002</v>
      </c>
      <c r="AX13" s="26">
        <v>30.541899999999998</v>
      </c>
      <c r="AY13" s="26">
        <v>33.899500000000003</v>
      </c>
      <c r="AZ13" s="26">
        <v>29.2652</v>
      </c>
      <c r="BA13" s="26">
        <v>36.593299999999999</v>
      </c>
      <c r="BB13" s="26">
        <v>28.4801</v>
      </c>
      <c r="BC13" s="26">
        <v>25.567900000000002</v>
      </c>
      <c r="BD13" s="26">
        <v>27.664000000000001</v>
      </c>
      <c r="BE13" s="26">
        <v>21.941199999999998</v>
      </c>
      <c r="BF13" s="26">
        <v>41.997</v>
      </c>
      <c r="BG13" s="26">
        <v>32.180100000000003</v>
      </c>
      <c r="BH13" s="26">
        <v>44.548100000000012</v>
      </c>
      <c r="BI13" s="26">
        <v>12.098000000000001</v>
      </c>
      <c r="BJ13" s="26">
        <v>19.558900000000001</v>
      </c>
      <c r="BK13" s="26">
        <v>32.378100000000003</v>
      </c>
      <c r="BL13" s="26">
        <v>36.819499999999998</v>
      </c>
      <c r="BM13" s="26">
        <v>15.2111</v>
      </c>
      <c r="BN13" s="26">
        <v>20.448799999999999</v>
      </c>
      <c r="BO13" s="26">
        <v>20.869399999999999</v>
      </c>
      <c r="BP13" s="26">
        <v>15.7461</v>
      </c>
      <c r="BQ13" s="26">
        <v>21.1282</v>
      </c>
      <c r="BR13" s="26">
        <v>16.4696</v>
      </c>
      <c r="BS13" s="26">
        <v>34.195700000000002</v>
      </c>
      <c r="BT13" s="26">
        <v>36.378500000000003</v>
      </c>
      <c r="BU13" s="26">
        <v>24.939699999999998</v>
      </c>
      <c r="BV13" s="26">
        <v>30.997</v>
      </c>
      <c r="BW13" s="26">
        <v>22.599399999999999</v>
      </c>
      <c r="BX13" s="26">
        <v>17.220800000000001</v>
      </c>
      <c r="BY13" s="26">
        <v>33.6233</v>
      </c>
      <c r="BZ13" s="26">
        <v>11.5299</v>
      </c>
      <c r="CA13" s="26">
        <v>27.616599999999998</v>
      </c>
      <c r="CB13" s="26">
        <v>17.091200000000001</v>
      </c>
      <c r="CC13" s="26">
        <v>21.837800000000001</v>
      </c>
      <c r="CD13" s="26">
        <v>37.709499999999998</v>
      </c>
      <c r="CE13" s="26">
        <v>28.600300000000001</v>
      </c>
      <c r="CF13" s="26">
        <v>17.404</v>
      </c>
      <c r="CG13" s="26">
        <v>33.820599999999999</v>
      </c>
      <c r="CH13" s="26">
        <v>30.046700000000001</v>
      </c>
      <c r="CI13" s="26">
        <v>37.611499999999999</v>
      </c>
      <c r="CJ13" s="26">
        <v>12.4171</v>
      </c>
      <c r="CK13" s="26">
        <v>17.3735</v>
      </c>
      <c r="CL13" s="26">
        <v>27.855599999999999</v>
      </c>
      <c r="CM13" s="26">
        <v>31.74</v>
      </c>
      <c r="CN13" s="26">
        <v>31.532299999999999</v>
      </c>
      <c r="CO13" s="26">
        <v>35.2729</v>
      </c>
      <c r="CP13" s="26">
        <v>10.5176</v>
      </c>
      <c r="CQ13" s="26">
        <v>33.104599999999998</v>
      </c>
      <c r="CR13" s="26">
        <v>27.544899999999998</v>
      </c>
      <c r="CS13" s="26">
        <v>16.5641</v>
      </c>
      <c r="CT13" s="26">
        <v>27.653683157894729</v>
      </c>
      <c r="CU13" s="17">
        <v>2627.0998999999988</v>
      </c>
    </row>
    <row r="14" spans="1:99" x14ac:dyDescent="0.25">
      <c r="A14" s="24">
        <v>13</v>
      </c>
      <c r="B14" s="26">
        <v>6</v>
      </c>
      <c r="C14" s="26">
        <v>34.163400000000003</v>
      </c>
      <c r="D14" s="26">
        <v>40.211799999999997</v>
      </c>
      <c r="E14" s="26">
        <v>24.113800000000001</v>
      </c>
      <c r="F14" s="26">
        <v>48.514299999999999</v>
      </c>
      <c r="G14" s="26">
        <v>34.118899999999996</v>
      </c>
      <c r="H14" s="26">
        <v>29.758900000000001</v>
      </c>
      <c r="I14" s="26">
        <v>50.124599999999987</v>
      </c>
      <c r="J14" s="26">
        <v>39.414999999999999</v>
      </c>
      <c r="K14" s="26">
        <v>29.081700000000001</v>
      </c>
      <c r="L14" s="26">
        <v>40.4146</v>
      </c>
      <c r="M14" s="26">
        <v>41.492100000000001</v>
      </c>
      <c r="N14" s="26">
        <v>33.993099999999998</v>
      </c>
      <c r="O14" s="26">
        <v>35.280700000000003</v>
      </c>
      <c r="P14" s="26">
        <v>36.950899999999997</v>
      </c>
      <c r="Q14" s="26">
        <v>33.6098</v>
      </c>
      <c r="R14" s="26">
        <v>35.440600000000003</v>
      </c>
      <c r="S14" s="26">
        <v>49.542000000000002</v>
      </c>
      <c r="T14" s="26">
        <v>27.347300000000001</v>
      </c>
      <c r="U14" s="26">
        <v>24.318300000000001</v>
      </c>
      <c r="V14" s="26">
        <v>42.6188</v>
      </c>
      <c r="W14" s="26">
        <v>46.704599999999999</v>
      </c>
      <c r="X14" s="26">
        <v>31.012699999999999</v>
      </c>
      <c r="Y14" s="26">
        <v>20.4313</v>
      </c>
      <c r="Z14" s="26">
        <v>31.200900000000001</v>
      </c>
      <c r="AA14" s="26">
        <v>31.497199999999999</v>
      </c>
      <c r="AB14" s="26">
        <v>31.658799999999999</v>
      </c>
      <c r="AC14" s="26">
        <v>30.378900000000002</v>
      </c>
      <c r="AD14" s="26">
        <v>30.430299999999999</v>
      </c>
      <c r="AE14" s="26">
        <v>43.256</v>
      </c>
      <c r="AF14" s="26">
        <v>26.026299999999999</v>
      </c>
      <c r="AG14" s="26">
        <v>45.078899999999997</v>
      </c>
      <c r="AH14" s="26">
        <v>23.728100000000001</v>
      </c>
      <c r="AI14" s="26">
        <v>35.637799999999999</v>
      </c>
      <c r="AJ14" s="26">
        <v>38.162300000000002</v>
      </c>
      <c r="AK14" s="26">
        <v>17.743200000000002</v>
      </c>
      <c r="AL14" s="26">
        <v>40.806899999999999</v>
      </c>
      <c r="AM14" s="26">
        <v>39.040200000000013</v>
      </c>
      <c r="AN14" s="26">
        <v>39.8095</v>
      </c>
      <c r="AO14" s="26">
        <v>21.417100000000001</v>
      </c>
      <c r="AP14" s="26">
        <v>44.4617</v>
      </c>
      <c r="AQ14" s="26">
        <v>34.660899999999998</v>
      </c>
      <c r="AR14" s="26">
        <v>36.702300000000001</v>
      </c>
      <c r="AS14" s="26">
        <v>27.134</v>
      </c>
      <c r="AT14" s="26">
        <v>24.002600000000001</v>
      </c>
      <c r="AU14" s="26">
        <v>33.915900000000001</v>
      </c>
      <c r="AV14" s="26">
        <v>22.6203</v>
      </c>
      <c r="AW14" s="26">
        <v>32.636000000000003</v>
      </c>
      <c r="AX14" s="26">
        <v>36.148200000000003</v>
      </c>
      <c r="AY14" s="26">
        <v>36.868000000000002</v>
      </c>
      <c r="AZ14" s="26">
        <v>32.9955</v>
      </c>
      <c r="BA14" s="26">
        <v>43.540599999999998</v>
      </c>
      <c r="BB14" s="26">
        <v>32.676200000000001</v>
      </c>
      <c r="BC14" s="26">
        <v>32.868000000000002</v>
      </c>
      <c r="BD14" s="26">
        <v>32.212699999999998</v>
      </c>
      <c r="BE14" s="26">
        <v>26.918199999999999</v>
      </c>
      <c r="BF14" s="26">
        <v>49.833500000000001</v>
      </c>
      <c r="BG14" s="26">
        <v>37.969299999999997</v>
      </c>
      <c r="BH14" s="26">
        <v>52.599200000000003</v>
      </c>
      <c r="BI14" s="26">
        <v>16.7925</v>
      </c>
      <c r="BJ14" s="26">
        <v>23.3078</v>
      </c>
      <c r="BK14" s="26">
        <v>36.928699999999999</v>
      </c>
      <c r="BL14" s="26">
        <v>39.430599999999998</v>
      </c>
      <c r="BM14" s="26">
        <v>23.047499999999999</v>
      </c>
      <c r="BN14" s="26">
        <v>25.549600000000002</v>
      </c>
      <c r="BO14" s="26">
        <v>24.698399999999999</v>
      </c>
      <c r="BP14" s="26">
        <v>22.654800000000002</v>
      </c>
      <c r="BQ14" s="26">
        <v>27.732299999999999</v>
      </c>
      <c r="BR14" s="26">
        <v>23.412299999999998</v>
      </c>
      <c r="BS14" s="26">
        <v>41.987000000000002</v>
      </c>
      <c r="BT14" s="26">
        <v>40.049900000000001</v>
      </c>
      <c r="BU14" s="26">
        <v>32.697000000000003</v>
      </c>
      <c r="BV14" s="26">
        <v>33.098599999999998</v>
      </c>
      <c r="BW14" s="26">
        <v>22.718699999999998</v>
      </c>
      <c r="BX14" s="26">
        <v>21.677700000000002</v>
      </c>
      <c r="BY14" s="26">
        <v>39.460500000000003</v>
      </c>
      <c r="BZ14" s="26">
        <v>16.164899999999999</v>
      </c>
      <c r="CA14" s="26">
        <v>32.131900000000002</v>
      </c>
      <c r="CB14" s="26">
        <v>21.651399999999999</v>
      </c>
      <c r="CC14" s="26">
        <v>28.576899999999998</v>
      </c>
      <c r="CD14" s="26">
        <v>44.655999999999999</v>
      </c>
      <c r="CE14" s="26">
        <v>33.204500000000003</v>
      </c>
      <c r="CF14" s="26">
        <v>19.415299999999998</v>
      </c>
      <c r="CG14" s="26">
        <v>39.5762</v>
      </c>
      <c r="CH14" s="26">
        <v>34.630200000000002</v>
      </c>
      <c r="CI14" s="26">
        <v>41.065199999999997</v>
      </c>
      <c r="CJ14" s="26">
        <v>13.2119</v>
      </c>
      <c r="CK14" s="26">
        <v>23.159600000000001</v>
      </c>
      <c r="CL14" s="26">
        <v>32.558599999999998</v>
      </c>
      <c r="CM14" s="26">
        <v>34.3399</v>
      </c>
      <c r="CN14" s="26">
        <v>34.177300000000002</v>
      </c>
      <c r="CO14" s="26">
        <v>42.039499999999997</v>
      </c>
      <c r="CP14" s="26">
        <v>13.2417</v>
      </c>
      <c r="CQ14" s="26">
        <v>40.907200000000003</v>
      </c>
      <c r="CR14" s="26">
        <v>30.5594</v>
      </c>
      <c r="CS14" s="26">
        <v>19.075700000000001</v>
      </c>
      <c r="CT14" s="26">
        <v>32.788230526315793</v>
      </c>
      <c r="CU14" s="17">
        <v>3114.8818999999999</v>
      </c>
    </row>
    <row r="15" spans="1:99" x14ac:dyDescent="0.25">
      <c r="A15" s="24">
        <v>14</v>
      </c>
      <c r="B15" s="26">
        <v>6.5</v>
      </c>
      <c r="C15" s="26">
        <v>42.418700000000001</v>
      </c>
      <c r="D15" s="26">
        <v>51.475000000000001</v>
      </c>
      <c r="E15" s="26">
        <v>28.418299999999999</v>
      </c>
      <c r="F15" s="26">
        <v>59.705800000000004</v>
      </c>
      <c r="G15" s="26">
        <v>44.557400000000001</v>
      </c>
      <c r="H15" s="26">
        <v>37.4557</v>
      </c>
      <c r="I15" s="26">
        <v>61.440300000000001</v>
      </c>
      <c r="J15" s="26">
        <v>47.715400000000002</v>
      </c>
      <c r="K15" s="26">
        <v>38.765500000000003</v>
      </c>
      <c r="L15" s="26">
        <v>50.878999999999998</v>
      </c>
      <c r="M15" s="26">
        <v>52.5929</v>
      </c>
      <c r="N15" s="26">
        <v>45.2072</v>
      </c>
      <c r="O15" s="26">
        <v>39.898099999999999</v>
      </c>
      <c r="P15" s="26">
        <v>43.7517</v>
      </c>
      <c r="Q15" s="26">
        <v>37.438099999999999</v>
      </c>
      <c r="R15" s="26">
        <v>44.928199999999997</v>
      </c>
      <c r="S15" s="26">
        <v>60.812600000000003</v>
      </c>
      <c r="T15" s="26">
        <v>30.9968</v>
      </c>
      <c r="U15" s="26">
        <v>35.521099999999997</v>
      </c>
      <c r="V15" s="26">
        <v>52.761000000000003</v>
      </c>
      <c r="W15" s="26">
        <v>57.871399999999987</v>
      </c>
      <c r="X15" s="26">
        <v>38.191499999999998</v>
      </c>
      <c r="Y15" s="26">
        <v>28.584199999999999</v>
      </c>
      <c r="Z15" s="26">
        <v>37.408200000000001</v>
      </c>
      <c r="AA15" s="26">
        <v>33.758800000000001</v>
      </c>
      <c r="AB15" s="26">
        <v>33.969700000000003</v>
      </c>
      <c r="AC15" s="26">
        <v>35.664000000000001</v>
      </c>
      <c r="AD15" s="26">
        <v>34.360199999999999</v>
      </c>
      <c r="AE15" s="26">
        <v>52.764099999999999</v>
      </c>
      <c r="AF15" s="26">
        <v>30.283999999999999</v>
      </c>
      <c r="AG15" s="26">
        <v>55.980400000000003</v>
      </c>
      <c r="AH15" s="26">
        <v>25.4146</v>
      </c>
      <c r="AI15" s="26">
        <v>46.087400000000002</v>
      </c>
      <c r="AJ15" s="26">
        <v>48.218499999999999</v>
      </c>
      <c r="AK15" s="26">
        <v>24.128399999999999</v>
      </c>
      <c r="AL15" s="26">
        <v>46.1372</v>
      </c>
      <c r="AM15" s="26">
        <v>50.333300000000001</v>
      </c>
      <c r="AN15" s="26">
        <v>51.125200000000007</v>
      </c>
      <c r="AO15" s="26">
        <v>32.358499999999999</v>
      </c>
      <c r="AP15" s="26">
        <v>52.524900000000002</v>
      </c>
      <c r="AQ15" s="26">
        <v>40.552</v>
      </c>
      <c r="AR15" s="26">
        <v>40.6706</v>
      </c>
      <c r="AS15" s="26">
        <v>37.720399999999998</v>
      </c>
      <c r="AT15" s="26">
        <v>30.465199999999999</v>
      </c>
      <c r="AU15" s="26">
        <v>39.223599999999998</v>
      </c>
      <c r="AV15" s="26">
        <v>33.870899999999999</v>
      </c>
      <c r="AW15" s="26">
        <v>43.806899999999999</v>
      </c>
      <c r="AX15" s="26">
        <v>44.346999999999987</v>
      </c>
      <c r="AY15" s="26">
        <v>44.398200000000003</v>
      </c>
      <c r="AZ15" s="26">
        <v>38.645600000000002</v>
      </c>
      <c r="BA15" s="26">
        <v>53.512400000000007</v>
      </c>
      <c r="BB15" s="26">
        <v>41.1235</v>
      </c>
      <c r="BC15" s="26">
        <v>43.011699999999998</v>
      </c>
      <c r="BD15" s="26">
        <v>41.5991</v>
      </c>
      <c r="BE15" s="26">
        <v>36.743200000000002</v>
      </c>
      <c r="BF15" s="26">
        <v>61.126600000000003</v>
      </c>
      <c r="BG15" s="26">
        <v>46.508300000000013</v>
      </c>
      <c r="BH15" s="26">
        <v>64.106899999999996</v>
      </c>
      <c r="BI15" s="26">
        <v>22.3215</v>
      </c>
      <c r="BJ15" s="26">
        <v>26.4496</v>
      </c>
      <c r="BK15" s="26">
        <v>45.375900000000001</v>
      </c>
      <c r="BL15" s="26">
        <v>43.338000000000001</v>
      </c>
      <c r="BM15" s="26">
        <v>33.347099999999998</v>
      </c>
      <c r="BN15" s="26">
        <v>30.394600000000001</v>
      </c>
      <c r="BO15" s="26">
        <v>31.564599999999999</v>
      </c>
      <c r="BP15" s="26">
        <v>33.868899999999996</v>
      </c>
      <c r="BQ15" s="26">
        <v>37.463999999999999</v>
      </c>
      <c r="BR15" s="26">
        <v>34.92</v>
      </c>
      <c r="BS15" s="26">
        <v>51.4985</v>
      </c>
      <c r="BT15" s="26">
        <v>47.017800000000001</v>
      </c>
      <c r="BU15" s="26">
        <v>42.384700000000002</v>
      </c>
      <c r="BV15" s="26">
        <v>38.406300000000002</v>
      </c>
      <c r="BW15" s="26">
        <v>26.195799999999998</v>
      </c>
      <c r="BX15" s="26">
        <v>27.412099999999999</v>
      </c>
      <c r="BY15" s="26">
        <v>48.5747</v>
      </c>
      <c r="BZ15" s="26">
        <v>23.029399999999999</v>
      </c>
      <c r="CA15" s="26">
        <v>41.968200000000003</v>
      </c>
      <c r="CB15" s="26">
        <v>25.0746</v>
      </c>
      <c r="CC15" s="26">
        <v>39.754300000000001</v>
      </c>
      <c r="CD15" s="26">
        <v>55.892600000000002</v>
      </c>
      <c r="CE15" s="26">
        <v>37.377699999999997</v>
      </c>
      <c r="CF15" s="26">
        <v>23.439699999999998</v>
      </c>
      <c r="CG15" s="26">
        <v>49.132399999999997</v>
      </c>
      <c r="CH15" s="26">
        <v>39.604399999999998</v>
      </c>
      <c r="CI15" s="26">
        <v>46.226100000000002</v>
      </c>
      <c r="CJ15" s="26">
        <v>18.542200000000001</v>
      </c>
      <c r="CK15" s="26">
        <v>32.278799999999997</v>
      </c>
      <c r="CL15" s="26">
        <v>41.268099999999997</v>
      </c>
      <c r="CM15" s="26">
        <v>38.089599999999997</v>
      </c>
      <c r="CN15" s="26">
        <v>36.4574</v>
      </c>
      <c r="CO15" s="26">
        <v>51.830599999999997</v>
      </c>
      <c r="CP15" s="26">
        <v>15.428000000000001</v>
      </c>
      <c r="CQ15" s="26">
        <v>52.166400000000003</v>
      </c>
      <c r="CR15" s="26">
        <v>38.7393</v>
      </c>
      <c r="CS15" s="26">
        <v>23.345199999999998</v>
      </c>
      <c r="CT15" s="26">
        <v>40.563310526315803</v>
      </c>
      <c r="CU15" s="17">
        <v>3853.5145000000011</v>
      </c>
    </row>
    <row r="16" spans="1:99" x14ac:dyDescent="0.25">
      <c r="A16" s="24">
        <v>15</v>
      </c>
      <c r="B16" s="26">
        <v>7</v>
      </c>
      <c r="C16" s="26">
        <v>52.085500000000003</v>
      </c>
      <c r="D16" s="26">
        <v>64.5077</v>
      </c>
      <c r="E16" s="26">
        <v>33.295000000000002</v>
      </c>
      <c r="F16" s="26">
        <v>74.248099999999994</v>
      </c>
      <c r="G16" s="26">
        <v>57.754899999999999</v>
      </c>
      <c r="H16" s="26">
        <v>48.4709</v>
      </c>
      <c r="I16" s="26">
        <v>76.255200000000002</v>
      </c>
      <c r="J16" s="26">
        <v>57.740199999999987</v>
      </c>
      <c r="K16" s="26">
        <v>52.450200000000002</v>
      </c>
      <c r="L16" s="26">
        <v>65.750299999999996</v>
      </c>
      <c r="M16" s="26">
        <v>66.071299999999994</v>
      </c>
      <c r="N16" s="26">
        <v>58.422700000000013</v>
      </c>
      <c r="O16" s="26">
        <v>46.689900000000002</v>
      </c>
      <c r="P16" s="26">
        <v>52.039099999999998</v>
      </c>
      <c r="Q16" s="26">
        <v>42.578600000000002</v>
      </c>
      <c r="R16" s="26">
        <v>59.731699999999996</v>
      </c>
      <c r="S16" s="26">
        <v>75.5822</v>
      </c>
      <c r="T16" s="26">
        <v>38.099299999999999</v>
      </c>
      <c r="U16" s="26">
        <v>50.222999999999999</v>
      </c>
      <c r="V16" s="26">
        <v>67.171099999999996</v>
      </c>
      <c r="W16" s="26">
        <v>72.6524</v>
      </c>
      <c r="X16" s="26">
        <v>46.925699999999999</v>
      </c>
      <c r="Y16" s="26">
        <v>41.1023</v>
      </c>
      <c r="Z16" s="26">
        <v>45.430500000000002</v>
      </c>
      <c r="AA16" s="26">
        <v>38.899299999999997</v>
      </c>
      <c r="AB16" s="26">
        <v>39.110199999999999</v>
      </c>
      <c r="AC16" s="26">
        <v>42.2607</v>
      </c>
      <c r="AD16" s="26">
        <v>39.310600000000001</v>
      </c>
      <c r="AE16" s="26">
        <v>67.511200000000002</v>
      </c>
      <c r="AF16" s="26">
        <v>38.948899999999988</v>
      </c>
      <c r="AG16" s="26">
        <v>70.447000000000003</v>
      </c>
      <c r="AH16" s="26">
        <v>30.566400000000002</v>
      </c>
      <c r="AI16" s="26">
        <v>59.876399999999997</v>
      </c>
      <c r="AJ16" s="26">
        <v>60.6066</v>
      </c>
      <c r="AK16" s="26">
        <v>34.026600000000002</v>
      </c>
      <c r="AL16" s="26">
        <v>53.217099999999988</v>
      </c>
      <c r="AM16" s="26">
        <v>64.573700000000002</v>
      </c>
      <c r="AN16" s="26">
        <v>64.906700000000001</v>
      </c>
      <c r="AO16" s="26">
        <v>45.520600000000002</v>
      </c>
      <c r="AP16" s="26">
        <v>66.494</v>
      </c>
      <c r="AQ16" s="26">
        <v>48.630200000000002</v>
      </c>
      <c r="AR16" s="26">
        <v>47.784399999999998</v>
      </c>
      <c r="AS16" s="26">
        <v>51.341800000000013</v>
      </c>
      <c r="AT16" s="26">
        <v>39.404400000000003</v>
      </c>
      <c r="AU16" s="26">
        <v>46.280999999999999</v>
      </c>
      <c r="AV16" s="26">
        <v>48.599699999999999</v>
      </c>
      <c r="AW16" s="26">
        <v>56.935899999999997</v>
      </c>
      <c r="AX16" s="26">
        <v>55.170099999999998</v>
      </c>
      <c r="AY16" s="26">
        <v>55.345500000000001</v>
      </c>
      <c r="AZ16" s="26">
        <v>46.685099999999998</v>
      </c>
      <c r="BA16" s="26">
        <v>64.609399999999994</v>
      </c>
      <c r="BB16" s="26">
        <v>51.062800000000003</v>
      </c>
      <c r="BC16" s="26">
        <v>57.804000000000002</v>
      </c>
      <c r="BD16" s="26">
        <v>54.0473</v>
      </c>
      <c r="BE16" s="26">
        <v>48.319800000000001</v>
      </c>
      <c r="BF16" s="26">
        <v>75.918899999999994</v>
      </c>
      <c r="BG16" s="26">
        <v>59.395000000000003</v>
      </c>
      <c r="BH16" s="26">
        <v>79.113799999999998</v>
      </c>
      <c r="BI16" s="26">
        <v>30.973400000000002</v>
      </c>
      <c r="BJ16" s="26">
        <v>33.094999999999999</v>
      </c>
      <c r="BK16" s="26">
        <v>56.447499999999998</v>
      </c>
      <c r="BL16" s="26">
        <v>48.557600000000001</v>
      </c>
      <c r="BM16" s="26">
        <v>47.571599999999997</v>
      </c>
      <c r="BN16" s="26">
        <v>40.758899999999997</v>
      </c>
      <c r="BO16" s="26">
        <v>38.688899999999997</v>
      </c>
      <c r="BP16" s="26">
        <v>48.582099999999997</v>
      </c>
      <c r="BQ16" s="26">
        <v>49.1875</v>
      </c>
      <c r="BR16" s="26">
        <v>48.185299999999998</v>
      </c>
      <c r="BS16" s="26">
        <v>50.588500000000003</v>
      </c>
      <c r="BT16" s="26">
        <v>56.172600000000003</v>
      </c>
      <c r="BU16" s="26">
        <v>56.67</v>
      </c>
      <c r="BV16" s="26">
        <v>43.908099999999997</v>
      </c>
      <c r="BW16" s="26">
        <v>15.1317</v>
      </c>
      <c r="BX16" s="26">
        <v>36.790700000000001</v>
      </c>
      <c r="BY16" s="26">
        <v>61.382399999999997</v>
      </c>
      <c r="BZ16" s="26">
        <v>32.786299999999997</v>
      </c>
      <c r="CA16" s="26">
        <v>52.569800000000001</v>
      </c>
      <c r="CB16" s="26">
        <v>32.768099999999997</v>
      </c>
      <c r="CC16" s="26">
        <v>53.587899999999998</v>
      </c>
      <c r="CD16" s="26">
        <v>69.794899999999998</v>
      </c>
      <c r="CE16" s="26">
        <v>44.887300000000003</v>
      </c>
      <c r="CF16" s="26">
        <v>30.576000000000001</v>
      </c>
      <c r="CG16" s="26">
        <v>62.188600000000008</v>
      </c>
      <c r="CH16" s="26">
        <v>48.623699999999999</v>
      </c>
      <c r="CI16" s="26">
        <v>53.136600000000001</v>
      </c>
      <c r="CJ16" s="26">
        <v>23.919899999999998</v>
      </c>
      <c r="CK16" s="26">
        <v>44.845700000000001</v>
      </c>
      <c r="CL16" s="26">
        <v>51.901799999999987</v>
      </c>
      <c r="CM16" s="26">
        <v>42.566000000000003</v>
      </c>
      <c r="CN16" s="26">
        <v>41.631800000000013</v>
      </c>
      <c r="CO16" s="26">
        <v>64.683500000000009</v>
      </c>
      <c r="CP16" s="26">
        <v>19.889399999999998</v>
      </c>
      <c r="CQ16" s="26">
        <v>65.528300000000002</v>
      </c>
      <c r="CR16" s="26">
        <v>48.694500000000012</v>
      </c>
      <c r="CS16" s="26">
        <v>30.526800000000001</v>
      </c>
      <c r="CT16" s="26">
        <v>50.797911578947378</v>
      </c>
      <c r="CU16" s="17">
        <v>4825.8016000000007</v>
      </c>
    </row>
    <row r="17" spans="1:99" x14ac:dyDescent="0.25">
      <c r="A17" s="24">
        <v>16</v>
      </c>
      <c r="B17" s="26">
        <v>7.5</v>
      </c>
      <c r="C17" s="26">
        <v>65.009900000000002</v>
      </c>
      <c r="D17" s="26">
        <v>82.724199999999996</v>
      </c>
      <c r="E17" s="26">
        <v>39.333200000000012</v>
      </c>
      <c r="F17" s="26">
        <v>91.217700000000008</v>
      </c>
      <c r="G17" s="26">
        <v>75.960399999999993</v>
      </c>
      <c r="H17" s="26">
        <v>60.185400000000001</v>
      </c>
      <c r="I17" s="26">
        <v>92.915400000000005</v>
      </c>
      <c r="J17" s="26">
        <v>71.275700000000001</v>
      </c>
      <c r="K17" s="26">
        <v>67.985399999999998</v>
      </c>
      <c r="L17" s="26">
        <v>84.102699999999999</v>
      </c>
      <c r="M17" s="26">
        <v>84.276799999999994</v>
      </c>
      <c r="N17" s="26">
        <v>75.3429</v>
      </c>
      <c r="O17" s="26">
        <v>54.744199999999999</v>
      </c>
      <c r="P17" s="26">
        <v>65.619900000000001</v>
      </c>
      <c r="Q17" s="26">
        <v>48.437600000000003</v>
      </c>
      <c r="R17" s="26">
        <v>75.600500000000011</v>
      </c>
      <c r="S17" s="26">
        <v>93.832999999999998</v>
      </c>
      <c r="T17" s="26">
        <v>43.800800000000002</v>
      </c>
      <c r="U17" s="26">
        <v>68.405900000000003</v>
      </c>
      <c r="V17" s="26">
        <v>85.408900000000003</v>
      </c>
      <c r="W17" s="26">
        <v>90.22590000000001</v>
      </c>
      <c r="X17" s="26">
        <v>60.086199999999998</v>
      </c>
      <c r="Y17" s="26">
        <v>56.910700000000013</v>
      </c>
      <c r="Z17" s="26">
        <v>54.775399999999998</v>
      </c>
      <c r="AA17" s="26">
        <v>45.345200000000013</v>
      </c>
      <c r="AB17" s="26">
        <v>45.1768</v>
      </c>
      <c r="AC17" s="26">
        <v>49.074599999999997</v>
      </c>
      <c r="AD17" s="26">
        <v>45.235599999999998</v>
      </c>
      <c r="AE17" s="26">
        <v>85.110699999999994</v>
      </c>
      <c r="AF17" s="26">
        <v>50.098699999999987</v>
      </c>
      <c r="AG17" s="26">
        <v>87.999200000000002</v>
      </c>
      <c r="AH17" s="26">
        <v>35.340200000000003</v>
      </c>
      <c r="AI17" s="26">
        <v>78.104600000000005</v>
      </c>
      <c r="AJ17" s="26">
        <v>76.835899999999995</v>
      </c>
      <c r="AK17" s="26">
        <v>45.3996</v>
      </c>
      <c r="AL17" s="26">
        <v>62.037599999999998</v>
      </c>
      <c r="AM17" s="26">
        <v>81.375200000000007</v>
      </c>
      <c r="AN17" s="26">
        <v>80.777299999999997</v>
      </c>
      <c r="AO17" s="26">
        <v>62.458499999999987</v>
      </c>
      <c r="AP17" s="26">
        <v>84.710899999999995</v>
      </c>
      <c r="AQ17" s="26">
        <v>59.7348</v>
      </c>
      <c r="AR17" s="26">
        <v>56.6387</v>
      </c>
      <c r="AS17" s="26">
        <v>66.927499999999995</v>
      </c>
      <c r="AT17" s="26">
        <v>51.387000000000008</v>
      </c>
      <c r="AU17" s="26">
        <v>51.171300000000002</v>
      </c>
      <c r="AV17" s="26">
        <v>65.792500000000004</v>
      </c>
      <c r="AW17" s="26">
        <v>73.819699999999997</v>
      </c>
      <c r="AX17" s="26">
        <v>68.603999999999999</v>
      </c>
      <c r="AY17" s="26">
        <v>67.831400000000002</v>
      </c>
      <c r="AZ17" s="26">
        <v>56.735899999999987</v>
      </c>
      <c r="BA17" s="26">
        <v>80.68889999999999</v>
      </c>
      <c r="BB17" s="26">
        <v>62.836799999999997</v>
      </c>
      <c r="BC17" s="26">
        <v>74.199600000000004</v>
      </c>
      <c r="BD17" s="26">
        <v>67.49969999999999</v>
      </c>
      <c r="BE17" s="26">
        <v>62.843400000000003</v>
      </c>
      <c r="BF17" s="26">
        <v>94.118800000000007</v>
      </c>
      <c r="BG17" s="26">
        <v>74.509299999999996</v>
      </c>
      <c r="BH17" s="26">
        <v>97.601700000000008</v>
      </c>
      <c r="BI17" s="26">
        <v>41.332999999999998</v>
      </c>
      <c r="BJ17" s="26">
        <v>40.706800000000001</v>
      </c>
      <c r="BK17" s="26">
        <v>68.825699999999998</v>
      </c>
      <c r="BL17" s="26">
        <v>55.082600000000014</v>
      </c>
      <c r="BM17" s="26">
        <v>63.658099999999997</v>
      </c>
      <c r="BN17" s="26">
        <v>53.497500000000002</v>
      </c>
      <c r="BO17" s="26">
        <v>17.961300000000001</v>
      </c>
      <c r="BP17" s="26">
        <v>62.322500000000012</v>
      </c>
      <c r="BQ17" s="26">
        <v>64.274299999999997</v>
      </c>
      <c r="BR17" s="26">
        <v>66.673199999999994</v>
      </c>
      <c r="BS17" s="26">
        <v>60.802</v>
      </c>
      <c r="BT17" s="26">
        <v>66.367000000000004</v>
      </c>
      <c r="BU17" s="26">
        <v>74.565400000000011</v>
      </c>
      <c r="BV17" s="26">
        <v>52.550400000000003</v>
      </c>
      <c r="BW17" s="26">
        <v>21.225300000000001</v>
      </c>
      <c r="BX17" s="26">
        <v>47.965400000000002</v>
      </c>
      <c r="BY17" s="26">
        <v>76.238600000000005</v>
      </c>
      <c r="BZ17" s="26">
        <v>46.242800000000003</v>
      </c>
      <c r="CA17" s="26">
        <v>67.266400000000004</v>
      </c>
      <c r="CB17" s="26">
        <v>41.4893</v>
      </c>
      <c r="CC17" s="26">
        <v>69.221999999999994</v>
      </c>
      <c r="CD17" s="26">
        <v>88.011700000000005</v>
      </c>
      <c r="CE17" s="26">
        <v>53.346600000000002</v>
      </c>
      <c r="CF17" s="26">
        <v>39.023299999999999</v>
      </c>
      <c r="CG17" s="26">
        <v>76.573599999999999</v>
      </c>
      <c r="CH17" s="26">
        <v>59.022300000000008</v>
      </c>
      <c r="CI17" s="26">
        <v>59.441299999999998</v>
      </c>
      <c r="CJ17" s="26">
        <v>28.968399999999999</v>
      </c>
      <c r="CK17" s="26">
        <v>58.789499999999997</v>
      </c>
      <c r="CL17" s="26">
        <v>67.03949999999999</v>
      </c>
      <c r="CM17" s="26">
        <v>48.640599999999999</v>
      </c>
      <c r="CN17" s="26">
        <v>43.715899999999998</v>
      </c>
      <c r="CO17" s="26">
        <v>79.9756</v>
      </c>
      <c r="CP17" s="26">
        <v>26.5273</v>
      </c>
      <c r="CQ17" s="26">
        <v>83.116</v>
      </c>
      <c r="CR17" s="26">
        <v>61.347299999999997</v>
      </c>
      <c r="CS17" s="26">
        <v>38.2425</v>
      </c>
      <c r="CT17" s="26">
        <v>63.223697894736851</v>
      </c>
      <c r="CU17" s="17">
        <v>6006.2513000000008</v>
      </c>
    </row>
    <row r="18" spans="1:99" x14ac:dyDescent="0.25">
      <c r="A18" s="24">
        <v>17</v>
      </c>
      <c r="B18" s="26">
        <v>8</v>
      </c>
      <c r="C18" s="26">
        <v>80.596999999999994</v>
      </c>
      <c r="D18" s="26">
        <v>100</v>
      </c>
      <c r="E18" s="26">
        <v>47.483699999999999</v>
      </c>
      <c r="F18" s="26">
        <v>100</v>
      </c>
      <c r="G18" s="26">
        <v>96.518199999999993</v>
      </c>
      <c r="H18" s="26">
        <v>75.368300000000005</v>
      </c>
      <c r="I18" s="26">
        <v>100</v>
      </c>
      <c r="J18" s="26">
        <v>87.425899999999999</v>
      </c>
      <c r="K18" s="26">
        <v>86.633099999999999</v>
      </c>
      <c r="L18" s="26">
        <v>100</v>
      </c>
      <c r="M18" s="26">
        <v>100</v>
      </c>
      <c r="N18" s="26">
        <v>97.023200000000003</v>
      </c>
      <c r="O18" s="26">
        <v>65.072600000000008</v>
      </c>
      <c r="P18" s="26">
        <v>81.586199999999991</v>
      </c>
      <c r="Q18" s="26">
        <v>55.897300000000008</v>
      </c>
      <c r="R18" s="26">
        <v>96.442000000000007</v>
      </c>
      <c r="S18" s="26">
        <v>100</v>
      </c>
      <c r="T18" s="26">
        <v>53.831699999999998</v>
      </c>
      <c r="U18" s="26">
        <v>90.075000000000003</v>
      </c>
      <c r="V18" s="26">
        <v>94.108099999999993</v>
      </c>
      <c r="W18" s="26">
        <v>100</v>
      </c>
      <c r="X18" s="26">
        <v>73.573900000000009</v>
      </c>
      <c r="Y18" s="26">
        <v>75.769499999999994</v>
      </c>
      <c r="Z18" s="26">
        <v>68.183000000000007</v>
      </c>
      <c r="AA18" s="26">
        <v>51.531700000000001</v>
      </c>
      <c r="AB18" s="26">
        <v>51.016500000000001</v>
      </c>
      <c r="AC18" s="26">
        <v>59.592900000000007</v>
      </c>
      <c r="AD18" s="26">
        <v>51.841800000000013</v>
      </c>
      <c r="AE18" s="26">
        <v>100</v>
      </c>
      <c r="AF18" s="26">
        <v>61.178900000000013</v>
      </c>
      <c r="AG18" s="26">
        <v>100</v>
      </c>
      <c r="AH18" s="26">
        <v>41.739899999999999</v>
      </c>
      <c r="AI18" s="26">
        <v>99.499400000000009</v>
      </c>
      <c r="AJ18" s="26">
        <v>97.372199999999992</v>
      </c>
      <c r="AK18" s="26">
        <v>61.253300000000003</v>
      </c>
      <c r="AL18" s="26">
        <v>72.600999999999999</v>
      </c>
      <c r="AM18" s="26">
        <v>100</v>
      </c>
      <c r="AN18" s="26">
        <v>100</v>
      </c>
      <c r="AO18" s="26">
        <v>83.141900000000007</v>
      </c>
      <c r="AP18" s="26">
        <v>100</v>
      </c>
      <c r="AQ18" s="26">
        <v>71.703299999999999</v>
      </c>
      <c r="AR18" s="26">
        <v>67.117499999999993</v>
      </c>
      <c r="AS18" s="26">
        <v>87.906899999999993</v>
      </c>
      <c r="AT18" s="26">
        <v>66.8399</v>
      </c>
      <c r="AU18" s="26">
        <v>59.316299999999998</v>
      </c>
      <c r="AV18" s="26">
        <v>86.318899999999999</v>
      </c>
      <c r="AW18" s="26">
        <v>95.601699999999994</v>
      </c>
      <c r="AX18" s="26">
        <v>84.652500000000003</v>
      </c>
      <c r="AY18" s="26">
        <v>84.004100000000008</v>
      </c>
      <c r="AZ18" s="26">
        <v>67.632099999999994</v>
      </c>
      <c r="BA18" s="26">
        <v>98.410200000000003</v>
      </c>
      <c r="BB18" s="26">
        <v>79.133799999999994</v>
      </c>
      <c r="BC18" s="26">
        <v>95.33359999999999</v>
      </c>
      <c r="BD18" s="26">
        <v>86.392400000000009</v>
      </c>
      <c r="BE18" s="26">
        <v>70.632999999999996</v>
      </c>
      <c r="BF18" s="26">
        <v>100</v>
      </c>
      <c r="BG18" s="26">
        <v>92.125699999999995</v>
      </c>
      <c r="BH18" s="26">
        <v>100</v>
      </c>
      <c r="BI18" s="26">
        <v>53.871299999999998</v>
      </c>
      <c r="BJ18" s="26">
        <v>49.855899999999998</v>
      </c>
      <c r="BK18" s="26">
        <v>84.4131</v>
      </c>
      <c r="BL18" s="26">
        <v>62.764099999999999</v>
      </c>
      <c r="BM18" s="26">
        <v>85.010900000000007</v>
      </c>
      <c r="BN18" s="26">
        <v>58.540300000000002</v>
      </c>
      <c r="BO18" s="26">
        <v>17.280899999999999</v>
      </c>
      <c r="BP18" s="26">
        <v>79.561099999999996</v>
      </c>
      <c r="BQ18" s="26">
        <v>81.060200000000009</v>
      </c>
      <c r="BR18" s="26">
        <v>88.330500000000001</v>
      </c>
      <c r="BS18" s="26">
        <v>75.856500000000011</v>
      </c>
      <c r="BT18" s="26">
        <v>79.876300000000001</v>
      </c>
      <c r="BU18" s="26">
        <v>94.71929999999999</v>
      </c>
      <c r="BV18" s="26">
        <v>63.091200000000001</v>
      </c>
      <c r="BW18" s="26">
        <v>15.769299999999999</v>
      </c>
      <c r="BX18" s="26">
        <v>62.859499999999997</v>
      </c>
      <c r="BY18" s="26">
        <v>95.142499999999998</v>
      </c>
      <c r="BZ18" s="26">
        <v>58.874300000000012</v>
      </c>
      <c r="CA18" s="26">
        <v>85.083600000000004</v>
      </c>
      <c r="CB18" s="26">
        <v>22.875800000000002</v>
      </c>
      <c r="CC18" s="26">
        <v>88.904000000000011</v>
      </c>
      <c r="CD18" s="26">
        <v>100</v>
      </c>
      <c r="CE18" s="26">
        <v>66.652500000000003</v>
      </c>
      <c r="CF18" s="26">
        <v>46.921199999999999</v>
      </c>
      <c r="CG18" s="26">
        <v>95.015799999999999</v>
      </c>
      <c r="CH18" s="26">
        <v>71.245800000000003</v>
      </c>
      <c r="CI18" s="26">
        <v>69.835400000000007</v>
      </c>
      <c r="CJ18" s="26">
        <v>39.5319</v>
      </c>
      <c r="CK18" s="26">
        <v>77.593000000000004</v>
      </c>
      <c r="CL18" s="26">
        <v>85.269099999999995</v>
      </c>
      <c r="CM18" s="26">
        <v>56.022399999999998</v>
      </c>
      <c r="CN18" s="26">
        <v>51.032299999999999</v>
      </c>
      <c r="CO18" s="26">
        <v>98.318100000000001</v>
      </c>
      <c r="CP18" s="26">
        <v>28.145600000000002</v>
      </c>
      <c r="CQ18" s="26">
        <v>100</v>
      </c>
      <c r="CR18" s="26">
        <v>76.274000000000001</v>
      </c>
      <c r="CS18" s="26">
        <v>46.779299999999999</v>
      </c>
      <c r="CT18" s="26">
        <v>76.44060105263155</v>
      </c>
      <c r="CU18" s="17">
        <v>7261.8570999999974</v>
      </c>
    </row>
    <row r="19" spans="1:99" x14ac:dyDescent="0.25">
      <c r="A19" s="24">
        <v>18</v>
      </c>
      <c r="B19" s="26">
        <v>8.5</v>
      </c>
      <c r="C19" s="26">
        <v>86.472899999999996</v>
      </c>
      <c r="D19" s="26">
        <v>100</v>
      </c>
      <c r="E19" s="26">
        <v>58.888300000000001</v>
      </c>
      <c r="F19" s="26">
        <v>100</v>
      </c>
      <c r="G19" s="26">
        <v>100</v>
      </c>
      <c r="H19" s="26">
        <v>94.062799999999996</v>
      </c>
      <c r="I19" s="26">
        <v>100</v>
      </c>
      <c r="J19" s="26">
        <v>100</v>
      </c>
      <c r="K19" s="26">
        <v>100</v>
      </c>
      <c r="L19" s="26">
        <v>100</v>
      </c>
      <c r="M19" s="26">
        <v>100</v>
      </c>
      <c r="N19" s="26">
        <v>100</v>
      </c>
      <c r="O19" s="26">
        <v>76.293500000000009</v>
      </c>
      <c r="P19" s="26">
        <v>98.764200000000002</v>
      </c>
      <c r="Q19" s="26">
        <v>64.877499999999998</v>
      </c>
      <c r="R19" s="26">
        <v>100</v>
      </c>
      <c r="S19" s="26">
        <v>100</v>
      </c>
      <c r="T19" s="26">
        <v>60.978700000000003</v>
      </c>
      <c r="U19" s="26">
        <v>100</v>
      </c>
      <c r="V19" s="26">
        <v>100</v>
      </c>
      <c r="W19" s="26">
        <v>100</v>
      </c>
      <c r="X19" s="26">
        <v>91.150400000000005</v>
      </c>
      <c r="Y19" s="26">
        <v>96.106300000000005</v>
      </c>
      <c r="Z19" s="26">
        <v>83.034300000000002</v>
      </c>
      <c r="AA19" s="26">
        <v>55.53</v>
      </c>
      <c r="AB19" s="26">
        <v>59.996699999999997</v>
      </c>
      <c r="AC19" s="26">
        <v>69.889099999999999</v>
      </c>
      <c r="AD19" s="26">
        <v>60.515099999999997</v>
      </c>
      <c r="AE19" s="26">
        <v>100</v>
      </c>
      <c r="AF19" s="26">
        <v>75.709199999999996</v>
      </c>
      <c r="AG19" s="26">
        <v>100</v>
      </c>
      <c r="AH19" s="26">
        <v>50.731299999999997</v>
      </c>
      <c r="AI19" s="26">
        <v>100</v>
      </c>
      <c r="AJ19" s="26">
        <v>100</v>
      </c>
      <c r="AK19" s="26">
        <v>77.061000000000007</v>
      </c>
      <c r="AL19" s="26">
        <v>84.8005</v>
      </c>
      <c r="AM19" s="26">
        <v>100</v>
      </c>
      <c r="AN19" s="26">
        <v>100</v>
      </c>
      <c r="AO19" s="26">
        <v>100</v>
      </c>
      <c r="AP19" s="26">
        <v>100</v>
      </c>
      <c r="AQ19" s="26">
        <v>86.644900000000007</v>
      </c>
      <c r="AR19" s="26">
        <v>64.257400000000004</v>
      </c>
      <c r="AS19" s="26">
        <v>100</v>
      </c>
      <c r="AT19" s="26">
        <v>83.988799999999998</v>
      </c>
      <c r="AU19" s="26">
        <v>69.869299999999996</v>
      </c>
      <c r="AV19" s="26">
        <v>100</v>
      </c>
      <c r="AW19" s="26">
        <v>100</v>
      </c>
      <c r="AX19" s="26">
        <v>100</v>
      </c>
      <c r="AY19" s="26">
        <v>100</v>
      </c>
      <c r="AZ19" s="26">
        <v>79.547499999999999</v>
      </c>
      <c r="BA19" s="26">
        <v>100</v>
      </c>
      <c r="BB19" s="26">
        <v>96.520300000000006</v>
      </c>
      <c r="BC19" s="26">
        <v>100</v>
      </c>
      <c r="BD19" s="26">
        <v>100</v>
      </c>
      <c r="BE19" s="26">
        <v>89.014099999999999</v>
      </c>
      <c r="BF19" s="26">
        <v>100</v>
      </c>
      <c r="BG19" s="26">
        <v>100</v>
      </c>
      <c r="BH19" s="26">
        <v>100</v>
      </c>
      <c r="BI19" s="26">
        <v>69.312600000000003</v>
      </c>
      <c r="BJ19" s="26">
        <v>61.848300000000002</v>
      </c>
      <c r="BK19" s="26">
        <v>100</v>
      </c>
      <c r="BL19" s="26">
        <v>71.747900000000001</v>
      </c>
      <c r="BM19" s="26">
        <v>100</v>
      </c>
      <c r="BN19" s="26">
        <v>76.267499999999998</v>
      </c>
      <c r="BO19" s="26">
        <v>28.814800000000002</v>
      </c>
      <c r="BP19" s="26">
        <v>100</v>
      </c>
      <c r="BQ19" s="26">
        <v>100</v>
      </c>
      <c r="BR19" s="26">
        <v>100</v>
      </c>
      <c r="BS19" s="26">
        <v>96.506</v>
      </c>
      <c r="BT19" s="26">
        <v>88.456999999999994</v>
      </c>
      <c r="BU19" s="26">
        <v>100</v>
      </c>
      <c r="BV19" s="26">
        <v>75.268100000000004</v>
      </c>
      <c r="BW19" s="26">
        <v>22.396100000000001</v>
      </c>
      <c r="BX19" s="26">
        <v>80.193100000000001</v>
      </c>
      <c r="BY19" s="26">
        <v>100</v>
      </c>
      <c r="BZ19" s="26">
        <v>56.186800000000012</v>
      </c>
      <c r="CA19" s="26">
        <v>100</v>
      </c>
      <c r="CB19" s="26">
        <v>33.661700000000003</v>
      </c>
      <c r="CC19" s="26">
        <v>100</v>
      </c>
      <c r="CD19" s="26">
        <v>100</v>
      </c>
      <c r="CE19" s="26">
        <v>78.083100000000002</v>
      </c>
      <c r="CF19" s="26">
        <v>57.192300000000003</v>
      </c>
      <c r="CG19" s="26">
        <v>100</v>
      </c>
      <c r="CH19" s="26">
        <v>86.664500000000004</v>
      </c>
      <c r="CI19" s="26">
        <v>80.764700000000005</v>
      </c>
      <c r="CJ19" s="26">
        <v>50.010399999999997</v>
      </c>
      <c r="CK19" s="26">
        <v>97.457000000000008</v>
      </c>
      <c r="CL19" s="26">
        <v>100</v>
      </c>
      <c r="CM19" s="26">
        <v>64.972799999999992</v>
      </c>
      <c r="CN19" s="26">
        <v>58.385100000000001</v>
      </c>
      <c r="CO19" s="26">
        <v>100</v>
      </c>
      <c r="CP19" s="26">
        <v>36.662999999999997</v>
      </c>
      <c r="CQ19" s="26">
        <v>100</v>
      </c>
      <c r="CR19" s="26">
        <v>93.213700000000003</v>
      </c>
      <c r="CS19" s="26">
        <v>58.401800000000001</v>
      </c>
      <c r="CT19" s="26">
        <v>85.654446315789471</v>
      </c>
      <c r="CU19" s="17">
        <v>8137.1724000000004</v>
      </c>
    </row>
    <row r="20" spans="1:99" x14ac:dyDescent="0.25">
      <c r="A20" s="24">
        <v>19</v>
      </c>
      <c r="B20" s="26">
        <v>9</v>
      </c>
      <c r="C20" s="26">
        <v>100</v>
      </c>
      <c r="D20" s="26">
        <v>100</v>
      </c>
      <c r="E20" s="26">
        <v>70.41340000000001</v>
      </c>
      <c r="F20" s="26">
        <v>100</v>
      </c>
      <c r="G20" s="26">
        <v>100</v>
      </c>
      <c r="H20" s="26">
        <v>100</v>
      </c>
      <c r="I20" s="26">
        <v>100</v>
      </c>
      <c r="J20" s="26">
        <v>100</v>
      </c>
      <c r="K20" s="26">
        <v>100</v>
      </c>
      <c r="L20" s="26">
        <v>100</v>
      </c>
      <c r="M20" s="26">
        <v>100</v>
      </c>
      <c r="N20" s="26">
        <v>100</v>
      </c>
      <c r="O20" s="26">
        <v>88.981399999999994</v>
      </c>
      <c r="P20" s="26">
        <v>100</v>
      </c>
      <c r="Q20" s="26">
        <v>74.619699999999995</v>
      </c>
      <c r="R20" s="26">
        <v>100</v>
      </c>
      <c r="S20" s="26">
        <v>100</v>
      </c>
      <c r="T20" s="26">
        <v>59.785499999999999</v>
      </c>
      <c r="U20" s="26">
        <v>100</v>
      </c>
      <c r="V20" s="26">
        <v>100</v>
      </c>
      <c r="W20" s="26">
        <v>100</v>
      </c>
      <c r="X20" s="26">
        <v>100</v>
      </c>
      <c r="Y20" s="26">
        <v>100</v>
      </c>
      <c r="Z20" s="26">
        <v>98.198099999999997</v>
      </c>
      <c r="AA20" s="26">
        <v>64.010999999999996</v>
      </c>
      <c r="AB20" s="26">
        <v>68.764499999999998</v>
      </c>
      <c r="AC20" s="26">
        <v>83.168199999999999</v>
      </c>
      <c r="AD20" s="26">
        <v>68.851600000000005</v>
      </c>
      <c r="AE20" s="26">
        <v>100</v>
      </c>
      <c r="AF20" s="26">
        <v>92.667699999999996</v>
      </c>
      <c r="AG20" s="26">
        <v>100</v>
      </c>
      <c r="AH20" s="26">
        <v>56.4084</v>
      </c>
      <c r="AI20" s="26">
        <v>100</v>
      </c>
      <c r="AJ20" s="26">
        <v>100</v>
      </c>
      <c r="AK20" s="26">
        <v>94.794199999999989</v>
      </c>
      <c r="AL20" s="26">
        <v>98.537700000000001</v>
      </c>
      <c r="AM20" s="26">
        <v>100</v>
      </c>
      <c r="AN20" s="26">
        <v>100</v>
      </c>
      <c r="AO20" s="26">
        <v>100</v>
      </c>
      <c r="AP20" s="26">
        <v>100</v>
      </c>
      <c r="AQ20" s="26">
        <v>100</v>
      </c>
      <c r="AR20" s="26">
        <v>68.236900000000006</v>
      </c>
      <c r="AS20" s="26">
        <v>100</v>
      </c>
      <c r="AT20" s="26">
        <v>100</v>
      </c>
      <c r="AU20" s="26">
        <v>82.006100000000004</v>
      </c>
      <c r="AV20" s="26">
        <v>100</v>
      </c>
      <c r="AW20" s="26">
        <v>100</v>
      </c>
      <c r="AX20" s="26">
        <v>100</v>
      </c>
      <c r="AY20" s="26">
        <v>100</v>
      </c>
      <c r="AZ20" s="26">
        <v>93.265200000000007</v>
      </c>
      <c r="BA20" s="26">
        <v>100</v>
      </c>
      <c r="BB20" s="26">
        <v>100</v>
      </c>
      <c r="BC20" s="26">
        <v>100</v>
      </c>
      <c r="BD20" s="26">
        <v>100</v>
      </c>
      <c r="BE20" s="26">
        <v>97.566200000000009</v>
      </c>
      <c r="BF20" s="26">
        <v>100</v>
      </c>
      <c r="BG20" s="26">
        <v>100</v>
      </c>
      <c r="BH20" s="26">
        <v>100</v>
      </c>
      <c r="BI20" s="26">
        <v>86.286200000000008</v>
      </c>
      <c r="BJ20" s="26">
        <v>74.058000000000007</v>
      </c>
      <c r="BK20" s="26">
        <v>100</v>
      </c>
      <c r="BL20" s="26">
        <v>81.960499999999996</v>
      </c>
      <c r="BM20" s="26">
        <v>100</v>
      </c>
      <c r="BN20" s="26">
        <v>95.303400000000011</v>
      </c>
      <c r="BO20" s="26">
        <v>46.067500000000003</v>
      </c>
      <c r="BP20" s="26">
        <v>100</v>
      </c>
      <c r="BQ20" s="26">
        <v>100</v>
      </c>
      <c r="BR20" s="26">
        <v>100</v>
      </c>
      <c r="BS20" s="26">
        <v>100</v>
      </c>
      <c r="BT20" s="26">
        <v>89.690300000000008</v>
      </c>
      <c r="BU20" s="26">
        <v>100</v>
      </c>
      <c r="BV20" s="26">
        <v>87.971600000000009</v>
      </c>
      <c r="BW20" s="26">
        <v>33.0244</v>
      </c>
      <c r="BX20" s="26">
        <v>98.414699999999996</v>
      </c>
      <c r="BY20" s="26">
        <v>100</v>
      </c>
      <c r="BZ20" s="26">
        <v>73.876400000000004</v>
      </c>
      <c r="CA20" s="26">
        <v>100</v>
      </c>
      <c r="CB20" s="26">
        <v>47.540199999999999</v>
      </c>
      <c r="CC20" s="26">
        <v>100</v>
      </c>
      <c r="CD20" s="26">
        <v>100</v>
      </c>
      <c r="CE20" s="26">
        <v>90.485800000000012</v>
      </c>
      <c r="CF20" s="26">
        <v>69.123800000000003</v>
      </c>
      <c r="CG20" s="26">
        <v>100</v>
      </c>
      <c r="CH20" s="26">
        <v>100</v>
      </c>
      <c r="CI20" s="26">
        <v>94.332499999999996</v>
      </c>
      <c r="CJ20" s="26">
        <v>51.474499999999999</v>
      </c>
      <c r="CK20" s="26">
        <v>100</v>
      </c>
      <c r="CL20" s="26">
        <v>100</v>
      </c>
      <c r="CM20" s="26">
        <v>74.3934</v>
      </c>
      <c r="CN20" s="26">
        <v>68.631500000000003</v>
      </c>
      <c r="CO20" s="26">
        <v>100</v>
      </c>
      <c r="CP20" s="26">
        <v>45.852200000000003</v>
      </c>
      <c r="CQ20" s="26">
        <v>100</v>
      </c>
      <c r="CR20" s="26">
        <v>100</v>
      </c>
      <c r="CS20" s="26">
        <v>70.248900000000006</v>
      </c>
      <c r="CT20" s="26">
        <v>90.936964210526313</v>
      </c>
      <c r="CU20" s="17">
        <v>8639.0115999999998</v>
      </c>
    </row>
    <row r="21" spans="1:99" x14ac:dyDescent="0.25">
      <c r="A21" s="24">
        <v>20</v>
      </c>
      <c r="B21" s="26">
        <v>9.5</v>
      </c>
      <c r="C21" s="26">
        <v>100</v>
      </c>
      <c r="D21" s="26">
        <v>100</v>
      </c>
      <c r="E21" s="26">
        <v>68.973700000000008</v>
      </c>
      <c r="F21" s="26">
        <v>100</v>
      </c>
      <c r="G21" s="26">
        <v>100</v>
      </c>
      <c r="H21" s="26">
        <v>100</v>
      </c>
      <c r="I21" s="26">
        <v>100</v>
      </c>
      <c r="J21" s="26">
        <v>100</v>
      </c>
      <c r="K21" s="26">
        <v>100</v>
      </c>
      <c r="L21" s="26">
        <v>100</v>
      </c>
      <c r="M21" s="26">
        <v>100</v>
      </c>
      <c r="N21" s="26">
        <v>100</v>
      </c>
      <c r="O21" s="26">
        <v>100</v>
      </c>
      <c r="P21" s="26">
        <v>100</v>
      </c>
      <c r="Q21" s="26">
        <v>85.246399999999994</v>
      </c>
      <c r="R21" s="26">
        <v>100</v>
      </c>
      <c r="S21" s="26">
        <v>100</v>
      </c>
      <c r="T21" s="26">
        <v>72.229399999999998</v>
      </c>
      <c r="U21" s="26">
        <v>100</v>
      </c>
      <c r="V21" s="26">
        <v>100</v>
      </c>
      <c r="W21" s="26">
        <v>100</v>
      </c>
      <c r="X21" s="26">
        <v>100</v>
      </c>
      <c r="Y21" s="26">
        <v>100</v>
      </c>
      <c r="Z21" s="26">
        <v>100</v>
      </c>
      <c r="AA21" s="26">
        <v>73.289299999999997</v>
      </c>
      <c r="AB21" s="26">
        <v>79.728499999999997</v>
      </c>
      <c r="AC21" s="26">
        <v>97.240899999999996</v>
      </c>
      <c r="AD21" s="26">
        <v>73.698599999999999</v>
      </c>
      <c r="AE21" s="26">
        <v>100</v>
      </c>
      <c r="AF21" s="26">
        <v>100</v>
      </c>
      <c r="AG21" s="26">
        <v>100</v>
      </c>
      <c r="AH21" s="26">
        <v>66.2774</v>
      </c>
      <c r="AI21" s="26">
        <v>100</v>
      </c>
      <c r="AJ21" s="26">
        <v>100</v>
      </c>
      <c r="AK21" s="26">
        <v>100</v>
      </c>
      <c r="AL21" s="26">
        <v>100</v>
      </c>
      <c r="AM21" s="26">
        <v>100</v>
      </c>
      <c r="AN21" s="26">
        <v>100</v>
      </c>
      <c r="AO21" s="26">
        <v>100</v>
      </c>
      <c r="AP21" s="26">
        <v>100</v>
      </c>
      <c r="AQ21" s="26">
        <v>100</v>
      </c>
      <c r="AR21" s="26">
        <v>70.643199999999993</v>
      </c>
      <c r="AS21" s="26">
        <v>100</v>
      </c>
      <c r="AT21" s="26">
        <v>100</v>
      </c>
      <c r="AU21" s="26">
        <v>95.008700000000005</v>
      </c>
      <c r="AV21" s="26">
        <v>100</v>
      </c>
      <c r="AW21" s="26">
        <v>100</v>
      </c>
      <c r="AX21" s="26">
        <v>100</v>
      </c>
      <c r="AY21" s="26">
        <v>100</v>
      </c>
      <c r="AZ21" s="26">
        <v>100</v>
      </c>
      <c r="BA21" s="26">
        <v>100</v>
      </c>
      <c r="BB21" s="26">
        <v>100</v>
      </c>
      <c r="BC21" s="26">
        <v>100</v>
      </c>
      <c r="BD21" s="26">
        <v>100</v>
      </c>
      <c r="BE21" s="26">
        <v>100</v>
      </c>
      <c r="BF21" s="26">
        <v>100</v>
      </c>
      <c r="BG21" s="26">
        <v>100</v>
      </c>
      <c r="BH21" s="26">
        <v>100</v>
      </c>
      <c r="BI21" s="26">
        <v>100</v>
      </c>
      <c r="BJ21" s="26">
        <v>88.072199999999995</v>
      </c>
      <c r="BK21" s="26">
        <v>100</v>
      </c>
      <c r="BL21" s="26">
        <v>93.155299999999997</v>
      </c>
      <c r="BM21" s="26">
        <v>100</v>
      </c>
      <c r="BN21" s="26">
        <v>100</v>
      </c>
      <c r="BO21" s="26">
        <v>61.8339</v>
      </c>
      <c r="BP21" s="26">
        <v>100</v>
      </c>
      <c r="BQ21" s="26">
        <v>100</v>
      </c>
      <c r="BR21" s="26">
        <v>100</v>
      </c>
      <c r="BS21" s="26">
        <v>100</v>
      </c>
      <c r="BT21" s="26">
        <v>100</v>
      </c>
      <c r="BU21" s="26">
        <v>100</v>
      </c>
      <c r="BV21" s="26">
        <v>79.511899999999997</v>
      </c>
      <c r="BW21" s="26">
        <v>42.150599999999997</v>
      </c>
      <c r="BX21" s="26">
        <v>100</v>
      </c>
      <c r="BY21" s="26">
        <v>100</v>
      </c>
      <c r="BZ21" s="26">
        <v>94.505099999999999</v>
      </c>
      <c r="CA21" s="26">
        <v>100</v>
      </c>
      <c r="CB21" s="26">
        <v>65.553200000000004</v>
      </c>
      <c r="CC21" s="26">
        <v>100</v>
      </c>
      <c r="CD21" s="26">
        <v>100</v>
      </c>
      <c r="CE21" s="26">
        <v>100</v>
      </c>
      <c r="CF21" s="26">
        <v>82.937700000000007</v>
      </c>
      <c r="CG21" s="26">
        <v>100</v>
      </c>
      <c r="CH21" s="26">
        <v>100</v>
      </c>
      <c r="CI21" s="26">
        <v>100</v>
      </c>
      <c r="CJ21" s="26">
        <v>66.115099999999998</v>
      </c>
      <c r="CK21" s="26">
        <v>100</v>
      </c>
      <c r="CL21" s="26">
        <v>100</v>
      </c>
      <c r="CM21" s="26">
        <v>85.576999999999998</v>
      </c>
      <c r="CN21" s="26">
        <v>79.165499999999994</v>
      </c>
      <c r="CO21" s="26">
        <v>100</v>
      </c>
      <c r="CP21" s="26">
        <v>55.730400000000003</v>
      </c>
      <c r="CQ21" s="26">
        <v>100</v>
      </c>
      <c r="CR21" s="26">
        <v>100</v>
      </c>
      <c r="CS21" s="26">
        <v>84.733199999999997</v>
      </c>
      <c r="CT21" s="26">
        <v>94.330286315789479</v>
      </c>
      <c r="CU21" s="17">
        <v>8961.3772000000008</v>
      </c>
    </row>
    <row r="22" spans="1:99" x14ac:dyDescent="0.25">
      <c r="A22" s="24">
        <v>21</v>
      </c>
      <c r="B22" s="26">
        <v>10</v>
      </c>
      <c r="C22" s="26">
        <v>91.155500000000004</v>
      </c>
      <c r="D22" s="26">
        <v>100</v>
      </c>
      <c r="E22" s="26">
        <v>78.859800000000007</v>
      </c>
      <c r="F22" s="26">
        <v>100</v>
      </c>
      <c r="G22" s="26">
        <v>100</v>
      </c>
      <c r="H22" s="26">
        <v>100</v>
      </c>
      <c r="I22" s="26">
        <v>100</v>
      </c>
      <c r="J22" s="26">
        <v>100</v>
      </c>
      <c r="K22" s="26">
        <v>100</v>
      </c>
      <c r="L22" s="26">
        <v>100</v>
      </c>
      <c r="M22" s="26">
        <v>100</v>
      </c>
      <c r="N22" s="26">
        <v>100</v>
      </c>
      <c r="O22" s="26">
        <v>100</v>
      </c>
      <c r="P22" s="26">
        <v>100</v>
      </c>
      <c r="Q22" s="26">
        <v>96.784400000000005</v>
      </c>
      <c r="R22" s="26">
        <v>100</v>
      </c>
      <c r="S22" s="26">
        <v>100</v>
      </c>
      <c r="T22" s="26">
        <v>87.671800000000005</v>
      </c>
      <c r="U22" s="26">
        <v>100</v>
      </c>
      <c r="V22" s="26">
        <v>100</v>
      </c>
      <c r="W22" s="26">
        <v>100</v>
      </c>
      <c r="X22" s="26">
        <v>100</v>
      </c>
      <c r="Y22" s="26">
        <v>100</v>
      </c>
      <c r="Z22" s="26">
        <v>95.700800000000001</v>
      </c>
      <c r="AA22" s="26">
        <v>80.144499999999994</v>
      </c>
      <c r="AB22" s="26">
        <v>89.759199999999993</v>
      </c>
      <c r="AC22" s="26">
        <v>100</v>
      </c>
      <c r="AD22" s="26">
        <v>60.314599999999999</v>
      </c>
      <c r="AE22" s="26">
        <v>100</v>
      </c>
      <c r="AF22" s="26">
        <v>100</v>
      </c>
      <c r="AG22" s="26">
        <v>100</v>
      </c>
      <c r="AH22" s="26">
        <v>77.428600000000003</v>
      </c>
      <c r="AI22" s="26">
        <v>100</v>
      </c>
      <c r="AJ22" s="26">
        <v>100</v>
      </c>
      <c r="AK22" s="26">
        <v>100</v>
      </c>
      <c r="AL22" s="26">
        <v>100</v>
      </c>
      <c r="AM22" s="26">
        <v>100</v>
      </c>
      <c r="AN22" s="26">
        <v>100</v>
      </c>
      <c r="AO22" s="26">
        <v>96.383799999999994</v>
      </c>
      <c r="AP22" s="26">
        <v>100</v>
      </c>
      <c r="AQ22" s="26">
        <v>100</v>
      </c>
      <c r="AR22" s="26">
        <v>86.841100000000012</v>
      </c>
      <c r="AS22" s="26">
        <v>100</v>
      </c>
      <c r="AT22" s="26">
        <v>100</v>
      </c>
      <c r="AU22" s="26">
        <v>100</v>
      </c>
      <c r="AV22" s="26">
        <v>100</v>
      </c>
      <c r="AW22" s="26">
        <v>100</v>
      </c>
      <c r="AX22" s="26">
        <v>100</v>
      </c>
      <c r="AY22" s="26">
        <v>100</v>
      </c>
      <c r="AZ22" s="26">
        <v>100</v>
      </c>
      <c r="BA22" s="26">
        <v>100</v>
      </c>
      <c r="BB22" s="26">
        <v>100</v>
      </c>
      <c r="BC22" s="26">
        <v>100</v>
      </c>
      <c r="BD22" s="26">
        <v>100</v>
      </c>
      <c r="BE22" s="26">
        <v>100</v>
      </c>
      <c r="BF22" s="26">
        <v>100</v>
      </c>
      <c r="BG22" s="26">
        <v>100</v>
      </c>
      <c r="BH22" s="26">
        <v>100</v>
      </c>
      <c r="BI22" s="26">
        <v>100</v>
      </c>
      <c r="BJ22" s="26">
        <v>100</v>
      </c>
      <c r="BK22" s="26">
        <v>100</v>
      </c>
      <c r="BL22" s="26">
        <v>100</v>
      </c>
      <c r="BM22" s="26">
        <v>100</v>
      </c>
      <c r="BN22" s="26">
        <v>100</v>
      </c>
      <c r="BO22" s="26">
        <v>81.430499999999995</v>
      </c>
      <c r="BP22" s="26">
        <v>100</v>
      </c>
      <c r="BQ22" s="26">
        <v>100</v>
      </c>
      <c r="BR22" s="26">
        <v>100</v>
      </c>
      <c r="BS22" s="26">
        <v>100</v>
      </c>
      <c r="BT22" s="26">
        <v>100</v>
      </c>
      <c r="BU22" s="26">
        <v>100</v>
      </c>
      <c r="BV22" s="26">
        <v>88.947800000000001</v>
      </c>
      <c r="BW22" s="26">
        <v>52.819899999999997</v>
      </c>
      <c r="BX22" s="26">
        <v>100</v>
      </c>
      <c r="BY22" s="26">
        <v>100</v>
      </c>
      <c r="BZ22" s="26">
        <v>100</v>
      </c>
      <c r="CA22" s="26">
        <v>100</v>
      </c>
      <c r="CB22" s="26">
        <v>83.024799999999999</v>
      </c>
      <c r="CC22" s="26">
        <v>100</v>
      </c>
      <c r="CD22" s="26">
        <v>100</v>
      </c>
      <c r="CE22" s="26">
        <v>100</v>
      </c>
      <c r="CF22" s="26">
        <v>98.082499999999996</v>
      </c>
      <c r="CG22" s="26">
        <v>100</v>
      </c>
      <c r="CH22" s="26">
        <v>100</v>
      </c>
      <c r="CI22" s="26">
        <v>100</v>
      </c>
      <c r="CJ22" s="26">
        <v>68.959099999999992</v>
      </c>
      <c r="CK22" s="26">
        <v>100</v>
      </c>
      <c r="CL22" s="26">
        <v>100</v>
      </c>
      <c r="CM22" s="26">
        <v>97.598300000000009</v>
      </c>
      <c r="CN22" s="26">
        <v>88.359200000000001</v>
      </c>
      <c r="CO22" s="26">
        <v>100</v>
      </c>
      <c r="CP22" s="26">
        <v>54.528100000000002</v>
      </c>
      <c r="CQ22" s="26">
        <v>100</v>
      </c>
      <c r="CR22" s="26">
        <v>100</v>
      </c>
      <c r="CS22" s="26">
        <v>100</v>
      </c>
      <c r="CT22" s="26">
        <v>96.366255789473698</v>
      </c>
      <c r="CU22" s="17">
        <v>9154.7943000000014</v>
      </c>
    </row>
    <row r="23" spans="1:99" x14ac:dyDescent="0.25">
      <c r="A23" s="24">
        <v>22</v>
      </c>
      <c r="B23" s="26">
        <v>10.5</v>
      </c>
      <c r="C23" s="26">
        <v>96.3977</v>
      </c>
      <c r="D23" s="26">
        <v>100</v>
      </c>
      <c r="E23" s="26">
        <v>70.743800000000007</v>
      </c>
      <c r="F23" s="26">
        <v>100</v>
      </c>
      <c r="G23" s="26">
        <v>100</v>
      </c>
      <c r="H23" s="26">
        <v>100</v>
      </c>
      <c r="I23" s="26">
        <v>100</v>
      </c>
      <c r="J23" s="26">
        <v>100</v>
      </c>
      <c r="K23" s="26">
        <v>100</v>
      </c>
      <c r="L23" s="26">
        <v>100</v>
      </c>
      <c r="M23" s="26">
        <v>100</v>
      </c>
      <c r="N23" s="26">
        <v>100</v>
      </c>
      <c r="O23" s="26">
        <v>100</v>
      </c>
      <c r="P23" s="26">
        <v>100</v>
      </c>
      <c r="Q23" s="26">
        <v>100</v>
      </c>
      <c r="R23" s="26">
        <v>100</v>
      </c>
      <c r="S23" s="26">
        <v>100</v>
      </c>
      <c r="T23" s="26">
        <v>100</v>
      </c>
      <c r="U23" s="26">
        <v>100</v>
      </c>
      <c r="V23" s="26">
        <v>100</v>
      </c>
      <c r="W23" s="26">
        <v>100</v>
      </c>
      <c r="X23" s="26">
        <v>100</v>
      </c>
      <c r="Y23" s="26">
        <v>100</v>
      </c>
      <c r="Z23" s="26">
        <v>100</v>
      </c>
      <c r="AA23" s="26">
        <v>90.6995</v>
      </c>
      <c r="AB23" s="26">
        <v>99.50139999999999</v>
      </c>
      <c r="AC23" s="26">
        <v>100</v>
      </c>
      <c r="AD23" s="26">
        <v>73.105100000000007</v>
      </c>
      <c r="AE23" s="26">
        <v>100</v>
      </c>
      <c r="AF23" s="26">
        <v>100</v>
      </c>
      <c r="AG23" s="26">
        <v>100</v>
      </c>
      <c r="AH23" s="26">
        <v>87.894199999999998</v>
      </c>
      <c r="AI23" s="26">
        <v>100</v>
      </c>
      <c r="AJ23" s="26">
        <v>100</v>
      </c>
      <c r="AK23" s="26">
        <v>100</v>
      </c>
      <c r="AL23" s="26">
        <v>100</v>
      </c>
      <c r="AM23" s="26">
        <v>100</v>
      </c>
      <c r="AN23" s="26">
        <v>100</v>
      </c>
      <c r="AO23" s="26">
        <v>92.327100000000002</v>
      </c>
      <c r="AP23" s="26">
        <v>100</v>
      </c>
      <c r="AQ23" s="26">
        <v>100</v>
      </c>
      <c r="AR23" s="26">
        <v>91.107900000000001</v>
      </c>
      <c r="AS23" s="26">
        <v>100</v>
      </c>
      <c r="AT23" s="26">
        <v>100</v>
      </c>
      <c r="AU23" s="26">
        <v>100</v>
      </c>
      <c r="AV23" s="26">
        <v>100</v>
      </c>
      <c r="AW23" s="26">
        <v>100</v>
      </c>
      <c r="AX23" s="26">
        <v>100</v>
      </c>
      <c r="AY23" s="26">
        <v>100</v>
      </c>
      <c r="AZ23" s="26">
        <v>100</v>
      </c>
      <c r="BA23" s="26">
        <v>100</v>
      </c>
      <c r="BB23" s="26">
        <v>100</v>
      </c>
      <c r="BC23" s="26">
        <v>100</v>
      </c>
      <c r="BD23" s="26">
        <v>100</v>
      </c>
      <c r="BE23" s="26">
        <v>100</v>
      </c>
      <c r="BF23" s="26">
        <v>100</v>
      </c>
      <c r="BG23" s="26">
        <v>100</v>
      </c>
      <c r="BH23" s="26">
        <v>100</v>
      </c>
      <c r="BI23" s="26">
        <v>100</v>
      </c>
      <c r="BJ23" s="26">
        <v>100</v>
      </c>
      <c r="BK23" s="26">
        <v>100</v>
      </c>
      <c r="BL23" s="26">
        <v>100</v>
      </c>
      <c r="BM23" s="26">
        <v>100</v>
      </c>
      <c r="BN23" s="26">
        <v>100</v>
      </c>
      <c r="BO23" s="26">
        <v>100</v>
      </c>
      <c r="BP23" s="26">
        <v>100</v>
      </c>
      <c r="BQ23" s="26">
        <v>100</v>
      </c>
      <c r="BR23" s="26">
        <v>100</v>
      </c>
      <c r="BS23" s="26">
        <v>100</v>
      </c>
      <c r="BT23" s="26">
        <v>92.790999999999997</v>
      </c>
      <c r="BU23" s="26">
        <v>100</v>
      </c>
      <c r="BV23" s="26">
        <v>100</v>
      </c>
      <c r="BW23" s="26">
        <v>67.724599999999995</v>
      </c>
      <c r="BX23" s="26">
        <v>100</v>
      </c>
      <c r="BY23" s="26">
        <v>100</v>
      </c>
      <c r="BZ23" s="26">
        <v>100</v>
      </c>
      <c r="CA23" s="26">
        <v>100</v>
      </c>
      <c r="CB23" s="26">
        <v>100</v>
      </c>
      <c r="CC23" s="26">
        <v>100</v>
      </c>
      <c r="CD23" s="26">
        <v>100</v>
      </c>
      <c r="CE23" s="26">
        <v>100</v>
      </c>
      <c r="CF23" s="26">
        <v>100</v>
      </c>
      <c r="CG23" s="26">
        <v>100</v>
      </c>
      <c r="CH23" s="26">
        <v>100</v>
      </c>
      <c r="CI23" s="26">
        <v>100</v>
      </c>
      <c r="CJ23" s="26">
        <v>72.660200000000003</v>
      </c>
      <c r="CK23" s="26">
        <v>100</v>
      </c>
      <c r="CL23" s="26">
        <v>100</v>
      </c>
      <c r="CM23" s="26">
        <v>100</v>
      </c>
      <c r="CN23" s="26">
        <v>100</v>
      </c>
      <c r="CO23" s="26">
        <v>100</v>
      </c>
      <c r="CP23" s="26">
        <v>65.781300000000002</v>
      </c>
      <c r="CQ23" s="26">
        <v>100</v>
      </c>
      <c r="CR23" s="26">
        <v>100</v>
      </c>
      <c r="CS23" s="26">
        <v>100</v>
      </c>
      <c r="CT23" s="26">
        <v>97.902461052631594</v>
      </c>
      <c r="CU23" s="17">
        <v>9300.7338000000018</v>
      </c>
    </row>
    <row r="24" spans="1:99" x14ac:dyDescent="0.25">
      <c r="A24" s="24">
        <v>23</v>
      </c>
      <c r="B24" s="26">
        <v>11</v>
      </c>
      <c r="C24" s="26">
        <v>100</v>
      </c>
      <c r="D24" s="26">
        <v>100</v>
      </c>
      <c r="E24" s="26">
        <v>84.193899999999999</v>
      </c>
      <c r="F24" s="26">
        <v>100</v>
      </c>
      <c r="G24" s="26">
        <v>100</v>
      </c>
      <c r="H24" s="26">
        <v>100</v>
      </c>
      <c r="I24" s="26">
        <v>100</v>
      </c>
      <c r="J24" s="26">
        <v>100</v>
      </c>
      <c r="K24" s="26">
        <v>100</v>
      </c>
      <c r="L24" s="26">
        <v>100</v>
      </c>
      <c r="M24" s="26">
        <v>100</v>
      </c>
      <c r="N24" s="26">
        <v>100</v>
      </c>
      <c r="O24" s="26">
        <v>100</v>
      </c>
      <c r="P24" s="26">
        <v>100</v>
      </c>
      <c r="Q24" s="26">
        <v>100</v>
      </c>
      <c r="R24" s="26">
        <v>100</v>
      </c>
      <c r="S24" s="26">
        <v>100</v>
      </c>
      <c r="T24" s="26">
        <v>100</v>
      </c>
      <c r="U24" s="26">
        <v>100</v>
      </c>
      <c r="V24" s="26">
        <v>100</v>
      </c>
      <c r="W24" s="26">
        <v>100</v>
      </c>
      <c r="X24" s="26">
        <v>100</v>
      </c>
      <c r="Y24" s="26">
        <v>100</v>
      </c>
      <c r="Z24" s="26">
        <v>100</v>
      </c>
      <c r="AA24" s="26">
        <v>100</v>
      </c>
      <c r="AB24" s="26">
        <v>100</v>
      </c>
      <c r="AC24" s="26">
        <v>100</v>
      </c>
      <c r="AD24" s="26">
        <v>86.502600000000001</v>
      </c>
      <c r="AE24" s="26">
        <v>100</v>
      </c>
      <c r="AF24" s="26">
        <v>100</v>
      </c>
      <c r="AG24" s="26">
        <v>100</v>
      </c>
      <c r="AH24" s="26">
        <v>100</v>
      </c>
      <c r="AI24" s="26">
        <v>100</v>
      </c>
      <c r="AJ24" s="26">
        <v>100</v>
      </c>
      <c r="AK24" s="26">
        <v>100</v>
      </c>
      <c r="AL24" s="26">
        <v>100</v>
      </c>
      <c r="AM24" s="26">
        <v>100</v>
      </c>
      <c r="AN24" s="26">
        <v>100</v>
      </c>
      <c r="AO24" s="26">
        <v>88.673299999999998</v>
      </c>
      <c r="AP24" s="26">
        <v>100</v>
      </c>
      <c r="AQ24" s="26">
        <v>100</v>
      </c>
      <c r="AR24" s="26">
        <v>90.779200000000003</v>
      </c>
      <c r="AS24" s="26">
        <v>100</v>
      </c>
      <c r="AT24" s="26">
        <v>100</v>
      </c>
      <c r="AU24" s="26">
        <v>100</v>
      </c>
      <c r="AV24" s="26">
        <v>100</v>
      </c>
      <c r="AW24" s="26">
        <v>100</v>
      </c>
      <c r="AX24" s="26">
        <v>100</v>
      </c>
      <c r="AY24" s="26">
        <v>100</v>
      </c>
      <c r="AZ24" s="26">
        <v>100</v>
      </c>
      <c r="BA24" s="26">
        <v>100</v>
      </c>
      <c r="BB24" s="26">
        <v>100</v>
      </c>
      <c r="BC24" s="26">
        <v>100</v>
      </c>
      <c r="BD24" s="26">
        <v>100</v>
      </c>
      <c r="BE24" s="26">
        <v>100</v>
      </c>
      <c r="BF24" s="26">
        <v>100</v>
      </c>
      <c r="BG24" s="26">
        <v>100</v>
      </c>
      <c r="BH24" s="26">
        <v>100</v>
      </c>
      <c r="BI24" s="26">
        <v>100</v>
      </c>
      <c r="BJ24" s="26">
        <v>100</v>
      </c>
      <c r="BK24" s="26">
        <v>100</v>
      </c>
      <c r="BL24" s="26">
        <v>100</v>
      </c>
      <c r="BM24" s="26">
        <v>100</v>
      </c>
      <c r="BN24" s="26">
        <v>100</v>
      </c>
      <c r="BO24" s="26">
        <v>100</v>
      </c>
      <c r="BP24" s="26">
        <v>100</v>
      </c>
      <c r="BQ24" s="26">
        <v>100</v>
      </c>
      <c r="BR24" s="26">
        <v>100</v>
      </c>
      <c r="BS24" s="26">
        <v>100</v>
      </c>
      <c r="BT24" s="26">
        <v>85.44380000000001</v>
      </c>
      <c r="BU24" s="26">
        <v>100</v>
      </c>
      <c r="BV24" s="26">
        <v>100</v>
      </c>
      <c r="BW24" s="26">
        <v>74.233800000000002</v>
      </c>
      <c r="BX24" s="26">
        <v>100</v>
      </c>
      <c r="BY24" s="26">
        <v>100</v>
      </c>
      <c r="BZ24" s="26">
        <v>100</v>
      </c>
      <c r="CA24" s="26">
        <v>100</v>
      </c>
      <c r="CB24" s="26">
        <v>100</v>
      </c>
      <c r="CC24" s="26">
        <v>100</v>
      </c>
      <c r="CD24" s="26">
        <v>95.159199999999998</v>
      </c>
      <c r="CE24" s="26">
        <v>100</v>
      </c>
      <c r="CF24" s="26">
        <v>100</v>
      </c>
      <c r="CG24" s="26">
        <v>100</v>
      </c>
      <c r="CH24" s="26">
        <v>100</v>
      </c>
      <c r="CI24" s="26">
        <v>100</v>
      </c>
      <c r="CJ24" s="26">
        <v>86.769300000000001</v>
      </c>
      <c r="CK24" s="26">
        <v>100</v>
      </c>
      <c r="CL24" s="26">
        <v>100</v>
      </c>
      <c r="CM24" s="26">
        <v>100</v>
      </c>
      <c r="CN24" s="26">
        <v>100</v>
      </c>
      <c r="CO24" s="26">
        <v>100</v>
      </c>
      <c r="CP24" s="26">
        <v>74.404700000000005</v>
      </c>
      <c r="CQ24" s="26">
        <v>100</v>
      </c>
      <c r="CR24" s="26">
        <v>100</v>
      </c>
      <c r="CS24" s="26">
        <v>100</v>
      </c>
      <c r="CT24" s="26">
        <v>98.591155789473675</v>
      </c>
      <c r="CU24" s="17">
        <v>9366.1597999999994</v>
      </c>
    </row>
    <row r="25" spans="1:99" x14ac:dyDescent="0.25">
      <c r="A25" s="24">
        <v>24</v>
      </c>
      <c r="B25" s="26">
        <v>11.5</v>
      </c>
      <c r="C25" s="26">
        <v>100</v>
      </c>
      <c r="D25" s="26">
        <v>100</v>
      </c>
      <c r="E25" s="26">
        <v>88.141899999999993</v>
      </c>
      <c r="F25" s="26">
        <v>100</v>
      </c>
      <c r="G25" s="26">
        <v>100</v>
      </c>
      <c r="H25" s="26">
        <v>100</v>
      </c>
      <c r="I25" s="26">
        <v>100</v>
      </c>
      <c r="J25" s="26">
        <v>100</v>
      </c>
      <c r="K25" s="26">
        <v>100</v>
      </c>
      <c r="L25" s="26">
        <v>100</v>
      </c>
      <c r="M25" s="26">
        <v>100</v>
      </c>
      <c r="N25" s="26">
        <v>100</v>
      </c>
      <c r="O25" s="26">
        <v>100</v>
      </c>
      <c r="P25" s="26">
        <v>100</v>
      </c>
      <c r="Q25" s="26">
        <v>100</v>
      </c>
      <c r="R25" s="26">
        <v>100</v>
      </c>
      <c r="S25" s="26">
        <v>100</v>
      </c>
      <c r="T25" s="26">
        <v>100</v>
      </c>
      <c r="U25" s="26">
        <v>100</v>
      </c>
      <c r="V25" s="26">
        <v>100</v>
      </c>
      <c r="W25" s="26">
        <v>100</v>
      </c>
      <c r="X25" s="26">
        <v>100</v>
      </c>
      <c r="Y25" s="26">
        <v>100</v>
      </c>
      <c r="Z25" s="26">
        <v>100</v>
      </c>
      <c r="AA25" s="26">
        <v>100</v>
      </c>
      <c r="AB25" s="26">
        <v>100</v>
      </c>
      <c r="AC25" s="26">
        <v>100</v>
      </c>
      <c r="AD25" s="26">
        <v>98.613799999999998</v>
      </c>
      <c r="AE25" s="26">
        <v>100</v>
      </c>
      <c r="AF25" s="26">
        <v>100</v>
      </c>
      <c r="AG25" s="26">
        <v>100</v>
      </c>
      <c r="AH25" s="26">
        <v>100</v>
      </c>
      <c r="AI25" s="26">
        <v>100</v>
      </c>
      <c r="AJ25" s="26">
        <v>100</v>
      </c>
      <c r="AK25" s="26">
        <v>100</v>
      </c>
      <c r="AL25" s="26">
        <v>100</v>
      </c>
      <c r="AM25" s="26">
        <v>100</v>
      </c>
      <c r="AN25" s="26">
        <v>100</v>
      </c>
      <c r="AO25" s="26">
        <v>100</v>
      </c>
      <c r="AP25" s="26">
        <v>100</v>
      </c>
      <c r="AQ25" s="26">
        <v>100</v>
      </c>
      <c r="AR25" s="26">
        <v>95.207799999999992</v>
      </c>
      <c r="AS25" s="26">
        <v>100</v>
      </c>
      <c r="AT25" s="26">
        <v>100</v>
      </c>
      <c r="AU25" s="26">
        <v>100</v>
      </c>
      <c r="AV25" s="26">
        <v>100</v>
      </c>
      <c r="AW25" s="26">
        <v>100</v>
      </c>
      <c r="AX25" s="26">
        <v>100</v>
      </c>
      <c r="AY25" s="26">
        <v>100</v>
      </c>
      <c r="AZ25" s="26">
        <v>100</v>
      </c>
      <c r="BA25" s="26">
        <v>100</v>
      </c>
      <c r="BB25" s="26">
        <v>100</v>
      </c>
      <c r="BC25" s="26">
        <v>100</v>
      </c>
      <c r="BD25" s="26">
        <v>100</v>
      </c>
      <c r="BE25" s="26">
        <v>100</v>
      </c>
      <c r="BF25" s="26">
        <v>100</v>
      </c>
      <c r="BG25" s="26">
        <v>100</v>
      </c>
      <c r="BH25" s="26">
        <v>100</v>
      </c>
      <c r="BI25" s="26">
        <v>100</v>
      </c>
      <c r="BJ25" s="26">
        <v>100</v>
      </c>
      <c r="BK25" s="26">
        <v>100</v>
      </c>
      <c r="BL25" s="26">
        <v>100</v>
      </c>
      <c r="BM25" s="26">
        <v>100</v>
      </c>
      <c r="BN25" s="26">
        <v>100</v>
      </c>
      <c r="BO25" s="26">
        <v>100</v>
      </c>
      <c r="BP25" s="26">
        <v>100</v>
      </c>
      <c r="BQ25" s="26">
        <v>100</v>
      </c>
      <c r="BR25" s="26">
        <v>100</v>
      </c>
      <c r="BS25" s="26">
        <v>100</v>
      </c>
      <c r="BT25" s="26">
        <v>100</v>
      </c>
      <c r="BU25" s="26">
        <v>100</v>
      </c>
      <c r="BV25" s="26">
        <v>100</v>
      </c>
      <c r="BW25" s="26">
        <v>92.703199999999995</v>
      </c>
      <c r="BX25" s="26">
        <v>99.2714</v>
      </c>
      <c r="BY25" s="26">
        <v>100</v>
      </c>
      <c r="BZ25" s="26">
        <v>100</v>
      </c>
      <c r="CA25" s="26">
        <v>100</v>
      </c>
      <c r="CB25" s="26">
        <v>100</v>
      </c>
      <c r="CC25" s="26">
        <v>100</v>
      </c>
      <c r="CD25" s="26">
        <v>95.955100000000002</v>
      </c>
      <c r="CE25" s="26">
        <v>100</v>
      </c>
      <c r="CF25" s="26">
        <v>100</v>
      </c>
      <c r="CG25" s="26">
        <v>100</v>
      </c>
      <c r="CH25" s="26">
        <v>100</v>
      </c>
      <c r="CI25" s="26">
        <v>100</v>
      </c>
      <c r="CJ25" s="26">
        <v>100</v>
      </c>
      <c r="CK25" s="26">
        <v>100</v>
      </c>
      <c r="CL25" s="26">
        <v>100</v>
      </c>
      <c r="CM25" s="26">
        <v>100</v>
      </c>
      <c r="CN25" s="26">
        <v>100</v>
      </c>
      <c r="CO25" s="26">
        <v>100</v>
      </c>
      <c r="CP25" s="26">
        <v>85.329700000000003</v>
      </c>
      <c r="CQ25" s="26">
        <v>100</v>
      </c>
      <c r="CR25" s="26">
        <v>100</v>
      </c>
      <c r="CS25" s="26">
        <v>100</v>
      </c>
      <c r="CT25" s="26">
        <v>99.528662105263152</v>
      </c>
      <c r="CU25" s="17">
        <v>9455.2228999999988</v>
      </c>
    </row>
    <row r="26" spans="1:99" x14ac:dyDescent="0.25">
      <c r="A26" s="24">
        <v>25</v>
      </c>
      <c r="B26" s="26">
        <v>12</v>
      </c>
      <c r="C26" s="26">
        <v>100</v>
      </c>
      <c r="D26" s="26">
        <v>100</v>
      </c>
      <c r="E26" s="26">
        <v>100</v>
      </c>
      <c r="F26" s="26">
        <v>100</v>
      </c>
      <c r="G26" s="26">
        <v>100</v>
      </c>
      <c r="H26" s="26">
        <v>100</v>
      </c>
      <c r="I26" s="26">
        <v>100</v>
      </c>
      <c r="J26" s="26">
        <v>100</v>
      </c>
      <c r="K26" s="26">
        <v>100</v>
      </c>
      <c r="L26" s="26">
        <v>100</v>
      </c>
      <c r="M26" s="26">
        <v>100</v>
      </c>
      <c r="N26" s="26">
        <v>100</v>
      </c>
      <c r="O26" s="26">
        <v>100</v>
      </c>
      <c r="P26" s="26">
        <v>100</v>
      </c>
      <c r="Q26" s="26">
        <v>100</v>
      </c>
      <c r="R26" s="26">
        <v>100</v>
      </c>
      <c r="S26" s="26">
        <v>100</v>
      </c>
      <c r="T26" s="26">
        <v>100</v>
      </c>
      <c r="U26" s="26">
        <v>100</v>
      </c>
      <c r="V26" s="26">
        <v>100</v>
      </c>
      <c r="W26" s="26">
        <v>100</v>
      </c>
      <c r="X26" s="26">
        <v>100</v>
      </c>
      <c r="Y26" s="26">
        <v>100</v>
      </c>
      <c r="Z26" s="26">
        <v>100</v>
      </c>
      <c r="AA26" s="26">
        <v>100</v>
      </c>
      <c r="AB26" s="26">
        <v>100</v>
      </c>
      <c r="AC26" s="26">
        <v>100</v>
      </c>
      <c r="AD26" s="26">
        <v>100</v>
      </c>
      <c r="AE26" s="26">
        <v>100</v>
      </c>
      <c r="AF26" s="26">
        <v>100</v>
      </c>
      <c r="AG26" s="26">
        <v>100</v>
      </c>
      <c r="AH26" s="26">
        <v>100</v>
      </c>
      <c r="AI26" s="26">
        <v>100</v>
      </c>
      <c r="AJ26" s="26">
        <v>100</v>
      </c>
      <c r="AK26" s="26">
        <v>100</v>
      </c>
      <c r="AL26" s="26">
        <v>100</v>
      </c>
      <c r="AM26" s="26">
        <v>100</v>
      </c>
      <c r="AN26" s="26">
        <v>100</v>
      </c>
      <c r="AO26" s="26">
        <v>100</v>
      </c>
      <c r="AP26" s="26">
        <v>100</v>
      </c>
      <c r="AQ26" s="26">
        <v>73.804299999999998</v>
      </c>
      <c r="AR26" s="26">
        <v>93.770899999999997</v>
      </c>
      <c r="AS26" s="26">
        <v>100</v>
      </c>
      <c r="AT26" s="26">
        <v>100</v>
      </c>
      <c r="AU26" s="26">
        <v>100</v>
      </c>
      <c r="AV26" s="26">
        <v>100</v>
      </c>
      <c r="AW26" s="26">
        <v>100</v>
      </c>
      <c r="AX26" s="26">
        <v>100</v>
      </c>
      <c r="AY26" s="26">
        <v>100</v>
      </c>
      <c r="AZ26" s="26">
        <v>100</v>
      </c>
      <c r="BA26" s="26">
        <v>100</v>
      </c>
      <c r="BB26" s="26">
        <v>100</v>
      </c>
      <c r="BC26" s="26">
        <v>100</v>
      </c>
      <c r="BD26" s="26">
        <v>100</v>
      </c>
      <c r="BE26" s="26">
        <v>100</v>
      </c>
      <c r="BF26" s="26">
        <v>100</v>
      </c>
      <c r="BG26" s="26">
        <v>100</v>
      </c>
      <c r="BH26" s="26">
        <v>100</v>
      </c>
      <c r="BI26" s="26">
        <v>100</v>
      </c>
      <c r="BJ26" s="26">
        <v>100</v>
      </c>
      <c r="BK26" s="26">
        <v>100</v>
      </c>
      <c r="BL26" s="26">
        <v>100</v>
      </c>
      <c r="BM26" s="26">
        <v>100</v>
      </c>
      <c r="BN26" s="26">
        <v>97.399999999999991</v>
      </c>
      <c r="BO26" s="26">
        <v>100</v>
      </c>
      <c r="BP26" s="26">
        <v>100</v>
      </c>
      <c r="BQ26" s="26">
        <v>100</v>
      </c>
      <c r="BR26" s="26">
        <v>100</v>
      </c>
      <c r="BS26" s="26">
        <v>100</v>
      </c>
      <c r="BT26" s="26">
        <v>100</v>
      </c>
      <c r="BU26" s="26">
        <v>100</v>
      </c>
      <c r="BV26" s="26">
        <v>100</v>
      </c>
      <c r="BW26" s="26">
        <v>100</v>
      </c>
      <c r="BX26" s="26">
        <v>100</v>
      </c>
      <c r="BY26" s="26">
        <v>100</v>
      </c>
      <c r="BZ26" s="26">
        <v>100</v>
      </c>
      <c r="CA26" s="26">
        <v>100</v>
      </c>
      <c r="CB26" s="26">
        <v>100</v>
      </c>
      <c r="CC26" s="26">
        <v>100</v>
      </c>
      <c r="CD26" s="26">
        <v>99.999899999999997</v>
      </c>
      <c r="CE26" s="26">
        <v>100</v>
      </c>
      <c r="CF26" s="26">
        <v>100</v>
      </c>
      <c r="CG26" s="26">
        <v>100</v>
      </c>
      <c r="CH26" s="26">
        <v>100</v>
      </c>
      <c r="CI26" s="26">
        <v>100</v>
      </c>
      <c r="CJ26" s="26">
        <v>100</v>
      </c>
      <c r="CK26" s="26">
        <v>100</v>
      </c>
      <c r="CL26" s="26">
        <v>100</v>
      </c>
      <c r="CM26" s="26">
        <v>100</v>
      </c>
      <c r="CN26" s="26">
        <v>100</v>
      </c>
      <c r="CO26" s="26">
        <v>100</v>
      </c>
      <c r="CP26" s="26">
        <v>86.740300000000005</v>
      </c>
      <c r="CQ26" s="26">
        <v>100</v>
      </c>
      <c r="CR26" s="26">
        <v>100</v>
      </c>
      <c r="CS26" s="26">
        <v>100</v>
      </c>
      <c r="CT26" s="26">
        <v>99.491741052631568</v>
      </c>
      <c r="CU26" s="17">
        <v>9451.7153999999991</v>
      </c>
    </row>
    <row r="27" spans="1:99" x14ac:dyDescent="0.25">
      <c r="A27" s="24">
        <v>26</v>
      </c>
      <c r="B27" s="26">
        <v>12.5</v>
      </c>
      <c r="C27" s="26">
        <v>100</v>
      </c>
      <c r="D27" s="26">
        <v>100</v>
      </c>
      <c r="E27" s="26">
        <v>100</v>
      </c>
      <c r="F27" s="26">
        <v>100</v>
      </c>
      <c r="G27" s="26">
        <v>100</v>
      </c>
      <c r="H27" s="26">
        <v>100</v>
      </c>
      <c r="I27" s="26">
        <v>100</v>
      </c>
      <c r="J27" s="26">
        <v>100</v>
      </c>
      <c r="K27" s="26">
        <v>100</v>
      </c>
      <c r="L27" s="26">
        <v>100</v>
      </c>
      <c r="M27" s="26">
        <v>100</v>
      </c>
      <c r="N27" s="26">
        <v>100</v>
      </c>
      <c r="O27" s="26">
        <v>100</v>
      </c>
      <c r="P27" s="26">
        <v>100</v>
      </c>
      <c r="Q27" s="26">
        <v>100</v>
      </c>
      <c r="R27" s="26">
        <v>100</v>
      </c>
      <c r="S27" s="26">
        <v>100</v>
      </c>
      <c r="T27" s="26">
        <v>100</v>
      </c>
      <c r="U27" s="26">
        <v>100</v>
      </c>
      <c r="V27" s="26">
        <v>100</v>
      </c>
      <c r="W27" s="26">
        <v>100</v>
      </c>
      <c r="X27" s="26">
        <v>100</v>
      </c>
      <c r="Y27" s="26">
        <v>100</v>
      </c>
      <c r="Z27" s="26">
        <v>100</v>
      </c>
      <c r="AA27" s="26">
        <v>100</v>
      </c>
      <c r="AB27" s="26">
        <v>100</v>
      </c>
      <c r="AC27" s="26">
        <v>100</v>
      </c>
      <c r="AD27" s="26">
        <v>100</v>
      </c>
      <c r="AE27" s="26">
        <v>100</v>
      </c>
      <c r="AF27" s="26">
        <v>100</v>
      </c>
      <c r="AG27" s="26">
        <v>100</v>
      </c>
      <c r="AH27" s="26">
        <v>100</v>
      </c>
      <c r="AI27" s="26">
        <v>100</v>
      </c>
      <c r="AJ27" s="26">
        <v>100</v>
      </c>
      <c r="AK27" s="26">
        <v>95.105399999999989</v>
      </c>
      <c r="AL27" s="26">
        <v>100</v>
      </c>
      <c r="AM27" s="26">
        <v>100</v>
      </c>
      <c r="AN27" s="26">
        <v>100</v>
      </c>
      <c r="AO27" s="26">
        <v>93.937200000000004</v>
      </c>
      <c r="AP27" s="26">
        <v>100</v>
      </c>
      <c r="AQ27" s="26">
        <v>60.356400000000001</v>
      </c>
      <c r="AR27" s="26">
        <v>91.954999999999998</v>
      </c>
      <c r="AS27" s="26">
        <v>100</v>
      </c>
      <c r="AT27" s="26">
        <v>100</v>
      </c>
      <c r="AU27" s="26">
        <v>100</v>
      </c>
      <c r="AV27" s="26">
        <v>100</v>
      </c>
      <c r="AW27" s="26">
        <v>100</v>
      </c>
      <c r="AX27" s="26">
        <v>100</v>
      </c>
      <c r="AY27" s="26">
        <v>100</v>
      </c>
      <c r="AZ27" s="26">
        <v>100</v>
      </c>
      <c r="BA27" s="26">
        <v>100</v>
      </c>
      <c r="BB27" s="26">
        <v>100</v>
      </c>
      <c r="BC27" s="26">
        <v>100</v>
      </c>
      <c r="BD27" s="26">
        <v>100</v>
      </c>
      <c r="BE27" s="26">
        <v>100</v>
      </c>
      <c r="BF27" s="26">
        <v>100</v>
      </c>
      <c r="BG27" s="26">
        <v>100</v>
      </c>
      <c r="BH27" s="26">
        <v>100</v>
      </c>
      <c r="BI27" s="26">
        <v>100</v>
      </c>
      <c r="BJ27" s="26">
        <v>100</v>
      </c>
      <c r="BK27" s="26">
        <v>100</v>
      </c>
      <c r="BL27" s="26">
        <v>100</v>
      </c>
      <c r="BM27" s="26">
        <v>100</v>
      </c>
      <c r="BN27" s="26">
        <v>100</v>
      </c>
      <c r="BO27" s="26">
        <v>100</v>
      </c>
      <c r="BP27" s="26">
        <v>100</v>
      </c>
      <c r="BQ27" s="26">
        <v>100</v>
      </c>
      <c r="BR27" s="26">
        <v>100</v>
      </c>
      <c r="BS27" s="26">
        <v>100</v>
      </c>
      <c r="BT27" s="26">
        <v>100</v>
      </c>
      <c r="BU27" s="26">
        <v>100</v>
      </c>
      <c r="BV27" s="26">
        <v>100</v>
      </c>
      <c r="BW27" s="26">
        <v>100</v>
      </c>
      <c r="BX27" s="26">
        <v>100</v>
      </c>
      <c r="BY27" s="26">
        <v>100</v>
      </c>
      <c r="BZ27" s="26">
        <v>100</v>
      </c>
      <c r="CA27" s="26">
        <v>100</v>
      </c>
      <c r="CB27" s="26">
        <v>100</v>
      </c>
      <c r="CC27" s="26">
        <v>100</v>
      </c>
      <c r="CD27" s="26">
        <v>94.3767</v>
      </c>
      <c r="CE27" s="26">
        <v>100</v>
      </c>
      <c r="CF27" s="26">
        <v>100</v>
      </c>
      <c r="CG27" s="26">
        <v>100</v>
      </c>
      <c r="CH27" s="26">
        <v>100</v>
      </c>
      <c r="CI27" s="26">
        <v>100</v>
      </c>
      <c r="CJ27" s="26">
        <v>100</v>
      </c>
      <c r="CK27" s="26">
        <v>100</v>
      </c>
      <c r="CL27" s="26">
        <v>100</v>
      </c>
      <c r="CM27" s="26">
        <v>100</v>
      </c>
      <c r="CN27" s="26">
        <v>100</v>
      </c>
      <c r="CO27" s="26">
        <v>100</v>
      </c>
      <c r="CP27" s="26">
        <v>79.563199999999995</v>
      </c>
      <c r="CQ27" s="26">
        <v>100</v>
      </c>
      <c r="CR27" s="26">
        <v>100</v>
      </c>
      <c r="CS27" s="26">
        <v>100</v>
      </c>
      <c r="CT27" s="26">
        <v>99.108356842105266</v>
      </c>
      <c r="CU27" s="17">
        <v>9415.2939000000006</v>
      </c>
    </row>
    <row r="28" spans="1:99" x14ac:dyDescent="0.25">
      <c r="A28" s="24">
        <v>27</v>
      </c>
      <c r="B28" s="26">
        <v>13</v>
      </c>
      <c r="C28" s="26">
        <v>100</v>
      </c>
      <c r="D28" s="26">
        <v>100</v>
      </c>
      <c r="E28" s="26">
        <v>100</v>
      </c>
      <c r="F28" s="26">
        <v>100</v>
      </c>
      <c r="G28" s="26">
        <v>100</v>
      </c>
      <c r="H28" s="26">
        <v>100</v>
      </c>
      <c r="I28" s="26">
        <v>100</v>
      </c>
      <c r="J28" s="26">
        <v>100</v>
      </c>
      <c r="K28" s="26">
        <v>100</v>
      </c>
      <c r="L28" s="26">
        <v>100</v>
      </c>
      <c r="M28" s="26">
        <v>100</v>
      </c>
      <c r="N28" s="26">
        <v>100</v>
      </c>
      <c r="O28" s="26">
        <v>100</v>
      </c>
      <c r="P28" s="26">
        <v>100</v>
      </c>
      <c r="Q28" s="26">
        <v>100</v>
      </c>
      <c r="R28" s="26">
        <v>100</v>
      </c>
      <c r="S28" s="26">
        <v>100</v>
      </c>
      <c r="T28" s="26">
        <v>100</v>
      </c>
      <c r="U28" s="26">
        <v>100</v>
      </c>
      <c r="V28" s="26">
        <v>100</v>
      </c>
      <c r="W28" s="26">
        <v>100</v>
      </c>
      <c r="X28" s="26">
        <v>100</v>
      </c>
      <c r="Y28" s="26">
        <v>100</v>
      </c>
      <c r="Z28" s="26">
        <v>100</v>
      </c>
      <c r="AA28" s="26">
        <v>100</v>
      </c>
      <c r="AB28" s="26">
        <v>100</v>
      </c>
      <c r="AC28" s="26">
        <v>100</v>
      </c>
      <c r="AD28" s="26">
        <v>100</v>
      </c>
      <c r="AE28" s="26">
        <v>100</v>
      </c>
      <c r="AF28" s="26">
        <v>100</v>
      </c>
      <c r="AG28" s="26">
        <v>100</v>
      </c>
      <c r="AH28" s="26">
        <v>100</v>
      </c>
      <c r="AI28" s="26">
        <v>100</v>
      </c>
      <c r="AJ28" s="26">
        <v>100</v>
      </c>
      <c r="AK28" s="26">
        <v>95.6374</v>
      </c>
      <c r="AL28" s="26">
        <v>100</v>
      </c>
      <c r="AM28" s="26">
        <v>100</v>
      </c>
      <c r="AN28" s="26">
        <v>100</v>
      </c>
      <c r="AO28" s="26">
        <v>90.497299999999996</v>
      </c>
      <c r="AP28" s="26">
        <v>100</v>
      </c>
      <c r="AQ28" s="26">
        <v>77.037700000000001</v>
      </c>
      <c r="AR28" s="26">
        <v>91.069800000000001</v>
      </c>
      <c r="AS28" s="26">
        <v>100</v>
      </c>
      <c r="AT28" s="26">
        <v>100</v>
      </c>
      <c r="AU28" s="26">
        <v>100</v>
      </c>
      <c r="AV28" s="26">
        <v>100</v>
      </c>
      <c r="AW28" s="26">
        <v>100</v>
      </c>
      <c r="AX28" s="26">
        <v>100</v>
      </c>
      <c r="AY28" s="26">
        <v>100</v>
      </c>
      <c r="AZ28" s="26">
        <v>100</v>
      </c>
      <c r="BA28" s="26">
        <v>100</v>
      </c>
      <c r="BB28" s="26">
        <v>100</v>
      </c>
      <c r="BC28" s="26">
        <v>100</v>
      </c>
      <c r="BD28" s="26">
        <v>100</v>
      </c>
      <c r="BE28" s="26">
        <v>100</v>
      </c>
      <c r="BF28" s="26">
        <v>100</v>
      </c>
      <c r="BG28" s="26">
        <v>100</v>
      </c>
      <c r="BH28" s="26">
        <v>100</v>
      </c>
      <c r="BI28" s="26">
        <v>100</v>
      </c>
      <c r="BJ28" s="26">
        <v>100</v>
      </c>
      <c r="BK28" s="26">
        <v>100</v>
      </c>
      <c r="BL28" s="26">
        <v>100</v>
      </c>
      <c r="BM28" s="26">
        <v>100</v>
      </c>
      <c r="BN28" s="26">
        <v>100</v>
      </c>
      <c r="BO28" s="26">
        <v>100</v>
      </c>
      <c r="BP28" s="26">
        <v>100</v>
      </c>
      <c r="BQ28" s="26">
        <v>100</v>
      </c>
      <c r="BR28" s="26">
        <v>100</v>
      </c>
      <c r="BS28" s="26">
        <v>100</v>
      </c>
      <c r="BT28" s="26">
        <v>100</v>
      </c>
      <c r="BU28" s="26">
        <v>100</v>
      </c>
      <c r="BV28" s="26">
        <v>100</v>
      </c>
      <c r="BW28" s="26">
        <v>100</v>
      </c>
      <c r="BX28" s="26">
        <v>100</v>
      </c>
      <c r="BY28" s="26">
        <v>100</v>
      </c>
      <c r="BZ28" s="26">
        <v>100</v>
      </c>
      <c r="CA28" s="26">
        <v>100</v>
      </c>
      <c r="CB28" s="26">
        <v>100</v>
      </c>
      <c r="CC28" s="26">
        <v>100</v>
      </c>
      <c r="CD28" s="26">
        <v>98.575100000000006</v>
      </c>
      <c r="CE28" s="26">
        <v>100</v>
      </c>
      <c r="CF28" s="26">
        <v>100</v>
      </c>
      <c r="CG28" s="26">
        <v>100</v>
      </c>
      <c r="CH28" s="26">
        <v>100</v>
      </c>
      <c r="CI28" s="26">
        <v>100</v>
      </c>
      <c r="CJ28" s="26">
        <v>100</v>
      </c>
      <c r="CK28" s="26">
        <v>100</v>
      </c>
      <c r="CL28" s="26">
        <v>100</v>
      </c>
      <c r="CM28" s="26">
        <v>100</v>
      </c>
      <c r="CN28" s="26">
        <v>100</v>
      </c>
      <c r="CO28" s="26">
        <v>100</v>
      </c>
      <c r="CP28" s="26">
        <v>69.004400000000004</v>
      </c>
      <c r="CQ28" s="26">
        <v>96.182000000000002</v>
      </c>
      <c r="CR28" s="26">
        <v>100</v>
      </c>
      <c r="CS28" s="26">
        <v>100</v>
      </c>
      <c r="CT28" s="26">
        <v>99.136881052631566</v>
      </c>
      <c r="CU28" s="17">
        <v>9418.0036999999993</v>
      </c>
    </row>
    <row r="29" spans="1:99" x14ac:dyDescent="0.25">
      <c r="A29" s="24">
        <v>28</v>
      </c>
      <c r="B29" s="26">
        <v>13.5</v>
      </c>
      <c r="C29" s="26">
        <v>100</v>
      </c>
      <c r="D29" s="26">
        <v>100</v>
      </c>
      <c r="E29" s="26">
        <v>100</v>
      </c>
      <c r="F29" s="26">
        <v>100</v>
      </c>
      <c r="G29" s="26">
        <v>100</v>
      </c>
      <c r="H29" s="26">
        <v>100</v>
      </c>
      <c r="I29" s="26">
        <v>100</v>
      </c>
      <c r="J29" s="26">
        <v>100</v>
      </c>
      <c r="K29" s="26">
        <v>100</v>
      </c>
      <c r="L29" s="26">
        <v>100</v>
      </c>
      <c r="M29" s="26">
        <v>100</v>
      </c>
      <c r="N29" s="26">
        <v>100</v>
      </c>
      <c r="O29" s="26">
        <v>100</v>
      </c>
      <c r="P29" s="26">
        <v>100</v>
      </c>
      <c r="Q29" s="26">
        <v>100</v>
      </c>
      <c r="R29" s="26">
        <v>100</v>
      </c>
      <c r="S29" s="26">
        <v>100</v>
      </c>
      <c r="T29" s="26">
        <v>100</v>
      </c>
      <c r="U29" s="26">
        <v>100</v>
      </c>
      <c r="V29" s="26">
        <v>100</v>
      </c>
      <c r="W29" s="26">
        <v>100</v>
      </c>
      <c r="X29" s="26">
        <v>100</v>
      </c>
      <c r="Y29" s="26">
        <v>100</v>
      </c>
      <c r="Z29" s="26">
        <v>100</v>
      </c>
      <c r="AA29" s="26">
        <v>100</v>
      </c>
      <c r="AB29" s="26">
        <v>100</v>
      </c>
      <c r="AC29" s="26">
        <v>100</v>
      </c>
      <c r="AD29" s="26">
        <v>100</v>
      </c>
      <c r="AE29" s="26">
        <v>100</v>
      </c>
      <c r="AF29" s="26">
        <v>100</v>
      </c>
      <c r="AG29" s="26">
        <v>100</v>
      </c>
      <c r="AH29" s="26">
        <v>100</v>
      </c>
      <c r="AI29" s="26">
        <v>100</v>
      </c>
      <c r="AJ29" s="26">
        <v>100</v>
      </c>
      <c r="AK29" s="26">
        <v>100</v>
      </c>
      <c r="AL29" s="26">
        <v>100</v>
      </c>
      <c r="AM29" s="26">
        <v>100</v>
      </c>
      <c r="AN29" s="26">
        <v>100</v>
      </c>
      <c r="AO29" s="26">
        <v>97.256200000000007</v>
      </c>
      <c r="AP29" s="26">
        <v>100</v>
      </c>
      <c r="AQ29" s="26">
        <v>96.827500000000001</v>
      </c>
      <c r="AR29" s="26">
        <v>92.451300000000003</v>
      </c>
      <c r="AS29" s="26">
        <v>100</v>
      </c>
      <c r="AT29" s="26">
        <v>100</v>
      </c>
      <c r="AU29" s="26">
        <v>100</v>
      </c>
      <c r="AV29" s="26">
        <v>100</v>
      </c>
      <c r="AW29" s="26">
        <v>100</v>
      </c>
      <c r="AX29" s="26">
        <v>100</v>
      </c>
      <c r="AY29" s="26">
        <v>100</v>
      </c>
      <c r="AZ29" s="26">
        <v>100</v>
      </c>
      <c r="BA29" s="26">
        <v>100</v>
      </c>
      <c r="BB29" s="26">
        <v>100</v>
      </c>
      <c r="BC29" s="26">
        <v>100</v>
      </c>
      <c r="BD29" s="26">
        <v>100</v>
      </c>
      <c r="BE29" s="26">
        <v>100</v>
      </c>
      <c r="BF29" s="26">
        <v>100</v>
      </c>
      <c r="BG29" s="26">
        <v>100</v>
      </c>
      <c r="BH29" s="26">
        <v>100</v>
      </c>
      <c r="BI29" s="26">
        <v>100</v>
      </c>
      <c r="BJ29" s="26">
        <v>100</v>
      </c>
      <c r="BK29" s="26">
        <v>100</v>
      </c>
      <c r="BL29" s="26">
        <v>100</v>
      </c>
      <c r="BM29" s="26">
        <v>100</v>
      </c>
      <c r="BN29" s="26">
        <v>100</v>
      </c>
      <c r="BO29" s="26">
        <v>100</v>
      </c>
      <c r="BP29" s="26">
        <v>100</v>
      </c>
      <c r="BQ29" s="26">
        <v>100</v>
      </c>
      <c r="BR29" s="26">
        <v>100</v>
      </c>
      <c r="BS29" s="26">
        <v>100</v>
      </c>
      <c r="BT29" s="26">
        <v>100</v>
      </c>
      <c r="BU29" s="26">
        <v>100</v>
      </c>
      <c r="BV29" s="26">
        <v>100</v>
      </c>
      <c r="BW29" s="26">
        <v>100</v>
      </c>
      <c r="BX29" s="26">
        <v>100</v>
      </c>
      <c r="BY29" s="26">
        <v>100</v>
      </c>
      <c r="BZ29" s="26">
        <v>100</v>
      </c>
      <c r="CA29" s="26">
        <v>100</v>
      </c>
      <c r="CB29" s="26">
        <v>100</v>
      </c>
      <c r="CC29" s="26">
        <v>100</v>
      </c>
      <c r="CD29" s="26">
        <v>98.575100000000006</v>
      </c>
      <c r="CE29" s="26">
        <v>100</v>
      </c>
      <c r="CF29" s="26">
        <v>100</v>
      </c>
      <c r="CG29" s="26">
        <v>100</v>
      </c>
      <c r="CH29" s="26">
        <v>100</v>
      </c>
      <c r="CI29" s="26">
        <v>100</v>
      </c>
      <c r="CJ29" s="26">
        <v>100</v>
      </c>
      <c r="CK29" s="26">
        <v>100</v>
      </c>
      <c r="CL29" s="26">
        <v>100</v>
      </c>
      <c r="CM29" s="26">
        <v>100</v>
      </c>
      <c r="CN29" s="26">
        <v>100</v>
      </c>
      <c r="CO29" s="26">
        <v>100</v>
      </c>
      <c r="CP29" s="26">
        <v>79.590299999999999</v>
      </c>
      <c r="CQ29" s="26">
        <v>100</v>
      </c>
      <c r="CR29" s="26">
        <v>100</v>
      </c>
      <c r="CS29" s="26">
        <v>96.807600000000008</v>
      </c>
      <c r="CT29" s="26">
        <v>99.594821052631573</v>
      </c>
      <c r="CU29" s="17">
        <v>9461.5079999999998</v>
      </c>
    </row>
    <row r="30" spans="1:99" x14ac:dyDescent="0.25">
      <c r="A30" s="24">
        <v>29</v>
      </c>
      <c r="B30" s="26">
        <v>14</v>
      </c>
      <c r="C30" s="26">
        <v>100</v>
      </c>
      <c r="D30" s="26">
        <v>100</v>
      </c>
      <c r="E30" s="26">
        <v>100</v>
      </c>
      <c r="F30" s="26">
        <v>100</v>
      </c>
      <c r="G30" s="26">
        <v>100</v>
      </c>
      <c r="H30" s="26">
        <v>100</v>
      </c>
      <c r="I30" s="26">
        <v>100</v>
      </c>
      <c r="J30" s="26">
        <v>100</v>
      </c>
      <c r="K30" s="26">
        <v>100</v>
      </c>
      <c r="L30" s="26">
        <v>100</v>
      </c>
      <c r="M30" s="26">
        <v>100</v>
      </c>
      <c r="N30" s="26">
        <v>100</v>
      </c>
      <c r="O30" s="26">
        <v>100</v>
      </c>
      <c r="P30" s="26">
        <v>100</v>
      </c>
      <c r="Q30" s="26">
        <v>100</v>
      </c>
      <c r="R30" s="26">
        <v>100</v>
      </c>
      <c r="S30" s="26">
        <v>100</v>
      </c>
      <c r="T30" s="26">
        <v>100</v>
      </c>
      <c r="U30" s="26">
        <v>100</v>
      </c>
      <c r="V30" s="26">
        <v>100</v>
      </c>
      <c r="W30" s="26">
        <v>100</v>
      </c>
      <c r="X30" s="26">
        <v>100</v>
      </c>
      <c r="Y30" s="26">
        <v>100</v>
      </c>
      <c r="Z30" s="26">
        <v>100</v>
      </c>
      <c r="AA30" s="26">
        <v>100</v>
      </c>
      <c r="AB30" s="26">
        <v>100</v>
      </c>
      <c r="AC30" s="26">
        <v>95.151399999999995</v>
      </c>
      <c r="AD30" s="26">
        <v>100</v>
      </c>
      <c r="AE30" s="26">
        <v>100</v>
      </c>
      <c r="AF30" s="26">
        <v>100</v>
      </c>
      <c r="AG30" s="26">
        <v>100</v>
      </c>
      <c r="AH30" s="26">
        <v>100</v>
      </c>
      <c r="AI30" s="26">
        <v>100</v>
      </c>
      <c r="AJ30" s="26">
        <v>100</v>
      </c>
      <c r="AK30" s="26">
        <v>100</v>
      </c>
      <c r="AL30" s="26">
        <v>100</v>
      </c>
      <c r="AM30" s="26">
        <v>100</v>
      </c>
      <c r="AN30" s="26">
        <v>100</v>
      </c>
      <c r="AO30" s="26">
        <v>98.444200000000009</v>
      </c>
      <c r="AP30" s="26">
        <v>100</v>
      </c>
      <c r="AQ30" s="26">
        <v>100</v>
      </c>
      <c r="AR30" s="26">
        <v>95.167199999999994</v>
      </c>
      <c r="AS30" s="26">
        <v>100</v>
      </c>
      <c r="AT30" s="26">
        <v>100</v>
      </c>
      <c r="AU30" s="26">
        <v>100</v>
      </c>
      <c r="AV30" s="26">
        <v>100</v>
      </c>
      <c r="AW30" s="26">
        <v>100</v>
      </c>
      <c r="AX30" s="26">
        <v>100</v>
      </c>
      <c r="AY30" s="26">
        <v>100</v>
      </c>
      <c r="AZ30" s="26">
        <v>100</v>
      </c>
      <c r="BA30" s="26">
        <v>100</v>
      </c>
      <c r="BB30" s="26">
        <v>100</v>
      </c>
      <c r="BC30" s="26">
        <v>100</v>
      </c>
      <c r="BD30" s="26">
        <v>100</v>
      </c>
      <c r="BE30" s="26">
        <v>100</v>
      </c>
      <c r="BF30" s="26">
        <v>100</v>
      </c>
      <c r="BG30" s="26">
        <v>100</v>
      </c>
      <c r="BH30" s="26">
        <v>100</v>
      </c>
      <c r="BI30" s="26">
        <v>100</v>
      </c>
      <c r="BJ30" s="26">
        <v>100</v>
      </c>
      <c r="BK30" s="26">
        <v>100</v>
      </c>
      <c r="BL30" s="26">
        <v>100</v>
      </c>
      <c r="BM30" s="26">
        <v>100</v>
      </c>
      <c r="BN30" s="26">
        <v>100</v>
      </c>
      <c r="BO30" s="26">
        <v>100</v>
      </c>
      <c r="BP30" s="26">
        <v>100</v>
      </c>
      <c r="BQ30" s="26">
        <v>100</v>
      </c>
      <c r="BR30" s="26">
        <v>100</v>
      </c>
      <c r="BS30" s="26">
        <v>100</v>
      </c>
      <c r="BT30" s="26">
        <v>100</v>
      </c>
      <c r="BU30" s="26">
        <v>100</v>
      </c>
      <c r="BV30" s="26">
        <v>100</v>
      </c>
      <c r="BW30" s="26">
        <v>100</v>
      </c>
      <c r="BX30" s="26">
        <v>100</v>
      </c>
      <c r="BY30" s="26">
        <v>100</v>
      </c>
      <c r="BZ30" s="26">
        <v>100</v>
      </c>
      <c r="CA30" s="26">
        <v>100</v>
      </c>
      <c r="CB30" s="26">
        <v>100</v>
      </c>
      <c r="CC30" s="26">
        <v>100</v>
      </c>
      <c r="CD30" s="26">
        <v>100</v>
      </c>
      <c r="CE30" s="26">
        <v>100</v>
      </c>
      <c r="CF30" s="26">
        <v>100</v>
      </c>
      <c r="CG30" s="26">
        <v>100</v>
      </c>
      <c r="CH30" s="26">
        <v>100</v>
      </c>
      <c r="CI30" s="26">
        <v>100</v>
      </c>
      <c r="CJ30" s="26">
        <v>100</v>
      </c>
      <c r="CK30" s="26">
        <v>100</v>
      </c>
      <c r="CL30" s="26">
        <v>100</v>
      </c>
      <c r="CM30" s="26">
        <v>100</v>
      </c>
      <c r="CN30" s="26">
        <v>100</v>
      </c>
      <c r="CO30" s="26">
        <v>100</v>
      </c>
      <c r="CP30" s="26">
        <v>90.753900000000002</v>
      </c>
      <c r="CQ30" s="26">
        <v>100</v>
      </c>
      <c r="CR30" s="26">
        <v>100</v>
      </c>
      <c r="CS30" s="26">
        <v>100</v>
      </c>
      <c r="CT30" s="26">
        <v>99.784386315789476</v>
      </c>
      <c r="CU30" s="17">
        <v>9479.5167000000001</v>
      </c>
    </row>
    <row r="31" spans="1:99" x14ac:dyDescent="0.25">
      <c r="A31" s="24">
        <v>30</v>
      </c>
      <c r="B31" s="26">
        <v>14.5</v>
      </c>
      <c r="C31" s="26">
        <v>98.174399999999991</v>
      </c>
      <c r="D31" s="26">
        <v>100</v>
      </c>
      <c r="E31" s="26">
        <v>100</v>
      </c>
      <c r="F31" s="26">
        <v>100</v>
      </c>
      <c r="G31" s="26">
        <v>100</v>
      </c>
      <c r="H31" s="26">
        <v>100</v>
      </c>
      <c r="I31" s="26">
        <v>100</v>
      </c>
      <c r="J31" s="26">
        <v>100</v>
      </c>
      <c r="K31" s="26">
        <v>100</v>
      </c>
      <c r="L31" s="26">
        <v>100</v>
      </c>
      <c r="M31" s="26">
        <v>100</v>
      </c>
      <c r="N31" s="26">
        <v>100</v>
      </c>
      <c r="O31" s="26">
        <v>100</v>
      </c>
      <c r="P31" s="26">
        <v>100</v>
      </c>
      <c r="Q31" s="26">
        <v>100</v>
      </c>
      <c r="R31" s="26">
        <v>100</v>
      </c>
      <c r="S31" s="26">
        <v>100</v>
      </c>
      <c r="T31" s="26">
        <v>100</v>
      </c>
      <c r="U31" s="26">
        <v>100</v>
      </c>
      <c r="V31" s="26">
        <v>100</v>
      </c>
      <c r="W31" s="26">
        <v>100</v>
      </c>
      <c r="X31" s="26">
        <v>100</v>
      </c>
      <c r="Y31" s="26">
        <v>100</v>
      </c>
      <c r="Z31" s="26">
        <v>100</v>
      </c>
      <c r="AA31" s="26">
        <v>100</v>
      </c>
      <c r="AB31" s="26">
        <v>100</v>
      </c>
      <c r="AC31" s="26">
        <v>100</v>
      </c>
      <c r="AD31" s="26">
        <v>100</v>
      </c>
      <c r="AE31" s="26">
        <v>100</v>
      </c>
      <c r="AF31" s="26">
        <v>100</v>
      </c>
      <c r="AG31" s="26">
        <v>100</v>
      </c>
      <c r="AH31" s="26">
        <v>100</v>
      </c>
      <c r="AI31" s="26">
        <v>100</v>
      </c>
      <c r="AJ31" s="26">
        <v>100</v>
      </c>
      <c r="AK31" s="26">
        <v>100</v>
      </c>
      <c r="AL31" s="26">
        <v>100</v>
      </c>
      <c r="AM31" s="26">
        <v>100</v>
      </c>
      <c r="AN31" s="26">
        <v>100</v>
      </c>
      <c r="AO31" s="26">
        <v>100</v>
      </c>
      <c r="AP31" s="26">
        <v>100</v>
      </c>
      <c r="AQ31" s="26">
        <v>100</v>
      </c>
      <c r="AR31" s="26">
        <v>95.556399999999996</v>
      </c>
      <c r="AS31" s="26">
        <v>100</v>
      </c>
      <c r="AT31" s="26">
        <v>100</v>
      </c>
      <c r="AU31" s="26">
        <v>100</v>
      </c>
      <c r="AV31" s="26">
        <v>100</v>
      </c>
      <c r="AW31" s="26">
        <v>100</v>
      </c>
      <c r="AX31" s="26">
        <v>100</v>
      </c>
      <c r="AY31" s="26">
        <v>100</v>
      </c>
      <c r="AZ31" s="26">
        <v>100</v>
      </c>
      <c r="BA31" s="26">
        <v>100</v>
      </c>
      <c r="BB31" s="26">
        <v>100</v>
      </c>
      <c r="BC31" s="26">
        <v>100</v>
      </c>
      <c r="BD31" s="26">
        <v>100</v>
      </c>
      <c r="BE31" s="26">
        <v>100</v>
      </c>
      <c r="BF31" s="26">
        <v>100</v>
      </c>
      <c r="BG31" s="26">
        <v>100</v>
      </c>
      <c r="BH31" s="26">
        <v>100</v>
      </c>
      <c r="BI31" s="26">
        <v>100</v>
      </c>
      <c r="BJ31" s="26">
        <v>100</v>
      </c>
      <c r="BK31" s="26">
        <v>100</v>
      </c>
      <c r="BL31" s="26">
        <v>100</v>
      </c>
      <c r="BM31" s="26">
        <v>100</v>
      </c>
      <c r="BN31" s="26">
        <v>100</v>
      </c>
      <c r="BO31" s="26">
        <v>100</v>
      </c>
      <c r="BP31" s="26">
        <v>100</v>
      </c>
      <c r="BQ31" s="26">
        <v>100</v>
      </c>
      <c r="BR31" s="26">
        <v>100</v>
      </c>
      <c r="BS31" s="26">
        <v>100</v>
      </c>
      <c r="BT31" s="26">
        <v>100</v>
      </c>
      <c r="BU31" s="26">
        <v>100</v>
      </c>
      <c r="BV31" s="26">
        <v>100</v>
      </c>
      <c r="BW31" s="26">
        <v>100</v>
      </c>
      <c r="BX31" s="26">
        <v>100</v>
      </c>
      <c r="BY31" s="26">
        <v>100</v>
      </c>
      <c r="BZ31" s="26">
        <v>100</v>
      </c>
      <c r="CA31" s="26">
        <v>100</v>
      </c>
      <c r="CB31" s="26">
        <v>100</v>
      </c>
      <c r="CC31" s="26">
        <v>100</v>
      </c>
      <c r="CD31" s="26">
        <v>100</v>
      </c>
      <c r="CE31" s="26">
        <v>100</v>
      </c>
      <c r="CF31" s="26">
        <v>100</v>
      </c>
      <c r="CG31" s="26">
        <v>100</v>
      </c>
      <c r="CH31" s="26">
        <v>100</v>
      </c>
      <c r="CI31" s="26">
        <v>100</v>
      </c>
      <c r="CJ31" s="26">
        <v>100</v>
      </c>
      <c r="CK31" s="26">
        <v>100</v>
      </c>
      <c r="CL31" s="26">
        <v>100</v>
      </c>
      <c r="CM31" s="26">
        <v>100</v>
      </c>
      <c r="CN31" s="26">
        <v>100</v>
      </c>
      <c r="CO31" s="26">
        <v>100</v>
      </c>
      <c r="CP31" s="26">
        <v>100</v>
      </c>
      <c r="CQ31" s="26">
        <v>100</v>
      </c>
      <c r="CR31" s="26">
        <v>100</v>
      </c>
      <c r="CS31" s="26">
        <v>87.6267</v>
      </c>
      <c r="CT31" s="26">
        <v>99.80376315789475</v>
      </c>
      <c r="CU31" s="17">
        <v>9481.3575000000019</v>
      </c>
    </row>
    <row r="32" spans="1:99" x14ac:dyDescent="0.25">
      <c r="A32" s="24">
        <v>31</v>
      </c>
      <c r="B32" s="26">
        <v>15</v>
      </c>
      <c r="C32" s="26">
        <v>100</v>
      </c>
      <c r="D32" s="26">
        <v>100</v>
      </c>
      <c r="E32" s="26">
        <v>100</v>
      </c>
      <c r="F32" s="26">
        <v>100</v>
      </c>
      <c r="G32" s="26">
        <v>100</v>
      </c>
      <c r="H32" s="26">
        <v>100</v>
      </c>
      <c r="I32" s="26">
        <v>100</v>
      </c>
      <c r="J32" s="26">
        <v>100</v>
      </c>
      <c r="K32" s="26">
        <v>100</v>
      </c>
      <c r="L32" s="26">
        <v>100</v>
      </c>
      <c r="M32" s="26">
        <v>100</v>
      </c>
      <c r="N32" s="26">
        <v>100</v>
      </c>
      <c r="O32" s="26">
        <v>100</v>
      </c>
      <c r="P32" s="26">
        <v>100</v>
      </c>
      <c r="Q32" s="26">
        <v>100</v>
      </c>
      <c r="R32" s="26">
        <v>100</v>
      </c>
      <c r="S32" s="26">
        <v>100</v>
      </c>
      <c r="T32" s="26">
        <v>100</v>
      </c>
      <c r="U32" s="26">
        <v>100</v>
      </c>
      <c r="V32" s="26">
        <v>100</v>
      </c>
      <c r="W32" s="26">
        <v>100</v>
      </c>
      <c r="X32" s="26">
        <v>100</v>
      </c>
      <c r="Y32" s="26">
        <v>100</v>
      </c>
      <c r="Z32" s="26">
        <v>100</v>
      </c>
      <c r="AA32" s="26">
        <v>100</v>
      </c>
      <c r="AB32" s="26">
        <v>100</v>
      </c>
      <c r="AC32" s="26">
        <v>100</v>
      </c>
      <c r="AD32" s="26">
        <v>100</v>
      </c>
      <c r="AE32" s="26">
        <v>100</v>
      </c>
      <c r="AF32" s="26">
        <v>100</v>
      </c>
      <c r="AG32" s="26">
        <v>100</v>
      </c>
      <c r="AH32" s="26">
        <v>100</v>
      </c>
      <c r="AI32" s="26">
        <v>100</v>
      </c>
      <c r="AJ32" s="26">
        <v>100</v>
      </c>
      <c r="AK32" s="26">
        <v>100</v>
      </c>
      <c r="AL32" s="26">
        <v>100</v>
      </c>
      <c r="AM32" s="26">
        <v>100</v>
      </c>
      <c r="AN32" s="26">
        <v>100</v>
      </c>
      <c r="AO32" s="26">
        <v>100</v>
      </c>
      <c r="AP32" s="26">
        <v>100</v>
      </c>
      <c r="AQ32" s="26">
        <v>100</v>
      </c>
      <c r="AR32" s="26">
        <v>98.012100000000004</v>
      </c>
      <c r="AS32" s="26">
        <v>100</v>
      </c>
      <c r="AT32" s="26">
        <v>100</v>
      </c>
      <c r="AU32" s="26">
        <v>100</v>
      </c>
      <c r="AV32" s="26">
        <v>100</v>
      </c>
      <c r="AW32" s="26">
        <v>100</v>
      </c>
      <c r="AX32" s="26">
        <v>100</v>
      </c>
      <c r="AY32" s="26">
        <v>100</v>
      </c>
      <c r="AZ32" s="26">
        <v>100</v>
      </c>
      <c r="BA32" s="26">
        <v>100</v>
      </c>
      <c r="BB32" s="26">
        <v>100</v>
      </c>
      <c r="BC32" s="26">
        <v>100</v>
      </c>
      <c r="BD32" s="26">
        <v>100</v>
      </c>
      <c r="BE32" s="26">
        <v>100</v>
      </c>
      <c r="BF32" s="26">
        <v>100</v>
      </c>
      <c r="BG32" s="26">
        <v>100</v>
      </c>
      <c r="BH32" s="26">
        <v>100</v>
      </c>
      <c r="BI32" s="26">
        <v>100</v>
      </c>
      <c r="BJ32" s="26">
        <v>100</v>
      </c>
      <c r="BK32" s="26">
        <v>100</v>
      </c>
      <c r="BL32" s="26">
        <v>100</v>
      </c>
      <c r="BM32" s="26">
        <v>100</v>
      </c>
      <c r="BN32" s="26">
        <v>94.314399999999992</v>
      </c>
      <c r="BO32" s="26">
        <v>100</v>
      </c>
      <c r="BP32" s="26">
        <v>100</v>
      </c>
      <c r="BQ32" s="26">
        <v>100</v>
      </c>
      <c r="BR32" s="26">
        <v>100</v>
      </c>
      <c r="BS32" s="26">
        <v>100</v>
      </c>
      <c r="BT32" s="26">
        <v>100</v>
      </c>
      <c r="BU32" s="26">
        <v>100</v>
      </c>
      <c r="BV32" s="26">
        <v>100</v>
      </c>
      <c r="BW32" s="26">
        <v>100</v>
      </c>
      <c r="BX32" s="26">
        <v>100</v>
      </c>
      <c r="BY32" s="26">
        <v>100</v>
      </c>
      <c r="BZ32" s="26">
        <v>100</v>
      </c>
      <c r="CA32" s="26">
        <v>100</v>
      </c>
      <c r="CB32" s="26">
        <v>100</v>
      </c>
      <c r="CC32" s="26">
        <v>100</v>
      </c>
      <c r="CD32" s="26">
        <v>100</v>
      </c>
      <c r="CE32" s="26">
        <v>100</v>
      </c>
      <c r="CF32" s="26">
        <v>100</v>
      </c>
      <c r="CG32" s="26">
        <v>100</v>
      </c>
      <c r="CH32" s="26">
        <v>100</v>
      </c>
      <c r="CI32" s="26">
        <v>100</v>
      </c>
      <c r="CJ32" s="26">
        <v>100</v>
      </c>
      <c r="CK32" s="26">
        <v>100</v>
      </c>
      <c r="CL32" s="26">
        <v>100</v>
      </c>
      <c r="CM32" s="26">
        <v>100</v>
      </c>
      <c r="CN32" s="26">
        <v>100</v>
      </c>
      <c r="CO32" s="26">
        <v>100</v>
      </c>
      <c r="CP32" s="26">
        <v>100</v>
      </c>
      <c r="CQ32" s="26">
        <v>100</v>
      </c>
      <c r="CR32" s="26">
        <v>100</v>
      </c>
      <c r="CS32" s="26">
        <v>73.116699999999994</v>
      </c>
      <c r="CT32" s="26">
        <v>99.636244210526314</v>
      </c>
      <c r="CU32" s="17">
        <v>9465.4431999999997</v>
      </c>
    </row>
    <row r="33" spans="1:99" x14ac:dyDescent="0.25">
      <c r="A33" s="24">
        <v>32</v>
      </c>
      <c r="B33" s="26">
        <v>15.5</v>
      </c>
      <c r="C33" s="26">
        <v>100</v>
      </c>
      <c r="D33" s="26">
        <v>100</v>
      </c>
      <c r="E33" s="26">
        <v>100</v>
      </c>
      <c r="F33" s="26">
        <v>100</v>
      </c>
      <c r="G33" s="26">
        <v>100</v>
      </c>
      <c r="H33" s="26">
        <v>100</v>
      </c>
      <c r="I33" s="26">
        <v>100</v>
      </c>
      <c r="J33" s="26">
        <v>100</v>
      </c>
      <c r="K33" s="26">
        <v>100</v>
      </c>
      <c r="L33" s="26">
        <v>100</v>
      </c>
      <c r="M33" s="26">
        <v>100</v>
      </c>
      <c r="N33" s="26">
        <v>100</v>
      </c>
      <c r="O33" s="26">
        <v>100</v>
      </c>
      <c r="P33" s="26">
        <v>100</v>
      </c>
      <c r="Q33" s="26">
        <v>100</v>
      </c>
      <c r="R33" s="26">
        <v>100</v>
      </c>
      <c r="S33" s="26">
        <v>100</v>
      </c>
      <c r="T33" s="26">
        <v>100</v>
      </c>
      <c r="U33" s="26">
        <v>100</v>
      </c>
      <c r="V33" s="26">
        <v>100</v>
      </c>
      <c r="W33" s="26">
        <v>100</v>
      </c>
      <c r="X33" s="26">
        <v>100</v>
      </c>
      <c r="Y33" s="26">
        <v>100</v>
      </c>
      <c r="Z33" s="26">
        <v>100</v>
      </c>
      <c r="AA33" s="26">
        <v>100</v>
      </c>
      <c r="AB33" s="26">
        <v>95.679899999999989</v>
      </c>
      <c r="AC33" s="26">
        <v>100</v>
      </c>
      <c r="AD33" s="26">
        <v>100</v>
      </c>
      <c r="AE33" s="26">
        <v>100</v>
      </c>
      <c r="AF33" s="26">
        <v>100</v>
      </c>
      <c r="AG33" s="26">
        <v>100</v>
      </c>
      <c r="AH33" s="26">
        <v>100</v>
      </c>
      <c r="AI33" s="26">
        <v>100</v>
      </c>
      <c r="AJ33" s="26">
        <v>100</v>
      </c>
      <c r="AK33" s="26">
        <v>100</v>
      </c>
      <c r="AL33" s="26">
        <v>100</v>
      </c>
      <c r="AM33" s="26">
        <v>100</v>
      </c>
      <c r="AN33" s="26">
        <v>100</v>
      </c>
      <c r="AO33" s="26">
        <v>100</v>
      </c>
      <c r="AP33" s="26">
        <v>100</v>
      </c>
      <c r="AQ33" s="26">
        <v>100</v>
      </c>
      <c r="AR33" s="26">
        <v>100</v>
      </c>
      <c r="AS33" s="26">
        <v>100</v>
      </c>
      <c r="AT33" s="26">
        <v>100</v>
      </c>
      <c r="AU33" s="26">
        <v>100</v>
      </c>
      <c r="AV33" s="26">
        <v>100</v>
      </c>
      <c r="AW33" s="26">
        <v>100</v>
      </c>
      <c r="AX33" s="26">
        <v>100</v>
      </c>
      <c r="AY33" s="26">
        <v>100</v>
      </c>
      <c r="AZ33" s="26">
        <v>100</v>
      </c>
      <c r="BA33" s="26">
        <v>100</v>
      </c>
      <c r="BB33" s="26">
        <v>100</v>
      </c>
      <c r="BC33" s="26">
        <v>100</v>
      </c>
      <c r="BD33" s="26">
        <v>100</v>
      </c>
      <c r="BE33" s="26">
        <v>100</v>
      </c>
      <c r="BF33" s="26">
        <v>100</v>
      </c>
      <c r="BG33" s="26">
        <v>100</v>
      </c>
      <c r="BH33" s="26">
        <v>100</v>
      </c>
      <c r="BI33" s="26">
        <v>100</v>
      </c>
      <c r="BJ33" s="26">
        <v>100</v>
      </c>
      <c r="BK33" s="26">
        <v>100</v>
      </c>
      <c r="BL33" s="26">
        <v>100</v>
      </c>
      <c r="BM33" s="26">
        <v>100</v>
      </c>
      <c r="BN33" s="26">
        <v>85.662499999999994</v>
      </c>
      <c r="BO33" s="26">
        <v>100</v>
      </c>
      <c r="BP33" s="26">
        <v>100</v>
      </c>
      <c r="BQ33" s="26">
        <v>100</v>
      </c>
      <c r="BR33" s="26">
        <v>100</v>
      </c>
      <c r="BS33" s="26">
        <v>100</v>
      </c>
      <c r="BT33" s="26">
        <v>100</v>
      </c>
      <c r="BU33" s="26">
        <v>100</v>
      </c>
      <c r="BV33" s="26">
        <v>100</v>
      </c>
      <c r="BW33" s="26">
        <v>100</v>
      </c>
      <c r="BX33" s="26">
        <v>100</v>
      </c>
      <c r="BY33" s="26">
        <v>100</v>
      </c>
      <c r="BZ33" s="26">
        <v>100</v>
      </c>
      <c r="CA33" s="26">
        <v>100</v>
      </c>
      <c r="CB33" s="26">
        <v>100</v>
      </c>
      <c r="CC33" s="26">
        <v>100</v>
      </c>
      <c r="CD33" s="26">
        <v>100</v>
      </c>
      <c r="CE33" s="26">
        <v>100</v>
      </c>
      <c r="CF33" s="26">
        <v>100</v>
      </c>
      <c r="CG33" s="26">
        <v>100</v>
      </c>
      <c r="CH33" s="26">
        <v>100</v>
      </c>
      <c r="CI33" s="26">
        <v>100</v>
      </c>
      <c r="CJ33" s="26">
        <v>100</v>
      </c>
      <c r="CK33" s="26">
        <v>100</v>
      </c>
      <c r="CL33" s="26">
        <v>100</v>
      </c>
      <c r="CM33" s="26">
        <v>100</v>
      </c>
      <c r="CN33" s="26">
        <v>100</v>
      </c>
      <c r="CO33" s="26">
        <v>100</v>
      </c>
      <c r="CP33" s="26">
        <v>100</v>
      </c>
      <c r="CQ33" s="26">
        <v>100</v>
      </c>
      <c r="CR33" s="26">
        <v>100</v>
      </c>
      <c r="CS33" s="26">
        <v>77.447299999999998</v>
      </c>
      <c r="CT33" s="26">
        <v>99.566207368421061</v>
      </c>
      <c r="CU33" s="17">
        <v>9458.7897000000012</v>
      </c>
    </row>
    <row r="34" spans="1:99" x14ac:dyDescent="0.25">
      <c r="A34" s="24">
        <v>33</v>
      </c>
      <c r="B34" s="26">
        <v>16</v>
      </c>
      <c r="C34" s="26">
        <v>100</v>
      </c>
      <c r="D34" s="26">
        <v>100</v>
      </c>
      <c r="E34" s="26">
        <v>100</v>
      </c>
      <c r="F34" s="26">
        <v>100</v>
      </c>
      <c r="G34" s="26">
        <v>100</v>
      </c>
      <c r="H34" s="26">
        <v>100</v>
      </c>
      <c r="I34" s="26">
        <v>100</v>
      </c>
      <c r="J34" s="26">
        <v>100</v>
      </c>
      <c r="K34" s="26">
        <v>100</v>
      </c>
      <c r="L34" s="26">
        <v>100</v>
      </c>
      <c r="M34" s="26">
        <v>100</v>
      </c>
      <c r="N34" s="26">
        <v>100</v>
      </c>
      <c r="O34" s="26">
        <v>100</v>
      </c>
      <c r="P34" s="26">
        <v>100</v>
      </c>
      <c r="Q34" s="26">
        <v>100</v>
      </c>
      <c r="R34" s="26">
        <v>100</v>
      </c>
      <c r="S34" s="26">
        <v>100</v>
      </c>
      <c r="T34" s="26">
        <v>100</v>
      </c>
      <c r="U34" s="26">
        <v>100</v>
      </c>
      <c r="V34" s="26">
        <v>100</v>
      </c>
      <c r="W34" s="26">
        <v>100</v>
      </c>
      <c r="X34" s="26">
        <v>100</v>
      </c>
      <c r="Y34" s="26">
        <v>100</v>
      </c>
      <c r="Z34" s="26">
        <v>100</v>
      </c>
      <c r="AA34" s="26">
        <v>100</v>
      </c>
      <c r="AB34" s="26">
        <v>97.4739</v>
      </c>
      <c r="AC34" s="26">
        <v>100</v>
      </c>
      <c r="AD34" s="26">
        <v>100</v>
      </c>
      <c r="AE34" s="26">
        <v>100</v>
      </c>
      <c r="AF34" s="26">
        <v>100</v>
      </c>
      <c r="AG34" s="26">
        <v>100</v>
      </c>
      <c r="AH34" s="26">
        <v>100</v>
      </c>
      <c r="AI34" s="26">
        <v>100</v>
      </c>
      <c r="AJ34" s="26">
        <v>100</v>
      </c>
      <c r="AK34" s="26">
        <v>100</v>
      </c>
      <c r="AL34" s="26">
        <v>100</v>
      </c>
      <c r="AM34" s="26">
        <v>100</v>
      </c>
      <c r="AN34" s="26">
        <v>100</v>
      </c>
      <c r="AO34" s="26">
        <v>100</v>
      </c>
      <c r="AP34" s="26">
        <v>100</v>
      </c>
      <c r="AQ34" s="26">
        <v>100</v>
      </c>
      <c r="AR34" s="26">
        <v>91.681600000000003</v>
      </c>
      <c r="AS34" s="26">
        <v>100</v>
      </c>
      <c r="AT34" s="26">
        <v>100</v>
      </c>
      <c r="AU34" s="26">
        <v>100</v>
      </c>
      <c r="AV34" s="26">
        <v>100</v>
      </c>
      <c r="AW34" s="26">
        <v>100</v>
      </c>
      <c r="AX34" s="26">
        <v>100</v>
      </c>
      <c r="AY34" s="26">
        <v>100</v>
      </c>
      <c r="AZ34" s="26">
        <v>100</v>
      </c>
      <c r="BA34" s="26">
        <v>100</v>
      </c>
      <c r="BB34" s="26">
        <v>100</v>
      </c>
      <c r="BC34" s="26">
        <v>100</v>
      </c>
      <c r="BD34" s="26">
        <v>100</v>
      </c>
      <c r="BE34" s="26">
        <v>100</v>
      </c>
      <c r="BF34" s="26">
        <v>100</v>
      </c>
      <c r="BG34" s="26">
        <v>100</v>
      </c>
      <c r="BH34" s="26">
        <v>100</v>
      </c>
      <c r="BI34" s="26">
        <v>100</v>
      </c>
      <c r="BJ34" s="26">
        <v>100</v>
      </c>
      <c r="BK34" s="26">
        <v>100</v>
      </c>
      <c r="BL34" s="26">
        <v>100</v>
      </c>
      <c r="BM34" s="26">
        <v>100</v>
      </c>
      <c r="BN34" s="26">
        <v>100</v>
      </c>
      <c r="BO34" s="26">
        <v>100</v>
      </c>
      <c r="BP34" s="26">
        <v>100</v>
      </c>
      <c r="BQ34" s="26">
        <v>100</v>
      </c>
      <c r="BR34" s="26">
        <v>100</v>
      </c>
      <c r="BS34" s="26">
        <v>100</v>
      </c>
      <c r="BT34" s="26">
        <v>100</v>
      </c>
      <c r="BU34" s="26">
        <v>100</v>
      </c>
      <c r="BV34" s="26">
        <v>100</v>
      </c>
      <c r="BW34" s="26">
        <v>100</v>
      </c>
      <c r="BX34" s="26">
        <v>100</v>
      </c>
      <c r="BY34" s="26">
        <v>100</v>
      </c>
      <c r="BZ34" s="26">
        <v>100</v>
      </c>
      <c r="CA34" s="26">
        <v>100</v>
      </c>
      <c r="CB34" s="26">
        <v>100</v>
      </c>
      <c r="CC34" s="26">
        <v>100</v>
      </c>
      <c r="CD34" s="26">
        <v>100</v>
      </c>
      <c r="CE34" s="26">
        <v>100</v>
      </c>
      <c r="CF34" s="26">
        <v>100</v>
      </c>
      <c r="CG34" s="26">
        <v>100</v>
      </c>
      <c r="CH34" s="26">
        <v>100</v>
      </c>
      <c r="CI34" s="26">
        <v>100</v>
      </c>
      <c r="CJ34" s="26">
        <v>100</v>
      </c>
      <c r="CK34" s="26">
        <v>100</v>
      </c>
      <c r="CL34" s="26">
        <v>100</v>
      </c>
      <c r="CM34" s="26">
        <v>100</v>
      </c>
      <c r="CN34" s="26">
        <v>100</v>
      </c>
      <c r="CO34" s="26">
        <v>100</v>
      </c>
      <c r="CP34" s="26">
        <v>100</v>
      </c>
      <c r="CQ34" s="26">
        <v>100</v>
      </c>
      <c r="CR34" s="26">
        <v>100</v>
      </c>
      <c r="CS34" s="26">
        <v>88.9114</v>
      </c>
      <c r="CT34" s="26">
        <v>99.769125263157918</v>
      </c>
      <c r="CU34" s="17">
        <v>9478.0669000000016</v>
      </c>
    </row>
    <row r="35" spans="1:99" x14ac:dyDescent="0.25">
      <c r="A35" s="24">
        <v>34</v>
      </c>
      <c r="B35" s="26">
        <v>16.5</v>
      </c>
      <c r="C35" s="26">
        <v>100</v>
      </c>
      <c r="D35" s="26">
        <v>100</v>
      </c>
      <c r="E35" s="26">
        <v>100</v>
      </c>
      <c r="F35" s="26">
        <v>100</v>
      </c>
      <c r="G35" s="26">
        <v>100</v>
      </c>
      <c r="H35" s="26">
        <v>100</v>
      </c>
      <c r="I35" s="26">
        <v>100</v>
      </c>
      <c r="J35" s="26">
        <v>100</v>
      </c>
      <c r="K35" s="26">
        <v>100</v>
      </c>
      <c r="L35" s="26">
        <v>100</v>
      </c>
      <c r="M35" s="26">
        <v>100</v>
      </c>
      <c r="N35" s="26">
        <v>100</v>
      </c>
      <c r="O35" s="26">
        <v>100</v>
      </c>
      <c r="P35" s="26">
        <v>100</v>
      </c>
      <c r="Q35" s="26">
        <v>100</v>
      </c>
      <c r="R35" s="26">
        <v>100</v>
      </c>
      <c r="S35" s="26">
        <v>100</v>
      </c>
      <c r="T35" s="26">
        <v>100</v>
      </c>
      <c r="U35" s="26">
        <v>100</v>
      </c>
      <c r="V35" s="26">
        <v>100</v>
      </c>
      <c r="W35" s="26">
        <v>100</v>
      </c>
      <c r="X35" s="26">
        <v>100</v>
      </c>
      <c r="Y35" s="26">
        <v>100</v>
      </c>
      <c r="Z35" s="26">
        <v>100</v>
      </c>
      <c r="AA35" s="26">
        <v>100</v>
      </c>
      <c r="AB35" s="26">
        <v>88.794200000000004</v>
      </c>
      <c r="AC35" s="26">
        <v>100</v>
      </c>
      <c r="AD35" s="26">
        <v>100</v>
      </c>
      <c r="AE35" s="26">
        <v>100</v>
      </c>
      <c r="AF35" s="26">
        <v>100</v>
      </c>
      <c r="AG35" s="26">
        <v>100</v>
      </c>
      <c r="AH35" s="26">
        <v>100</v>
      </c>
      <c r="AI35" s="26">
        <v>100</v>
      </c>
      <c r="AJ35" s="26">
        <v>100</v>
      </c>
      <c r="AK35" s="26">
        <v>100</v>
      </c>
      <c r="AL35" s="26">
        <v>100</v>
      </c>
      <c r="AM35" s="26">
        <v>100</v>
      </c>
      <c r="AN35" s="26">
        <v>100</v>
      </c>
      <c r="AO35" s="26">
        <v>100</v>
      </c>
      <c r="AP35" s="26">
        <v>100</v>
      </c>
      <c r="AQ35" s="26">
        <v>100</v>
      </c>
      <c r="AR35" s="26">
        <v>72.555700000000002</v>
      </c>
      <c r="AS35" s="26">
        <v>100</v>
      </c>
      <c r="AT35" s="26">
        <v>100</v>
      </c>
      <c r="AU35" s="26">
        <v>100</v>
      </c>
      <c r="AV35" s="26">
        <v>100</v>
      </c>
      <c r="AW35" s="26">
        <v>100</v>
      </c>
      <c r="AX35" s="26">
        <v>100</v>
      </c>
      <c r="AY35" s="26">
        <v>100</v>
      </c>
      <c r="AZ35" s="26">
        <v>100</v>
      </c>
      <c r="BA35" s="26">
        <v>100</v>
      </c>
      <c r="BB35" s="26">
        <v>100</v>
      </c>
      <c r="BC35" s="26">
        <v>100</v>
      </c>
      <c r="BD35" s="26">
        <v>100</v>
      </c>
      <c r="BE35" s="26">
        <v>100</v>
      </c>
      <c r="BF35" s="26">
        <v>100</v>
      </c>
      <c r="BG35" s="26">
        <v>100</v>
      </c>
      <c r="BH35" s="26">
        <v>100</v>
      </c>
      <c r="BI35" s="26">
        <v>100</v>
      </c>
      <c r="BJ35" s="26">
        <v>100</v>
      </c>
      <c r="BK35" s="26">
        <v>100</v>
      </c>
      <c r="BL35" s="26">
        <v>100</v>
      </c>
      <c r="BM35" s="26">
        <v>100</v>
      </c>
      <c r="BN35" s="26">
        <v>100</v>
      </c>
      <c r="BO35" s="26">
        <v>100</v>
      </c>
      <c r="BP35" s="26">
        <v>100</v>
      </c>
      <c r="BQ35" s="26">
        <v>100</v>
      </c>
      <c r="BR35" s="26">
        <v>100</v>
      </c>
      <c r="BS35" s="26">
        <v>100</v>
      </c>
      <c r="BT35" s="26">
        <v>100</v>
      </c>
      <c r="BU35" s="26">
        <v>100</v>
      </c>
      <c r="BV35" s="26">
        <v>100</v>
      </c>
      <c r="BW35" s="26">
        <v>100</v>
      </c>
      <c r="BX35" s="26">
        <v>100</v>
      </c>
      <c r="BY35" s="26">
        <v>100</v>
      </c>
      <c r="BZ35" s="26">
        <v>100</v>
      </c>
      <c r="CA35" s="26">
        <v>100</v>
      </c>
      <c r="CB35" s="26">
        <v>87.0351</v>
      </c>
      <c r="CC35" s="26">
        <v>100</v>
      </c>
      <c r="CD35" s="26">
        <v>100</v>
      </c>
      <c r="CE35" s="26">
        <v>100</v>
      </c>
      <c r="CF35" s="26">
        <v>100</v>
      </c>
      <c r="CG35" s="26">
        <v>100</v>
      </c>
      <c r="CH35" s="26">
        <v>100</v>
      </c>
      <c r="CI35" s="26">
        <v>100</v>
      </c>
      <c r="CJ35" s="26">
        <v>100</v>
      </c>
      <c r="CK35" s="26">
        <v>91.914700000000011</v>
      </c>
      <c r="CL35" s="26">
        <v>100</v>
      </c>
      <c r="CM35" s="26">
        <v>100</v>
      </c>
      <c r="CN35" s="26">
        <v>100</v>
      </c>
      <c r="CO35" s="26">
        <v>100</v>
      </c>
      <c r="CP35" s="26">
        <v>100</v>
      </c>
      <c r="CQ35" s="26">
        <v>100</v>
      </c>
      <c r="CR35" s="26">
        <v>100</v>
      </c>
      <c r="CS35" s="26">
        <v>96.39370000000001</v>
      </c>
      <c r="CT35" s="26">
        <v>99.333614736842108</v>
      </c>
      <c r="CU35" s="17">
        <v>9436.6934000000001</v>
      </c>
    </row>
    <row r="36" spans="1:99" x14ac:dyDescent="0.25">
      <c r="A36" s="24">
        <v>35</v>
      </c>
      <c r="B36" s="26">
        <v>17</v>
      </c>
      <c r="C36" s="26">
        <v>100</v>
      </c>
      <c r="D36" s="26">
        <v>100</v>
      </c>
      <c r="E36" s="26">
        <v>100</v>
      </c>
      <c r="F36" s="26">
        <v>100</v>
      </c>
      <c r="G36" s="26">
        <v>100</v>
      </c>
      <c r="H36" s="26">
        <v>100</v>
      </c>
      <c r="I36" s="26">
        <v>100</v>
      </c>
      <c r="J36" s="26">
        <v>100</v>
      </c>
      <c r="K36" s="26">
        <v>100</v>
      </c>
      <c r="L36" s="26">
        <v>100</v>
      </c>
      <c r="M36" s="26">
        <v>100</v>
      </c>
      <c r="N36" s="26">
        <v>100</v>
      </c>
      <c r="O36" s="26">
        <v>100</v>
      </c>
      <c r="P36" s="26">
        <v>100</v>
      </c>
      <c r="Q36" s="26">
        <v>100</v>
      </c>
      <c r="R36" s="26">
        <v>100</v>
      </c>
      <c r="S36" s="26">
        <v>100</v>
      </c>
      <c r="T36" s="26">
        <v>100</v>
      </c>
      <c r="U36" s="26">
        <v>100</v>
      </c>
      <c r="V36" s="26">
        <v>100</v>
      </c>
      <c r="W36" s="26">
        <v>100</v>
      </c>
      <c r="X36" s="26">
        <v>100</v>
      </c>
      <c r="Y36" s="26">
        <v>100</v>
      </c>
      <c r="Z36" s="26">
        <v>100</v>
      </c>
      <c r="AA36" s="26">
        <v>97.600899999999996</v>
      </c>
      <c r="AB36" s="26">
        <v>76.192300000000003</v>
      </c>
      <c r="AC36" s="26">
        <v>100</v>
      </c>
      <c r="AD36" s="26">
        <v>81.413600000000002</v>
      </c>
      <c r="AE36" s="26">
        <v>100</v>
      </c>
      <c r="AF36" s="26">
        <v>100</v>
      </c>
      <c r="AG36" s="26">
        <v>100</v>
      </c>
      <c r="AH36" s="26">
        <v>100</v>
      </c>
      <c r="AI36" s="26">
        <v>100</v>
      </c>
      <c r="AJ36" s="26">
        <v>100</v>
      </c>
      <c r="AK36" s="26">
        <v>100</v>
      </c>
      <c r="AL36" s="26">
        <v>100</v>
      </c>
      <c r="AM36" s="26">
        <v>100</v>
      </c>
      <c r="AN36" s="26">
        <v>100</v>
      </c>
      <c r="AO36" s="26">
        <v>100</v>
      </c>
      <c r="AP36" s="26">
        <v>100</v>
      </c>
      <c r="AQ36" s="26">
        <v>100</v>
      </c>
      <c r="AR36" s="26">
        <v>48.052700000000002</v>
      </c>
      <c r="AS36" s="26">
        <v>100</v>
      </c>
      <c r="AT36" s="26">
        <v>100</v>
      </c>
      <c r="AU36" s="26">
        <v>100</v>
      </c>
      <c r="AV36" s="26">
        <v>100</v>
      </c>
      <c r="AW36" s="26">
        <v>100</v>
      </c>
      <c r="AX36" s="26">
        <v>100</v>
      </c>
      <c r="AY36" s="26">
        <v>100</v>
      </c>
      <c r="AZ36" s="26">
        <v>100</v>
      </c>
      <c r="BA36" s="26">
        <v>97.987899999999996</v>
      </c>
      <c r="BB36" s="26">
        <v>100</v>
      </c>
      <c r="BC36" s="26">
        <v>100</v>
      </c>
      <c r="BD36" s="26">
        <v>100</v>
      </c>
      <c r="BE36" s="26">
        <v>100</v>
      </c>
      <c r="BF36" s="26">
        <v>95.427999999999997</v>
      </c>
      <c r="BG36" s="26">
        <v>100</v>
      </c>
      <c r="BH36" s="26">
        <v>100</v>
      </c>
      <c r="BI36" s="26">
        <v>100</v>
      </c>
      <c r="BJ36" s="26">
        <v>100</v>
      </c>
      <c r="BK36" s="26">
        <v>100</v>
      </c>
      <c r="BL36" s="26">
        <v>100</v>
      </c>
      <c r="BM36" s="26">
        <v>100</v>
      </c>
      <c r="BN36" s="26">
        <v>100</v>
      </c>
      <c r="BO36" s="26">
        <v>100</v>
      </c>
      <c r="BP36" s="26">
        <v>100</v>
      </c>
      <c r="BQ36" s="26">
        <v>100</v>
      </c>
      <c r="BR36" s="26">
        <v>100</v>
      </c>
      <c r="BS36" s="26">
        <v>100</v>
      </c>
      <c r="BT36" s="26">
        <v>100</v>
      </c>
      <c r="BU36" s="26">
        <v>100</v>
      </c>
      <c r="BV36" s="26">
        <v>100</v>
      </c>
      <c r="BW36" s="26">
        <v>100</v>
      </c>
      <c r="BX36" s="26">
        <v>100</v>
      </c>
      <c r="BY36" s="26">
        <v>100</v>
      </c>
      <c r="BZ36" s="26">
        <v>100</v>
      </c>
      <c r="CA36" s="26">
        <v>100</v>
      </c>
      <c r="CB36" s="26">
        <v>98.164700000000011</v>
      </c>
      <c r="CC36" s="26">
        <v>100</v>
      </c>
      <c r="CD36" s="26">
        <v>100</v>
      </c>
      <c r="CE36" s="26">
        <v>100</v>
      </c>
      <c r="CF36" s="26">
        <v>100</v>
      </c>
      <c r="CG36" s="26">
        <v>100</v>
      </c>
      <c r="CH36" s="26">
        <v>100</v>
      </c>
      <c r="CI36" s="26">
        <v>100</v>
      </c>
      <c r="CJ36" s="26">
        <v>100</v>
      </c>
      <c r="CK36" s="26">
        <v>100</v>
      </c>
      <c r="CL36" s="26">
        <v>100</v>
      </c>
      <c r="CM36" s="26">
        <v>100</v>
      </c>
      <c r="CN36" s="26">
        <v>100</v>
      </c>
      <c r="CO36" s="26">
        <v>100</v>
      </c>
      <c r="CP36" s="26">
        <v>100</v>
      </c>
      <c r="CQ36" s="26">
        <v>100</v>
      </c>
      <c r="CR36" s="26">
        <v>100</v>
      </c>
      <c r="CS36" s="26">
        <v>100</v>
      </c>
      <c r="CT36" s="26">
        <v>98.893053684210543</v>
      </c>
      <c r="CU36" s="17">
        <v>9394.8401000000013</v>
      </c>
    </row>
    <row r="37" spans="1:99" x14ac:dyDescent="0.25">
      <c r="A37" s="24">
        <v>36</v>
      </c>
      <c r="B37" s="26">
        <v>17.5</v>
      </c>
      <c r="C37" s="26">
        <v>100</v>
      </c>
      <c r="D37" s="26">
        <v>100</v>
      </c>
      <c r="E37" s="26">
        <v>100</v>
      </c>
      <c r="F37" s="26">
        <v>100</v>
      </c>
      <c r="G37" s="26">
        <v>100</v>
      </c>
      <c r="H37" s="26">
        <v>100</v>
      </c>
      <c r="I37" s="26">
        <v>100</v>
      </c>
      <c r="J37" s="26">
        <v>100</v>
      </c>
      <c r="K37" s="26">
        <v>100</v>
      </c>
      <c r="L37" s="26">
        <v>100</v>
      </c>
      <c r="M37" s="26">
        <v>100</v>
      </c>
      <c r="N37" s="26">
        <v>100</v>
      </c>
      <c r="O37" s="26">
        <v>100</v>
      </c>
      <c r="P37" s="26">
        <v>100</v>
      </c>
      <c r="Q37" s="26">
        <v>100</v>
      </c>
      <c r="R37" s="26">
        <v>100</v>
      </c>
      <c r="S37" s="26">
        <v>100</v>
      </c>
      <c r="T37" s="26">
        <v>100</v>
      </c>
      <c r="U37" s="26">
        <v>100</v>
      </c>
      <c r="V37" s="26">
        <v>100</v>
      </c>
      <c r="W37" s="26">
        <v>100</v>
      </c>
      <c r="X37" s="26">
        <v>100</v>
      </c>
      <c r="Y37" s="26">
        <v>100</v>
      </c>
      <c r="Z37" s="26">
        <v>100</v>
      </c>
      <c r="AA37" s="26">
        <v>92.078699999999998</v>
      </c>
      <c r="AB37" s="26">
        <v>79.111400000000003</v>
      </c>
      <c r="AC37" s="26">
        <v>100</v>
      </c>
      <c r="AD37" s="26">
        <v>78.5334</v>
      </c>
      <c r="AE37" s="26">
        <v>94.834199999999996</v>
      </c>
      <c r="AF37" s="26">
        <v>100</v>
      </c>
      <c r="AG37" s="26">
        <v>100</v>
      </c>
      <c r="AH37" s="26">
        <v>100</v>
      </c>
      <c r="AI37" s="26">
        <v>100</v>
      </c>
      <c r="AJ37" s="26">
        <v>100</v>
      </c>
      <c r="AK37" s="26">
        <v>100</v>
      </c>
      <c r="AL37" s="26">
        <v>100</v>
      </c>
      <c r="AM37" s="26">
        <v>100</v>
      </c>
      <c r="AN37" s="26">
        <v>100</v>
      </c>
      <c r="AO37" s="26">
        <v>100</v>
      </c>
      <c r="AP37" s="26">
        <v>100</v>
      </c>
      <c r="AQ37" s="26">
        <v>100</v>
      </c>
      <c r="AR37" s="26">
        <v>52.289700000000003</v>
      </c>
      <c r="AS37" s="26">
        <v>100</v>
      </c>
      <c r="AT37" s="26">
        <v>100</v>
      </c>
      <c r="AU37" s="26">
        <v>100</v>
      </c>
      <c r="AV37" s="26">
        <v>100</v>
      </c>
      <c r="AW37" s="26">
        <v>100</v>
      </c>
      <c r="AX37" s="26">
        <v>100</v>
      </c>
      <c r="AY37" s="26">
        <v>100</v>
      </c>
      <c r="AZ37" s="26">
        <v>100</v>
      </c>
      <c r="BA37" s="26">
        <v>100</v>
      </c>
      <c r="BB37" s="26">
        <v>100</v>
      </c>
      <c r="BC37" s="26">
        <v>100</v>
      </c>
      <c r="BD37" s="26">
        <v>100</v>
      </c>
      <c r="BE37" s="26">
        <v>100</v>
      </c>
      <c r="BF37" s="26">
        <v>100</v>
      </c>
      <c r="BG37" s="26">
        <v>100</v>
      </c>
      <c r="BH37" s="26">
        <v>100</v>
      </c>
      <c r="BI37" s="26">
        <v>100</v>
      </c>
      <c r="BJ37" s="26">
        <v>100</v>
      </c>
      <c r="BK37" s="26">
        <v>100</v>
      </c>
      <c r="BL37" s="26">
        <v>100</v>
      </c>
      <c r="BM37" s="26">
        <v>100</v>
      </c>
      <c r="BN37" s="26">
        <v>100</v>
      </c>
      <c r="BO37" s="26">
        <v>100</v>
      </c>
      <c r="BP37" s="26">
        <v>100</v>
      </c>
      <c r="BQ37" s="26">
        <v>100</v>
      </c>
      <c r="BR37" s="26">
        <v>100</v>
      </c>
      <c r="BS37" s="26">
        <v>100</v>
      </c>
      <c r="BT37" s="26">
        <v>100</v>
      </c>
      <c r="BU37" s="26">
        <v>100</v>
      </c>
      <c r="BV37" s="26">
        <v>100</v>
      </c>
      <c r="BW37" s="26">
        <v>100</v>
      </c>
      <c r="BX37" s="26">
        <v>100</v>
      </c>
      <c r="BY37" s="26">
        <v>100</v>
      </c>
      <c r="BZ37" s="26">
        <v>100</v>
      </c>
      <c r="CA37" s="26">
        <v>100</v>
      </c>
      <c r="CB37" s="26">
        <v>100</v>
      </c>
      <c r="CC37" s="26">
        <v>100</v>
      </c>
      <c r="CD37" s="26">
        <v>100</v>
      </c>
      <c r="CE37" s="26">
        <v>100</v>
      </c>
      <c r="CF37" s="26">
        <v>100</v>
      </c>
      <c r="CG37" s="26">
        <v>100</v>
      </c>
      <c r="CH37" s="26">
        <v>100</v>
      </c>
      <c r="CI37" s="26">
        <v>100</v>
      </c>
      <c r="CJ37" s="26">
        <v>100</v>
      </c>
      <c r="CK37" s="26">
        <v>100</v>
      </c>
      <c r="CL37" s="26">
        <v>100</v>
      </c>
      <c r="CM37" s="26">
        <v>100</v>
      </c>
      <c r="CN37" s="26">
        <v>100</v>
      </c>
      <c r="CO37" s="26">
        <v>100</v>
      </c>
      <c r="CP37" s="26">
        <v>100</v>
      </c>
      <c r="CQ37" s="26">
        <v>100</v>
      </c>
      <c r="CR37" s="26">
        <v>100</v>
      </c>
      <c r="CS37" s="26">
        <v>100</v>
      </c>
      <c r="CT37" s="26">
        <v>98.914183157894726</v>
      </c>
      <c r="CU37" s="17">
        <v>9396.8473999999987</v>
      </c>
    </row>
    <row r="38" spans="1:99" x14ac:dyDescent="0.25">
      <c r="A38" s="24">
        <v>37</v>
      </c>
      <c r="B38" s="26">
        <v>18</v>
      </c>
      <c r="C38" s="26">
        <v>96.505399999999995</v>
      </c>
      <c r="D38" s="26">
        <v>100</v>
      </c>
      <c r="E38" s="26">
        <v>94.704399999999993</v>
      </c>
      <c r="F38" s="26">
        <v>100</v>
      </c>
      <c r="G38" s="26">
        <v>100</v>
      </c>
      <c r="H38" s="26">
        <v>100</v>
      </c>
      <c r="I38" s="26">
        <v>100</v>
      </c>
      <c r="J38" s="26">
        <v>100</v>
      </c>
      <c r="K38" s="26">
        <v>93.963999999999999</v>
      </c>
      <c r="L38" s="26">
        <v>100</v>
      </c>
      <c r="M38" s="26">
        <v>100</v>
      </c>
      <c r="N38" s="26">
        <v>100</v>
      </c>
      <c r="O38" s="26">
        <v>100</v>
      </c>
      <c r="P38" s="26">
        <v>100</v>
      </c>
      <c r="Q38" s="26">
        <v>100</v>
      </c>
      <c r="R38" s="26">
        <v>100</v>
      </c>
      <c r="S38" s="26">
        <v>100</v>
      </c>
      <c r="T38" s="26">
        <v>100</v>
      </c>
      <c r="U38" s="26">
        <v>100</v>
      </c>
      <c r="V38" s="26">
        <v>100</v>
      </c>
      <c r="W38" s="26">
        <v>100</v>
      </c>
      <c r="X38" s="26">
        <v>100</v>
      </c>
      <c r="Y38" s="26">
        <v>100</v>
      </c>
      <c r="Z38" s="26">
        <v>100</v>
      </c>
      <c r="AA38" s="26">
        <v>96.661100000000005</v>
      </c>
      <c r="AB38" s="26">
        <v>80.843400000000003</v>
      </c>
      <c r="AC38" s="26">
        <v>100</v>
      </c>
      <c r="AD38" s="26">
        <v>81.204900000000009</v>
      </c>
      <c r="AE38" s="26">
        <v>85.457899999999995</v>
      </c>
      <c r="AF38" s="26">
        <v>92.663899999999998</v>
      </c>
      <c r="AG38" s="26">
        <v>100</v>
      </c>
      <c r="AH38" s="26">
        <v>100</v>
      </c>
      <c r="AI38" s="26">
        <v>100</v>
      </c>
      <c r="AJ38" s="26">
        <v>100</v>
      </c>
      <c r="AK38" s="26">
        <v>100</v>
      </c>
      <c r="AL38" s="26">
        <v>100</v>
      </c>
      <c r="AM38" s="26">
        <v>100</v>
      </c>
      <c r="AN38" s="26">
        <v>100</v>
      </c>
      <c r="AO38" s="26">
        <v>100</v>
      </c>
      <c r="AP38" s="26">
        <v>100</v>
      </c>
      <c r="AQ38" s="26">
        <v>100</v>
      </c>
      <c r="AR38" s="26">
        <v>58.080299999999987</v>
      </c>
      <c r="AS38" s="26">
        <v>100</v>
      </c>
      <c r="AT38" s="26">
        <v>100</v>
      </c>
      <c r="AU38" s="26">
        <v>100</v>
      </c>
      <c r="AV38" s="26">
        <v>100</v>
      </c>
      <c r="AW38" s="26">
        <v>100</v>
      </c>
      <c r="AX38" s="26">
        <v>100</v>
      </c>
      <c r="AY38" s="26">
        <v>100</v>
      </c>
      <c r="AZ38" s="26">
        <v>100</v>
      </c>
      <c r="BA38" s="26">
        <v>97.208500000000001</v>
      </c>
      <c r="BB38" s="26">
        <v>100</v>
      </c>
      <c r="BC38" s="26">
        <v>100</v>
      </c>
      <c r="BD38" s="26">
        <v>100</v>
      </c>
      <c r="BE38" s="26">
        <v>100</v>
      </c>
      <c r="BF38" s="26">
        <v>100</v>
      </c>
      <c r="BG38" s="26">
        <v>100</v>
      </c>
      <c r="BH38" s="26">
        <v>100</v>
      </c>
      <c r="BI38" s="26">
        <v>100</v>
      </c>
      <c r="BJ38" s="26">
        <v>100</v>
      </c>
      <c r="BK38" s="26">
        <v>100</v>
      </c>
      <c r="BL38" s="26">
        <v>100</v>
      </c>
      <c r="BM38" s="26">
        <v>100</v>
      </c>
      <c r="BN38" s="26">
        <v>100</v>
      </c>
      <c r="BO38" s="26">
        <v>100</v>
      </c>
      <c r="BP38" s="26">
        <v>100</v>
      </c>
      <c r="BQ38" s="26">
        <v>100</v>
      </c>
      <c r="BR38" s="26">
        <v>100</v>
      </c>
      <c r="BS38" s="26">
        <v>100</v>
      </c>
      <c r="BT38" s="26">
        <v>100</v>
      </c>
      <c r="BU38" s="26">
        <v>100</v>
      </c>
      <c r="BV38" s="26">
        <v>100</v>
      </c>
      <c r="BW38" s="26">
        <v>100</v>
      </c>
      <c r="BX38" s="26">
        <v>100</v>
      </c>
      <c r="BY38" s="26">
        <v>100</v>
      </c>
      <c r="BZ38" s="26">
        <v>100</v>
      </c>
      <c r="CA38" s="26">
        <v>100</v>
      </c>
      <c r="CB38" s="26">
        <v>91.637799999999999</v>
      </c>
      <c r="CC38" s="26">
        <v>100</v>
      </c>
      <c r="CD38" s="26">
        <v>100</v>
      </c>
      <c r="CE38" s="26">
        <v>100</v>
      </c>
      <c r="CF38" s="26">
        <v>100</v>
      </c>
      <c r="CG38" s="26">
        <v>100</v>
      </c>
      <c r="CH38" s="26">
        <v>99.838899999999995</v>
      </c>
      <c r="CI38" s="26">
        <v>83.163200000000003</v>
      </c>
      <c r="CJ38" s="26">
        <v>90.222100000000012</v>
      </c>
      <c r="CK38" s="26">
        <v>100</v>
      </c>
      <c r="CL38" s="26">
        <v>100</v>
      </c>
      <c r="CM38" s="26">
        <v>100</v>
      </c>
      <c r="CN38" s="26">
        <v>89.844999999999999</v>
      </c>
      <c r="CO38" s="26">
        <v>100</v>
      </c>
      <c r="CP38" s="26">
        <v>100</v>
      </c>
      <c r="CQ38" s="26">
        <v>100</v>
      </c>
      <c r="CR38" s="26">
        <v>100</v>
      </c>
      <c r="CS38" s="26">
        <v>100</v>
      </c>
      <c r="CT38" s="26">
        <v>98.231587368421074</v>
      </c>
      <c r="CU38" s="17">
        <v>9332.0008000000016</v>
      </c>
    </row>
    <row r="39" spans="1:99" x14ac:dyDescent="0.25">
      <c r="A39" s="24">
        <v>38</v>
      </c>
      <c r="B39" s="26">
        <v>18.5</v>
      </c>
      <c r="C39" s="26">
        <v>91.968800000000002</v>
      </c>
      <c r="D39" s="26">
        <v>100</v>
      </c>
      <c r="E39" s="26">
        <v>95.373400000000004</v>
      </c>
      <c r="F39" s="26">
        <v>100</v>
      </c>
      <c r="G39" s="26">
        <v>100</v>
      </c>
      <c r="H39" s="26">
        <v>100</v>
      </c>
      <c r="I39" s="26">
        <v>100</v>
      </c>
      <c r="J39" s="26">
        <v>94.515000000000001</v>
      </c>
      <c r="K39" s="26">
        <v>97.4726</v>
      </c>
      <c r="L39" s="26">
        <v>100</v>
      </c>
      <c r="M39" s="26">
        <v>100</v>
      </c>
      <c r="N39" s="26">
        <v>100</v>
      </c>
      <c r="O39" s="26">
        <v>100</v>
      </c>
      <c r="P39" s="26">
        <v>100</v>
      </c>
      <c r="Q39" s="26">
        <v>100</v>
      </c>
      <c r="R39" s="26">
        <v>100</v>
      </c>
      <c r="S39" s="26">
        <v>100</v>
      </c>
      <c r="T39" s="26">
        <v>100</v>
      </c>
      <c r="U39" s="26">
        <v>100</v>
      </c>
      <c r="V39" s="26">
        <v>100</v>
      </c>
      <c r="W39" s="26">
        <v>100</v>
      </c>
      <c r="X39" s="26">
        <v>100</v>
      </c>
      <c r="Y39" s="26">
        <v>100</v>
      </c>
      <c r="Z39" s="26">
        <v>100</v>
      </c>
      <c r="AA39" s="26">
        <v>99.81750000000001</v>
      </c>
      <c r="AB39" s="26">
        <v>82.809200000000004</v>
      </c>
      <c r="AC39" s="26">
        <v>100</v>
      </c>
      <c r="AD39" s="26">
        <v>84.372699999999995</v>
      </c>
      <c r="AE39" s="26">
        <v>90.877099999999999</v>
      </c>
      <c r="AF39" s="26">
        <v>52.8964</v>
      </c>
      <c r="AG39" s="26">
        <v>100</v>
      </c>
      <c r="AH39" s="26">
        <v>100</v>
      </c>
      <c r="AI39" s="26">
        <v>100</v>
      </c>
      <c r="AJ39" s="26">
        <v>100</v>
      </c>
      <c r="AK39" s="26">
        <v>100</v>
      </c>
      <c r="AL39" s="26">
        <v>100</v>
      </c>
      <c r="AM39" s="26">
        <v>100</v>
      </c>
      <c r="AN39" s="26">
        <v>100</v>
      </c>
      <c r="AO39" s="26">
        <v>100</v>
      </c>
      <c r="AP39" s="26">
        <v>100</v>
      </c>
      <c r="AQ39" s="26">
        <v>100</v>
      </c>
      <c r="AR39" s="26">
        <v>59.219900000000003</v>
      </c>
      <c r="AS39" s="26">
        <v>100</v>
      </c>
      <c r="AT39" s="26">
        <v>100</v>
      </c>
      <c r="AU39" s="26">
        <v>100</v>
      </c>
      <c r="AV39" s="26">
        <v>100</v>
      </c>
      <c r="AW39" s="26">
        <v>100</v>
      </c>
      <c r="AX39" s="26">
        <v>100</v>
      </c>
      <c r="AY39" s="26">
        <v>100</v>
      </c>
      <c r="AZ39" s="26">
        <v>100</v>
      </c>
      <c r="BA39" s="26">
        <v>95.112300000000005</v>
      </c>
      <c r="BB39" s="26">
        <v>100</v>
      </c>
      <c r="BC39" s="26">
        <v>100</v>
      </c>
      <c r="BD39" s="26">
        <v>100</v>
      </c>
      <c r="BE39" s="26">
        <v>100</v>
      </c>
      <c r="BF39" s="26">
        <v>100</v>
      </c>
      <c r="BG39" s="26">
        <v>100</v>
      </c>
      <c r="BH39" s="26">
        <v>100</v>
      </c>
      <c r="BI39" s="26">
        <v>100</v>
      </c>
      <c r="BJ39" s="26">
        <v>100</v>
      </c>
      <c r="BK39" s="26">
        <v>100</v>
      </c>
      <c r="BL39" s="26">
        <v>100</v>
      </c>
      <c r="BM39" s="26">
        <v>100</v>
      </c>
      <c r="BN39" s="26">
        <v>100</v>
      </c>
      <c r="BO39" s="26">
        <v>100</v>
      </c>
      <c r="BP39" s="26">
        <v>100</v>
      </c>
      <c r="BQ39" s="26">
        <v>100</v>
      </c>
      <c r="BR39" s="26">
        <v>100</v>
      </c>
      <c r="BS39" s="26">
        <v>100</v>
      </c>
      <c r="BT39" s="26">
        <v>100</v>
      </c>
      <c r="BU39" s="26">
        <v>97.630099999999999</v>
      </c>
      <c r="BV39" s="26">
        <v>100</v>
      </c>
      <c r="BW39" s="26">
        <v>88.807100000000005</v>
      </c>
      <c r="BX39" s="26">
        <v>98.028899999999993</v>
      </c>
      <c r="BY39" s="26">
        <v>100</v>
      </c>
      <c r="BZ39" s="26">
        <v>100</v>
      </c>
      <c r="CA39" s="26">
        <v>91.482799999999997</v>
      </c>
      <c r="CB39" s="26">
        <v>84.621500000000012</v>
      </c>
      <c r="CC39" s="26">
        <v>100</v>
      </c>
      <c r="CD39" s="26">
        <v>100</v>
      </c>
      <c r="CE39" s="26">
        <v>100</v>
      </c>
      <c r="CF39" s="26">
        <v>100</v>
      </c>
      <c r="CG39" s="26">
        <v>100</v>
      </c>
      <c r="CH39" s="26">
        <v>100</v>
      </c>
      <c r="CI39" s="26">
        <v>85.863299999999995</v>
      </c>
      <c r="CJ39" s="26">
        <v>87.661100000000005</v>
      </c>
      <c r="CK39" s="26">
        <v>100</v>
      </c>
      <c r="CL39" s="26">
        <v>100</v>
      </c>
      <c r="CM39" s="26">
        <v>100</v>
      </c>
      <c r="CN39" s="26">
        <v>92.262500000000003</v>
      </c>
      <c r="CO39" s="26">
        <v>100</v>
      </c>
      <c r="CP39" s="26">
        <v>87.298600000000008</v>
      </c>
      <c r="CQ39" s="26">
        <v>100</v>
      </c>
      <c r="CR39" s="26">
        <v>100</v>
      </c>
      <c r="CS39" s="26">
        <v>100</v>
      </c>
      <c r="CT39" s="26">
        <v>97.453587368421069</v>
      </c>
      <c r="CU39" s="17">
        <v>9258.0908000000018</v>
      </c>
    </row>
    <row r="40" spans="1:99" x14ac:dyDescent="0.25">
      <c r="A40" s="24">
        <v>39</v>
      </c>
      <c r="B40" s="26">
        <v>19</v>
      </c>
      <c r="C40" s="26">
        <v>94.621399999999994</v>
      </c>
      <c r="D40" s="26">
        <v>100</v>
      </c>
      <c r="E40" s="26">
        <v>85.833700000000007</v>
      </c>
      <c r="F40" s="26">
        <v>100</v>
      </c>
      <c r="G40" s="26">
        <v>100</v>
      </c>
      <c r="H40" s="26">
        <v>100</v>
      </c>
      <c r="I40" s="26">
        <v>100</v>
      </c>
      <c r="J40" s="26">
        <v>79.105699999999999</v>
      </c>
      <c r="K40" s="26">
        <v>92.827800000000011</v>
      </c>
      <c r="L40" s="26">
        <v>100</v>
      </c>
      <c r="M40" s="26">
        <v>100</v>
      </c>
      <c r="N40" s="26">
        <v>100</v>
      </c>
      <c r="O40" s="26">
        <v>100</v>
      </c>
      <c r="P40" s="26">
        <v>100</v>
      </c>
      <c r="Q40" s="26">
        <v>100</v>
      </c>
      <c r="R40" s="26">
        <v>100</v>
      </c>
      <c r="S40" s="26">
        <v>100</v>
      </c>
      <c r="T40" s="26">
        <v>100</v>
      </c>
      <c r="U40" s="26">
        <v>100</v>
      </c>
      <c r="V40" s="26">
        <v>100</v>
      </c>
      <c r="W40" s="26">
        <v>100</v>
      </c>
      <c r="X40" s="26">
        <v>100</v>
      </c>
      <c r="Y40" s="26">
        <v>100</v>
      </c>
      <c r="Z40" s="26">
        <v>99.704899999999995</v>
      </c>
      <c r="AA40" s="26">
        <v>100</v>
      </c>
      <c r="AB40" s="26">
        <v>83.629900000000006</v>
      </c>
      <c r="AC40" s="26">
        <v>100</v>
      </c>
      <c r="AD40" s="26">
        <v>84.192800000000005</v>
      </c>
      <c r="AE40" s="26">
        <v>96.328000000000003</v>
      </c>
      <c r="AF40" s="26">
        <v>56.173799999999993</v>
      </c>
      <c r="AG40" s="26">
        <v>100</v>
      </c>
      <c r="AH40" s="26">
        <v>100</v>
      </c>
      <c r="AI40" s="26">
        <v>100</v>
      </c>
      <c r="AJ40" s="26">
        <v>100</v>
      </c>
      <c r="AK40" s="26">
        <v>100</v>
      </c>
      <c r="AL40" s="26">
        <v>100</v>
      </c>
      <c r="AM40" s="26">
        <v>100</v>
      </c>
      <c r="AN40" s="26">
        <v>100</v>
      </c>
      <c r="AO40" s="26">
        <v>100</v>
      </c>
      <c r="AP40" s="26">
        <v>100</v>
      </c>
      <c r="AQ40" s="26">
        <v>99.253</v>
      </c>
      <c r="AR40" s="26">
        <v>62.228299999999997</v>
      </c>
      <c r="AS40" s="26">
        <v>100</v>
      </c>
      <c r="AT40" s="26">
        <v>100</v>
      </c>
      <c r="AU40" s="26">
        <v>82.250500000000002</v>
      </c>
      <c r="AV40" s="26">
        <v>100</v>
      </c>
      <c r="AW40" s="26">
        <v>100</v>
      </c>
      <c r="AX40" s="26">
        <v>100</v>
      </c>
      <c r="AY40" s="26">
        <v>100</v>
      </c>
      <c r="AZ40" s="26">
        <v>100</v>
      </c>
      <c r="BA40" s="26">
        <v>81.119100000000003</v>
      </c>
      <c r="BB40" s="26">
        <v>100</v>
      </c>
      <c r="BC40" s="26">
        <v>100</v>
      </c>
      <c r="BD40" s="26">
        <v>100</v>
      </c>
      <c r="BE40" s="26">
        <v>100</v>
      </c>
      <c r="BF40" s="26">
        <v>100</v>
      </c>
      <c r="BG40" s="26">
        <v>100</v>
      </c>
      <c r="BH40" s="26">
        <v>100</v>
      </c>
      <c r="BI40" s="26">
        <v>99.172499999999999</v>
      </c>
      <c r="BJ40" s="26">
        <v>89.545699999999997</v>
      </c>
      <c r="BK40" s="26">
        <v>100</v>
      </c>
      <c r="BL40" s="26">
        <v>99.296399999999991</v>
      </c>
      <c r="BM40" s="26">
        <v>100</v>
      </c>
      <c r="BN40" s="26">
        <v>100</v>
      </c>
      <c r="BO40" s="26">
        <v>100</v>
      </c>
      <c r="BP40" s="26">
        <v>100</v>
      </c>
      <c r="BQ40" s="26">
        <v>100</v>
      </c>
      <c r="BR40" s="26">
        <v>100</v>
      </c>
      <c r="BS40" s="26">
        <v>69.0685</v>
      </c>
      <c r="BT40" s="26">
        <v>100</v>
      </c>
      <c r="BU40" s="26">
        <v>100</v>
      </c>
      <c r="BV40" s="26">
        <v>98.4405</v>
      </c>
      <c r="BW40" s="26">
        <v>90.099500000000006</v>
      </c>
      <c r="BX40" s="26">
        <v>97.750199999999992</v>
      </c>
      <c r="BY40" s="26">
        <v>100</v>
      </c>
      <c r="BZ40" s="26">
        <v>97.891099999999994</v>
      </c>
      <c r="CA40" s="26">
        <v>92.884100000000004</v>
      </c>
      <c r="CB40" s="26">
        <v>74.268500000000003</v>
      </c>
      <c r="CC40" s="26">
        <v>100</v>
      </c>
      <c r="CD40" s="26">
        <v>100</v>
      </c>
      <c r="CE40" s="26">
        <v>100</v>
      </c>
      <c r="CF40" s="26">
        <v>100</v>
      </c>
      <c r="CG40" s="26">
        <v>100</v>
      </c>
      <c r="CH40" s="26">
        <v>100</v>
      </c>
      <c r="CI40" s="26">
        <v>85.729399999999998</v>
      </c>
      <c r="CJ40" s="26">
        <v>72.916600000000003</v>
      </c>
      <c r="CK40" s="26">
        <v>100</v>
      </c>
      <c r="CL40" s="26">
        <v>100</v>
      </c>
      <c r="CM40" s="26">
        <v>100</v>
      </c>
      <c r="CN40" s="26">
        <v>93.020200000000003</v>
      </c>
      <c r="CO40" s="26">
        <v>100</v>
      </c>
      <c r="CP40" s="26">
        <v>88.507899999999992</v>
      </c>
      <c r="CQ40" s="26">
        <v>100</v>
      </c>
      <c r="CR40" s="26">
        <v>100</v>
      </c>
      <c r="CS40" s="26">
        <v>100</v>
      </c>
      <c r="CT40" s="26">
        <v>96.272210526315817</v>
      </c>
      <c r="CU40" s="17">
        <v>9145.8600000000024</v>
      </c>
    </row>
    <row r="41" spans="1:99" x14ac:dyDescent="0.25">
      <c r="A41" s="24">
        <v>40</v>
      </c>
      <c r="B41" s="26">
        <v>19.5</v>
      </c>
      <c r="C41" s="26">
        <v>95.473600000000005</v>
      </c>
      <c r="D41" s="26">
        <v>98.277499999999989</v>
      </c>
      <c r="E41" s="26">
        <v>86.158999999999992</v>
      </c>
      <c r="F41" s="26">
        <v>100</v>
      </c>
      <c r="G41" s="26">
        <v>95.230699999999999</v>
      </c>
      <c r="H41" s="26">
        <v>95.342100000000002</v>
      </c>
      <c r="I41" s="26">
        <v>100</v>
      </c>
      <c r="J41" s="26">
        <v>78.316600000000008</v>
      </c>
      <c r="K41" s="26">
        <v>62.278399999999998</v>
      </c>
      <c r="L41" s="26">
        <v>98.664400000000001</v>
      </c>
      <c r="M41" s="26">
        <v>100</v>
      </c>
      <c r="N41" s="26">
        <v>100</v>
      </c>
      <c r="O41" s="26">
        <v>96.926500000000004</v>
      </c>
      <c r="P41" s="26">
        <v>99.3536</v>
      </c>
      <c r="Q41" s="26">
        <v>98.411000000000001</v>
      </c>
      <c r="R41" s="26">
        <v>98.361800000000002</v>
      </c>
      <c r="S41" s="26">
        <v>100</v>
      </c>
      <c r="T41" s="26">
        <v>100</v>
      </c>
      <c r="U41" s="26">
        <v>100</v>
      </c>
      <c r="V41" s="26">
        <v>100</v>
      </c>
      <c r="W41" s="26">
        <v>100</v>
      </c>
      <c r="X41" s="26">
        <v>99.775100000000009</v>
      </c>
      <c r="Y41" s="26">
        <v>99.114199999999997</v>
      </c>
      <c r="Z41" s="26">
        <v>100</v>
      </c>
      <c r="AA41" s="26">
        <v>100</v>
      </c>
      <c r="AB41" s="26">
        <v>84.215599999999995</v>
      </c>
      <c r="AC41" s="26">
        <v>100</v>
      </c>
      <c r="AD41" s="26">
        <v>84.897199999999998</v>
      </c>
      <c r="AE41" s="26">
        <v>98.426100000000005</v>
      </c>
      <c r="AF41" s="26">
        <v>57.995199999999997</v>
      </c>
      <c r="AG41" s="26">
        <v>100</v>
      </c>
      <c r="AH41" s="26">
        <v>100</v>
      </c>
      <c r="AI41" s="26">
        <v>100</v>
      </c>
      <c r="AJ41" s="26">
        <v>100</v>
      </c>
      <c r="AK41" s="26">
        <v>80.848299999999995</v>
      </c>
      <c r="AL41" s="26">
        <v>100</v>
      </c>
      <c r="AM41" s="26">
        <v>100</v>
      </c>
      <c r="AN41" s="26">
        <v>100</v>
      </c>
      <c r="AO41" s="26">
        <v>100</v>
      </c>
      <c r="AP41" s="26">
        <v>100</v>
      </c>
      <c r="AQ41" s="26">
        <v>100</v>
      </c>
      <c r="AR41" s="26">
        <v>63.754800000000003</v>
      </c>
      <c r="AS41" s="26">
        <v>100</v>
      </c>
      <c r="AT41" s="26">
        <v>100</v>
      </c>
      <c r="AU41" s="26">
        <v>55.561999999999998</v>
      </c>
      <c r="AV41" s="26">
        <v>100</v>
      </c>
      <c r="AW41" s="26">
        <v>100</v>
      </c>
      <c r="AX41" s="26">
        <v>100</v>
      </c>
      <c r="AY41" s="26">
        <v>93.941699999999997</v>
      </c>
      <c r="AZ41" s="26">
        <v>97.735200000000006</v>
      </c>
      <c r="BA41" s="26">
        <v>79.372900000000001</v>
      </c>
      <c r="BB41" s="26">
        <v>97.977000000000004</v>
      </c>
      <c r="BC41" s="26">
        <v>100</v>
      </c>
      <c r="BD41" s="26">
        <v>100</v>
      </c>
      <c r="BE41" s="26">
        <v>98.387299999999996</v>
      </c>
      <c r="BF41" s="26">
        <v>100</v>
      </c>
      <c r="BG41" s="26">
        <v>100</v>
      </c>
      <c r="BH41" s="26">
        <v>100</v>
      </c>
      <c r="BI41" s="26">
        <v>99.512199999999993</v>
      </c>
      <c r="BJ41" s="26">
        <v>86.91879999999999</v>
      </c>
      <c r="BK41" s="26">
        <v>100</v>
      </c>
      <c r="BL41" s="26">
        <v>97.731200000000001</v>
      </c>
      <c r="BM41" s="26">
        <v>100</v>
      </c>
      <c r="BN41" s="26">
        <v>100</v>
      </c>
      <c r="BO41" s="26">
        <v>100</v>
      </c>
      <c r="BP41" s="26">
        <v>98.327600000000004</v>
      </c>
      <c r="BQ41" s="26">
        <v>100</v>
      </c>
      <c r="BR41" s="26">
        <v>99.126000000000005</v>
      </c>
      <c r="BS41" s="26">
        <v>27.298200000000001</v>
      </c>
      <c r="BT41" s="26">
        <v>99.694999999999993</v>
      </c>
      <c r="BU41" s="26">
        <v>100</v>
      </c>
      <c r="BV41" s="26">
        <v>96.708799999999997</v>
      </c>
      <c r="BW41" s="26">
        <v>88.617500000000007</v>
      </c>
      <c r="BX41" s="26">
        <v>92.271199999999993</v>
      </c>
      <c r="BY41" s="26">
        <v>100</v>
      </c>
      <c r="BZ41" s="26">
        <v>80.762799999999999</v>
      </c>
      <c r="CA41" s="26">
        <v>95.5886</v>
      </c>
      <c r="CB41" s="26">
        <v>49.067100000000003</v>
      </c>
      <c r="CC41" s="26">
        <v>95.876499999999993</v>
      </c>
      <c r="CD41" s="26">
        <v>100</v>
      </c>
      <c r="CE41" s="26">
        <v>69.702200000000005</v>
      </c>
      <c r="CF41" s="26">
        <v>99.253299999999996</v>
      </c>
      <c r="CG41" s="26">
        <v>100</v>
      </c>
      <c r="CH41" s="26">
        <v>99.672300000000007</v>
      </c>
      <c r="CI41" s="26">
        <v>68.069900000000004</v>
      </c>
      <c r="CJ41" s="26">
        <v>68.9071</v>
      </c>
      <c r="CK41" s="26">
        <v>100</v>
      </c>
      <c r="CL41" s="26">
        <v>100</v>
      </c>
      <c r="CM41" s="26">
        <v>100</v>
      </c>
      <c r="CN41" s="26">
        <v>90.278599999999997</v>
      </c>
      <c r="CO41" s="26">
        <v>100</v>
      </c>
      <c r="CP41" s="26">
        <v>87.488200000000006</v>
      </c>
      <c r="CQ41" s="26">
        <v>100</v>
      </c>
      <c r="CR41" s="26">
        <v>100</v>
      </c>
      <c r="CS41" s="26">
        <v>99.995999999999995</v>
      </c>
      <c r="CT41" s="26">
        <v>93.533335789473711</v>
      </c>
      <c r="CU41" s="17">
        <v>8885.666900000002</v>
      </c>
    </row>
    <row r="42" spans="1:99" x14ac:dyDescent="0.25">
      <c r="A42" s="24">
        <v>41</v>
      </c>
      <c r="B42" s="26">
        <v>20</v>
      </c>
      <c r="C42" s="26">
        <v>94.354600000000005</v>
      </c>
      <c r="D42" s="26">
        <v>91.414199999999994</v>
      </c>
      <c r="E42" s="26">
        <v>80.921800000000005</v>
      </c>
      <c r="F42" s="26">
        <v>96.110900000000001</v>
      </c>
      <c r="G42" s="26">
        <v>72.850999999999999</v>
      </c>
      <c r="H42" s="26">
        <v>83.402100000000004</v>
      </c>
      <c r="I42" s="26">
        <v>100</v>
      </c>
      <c r="J42" s="26">
        <v>74.127600000000001</v>
      </c>
      <c r="K42" s="26">
        <v>38.211500000000001</v>
      </c>
      <c r="L42" s="26">
        <v>96.009900000000002</v>
      </c>
      <c r="M42" s="26">
        <v>97.265000000000001</v>
      </c>
      <c r="N42" s="26">
        <v>97.490700000000004</v>
      </c>
      <c r="O42" s="26">
        <v>92.360699999999994</v>
      </c>
      <c r="P42" s="26">
        <v>95.679000000000002</v>
      </c>
      <c r="Q42" s="26">
        <v>95.446100000000001</v>
      </c>
      <c r="R42" s="26">
        <v>93.935699999999997</v>
      </c>
      <c r="S42" s="26">
        <v>99.288799999999995</v>
      </c>
      <c r="T42" s="26">
        <v>95.235600000000005</v>
      </c>
      <c r="U42" s="26">
        <v>100</v>
      </c>
      <c r="V42" s="26">
        <v>95.734099999999998</v>
      </c>
      <c r="W42" s="26">
        <v>96.042199999999994</v>
      </c>
      <c r="X42" s="26">
        <v>100</v>
      </c>
      <c r="Y42" s="26">
        <v>92.02470000000001</v>
      </c>
      <c r="Z42" s="26">
        <v>100</v>
      </c>
      <c r="AA42" s="26">
        <v>98.085900000000009</v>
      </c>
      <c r="AB42" s="26">
        <v>80.169299999999993</v>
      </c>
      <c r="AC42" s="26">
        <v>91.164599999999993</v>
      </c>
      <c r="AD42" s="26">
        <v>81.322499999999991</v>
      </c>
      <c r="AE42" s="26">
        <v>99.049099999999996</v>
      </c>
      <c r="AF42" s="26">
        <v>54.910400000000003</v>
      </c>
      <c r="AG42" s="26">
        <v>98.169200000000004</v>
      </c>
      <c r="AH42" s="26">
        <v>97.940600000000003</v>
      </c>
      <c r="AI42" s="26">
        <v>99.858400000000003</v>
      </c>
      <c r="AJ42" s="26">
        <v>77.963400000000007</v>
      </c>
      <c r="AK42" s="26">
        <v>63.929100000000012</v>
      </c>
      <c r="AL42" s="26">
        <v>100</v>
      </c>
      <c r="AM42" s="26">
        <v>97.936000000000007</v>
      </c>
      <c r="AN42" s="26">
        <v>100</v>
      </c>
      <c r="AO42" s="26">
        <v>95.085699999999989</v>
      </c>
      <c r="AP42" s="26">
        <v>95.649799999999999</v>
      </c>
      <c r="AQ42" s="26">
        <v>100</v>
      </c>
      <c r="AR42" s="26">
        <v>62.416499999999999</v>
      </c>
      <c r="AS42" s="26">
        <v>91.496399999999994</v>
      </c>
      <c r="AT42" s="26">
        <v>98.02300000000001</v>
      </c>
      <c r="AU42" s="26">
        <v>43.288499999999999</v>
      </c>
      <c r="AV42" s="26">
        <v>94.834600000000009</v>
      </c>
      <c r="AW42" s="26">
        <v>95.6083</v>
      </c>
      <c r="AX42" s="26">
        <v>96.244900000000001</v>
      </c>
      <c r="AY42" s="26">
        <v>76.926400000000001</v>
      </c>
      <c r="AZ42" s="26">
        <v>94.741500000000002</v>
      </c>
      <c r="BA42" s="26">
        <v>77.283599999999993</v>
      </c>
      <c r="BB42" s="26">
        <v>91.900800000000004</v>
      </c>
      <c r="BC42" s="26">
        <v>95.947199999999995</v>
      </c>
      <c r="BD42" s="26">
        <v>100</v>
      </c>
      <c r="BE42" s="26">
        <v>94.145499999999998</v>
      </c>
      <c r="BF42" s="26">
        <v>98.708399999999997</v>
      </c>
      <c r="BG42" s="26">
        <v>96.054500000000004</v>
      </c>
      <c r="BH42" s="26">
        <v>84.479199999999992</v>
      </c>
      <c r="BI42" s="26">
        <v>97.775199999999998</v>
      </c>
      <c r="BJ42" s="26">
        <v>84.209199999999996</v>
      </c>
      <c r="BK42" s="26">
        <v>94.283799999999999</v>
      </c>
      <c r="BL42" s="26">
        <v>93.206599999999995</v>
      </c>
      <c r="BM42" s="26">
        <v>86.6023</v>
      </c>
      <c r="BN42" s="26">
        <v>98.370100000000008</v>
      </c>
      <c r="BO42" s="26">
        <v>95.733599999999996</v>
      </c>
      <c r="BP42" s="26">
        <v>89.377899999999997</v>
      </c>
      <c r="BQ42" s="26">
        <v>98.014700000000005</v>
      </c>
      <c r="BR42" s="26">
        <v>82.942300000000003</v>
      </c>
      <c r="BS42" s="26">
        <v>15.524900000000001</v>
      </c>
      <c r="BT42" s="26">
        <v>94.868099999999998</v>
      </c>
      <c r="BU42" s="26">
        <v>98.389700000000005</v>
      </c>
      <c r="BV42" s="26">
        <v>90.347099999999998</v>
      </c>
      <c r="BW42" s="26">
        <v>82.093000000000004</v>
      </c>
      <c r="BX42" s="26">
        <v>88.685699999999997</v>
      </c>
      <c r="BY42" s="26">
        <v>99.527100000000004</v>
      </c>
      <c r="BZ42" s="26">
        <v>75.600700000000003</v>
      </c>
      <c r="CA42" s="26">
        <v>96.128100000000003</v>
      </c>
      <c r="CB42" s="26">
        <v>42.869399999999999</v>
      </c>
      <c r="CC42" s="26">
        <v>92.588200000000001</v>
      </c>
      <c r="CD42" s="26">
        <v>95.865600000000001</v>
      </c>
      <c r="CE42" s="26">
        <v>52.897000000000013</v>
      </c>
      <c r="CF42" s="26">
        <v>99.017599999999987</v>
      </c>
      <c r="CG42" s="26">
        <v>98.086100000000002</v>
      </c>
      <c r="CH42" s="26">
        <v>94.6494</v>
      </c>
      <c r="CI42" s="26">
        <v>51.9666</v>
      </c>
      <c r="CJ42" s="26">
        <v>68.846800000000002</v>
      </c>
      <c r="CK42" s="26">
        <v>99.631199999999993</v>
      </c>
      <c r="CL42" s="26">
        <v>95.421300000000002</v>
      </c>
      <c r="CM42" s="26">
        <v>98.314900000000009</v>
      </c>
      <c r="CN42" s="26">
        <v>87.932100000000005</v>
      </c>
      <c r="CO42" s="26">
        <v>92.127200000000002</v>
      </c>
      <c r="CP42" s="26">
        <v>82.692399999999992</v>
      </c>
      <c r="CQ42" s="26">
        <v>100</v>
      </c>
      <c r="CR42" s="26">
        <v>97.266599999999997</v>
      </c>
      <c r="CS42" s="26">
        <v>91.743600000000001</v>
      </c>
      <c r="CT42" s="26">
        <v>88.471953684210547</v>
      </c>
      <c r="CU42" s="17">
        <v>8404.8356000000022</v>
      </c>
    </row>
    <row r="43" spans="1:99" x14ac:dyDescent="0.25">
      <c r="A43" s="24">
        <v>42</v>
      </c>
      <c r="B43" s="26">
        <v>20.5</v>
      </c>
      <c r="C43" s="26">
        <v>93.850400000000008</v>
      </c>
      <c r="D43" s="26">
        <v>78.230400000000003</v>
      </c>
      <c r="E43" s="26">
        <v>78.243099999999998</v>
      </c>
      <c r="F43" s="26">
        <v>93.200299999999999</v>
      </c>
      <c r="G43" s="26">
        <v>70.809899999999999</v>
      </c>
      <c r="H43" s="26">
        <v>79.777200000000008</v>
      </c>
      <c r="I43" s="26">
        <v>99.6708</v>
      </c>
      <c r="J43" s="26">
        <v>69.879599999999996</v>
      </c>
      <c r="K43" s="26">
        <v>32.491</v>
      </c>
      <c r="L43" s="26">
        <v>94.690799999999996</v>
      </c>
      <c r="M43" s="26">
        <v>92.315299999999993</v>
      </c>
      <c r="N43" s="26">
        <v>91.517099999999999</v>
      </c>
      <c r="O43" s="26">
        <v>87.092700000000008</v>
      </c>
      <c r="P43" s="26">
        <v>89.090400000000002</v>
      </c>
      <c r="Q43" s="26">
        <v>91.667400000000001</v>
      </c>
      <c r="R43" s="26">
        <v>90.08420000000001</v>
      </c>
      <c r="S43" s="26">
        <v>98.909400000000005</v>
      </c>
      <c r="T43" s="26">
        <v>89.024000000000001</v>
      </c>
      <c r="U43" s="26">
        <v>99.545299999999997</v>
      </c>
      <c r="V43" s="26">
        <v>87.875699999999995</v>
      </c>
      <c r="W43" s="26">
        <v>86.768900000000002</v>
      </c>
      <c r="X43" s="26">
        <v>97.070800000000006</v>
      </c>
      <c r="Y43" s="26">
        <v>85.260599999999997</v>
      </c>
      <c r="Z43" s="26">
        <v>96.586799999999997</v>
      </c>
      <c r="AA43" s="26">
        <v>97.501199999999997</v>
      </c>
      <c r="AB43" s="26">
        <v>76.706299999999999</v>
      </c>
      <c r="AC43" s="26">
        <v>76.361900000000006</v>
      </c>
      <c r="AD43" s="26">
        <v>76.239599999999996</v>
      </c>
      <c r="AE43" s="26">
        <v>97.317599999999999</v>
      </c>
      <c r="AF43" s="26">
        <v>54.387700000000002</v>
      </c>
      <c r="AG43" s="26">
        <v>94.834199999999996</v>
      </c>
      <c r="AH43" s="26">
        <v>95.880299999999991</v>
      </c>
      <c r="AI43" s="26">
        <v>98.460700000000003</v>
      </c>
      <c r="AJ43" s="26">
        <v>71.407600000000002</v>
      </c>
      <c r="AK43" s="26">
        <v>56.355999999999987</v>
      </c>
      <c r="AL43" s="26">
        <v>99.471500000000006</v>
      </c>
      <c r="AM43" s="26">
        <v>97.177899999999994</v>
      </c>
      <c r="AN43" s="26">
        <v>97.565699999999993</v>
      </c>
      <c r="AO43" s="26">
        <v>89.5886</v>
      </c>
      <c r="AP43" s="26">
        <v>86.102100000000007</v>
      </c>
      <c r="AQ43" s="26">
        <v>98.138099999999994</v>
      </c>
      <c r="AR43" s="26">
        <v>61.770499999999998</v>
      </c>
      <c r="AS43" s="26">
        <v>80.2333</v>
      </c>
      <c r="AT43" s="26">
        <v>96.823099999999997</v>
      </c>
      <c r="AU43" s="26">
        <v>38.274799999999999</v>
      </c>
      <c r="AV43" s="26">
        <v>85.822000000000003</v>
      </c>
      <c r="AW43" s="26">
        <v>90.949399999999997</v>
      </c>
      <c r="AX43" s="26">
        <v>90.104100000000003</v>
      </c>
      <c r="AY43" s="26">
        <v>51.5047</v>
      </c>
      <c r="AZ43" s="26">
        <v>88.348100000000002</v>
      </c>
      <c r="BA43" s="26">
        <v>72.054500000000004</v>
      </c>
      <c r="BB43" s="26">
        <v>87.375399999999999</v>
      </c>
      <c r="BC43" s="26">
        <v>90.905699999999996</v>
      </c>
      <c r="BD43" s="26">
        <v>96.677999999999997</v>
      </c>
      <c r="BE43" s="26">
        <v>67.1584</v>
      </c>
      <c r="BF43" s="26">
        <v>95.079899999999995</v>
      </c>
      <c r="BG43" s="26">
        <v>88.885499999999993</v>
      </c>
      <c r="BH43" s="26">
        <v>78.345600000000005</v>
      </c>
      <c r="BI43" s="26">
        <v>94.450299999999999</v>
      </c>
      <c r="BJ43" s="26">
        <v>83.843800000000002</v>
      </c>
      <c r="BK43" s="26">
        <v>87.919899999999998</v>
      </c>
      <c r="BL43" s="26">
        <v>88.4251</v>
      </c>
      <c r="BM43" s="26">
        <v>78.381299999999996</v>
      </c>
      <c r="BN43" s="26">
        <v>97.941199999999995</v>
      </c>
      <c r="BO43" s="26">
        <v>88.572599999999994</v>
      </c>
      <c r="BP43" s="26">
        <v>82.50030000000001</v>
      </c>
      <c r="BQ43" s="26">
        <v>95.437600000000003</v>
      </c>
      <c r="BR43" s="26">
        <v>75.280899999999988</v>
      </c>
      <c r="BS43" s="26">
        <v>10</v>
      </c>
      <c r="BT43" s="26">
        <v>89.597200000000001</v>
      </c>
      <c r="BU43" s="26">
        <v>94.1691</v>
      </c>
      <c r="BV43" s="26">
        <v>84.726799999999997</v>
      </c>
      <c r="BW43" s="26">
        <v>79.247</v>
      </c>
      <c r="BX43" s="26">
        <v>86.06</v>
      </c>
      <c r="BY43" s="26">
        <v>98.828999999999994</v>
      </c>
      <c r="BZ43" s="26">
        <v>68.726399999999998</v>
      </c>
      <c r="CA43" s="26">
        <v>93.3703</v>
      </c>
      <c r="CB43" s="26">
        <v>37.888599999999997</v>
      </c>
      <c r="CC43" s="26">
        <v>89.068600000000004</v>
      </c>
      <c r="CD43" s="26">
        <v>89.429099999999991</v>
      </c>
      <c r="CE43" s="26">
        <v>46.782400000000003</v>
      </c>
      <c r="CF43" s="26">
        <v>96.958299999999994</v>
      </c>
      <c r="CG43" s="26">
        <v>93.245800000000003</v>
      </c>
      <c r="CH43" s="26">
        <v>86.448100000000011</v>
      </c>
      <c r="CI43" s="26">
        <v>39.895499999999998</v>
      </c>
      <c r="CJ43" s="26">
        <v>51.359900000000003</v>
      </c>
      <c r="CK43" s="26">
        <v>98.405000000000001</v>
      </c>
      <c r="CL43" s="26">
        <v>85.6905</v>
      </c>
      <c r="CM43" s="26">
        <v>94.110700000000008</v>
      </c>
      <c r="CN43" s="26">
        <v>80.104500000000002</v>
      </c>
      <c r="CO43" s="26">
        <v>84.108899999999991</v>
      </c>
      <c r="CP43" s="26">
        <v>77.459599999999995</v>
      </c>
      <c r="CQ43" s="26">
        <v>98.470100000000002</v>
      </c>
      <c r="CR43" s="26">
        <v>96.004300000000001</v>
      </c>
      <c r="CS43" s="26">
        <v>87.118399999999994</v>
      </c>
      <c r="CT43" s="26">
        <v>83.236728421052646</v>
      </c>
      <c r="CU43" s="17">
        <v>7907.4892000000018</v>
      </c>
    </row>
    <row r="44" spans="1:99" x14ac:dyDescent="0.25">
      <c r="A44" s="24">
        <v>43</v>
      </c>
      <c r="B44" s="26">
        <v>21</v>
      </c>
      <c r="C44" s="26">
        <v>91.183899999999994</v>
      </c>
      <c r="D44" s="26">
        <v>75.704800000000006</v>
      </c>
      <c r="E44" s="26">
        <v>72.655900000000003</v>
      </c>
      <c r="F44" s="26">
        <v>90.850399999999993</v>
      </c>
      <c r="G44" s="26">
        <v>70.132199999999997</v>
      </c>
      <c r="H44" s="26">
        <v>73.203600000000009</v>
      </c>
      <c r="I44" s="26">
        <v>99.093500000000006</v>
      </c>
      <c r="J44" s="26">
        <v>68.628500000000003</v>
      </c>
      <c r="K44" s="26">
        <v>14.3438</v>
      </c>
      <c r="L44" s="26">
        <v>91.000399999999999</v>
      </c>
      <c r="M44" s="26">
        <v>84.290900000000008</v>
      </c>
      <c r="N44" s="26">
        <v>85.6798</v>
      </c>
      <c r="O44" s="26">
        <v>83.513800000000003</v>
      </c>
      <c r="P44" s="26">
        <v>83.090800000000002</v>
      </c>
      <c r="Q44" s="26">
        <v>86.747900000000001</v>
      </c>
      <c r="R44" s="26">
        <v>86.770200000000003</v>
      </c>
      <c r="S44" s="26">
        <v>98.281999999999996</v>
      </c>
      <c r="T44" s="26">
        <v>82.994799999999998</v>
      </c>
      <c r="U44" s="26">
        <v>98.842600000000004</v>
      </c>
      <c r="V44" s="26">
        <v>78.539299999999997</v>
      </c>
      <c r="W44" s="26">
        <v>52.516500000000001</v>
      </c>
      <c r="X44" s="26">
        <v>90.694600000000008</v>
      </c>
      <c r="Y44" s="26">
        <v>76.065400000000011</v>
      </c>
      <c r="Z44" s="26">
        <v>95.997100000000003</v>
      </c>
      <c r="AA44" s="26">
        <v>96.823599999999999</v>
      </c>
      <c r="AB44" s="26">
        <v>72.2851</v>
      </c>
      <c r="AC44" s="26">
        <v>61.931399999999996</v>
      </c>
      <c r="AD44" s="26">
        <v>72.408500000000004</v>
      </c>
      <c r="AE44" s="26">
        <v>96.455500000000001</v>
      </c>
      <c r="AF44" s="26">
        <v>53.710099999999997</v>
      </c>
      <c r="AG44" s="26">
        <v>90.192799999999991</v>
      </c>
      <c r="AH44" s="26">
        <v>94.672799999999995</v>
      </c>
      <c r="AI44" s="26">
        <v>96.211500000000001</v>
      </c>
      <c r="AJ44" s="26">
        <v>68.509799999999998</v>
      </c>
      <c r="AK44" s="26">
        <v>44.626199999999997</v>
      </c>
      <c r="AL44" s="26">
        <v>98.819000000000003</v>
      </c>
      <c r="AM44" s="26">
        <v>93.557299999999998</v>
      </c>
      <c r="AN44" s="26">
        <v>96.988399999999999</v>
      </c>
      <c r="AO44" s="26">
        <v>82.847000000000008</v>
      </c>
      <c r="AP44" s="26">
        <v>77.105599999999995</v>
      </c>
      <c r="AQ44" s="26">
        <v>96.808799999999991</v>
      </c>
      <c r="AR44" s="26">
        <v>61.078099999999999</v>
      </c>
      <c r="AS44" s="26">
        <v>72.265199999999993</v>
      </c>
      <c r="AT44" s="26">
        <v>91.752199999999988</v>
      </c>
      <c r="AU44" s="26">
        <v>22.257300000000001</v>
      </c>
      <c r="AV44" s="26">
        <v>76.000299999999996</v>
      </c>
      <c r="AW44" s="26">
        <v>81.491499999999988</v>
      </c>
      <c r="AX44" s="26">
        <v>83.345399999999998</v>
      </c>
      <c r="AY44" s="26">
        <v>44.892200000000003</v>
      </c>
      <c r="AZ44" s="26">
        <v>79.449700000000007</v>
      </c>
      <c r="BA44" s="26">
        <v>67.598699999999994</v>
      </c>
      <c r="BB44" s="26">
        <v>84.291200000000003</v>
      </c>
      <c r="BC44" s="26">
        <v>81.232299999999995</v>
      </c>
      <c r="BD44" s="26">
        <v>95.794399999999996</v>
      </c>
      <c r="BE44" s="26">
        <v>36.223999999999997</v>
      </c>
      <c r="BF44" s="26">
        <v>92.708299999999994</v>
      </c>
      <c r="BG44" s="26">
        <v>81.038699999999992</v>
      </c>
      <c r="BH44" s="26">
        <v>71.234200000000001</v>
      </c>
      <c r="BI44" s="26">
        <v>91.988799999999998</v>
      </c>
      <c r="BJ44" s="26">
        <v>82.062700000000007</v>
      </c>
      <c r="BK44" s="26">
        <v>84.057099999999991</v>
      </c>
      <c r="BL44" s="26">
        <v>85.807999999999993</v>
      </c>
      <c r="BM44" s="26">
        <v>68.8489</v>
      </c>
      <c r="BN44" s="26">
        <v>94.506100000000004</v>
      </c>
      <c r="BO44" s="26">
        <v>82.908599999999993</v>
      </c>
      <c r="BP44" s="26">
        <v>76.440899999999999</v>
      </c>
      <c r="BQ44" s="26">
        <v>88.413799999999995</v>
      </c>
      <c r="BR44" s="26">
        <v>71.583600000000004</v>
      </c>
      <c r="BS44" s="26">
        <v>10</v>
      </c>
      <c r="BT44" s="26">
        <v>82.842200000000005</v>
      </c>
      <c r="BU44" s="26">
        <v>91.834099999999992</v>
      </c>
      <c r="BV44" s="26">
        <v>67.16109999999999</v>
      </c>
      <c r="BW44" s="26">
        <v>74.110600000000005</v>
      </c>
      <c r="BX44" s="26">
        <v>84.362200000000001</v>
      </c>
      <c r="BY44" s="26">
        <v>96.308599999999998</v>
      </c>
      <c r="BZ44" s="26">
        <v>60.552799999999998</v>
      </c>
      <c r="CA44" s="26">
        <v>92.562100000000001</v>
      </c>
      <c r="CB44" s="26">
        <v>28.904699999999998</v>
      </c>
      <c r="CC44" s="26">
        <v>81.544600000000003</v>
      </c>
      <c r="CD44" s="26">
        <v>78.879000000000005</v>
      </c>
      <c r="CE44" s="26">
        <v>39.179600000000001</v>
      </c>
      <c r="CF44" s="26">
        <v>94.618200000000002</v>
      </c>
      <c r="CG44" s="26">
        <v>84.2029</v>
      </c>
      <c r="CH44" s="26">
        <v>75.752099999999999</v>
      </c>
      <c r="CI44" s="26">
        <v>35.030200000000001</v>
      </c>
      <c r="CJ44" s="26">
        <v>43.618000000000002</v>
      </c>
      <c r="CK44" s="26">
        <v>95.916600000000003</v>
      </c>
      <c r="CL44" s="26">
        <v>80.428599999999989</v>
      </c>
      <c r="CM44" s="26">
        <v>90.24069999999999</v>
      </c>
      <c r="CN44" s="26">
        <v>73.228999999999999</v>
      </c>
      <c r="CO44" s="26">
        <v>79.1828</v>
      </c>
      <c r="CP44" s="26">
        <v>69.541899999999998</v>
      </c>
      <c r="CQ44" s="26">
        <v>96.6922</v>
      </c>
      <c r="CR44" s="26">
        <v>93.561999999999998</v>
      </c>
      <c r="CS44" s="26">
        <v>82.694400000000002</v>
      </c>
      <c r="CT44" s="26">
        <v>77.442100000000011</v>
      </c>
      <c r="CU44" s="17">
        <v>7356.9995000000008</v>
      </c>
    </row>
    <row r="45" spans="1:99" x14ac:dyDescent="0.25">
      <c r="A45" s="24">
        <v>44</v>
      </c>
      <c r="B45" s="26">
        <v>21.5</v>
      </c>
      <c r="C45" s="26">
        <v>90.493700000000004</v>
      </c>
      <c r="D45" s="26">
        <v>71.342600000000004</v>
      </c>
      <c r="E45" s="26">
        <v>66.293999999999997</v>
      </c>
      <c r="F45" s="26">
        <v>87.056399999999996</v>
      </c>
      <c r="G45" s="26">
        <v>67.30319999999999</v>
      </c>
      <c r="H45" s="26">
        <v>54.429600000000001</v>
      </c>
      <c r="I45" s="26">
        <v>98.516300000000001</v>
      </c>
      <c r="J45" s="26">
        <v>67.377399999999994</v>
      </c>
      <c r="K45" s="26">
        <v>13.1473</v>
      </c>
      <c r="L45" s="26">
        <v>88.806799999999996</v>
      </c>
      <c r="M45" s="26">
        <v>75.732200000000006</v>
      </c>
      <c r="N45" s="26">
        <v>76.127499999999998</v>
      </c>
      <c r="O45" s="26">
        <v>82.069099999999992</v>
      </c>
      <c r="P45" s="26">
        <v>79.814099999999996</v>
      </c>
      <c r="Q45" s="26">
        <v>81.289199999999994</v>
      </c>
      <c r="R45" s="26">
        <v>86.180400000000006</v>
      </c>
      <c r="S45" s="26">
        <v>97.654499999999999</v>
      </c>
      <c r="T45" s="26">
        <v>75.423700000000011</v>
      </c>
      <c r="U45" s="26">
        <v>98.139899999999997</v>
      </c>
      <c r="V45" s="26">
        <v>71.194100000000006</v>
      </c>
      <c r="W45" s="26">
        <v>15.4253</v>
      </c>
      <c r="X45" s="26">
        <v>84.767800000000008</v>
      </c>
      <c r="Y45" s="26">
        <v>69.397900000000007</v>
      </c>
      <c r="Z45" s="26">
        <v>93.609499999999997</v>
      </c>
      <c r="AA45" s="26">
        <v>95.275600000000011</v>
      </c>
      <c r="AB45" s="26">
        <v>65.999600000000001</v>
      </c>
      <c r="AC45" s="26">
        <v>53.628699999999988</v>
      </c>
      <c r="AD45" s="26">
        <v>65.870599999999996</v>
      </c>
      <c r="AE45" s="26">
        <v>95.803000000000011</v>
      </c>
      <c r="AF45" s="26">
        <v>50.971400000000003</v>
      </c>
      <c r="AG45" s="26">
        <v>83.884099999999989</v>
      </c>
      <c r="AH45" s="26">
        <v>92.561199999999999</v>
      </c>
      <c r="AI45" s="26">
        <v>95.204099999999997</v>
      </c>
      <c r="AJ45" s="26">
        <v>64.375299999999996</v>
      </c>
      <c r="AK45" s="26">
        <v>35.297499999999999</v>
      </c>
      <c r="AL45" s="26">
        <v>98.166399999999996</v>
      </c>
      <c r="AM45" s="26">
        <v>90.432999999999993</v>
      </c>
      <c r="AN45" s="26">
        <v>95.167299999999997</v>
      </c>
      <c r="AO45" s="26">
        <v>75.289900000000003</v>
      </c>
      <c r="AP45" s="26">
        <v>70.613199999999992</v>
      </c>
      <c r="AQ45" s="26">
        <v>84.146600000000007</v>
      </c>
      <c r="AR45" s="26">
        <v>58.989800000000002</v>
      </c>
      <c r="AS45" s="26">
        <v>61.243000000000002</v>
      </c>
      <c r="AT45" s="26">
        <v>90.609200000000001</v>
      </c>
      <c r="AU45" s="26">
        <v>13.9208</v>
      </c>
      <c r="AV45" s="26">
        <v>68.720799999999997</v>
      </c>
      <c r="AW45" s="26">
        <v>76.2898</v>
      </c>
      <c r="AX45" s="26">
        <v>74.149200000000008</v>
      </c>
      <c r="AY45" s="26">
        <v>39.301199999999987</v>
      </c>
      <c r="AZ45" s="26">
        <v>71.755500000000012</v>
      </c>
      <c r="BA45" s="26">
        <v>60.625100000000003</v>
      </c>
      <c r="BB45" s="26">
        <v>83.814300000000003</v>
      </c>
      <c r="BC45" s="26">
        <v>75.077500000000001</v>
      </c>
      <c r="BD45" s="26">
        <v>94.025599999999997</v>
      </c>
      <c r="BE45" s="26">
        <v>12.0924</v>
      </c>
      <c r="BF45" s="26">
        <v>89.666299999999993</v>
      </c>
      <c r="BG45" s="26">
        <v>80.448899999999995</v>
      </c>
      <c r="BH45" s="26">
        <v>63.762600000000013</v>
      </c>
      <c r="BI45" s="26">
        <v>87.356999999999999</v>
      </c>
      <c r="BJ45" s="26">
        <v>79.624399999999994</v>
      </c>
      <c r="BK45" s="26">
        <v>77.068399999999997</v>
      </c>
      <c r="BL45" s="26">
        <v>82.527199999999993</v>
      </c>
      <c r="BM45" s="26">
        <v>59.342599999999997</v>
      </c>
      <c r="BN45" s="26">
        <v>92.199299999999994</v>
      </c>
      <c r="BO45" s="26">
        <v>79.550399999999996</v>
      </c>
      <c r="BP45" s="26">
        <v>69.70389999999999</v>
      </c>
      <c r="BQ45" s="26">
        <v>81.937600000000003</v>
      </c>
      <c r="BR45" s="26">
        <v>68.016500000000008</v>
      </c>
      <c r="BS45" s="26">
        <v>10</v>
      </c>
      <c r="BT45" s="26">
        <v>78.486999999999995</v>
      </c>
      <c r="BU45" s="26">
        <v>88.287700000000001</v>
      </c>
      <c r="BV45" s="26">
        <v>60.917200000000008</v>
      </c>
      <c r="BW45" s="26">
        <v>67.550799999999995</v>
      </c>
      <c r="BX45" s="26">
        <v>80.739000000000004</v>
      </c>
      <c r="BY45" s="26">
        <v>95.576999999999998</v>
      </c>
      <c r="BZ45" s="26">
        <v>54.3324</v>
      </c>
      <c r="CA45" s="26">
        <v>90.022000000000006</v>
      </c>
      <c r="CB45" s="26">
        <v>18.437999999999999</v>
      </c>
      <c r="CC45" s="26">
        <v>78.617000000000004</v>
      </c>
      <c r="CD45" s="26">
        <v>73.181300000000007</v>
      </c>
      <c r="CE45" s="26">
        <v>11.5318</v>
      </c>
      <c r="CF45" s="26">
        <v>92.434899999999999</v>
      </c>
      <c r="CG45" s="26">
        <v>65.4709</v>
      </c>
      <c r="CH45" s="26">
        <v>68.730100000000007</v>
      </c>
      <c r="CI45" s="26">
        <v>29.212299999999999</v>
      </c>
      <c r="CJ45" s="26">
        <v>28.0017</v>
      </c>
      <c r="CK45" s="26">
        <v>94.0154</v>
      </c>
      <c r="CL45" s="26">
        <v>76.781800000000004</v>
      </c>
      <c r="CM45" s="26">
        <v>85.997900000000001</v>
      </c>
      <c r="CN45" s="26">
        <v>68.400499999999994</v>
      </c>
      <c r="CO45" s="26">
        <v>71.983199999999997</v>
      </c>
      <c r="CP45" s="26">
        <v>61.010800000000003</v>
      </c>
      <c r="CQ45" s="26">
        <v>96.052300000000002</v>
      </c>
      <c r="CR45" s="26">
        <v>88.972399999999993</v>
      </c>
      <c r="CS45" s="26">
        <v>78.101900000000001</v>
      </c>
      <c r="CT45" s="26">
        <v>71.673122105263161</v>
      </c>
      <c r="CU45" s="17">
        <v>6808.9466000000002</v>
      </c>
    </row>
    <row r="46" spans="1:99" x14ac:dyDescent="0.25">
      <c r="A46" s="24">
        <v>45</v>
      </c>
      <c r="B46" s="26">
        <v>22</v>
      </c>
      <c r="C46" s="26">
        <v>89.8035</v>
      </c>
      <c r="D46" s="26">
        <v>68.577799999999996</v>
      </c>
      <c r="E46" s="26">
        <v>61.206099999999999</v>
      </c>
      <c r="F46" s="26">
        <v>82.728999999999999</v>
      </c>
      <c r="G46" s="26">
        <v>65.301400000000001</v>
      </c>
      <c r="H46" s="26">
        <v>51.951400000000007</v>
      </c>
      <c r="I46" s="26">
        <v>97.253100000000003</v>
      </c>
      <c r="J46" s="26">
        <v>66.348600000000005</v>
      </c>
      <c r="K46" s="26">
        <v>10.5364</v>
      </c>
      <c r="L46" s="26">
        <v>81.849000000000004</v>
      </c>
      <c r="M46" s="26">
        <v>71.063100000000006</v>
      </c>
      <c r="N46" s="26">
        <v>68.425899999999999</v>
      </c>
      <c r="O46" s="26">
        <v>80.860399999999998</v>
      </c>
      <c r="P46" s="26">
        <v>79.224399999999989</v>
      </c>
      <c r="Q46" s="26">
        <v>76.746600000000001</v>
      </c>
      <c r="R46" s="26">
        <v>83.372199999999992</v>
      </c>
      <c r="S46" s="26">
        <v>97.027100000000004</v>
      </c>
      <c r="T46" s="26">
        <v>68.194400000000002</v>
      </c>
      <c r="U46" s="26">
        <v>97.437100000000001</v>
      </c>
      <c r="V46" s="26">
        <v>62.733800000000002</v>
      </c>
      <c r="W46" s="26">
        <v>10</v>
      </c>
      <c r="X46" s="26">
        <v>81.238399999999999</v>
      </c>
      <c r="Y46" s="26">
        <v>61.590699999999998</v>
      </c>
      <c r="Z46" s="26">
        <v>91.692700000000002</v>
      </c>
      <c r="AA46" s="26">
        <v>93.727599999999995</v>
      </c>
      <c r="AB46" s="26">
        <v>58.651499999999999</v>
      </c>
      <c r="AC46" s="26">
        <v>46.007300000000001</v>
      </c>
      <c r="AD46" s="26">
        <v>56.59</v>
      </c>
      <c r="AE46" s="26">
        <v>94.903999999999996</v>
      </c>
      <c r="AF46" s="26">
        <v>48.919899999999998</v>
      </c>
      <c r="AG46" s="26">
        <v>76.211500000000001</v>
      </c>
      <c r="AH46" s="26">
        <v>91.896100000000004</v>
      </c>
      <c r="AI46" s="26">
        <v>85.511200000000002</v>
      </c>
      <c r="AJ46" s="26">
        <v>60.852400000000003</v>
      </c>
      <c r="AK46" s="26">
        <v>21.868400000000001</v>
      </c>
      <c r="AL46" s="26">
        <v>95.380499999999998</v>
      </c>
      <c r="AM46" s="26">
        <v>84.988</v>
      </c>
      <c r="AN46" s="26">
        <v>93.72890000000001</v>
      </c>
      <c r="AO46" s="26">
        <v>69.457400000000007</v>
      </c>
      <c r="AP46" s="26">
        <v>62.849500000000013</v>
      </c>
      <c r="AQ46" s="26">
        <v>70.8232</v>
      </c>
      <c r="AR46" s="26">
        <v>58.297400000000003</v>
      </c>
      <c r="AS46" s="26">
        <v>53.310199999999988</v>
      </c>
      <c r="AT46" s="26">
        <v>87.35929999999999</v>
      </c>
      <c r="AU46" s="26">
        <v>10</v>
      </c>
      <c r="AV46" s="26">
        <v>56.071000000000012</v>
      </c>
      <c r="AW46" s="26">
        <v>69.713099999999997</v>
      </c>
      <c r="AX46" s="26">
        <v>69.522300000000001</v>
      </c>
      <c r="AY46" s="26">
        <v>34.904600000000002</v>
      </c>
      <c r="AZ46" s="26">
        <v>70.040899999999993</v>
      </c>
      <c r="BA46" s="26">
        <v>51.101300000000002</v>
      </c>
      <c r="BB46" s="26">
        <v>82.977999999999994</v>
      </c>
      <c r="BC46" s="26">
        <v>66.689800000000005</v>
      </c>
      <c r="BD46" s="26">
        <v>91.371700000000004</v>
      </c>
      <c r="BE46" s="26">
        <v>10</v>
      </c>
      <c r="BF46" s="26">
        <v>86.636500000000012</v>
      </c>
      <c r="BG46" s="26">
        <v>78.9499</v>
      </c>
      <c r="BH46" s="26">
        <v>57.863999999999997</v>
      </c>
      <c r="BI46" s="26">
        <v>82.745899999999992</v>
      </c>
      <c r="BJ46" s="26">
        <v>78.581400000000002</v>
      </c>
      <c r="BK46" s="26">
        <v>69.3523</v>
      </c>
      <c r="BL46" s="26">
        <v>77.499799999999993</v>
      </c>
      <c r="BM46" s="26">
        <v>53.4801</v>
      </c>
      <c r="BN46" s="26">
        <v>91.078499999999991</v>
      </c>
      <c r="BO46" s="26">
        <v>71.761399999999995</v>
      </c>
      <c r="BP46" s="26">
        <v>58.914000000000001</v>
      </c>
      <c r="BQ46" s="26">
        <v>77.535699999999991</v>
      </c>
      <c r="BR46" s="26">
        <v>63.505899999999997</v>
      </c>
      <c r="BS46" s="26">
        <v>10</v>
      </c>
      <c r="BT46" s="26">
        <v>69.611599999999996</v>
      </c>
      <c r="BU46" s="26">
        <v>84.379599999999996</v>
      </c>
      <c r="BV46" s="26">
        <v>56.364899999999999</v>
      </c>
      <c r="BW46" s="26">
        <v>52.107899999999987</v>
      </c>
      <c r="BX46" s="26">
        <v>79.673299999999998</v>
      </c>
      <c r="BY46" s="26">
        <v>91.054699999999997</v>
      </c>
      <c r="BZ46" s="26">
        <v>52.199100000000001</v>
      </c>
      <c r="CA46" s="26">
        <v>87.470100000000002</v>
      </c>
      <c r="CB46" s="26">
        <v>10</v>
      </c>
      <c r="CC46" s="26">
        <v>77.463200000000001</v>
      </c>
      <c r="CD46" s="26">
        <v>68.3018</v>
      </c>
      <c r="CE46" s="26">
        <v>10</v>
      </c>
      <c r="CF46" s="26">
        <v>90.8108</v>
      </c>
      <c r="CG46" s="26">
        <v>59.288499999999999</v>
      </c>
      <c r="CH46" s="26">
        <v>62.604000000000013</v>
      </c>
      <c r="CI46" s="26">
        <v>21.984400000000001</v>
      </c>
      <c r="CJ46" s="26">
        <v>20.050899999999999</v>
      </c>
      <c r="CK46" s="26">
        <v>90.20620000000001</v>
      </c>
      <c r="CL46" s="26">
        <v>70.966499999999996</v>
      </c>
      <c r="CM46" s="26">
        <v>84.690899999999999</v>
      </c>
      <c r="CN46" s="26">
        <v>58.067100000000003</v>
      </c>
      <c r="CO46" s="26">
        <v>64.985099999999989</v>
      </c>
      <c r="CP46" s="26">
        <v>54.787799999999997</v>
      </c>
      <c r="CQ46" s="26">
        <v>93.653700000000001</v>
      </c>
      <c r="CR46" s="26">
        <v>76.432900000000004</v>
      </c>
      <c r="CS46" s="26">
        <v>70.654700000000005</v>
      </c>
      <c r="CT46" s="26">
        <v>66.785317894736821</v>
      </c>
      <c r="CU46" s="17">
        <v>6344.6051999999981</v>
      </c>
    </row>
    <row r="47" spans="1:99" x14ac:dyDescent="0.25">
      <c r="A47" s="24">
        <v>46</v>
      </c>
      <c r="B47" s="26">
        <v>22.5</v>
      </c>
      <c r="C47" s="26">
        <v>86.721499999999992</v>
      </c>
      <c r="D47" s="26">
        <v>63.262599999999999</v>
      </c>
      <c r="E47" s="26">
        <v>54.3125</v>
      </c>
      <c r="F47" s="26">
        <v>78.971499999999992</v>
      </c>
      <c r="G47" s="26">
        <v>64.623800000000003</v>
      </c>
      <c r="H47" s="26">
        <v>49.527000000000001</v>
      </c>
      <c r="I47" s="26">
        <v>94.314499999999995</v>
      </c>
      <c r="J47" s="26">
        <v>65.70859999999999</v>
      </c>
      <c r="K47" s="26">
        <v>10</v>
      </c>
      <c r="L47" s="26">
        <v>78.787999999999997</v>
      </c>
      <c r="M47" s="26">
        <v>63.69</v>
      </c>
      <c r="N47" s="26">
        <v>63.2834</v>
      </c>
      <c r="O47" s="26">
        <v>79.651799999999994</v>
      </c>
      <c r="P47" s="26">
        <v>78.0625</v>
      </c>
      <c r="Q47" s="26">
        <v>73.539400000000001</v>
      </c>
      <c r="R47" s="26">
        <v>81.284300000000002</v>
      </c>
      <c r="S47" s="26">
        <v>96.399699999999996</v>
      </c>
      <c r="T47" s="26">
        <v>61.992199999999997</v>
      </c>
      <c r="U47" s="26">
        <v>91.442900000000009</v>
      </c>
      <c r="V47" s="26">
        <v>56.421399999999998</v>
      </c>
      <c r="W47" s="26">
        <v>10</v>
      </c>
      <c r="X47" s="26">
        <v>78.150700000000001</v>
      </c>
      <c r="Y47" s="26">
        <v>56.156300000000002</v>
      </c>
      <c r="Z47" s="26">
        <v>90.43480000000001</v>
      </c>
      <c r="AA47" s="26">
        <v>92.024500000000003</v>
      </c>
      <c r="AB47" s="26">
        <v>49.919199999999996</v>
      </c>
      <c r="AC47" s="26">
        <v>40.236800000000002</v>
      </c>
      <c r="AD47" s="26">
        <v>46.247999999999998</v>
      </c>
      <c r="AE47" s="26">
        <v>90.291899999999998</v>
      </c>
      <c r="AF47" s="26">
        <v>48.054900000000004</v>
      </c>
      <c r="AG47" s="26">
        <v>73.497299999999996</v>
      </c>
      <c r="AH47" s="26">
        <v>88.962500000000006</v>
      </c>
      <c r="AI47" s="26">
        <v>81.7898</v>
      </c>
      <c r="AJ47" s="26">
        <v>57.005200000000002</v>
      </c>
      <c r="AK47" s="26">
        <v>10</v>
      </c>
      <c r="AL47" s="26">
        <v>90.028900000000007</v>
      </c>
      <c r="AM47" s="26">
        <v>66.824100000000001</v>
      </c>
      <c r="AN47" s="26">
        <v>93.151600000000002</v>
      </c>
      <c r="AO47" s="26">
        <v>68.706299999999999</v>
      </c>
      <c r="AP47" s="26">
        <v>52.579000000000001</v>
      </c>
      <c r="AQ47" s="26">
        <v>70.095399999999998</v>
      </c>
      <c r="AR47" s="26">
        <v>56.209200000000003</v>
      </c>
      <c r="AS47" s="26">
        <v>44.614100000000001</v>
      </c>
      <c r="AT47" s="26">
        <v>84.373800000000003</v>
      </c>
      <c r="AU47" s="26">
        <v>10</v>
      </c>
      <c r="AV47" s="26">
        <v>46.918199999999999</v>
      </c>
      <c r="AW47" s="26">
        <v>60.985599999999998</v>
      </c>
      <c r="AX47" s="26">
        <v>63.394300000000001</v>
      </c>
      <c r="AY47" s="26">
        <v>33.3962</v>
      </c>
      <c r="AZ47" s="26">
        <v>68.709600000000009</v>
      </c>
      <c r="BA47" s="26">
        <v>44.815800000000003</v>
      </c>
      <c r="BB47" s="26">
        <v>79.964100000000002</v>
      </c>
      <c r="BC47" s="26">
        <v>62.120899999999999</v>
      </c>
      <c r="BD47" s="26">
        <v>90.681599999999989</v>
      </c>
      <c r="BE47" s="26">
        <v>10</v>
      </c>
      <c r="BF47" s="26">
        <v>82.608499999999992</v>
      </c>
      <c r="BG47" s="26">
        <v>77.840500000000006</v>
      </c>
      <c r="BH47" s="26">
        <v>53.059100000000001</v>
      </c>
      <c r="BI47" s="26">
        <v>77.112499999999997</v>
      </c>
      <c r="BJ47" s="26">
        <v>77.088099999999997</v>
      </c>
      <c r="BK47" s="26">
        <v>61.9131</v>
      </c>
      <c r="BL47" s="26">
        <v>73.691299999999998</v>
      </c>
      <c r="BM47" s="26">
        <v>45.692999999999998</v>
      </c>
      <c r="BN47" s="26">
        <v>86.457399999999993</v>
      </c>
      <c r="BO47" s="26">
        <v>67.066800000000001</v>
      </c>
      <c r="BP47" s="26">
        <v>44.522500000000001</v>
      </c>
      <c r="BQ47" s="26">
        <v>65.158299999999997</v>
      </c>
      <c r="BR47" s="26">
        <v>59.665199999999999</v>
      </c>
      <c r="BS47" s="26">
        <v>10</v>
      </c>
      <c r="BT47" s="26">
        <v>67.962699999999998</v>
      </c>
      <c r="BU47" s="26">
        <v>80.365200000000002</v>
      </c>
      <c r="BV47" s="26">
        <v>49.667400000000001</v>
      </c>
      <c r="BW47" s="26">
        <v>43.567699999999988</v>
      </c>
      <c r="BX47" s="26">
        <v>77.043399999999991</v>
      </c>
      <c r="BY47" s="26">
        <v>84.787300000000002</v>
      </c>
      <c r="BZ47" s="26">
        <v>51.471299999999999</v>
      </c>
      <c r="CA47" s="26">
        <v>85.5839</v>
      </c>
      <c r="CB47" s="26">
        <v>10</v>
      </c>
      <c r="CC47" s="26">
        <v>75.732500000000002</v>
      </c>
      <c r="CD47" s="26">
        <v>63.335099999999997</v>
      </c>
      <c r="CE47" s="26">
        <v>10</v>
      </c>
      <c r="CF47" s="26">
        <v>89.1066</v>
      </c>
      <c r="CG47" s="26">
        <v>55.507100000000001</v>
      </c>
      <c r="CH47" s="26">
        <v>56.669199999999996</v>
      </c>
      <c r="CI47" s="26">
        <v>16.2898</v>
      </c>
      <c r="CJ47" s="26">
        <v>10</v>
      </c>
      <c r="CK47" s="26">
        <v>81.457599999999999</v>
      </c>
      <c r="CL47" s="26">
        <v>64.278199999999998</v>
      </c>
      <c r="CM47" s="26">
        <v>84.0886</v>
      </c>
      <c r="CN47" s="26">
        <v>52.847999999999992</v>
      </c>
      <c r="CO47" s="26">
        <v>57.437399999999997</v>
      </c>
      <c r="CP47" s="26">
        <v>48.553899999999999</v>
      </c>
      <c r="CQ47" s="26">
        <v>92.496499999999997</v>
      </c>
      <c r="CR47" s="26">
        <v>71.520399999999995</v>
      </c>
      <c r="CS47" s="26">
        <v>65.750299999999996</v>
      </c>
      <c r="CT47" s="26">
        <v>62.4182589473684</v>
      </c>
      <c r="CU47" s="17">
        <v>5929.734599999998</v>
      </c>
    </row>
    <row r="48" spans="1:99" x14ac:dyDescent="0.25">
      <c r="A48" s="24">
        <v>47</v>
      </c>
      <c r="B48" s="26">
        <v>23</v>
      </c>
      <c r="C48" s="26">
        <v>81.551900000000003</v>
      </c>
      <c r="D48" s="26">
        <v>59.962499999999999</v>
      </c>
      <c r="E48" s="26">
        <v>50.915999999999997</v>
      </c>
      <c r="F48" s="26">
        <v>74.942399999999992</v>
      </c>
      <c r="G48" s="26">
        <v>60.830500000000001</v>
      </c>
      <c r="H48" s="26">
        <v>47.573500000000003</v>
      </c>
      <c r="I48" s="26">
        <v>89.90209999999999</v>
      </c>
      <c r="J48" s="26">
        <v>63.135699999999993</v>
      </c>
      <c r="K48" s="26">
        <v>10</v>
      </c>
      <c r="L48" s="26">
        <v>72.147999999999996</v>
      </c>
      <c r="M48" s="26">
        <v>56.969900000000003</v>
      </c>
      <c r="N48" s="26">
        <v>54.902399999999993</v>
      </c>
      <c r="O48" s="26">
        <v>76.989900000000006</v>
      </c>
      <c r="P48" s="26">
        <v>76.246700000000004</v>
      </c>
      <c r="Q48" s="26">
        <v>69.056100000000001</v>
      </c>
      <c r="R48" s="26">
        <v>80.694500000000005</v>
      </c>
      <c r="S48" s="26">
        <v>95.772300000000001</v>
      </c>
      <c r="T48" s="26">
        <v>54.633899999999997</v>
      </c>
      <c r="U48" s="26">
        <v>86.546199999999999</v>
      </c>
      <c r="V48" s="26">
        <v>32.769100000000002</v>
      </c>
      <c r="W48" s="26">
        <v>10</v>
      </c>
      <c r="X48" s="26">
        <v>76.357699999999994</v>
      </c>
      <c r="Y48" s="26">
        <v>54.348799999999997</v>
      </c>
      <c r="Z48" s="26">
        <v>87.97399999999999</v>
      </c>
      <c r="AA48" s="26">
        <v>85.729500000000002</v>
      </c>
      <c r="AB48" s="26">
        <v>44.135800000000003</v>
      </c>
      <c r="AC48" s="26">
        <v>39.534100000000002</v>
      </c>
      <c r="AD48" s="26">
        <v>39.985399999999998</v>
      </c>
      <c r="AE48" s="26">
        <v>85.6006</v>
      </c>
      <c r="AF48" s="26">
        <v>44.129600000000003</v>
      </c>
      <c r="AG48" s="26">
        <v>71.581299999999999</v>
      </c>
      <c r="AH48" s="26">
        <v>87.179199999999994</v>
      </c>
      <c r="AI48" s="26">
        <v>81.075299999999999</v>
      </c>
      <c r="AJ48" s="26">
        <v>51.7012</v>
      </c>
      <c r="AK48" s="26">
        <v>10</v>
      </c>
      <c r="AL48" s="26">
        <v>82.994199999999992</v>
      </c>
      <c r="AM48" s="26">
        <v>59.384500000000003</v>
      </c>
      <c r="AN48" s="26">
        <v>92.574399999999997</v>
      </c>
      <c r="AO48" s="26">
        <v>67.3155</v>
      </c>
      <c r="AP48" s="26">
        <v>43.3264</v>
      </c>
      <c r="AQ48" s="26">
        <v>67.734799999999993</v>
      </c>
      <c r="AR48" s="26">
        <v>55.594299999999997</v>
      </c>
      <c r="AS48" s="26">
        <v>34.037700000000001</v>
      </c>
      <c r="AT48" s="26">
        <v>81.756500000000003</v>
      </c>
      <c r="AU48" s="26">
        <v>10</v>
      </c>
      <c r="AV48" s="26">
        <v>36.209000000000003</v>
      </c>
      <c r="AW48" s="26">
        <v>56.842499999999987</v>
      </c>
      <c r="AX48" s="26">
        <v>55.890300000000003</v>
      </c>
      <c r="AY48" s="26">
        <v>32.781300000000002</v>
      </c>
      <c r="AZ48" s="26">
        <v>66.3249</v>
      </c>
      <c r="BA48" s="26">
        <v>40.155000000000001</v>
      </c>
      <c r="BB48" s="26">
        <v>79.005400000000009</v>
      </c>
      <c r="BC48" s="26">
        <v>61.433400000000013</v>
      </c>
      <c r="BD48" s="26">
        <v>87.406199999999998</v>
      </c>
      <c r="BE48" s="26">
        <v>10</v>
      </c>
      <c r="BF48" s="26">
        <v>71.985100000000003</v>
      </c>
      <c r="BG48" s="26">
        <v>77.063400000000001</v>
      </c>
      <c r="BH48" s="26">
        <v>47.264000000000003</v>
      </c>
      <c r="BI48" s="26">
        <v>71.598600000000005</v>
      </c>
      <c r="BJ48" s="26">
        <v>74.915599999999998</v>
      </c>
      <c r="BK48" s="26">
        <v>55.075600000000001</v>
      </c>
      <c r="BL48" s="26">
        <v>71.615399999999994</v>
      </c>
      <c r="BM48" s="26">
        <v>24.862100000000002</v>
      </c>
      <c r="BN48" s="26">
        <v>85.842500000000001</v>
      </c>
      <c r="BO48" s="26">
        <v>63.137600000000013</v>
      </c>
      <c r="BP48" s="26">
        <v>36.065300000000001</v>
      </c>
      <c r="BQ48" s="26">
        <v>59.881900000000002</v>
      </c>
      <c r="BR48" s="26">
        <v>54.822000000000003</v>
      </c>
      <c r="BS48" s="26">
        <v>10</v>
      </c>
      <c r="BT48" s="26">
        <v>67.485799999999998</v>
      </c>
      <c r="BU48" s="26">
        <v>75.394799999999989</v>
      </c>
      <c r="BV48" s="26">
        <v>46.103700000000003</v>
      </c>
      <c r="BW48" s="26">
        <v>34.158200000000001</v>
      </c>
      <c r="BX48" s="26">
        <v>76.365700000000004</v>
      </c>
      <c r="BY48" s="26">
        <v>79.316400000000002</v>
      </c>
      <c r="BZ48" s="26">
        <v>48.051000000000002</v>
      </c>
      <c r="CA48" s="26">
        <v>84.679699999999997</v>
      </c>
      <c r="CB48" s="26">
        <v>10</v>
      </c>
      <c r="CC48" s="26">
        <v>73.592699999999994</v>
      </c>
      <c r="CD48" s="26">
        <v>57.541299999999993</v>
      </c>
      <c r="CE48" s="26">
        <v>10</v>
      </c>
      <c r="CF48" s="26">
        <v>87.321700000000007</v>
      </c>
      <c r="CG48" s="26">
        <v>54.439400000000013</v>
      </c>
      <c r="CH48" s="26">
        <v>55.746799999999993</v>
      </c>
      <c r="CI48" s="26">
        <v>14.1084</v>
      </c>
      <c r="CJ48" s="26">
        <v>10</v>
      </c>
      <c r="CK48" s="26">
        <v>74.323099999999997</v>
      </c>
      <c r="CL48" s="26">
        <v>56.831200000000003</v>
      </c>
      <c r="CM48" s="26">
        <v>83.269400000000005</v>
      </c>
      <c r="CN48" s="26">
        <v>42.9604</v>
      </c>
      <c r="CO48" s="26">
        <v>50.7819</v>
      </c>
      <c r="CP48" s="26">
        <v>40.938299999999998</v>
      </c>
      <c r="CQ48" s="26">
        <v>91.856499999999997</v>
      </c>
      <c r="CR48" s="26">
        <v>67.648099999999999</v>
      </c>
      <c r="CS48" s="26">
        <v>63.642400000000002</v>
      </c>
      <c r="CT48" s="26">
        <v>58.382404210526317</v>
      </c>
      <c r="CU48" s="17">
        <v>5546.3284000000003</v>
      </c>
    </row>
    <row r="49" spans="1:99" x14ac:dyDescent="0.25">
      <c r="A49" s="25">
        <v>48</v>
      </c>
      <c r="B49" s="27">
        <v>23.5</v>
      </c>
      <c r="C49" s="27">
        <v>78.529700000000005</v>
      </c>
      <c r="D49" s="27">
        <v>55.990299999999998</v>
      </c>
      <c r="E49" s="27">
        <v>48.748399999999997</v>
      </c>
      <c r="F49" s="27">
        <v>74.227200000000011</v>
      </c>
      <c r="G49" s="27">
        <v>59.792900000000003</v>
      </c>
      <c r="H49" s="27">
        <v>46.9482</v>
      </c>
      <c r="I49" s="27">
        <v>88.255399999999995</v>
      </c>
      <c r="J49" s="27">
        <v>61.840400000000002</v>
      </c>
      <c r="K49" s="27">
        <v>10</v>
      </c>
      <c r="L49" s="27">
        <v>68.059200000000004</v>
      </c>
      <c r="M49" s="27">
        <v>52.689</v>
      </c>
      <c r="N49" s="27">
        <v>50.058899999999987</v>
      </c>
      <c r="O49" s="27">
        <v>72.399100000000004</v>
      </c>
      <c r="P49" s="27">
        <v>75.656900000000007</v>
      </c>
      <c r="Q49" s="27">
        <v>66.338399999999993</v>
      </c>
      <c r="R49" s="27">
        <v>80.104699999999994</v>
      </c>
      <c r="S49" s="27">
        <v>95.144799999999989</v>
      </c>
      <c r="T49" s="27">
        <v>48.418199999999999</v>
      </c>
      <c r="U49" s="27">
        <v>61.035899999999998</v>
      </c>
      <c r="V49" s="27">
        <v>30.460899999999999</v>
      </c>
      <c r="W49" s="27">
        <v>10</v>
      </c>
      <c r="X49" s="27">
        <v>74.444200000000009</v>
      </c>
      <c r="Y49" s="27">
        <v>51.629600000000003</v>
      </c>
      <c r="Z49" s="27">
        <v>83.253</v>
      </c>
      <c r="AA49" s="27">
        <v>85.051900000000003</v>
      </c>
      <c r="AB49" s="27">
        <v>39.489999999999988</v>
      </c>
      <c r="AC49" s="27">
        <v>38.831400000000002</v>
      </c>
      <c r="AD49" s="27">
        <v>34.527700000000003</v>
      </c>
      <c r="AE49" s="27">
        <v>80.200299999999999</v>
      </c>
      <c r="AF49" s="27">
        <v>43.451999999999998</v>
      </c>
      <c r="AG49" s="27">
        <v>71.129500000000007</v>
      </c>
      <c r="AH49" s="27">
        <v>84.706000000000003</v>
      </c>
      <c r="AI49" s="27">
        <v>78.657799999999995</v>
      </c>
      <c r="AJ49" s="27">
        <v>40.945799999999998</v>
      </c>
      <c r="AK49" s="27">
        <v>10</v>
      </c>
      <c r="AL49" s="27">
        <v>76.519599999999997</v>
      </c>
      <c r="AM49" s="27">
        <v>56.581800000000001</v>
      </c>
      <c r="AN49" s="27">
        <v>90.160499999999999</v>
      </c>
      <c r="AO49" s="27">
        <v>63.964599999999997</v>
      </c>
      <c r="AP49" s="27">
        <v>34.514899999999997</v>
      </c>
      <c r="AQ49" s="27">
        <v>66.749200000000002</v>
      </c>
      <c r="AR49" s="27">
        <v>54.979399999999998</v>
      </c>
      <c r="AS49" s="27">
        <v>25.235199999999999</v>
      </c>
      <c r="AT49" s="27">
        <v>78.432999999999993</v>
      </c>
      <c r="AU49" s="27">
        <v>10</v>
      </c>
      <c r="AV49" s="27">
        <v>27.721299999999999</v>
      </c>
      <c r="AW49" s="27">
        <v>53.570300000000003</v>
      </c>
      <c r="AX49" s="27">
        <v>48.927999999999997</v>
      </c>
      <c r="AY49" s="27">
        <v>30.975000000000001</v>
      </c>
      <c r="AZ49" s="27">
        <v>64.651300000000006</v>
      </c>
      <c r="BA49" s="27">
        <v>35.269500000000001</v>
      </c>
      <c r="BB49" s="27">
        <v>77.270499999999998</v>
      </c>
      <c r="BC49" s="27">
        <v>57.633400000000002</v>
      </c>
      <c r="BD49" s="27">
        <v>86.259</v>
      </c>
      <c r="BE49" s="27">
        <v>10</v>
      </c>
      <c r="BF49" s="27">
        <v>68.352400000000003</v>
      </c>
      <c r="BG49" s="27">
        <v>74.108400000000003</v>
      </c>
      <c r="BH49" s="27">
        <v>44.945099999999996</v>
      </c>
      <c r="BI49" s="27">
        <v>66.077300000000008</v>
      </c>
      <c r="BJ49" s="27">
        <v>73.134500000000003</v>
      </c>
      <c r="BK49" s="27">
        <v>54.598799999999997</v>
      </c>
      <c r="BL49" s="27">
        <v>69.329499999999996</v>
      </c>
      <c r="BM49" s="27">
        <v>16.332000000000001</v>
      </c>
      <c r="BN49" s="27">
        <v>84.378100000000003</v>
      </c>
      <c r="BO49" s="27">
        <v>61.476200000000013</v>
      </c>
      <c r="BP49" s="27">
        <v>23.4937</v>
      </c>
      <c r="BQ49" s="27">
        <v>55.116999999999997</v>
      </c>
      <c r="BR49" s="27">
        <v>51.348000000000013</v>
      </c>
      <c r="BS49" s="27">
        <v>10</v>
      </c>
      <c r="BT49" s="27">
        <v>65.746800000000007</v>
      </c>
      <c r="BU49" s="27">
        <v>70.898899999999998</v>
      </c>
      <c r="BV49" s="27">
        <v>40.025100000000002</v>
      </c>
      <c r="BW49" s="27">
        <v>27.037199999999999</v>
      </c>
      <c r="BX49" s="27">
        <v>71.272400000000005</v>
      </c>
      <c r="BY49" s="27">
        <v>71.842300000000009</v>
      </c>
      <c r="BZ49" s="27">
        <v>46.194099999999999</v>
      </c>
      <c r="CA49" s="27">
        <v>80.49199999999999</v>
      </c>
      <c r="CB49" s="27">
        <v>10</v>
      </c>
      <c r="CC49" s="27">
        <v>71.012699999999995</v>
      </c>
      <c r="CD49" s="27">
        <v>56.876199999999997</v>
      </c>
      <c r="CE49" s="27">
        <v>10</v>
      </c>
      <c r="CF49" s="27">
        <v>85.538499999999999</v>
      </c>
      <c r="CG49" s="27">
        <v>53.442799999999998</v>
      </c>
      <c r="CH49" s="27">
        <v>53.251499999999993</v>
      </c>
      <c r="CI49" s="27">
        <v>10.0511</v>
      </c>
      <c r="CJ49" s="27">
        <v>10</v>
      </c>
      <c r="CK49" s="27">
        <v>67.924199999999999</v>
      </c>
      <c r="CL49" s="27">
        <v>49.985500000000002</v>
      </c>
      <c r="CM49" s="27">
        <v>81.90809999999999</v>
      </c>
      <c r="CN49" s="27">
        <v>39.527999999999999</v>
      </c>
      <c r="CO49" s="27">
        <v>50.154499999999999</v>
      </c>
      <c r="CP49" s="27">
        <v>37.606699999999996</v>
      </c>
      <c r="CQ49" s="27">
        <v>89.768299999999996</v>
      </c>
      <c r="CR49" s="27">
        <v>65.5381</v>
      </c>
      <c r="CS49" s="27">
        <v>61.594900000000003</v>
      </c>
      <c r="CT49" s="27">
        <v>55.061211578947358</v>
      </c>
      <c r="CU49" s="33">
        <v>5230.8150999999998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U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99" width="15" customWidth="1"/>
  </cols>
  <sheetData>
    <row r="1" spans="1:99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9" t="s">
        <v>133</v>
      </c>
    </row>
    <row r="2" spans="1:99" x14ac:dyDescent="0.25">
      <c r="A2" s="24">
        <v>1</v>
      </c>
      <c r="B2" s="26">
        <v>0</v>
      </c>
      <c r="C2" s="28">
        <v>0.27143133333333302</v>
      </c>
      <c r="D2" s="28">
        <v>4.2999999999999997E-2</v>
      </c>
      <c r="E2" s="28">
        <v>0.20597333333333301</v>
      </c>
      <c r="F2" s="28">
        <v>5.7000000000000002E-2</v>
      </c>
      <c r="G2" s="28">
        <v>5.3999999999999999E-2</v>
      </c>
      <c r="H2" s="28">
        <v>0.16150666666666699</v>
      </c>
      <c r="I2" s="28">
        <v>4.5999999999999999E-2</v>
      </c>
      <c r="J2" s="28">
        <v>5.5427333333333301E-2</v>
      </c>
      <c r="K2" s="28">
        <v>0.67774833333333295</v>
      </c>
      <c r="L2" s="28">
        <v>0.21273700000000001</v>
      </c>
      <c r="M2" s="28">
        <v>0.14226666666666701</v>
      </c>
      <c r="N2" s="28">
        <v>0.11906799999999999</v>
      </c>
      <c r="O2" s="28">
        <v>0.13864199999999999</v>
      </c>
      <c r="P2" s="28">
        <v>0.19029333333333301</v>
      </c>
      <c r="Q2" s="28">
        <v>5.3999999999999999E-2</v>
      </c>
      <c r="R2" s="28">
        <v>9.4357333333333404E-2</v>
      </c>
      <c r="S2" s="28">
        <v>0.05</v>
      </c>
      <c r="T2" s="28">
        <v>0.05</v>
      </c>
      <c r="U2" s="28">
        <v>0.409841333333333</v>
      </c>
      <c r="V2" s="28">
        <v>0.148716666666667</v>
      </c>
      <c r="W2" s="28">
        <v>4.9000000000000002E-2</v>
      </c>
      <c r="X2" s="28">
        <v>0.18490799999999999</v>
      </c>
      <c r="Y2" s="28">
        <v>1.5652170000000001</v>
      </c>
      <c r="Z2" s="28">
        <v>0.181925</v>
      </c>
      <c r="AA2" s="28">
        <v>5.3999999999999999E-2</v>
      </c>
      <c r="AB2" s="28">
        <v>5.3999999999999999E-2</v>
      </c>
      <c r="AC2" s="28">
        <v>0.25707999999999998</v>
      </c>
      <c r="AD2" s="28">
        <v>8.6457999999999993E-2</v>
      </c>
      <c r="AE2" s="28">
        <v>0.124353666666667</v>
      </c>
      <c r="AF2" s="28">
        <v>0.28161700000000001</v>
      </c>
      <c r="AG2" s="28">
        <v>3.5999999999999997E-2</v>
      </c>
      <c r="AH2" s="28">
        <v>0.209183333333333</v>
      </c>
      <c r="AI2" s="28">
        <v>0.271893</v>
      </c>
      <c r="AJ2" s="28">
        <v>0.157516666666667</v>
      </c>
      <c r="AK2" s="28">
        <v>0.70850900000000006</v>
      </c>
      <c r="AL2" s="28">
        <v>5.1999999999999998E-2</v>
      </c>
      <c r="AM2" s="28">
        <v>4.8000000000000001E-2</v>
      </c>
      <c r="AN2" s="28">
        <v>0.21375733333333299</v>
      </c>
      <c r="AO2" s="28">
        <v>0.85998733333333299</v>
      </c>
      <c r="AP2" s="28">
        <v>5.2999999999999999E-2</v>
      </c>
      <c r="AQ2" s="28">
        <v>5.8000000000000003E-2</v>
      </c>
      <c r="AR2" s="28">
        <v>4.9000000000000002E-2</v>
      </c>
      <c r="AS2" s="28">
        <v>0.23492099999999999</v>
      </c>
      <c r="AT2" s="28">
        <v>0.27314066666666698</v>
      </c>
      <c r="AU2" s="28">
        <v>0.156162666666667</v>
      </c>
      <c r="AV2" s="28">
        <v>0.53006033333333302</v>
      </c>
      <c r="AW2" s="28">
        <v>0.19210933333333299</v>
      </c>
      <c r="AX2" s="28">
        <v>0.16683400000000001</v>
      </c>
      <c r="AY2" s="28">
        <v>0.143946666666667</v>
      </c>
      <c r="AZ2" s="28">
        <v>0.16659933333333299</v>
      </c>
      <c r="BA2" s="28">
        <v>3.4000000000000002E-2</v>
      </c>
      <c r="BB2" s="28">
        <v>3.7999999999999999E-2</v>
      </c>
      <c r="BC2" s="28">
        <v>0.401287</v>
      </c>
      <c r="BD2" s="28">
        <v>0.17833866666666701</v>
      </c>
      <c r="BE2" s="28">
        <v>0.61022666666666703</v>
      </c>
      <c r="BF2" s="28">
        <v>4.8000000000000001E-2</v>
      </c>
      <c r="BG2" s="28">
        <v>0.145344</v>
      </c>
      <c r="BH2" s="28">
        <v>2.9000000000000001E-2</v>
      </c>
      <c r="BI2" s="28">
        <v>0.367209333333333</v>
      </c>
      <c r="BJ2" s="28">
        <v>0.43076799999999998</v>
      </c>
      <c r="BK2" s="28">
        <v>6.2432333333333402E-2</v>
      </c>
      <c r="BL2" s="28">
        <v>4.7E-2</v>
      </c>
      <c r="BM2" s="28">
        <v>4.8000000000000001E-2</v>
      </c>
      <c r="BN2" s="28">
        <v>0.159502</v>
      </c>
      <c r="BO2" s="28">
        <v>0.45527333333333397</v>
      </c>
      <c r="BP2" s="28">
        <v>0.90137400000000001</v>
      </c>
      <c r="BQ2" s="28">
        <v>0.31343199999999999</v>
      </c>
      <c r="BR2" s="28">
        <v>0.75684533333333304</v>
      </c>
      <c r="BS2" s="28">
        <v>0.17779600000000001</v>
      </c>
      <c r="BT2" s="28">
        <v>3.7999999999999999E-2</v>
      </c>
      <c r="BU2" s="28">
        <v>0.40919733333333402</v>
      </c>
      <c r="BV2" s="28">
        <v>0.11598</v>
      </c>
      <c r="BW2" s="28">
        <v>4.8000000000000001E-2</v>
      </c>
      <c r="BX2" s="28">
        <v>0.38397466666666702</v>
      </c>
      <c r="BY2" s="28">
        <v>5.3999999999999999E-2</v>
      </c>
      <c r="BZ2" s="28">
        <v>0.59368799999999999</v>
      </c>
      <c r="CA2" s="28">
        <v>0.21100866666666701</v>
      </c>
      <c r="CB2" s="28">
        <v>0.14500933333333299</v>
      </c>
      <c r="CC2" s="28">
        <v>0.15603566666666699</v>
      </c>
      <c r="CD2" s="28">
        <v>5.2999999999999999E-2</v>
      </c>
      <c r="CE2" s="28">
        <v>5.6000000000000001E-2</v>
      </c>
      <c r="CF2" s="28">
        <v>0.70558933333333396</v>
      </c>
      <c r="CG2" s="28">
        <v>0.13513033333333299</v>
      </c>
      <c r="CH2" s="28">
        <v>0.05</v>
      </c>
      <c r="CI2" s="28">
        <v>4.9000000000000002E-2</v>
      </c>
      <c r="CJ2" s="28">
        <v>1.07050133333333</v>
      </c>
      <c r="CK2" s="28">
        <v>0.57031866666666697</v>
      </c>
      <c r="CL2" s="28">
        <v>4.5999999999999999E-2</v>
      </c>
      <c r="CM2" s="28">
        <v>6.096E-2</v>
      </c>
      <c r="CN2" s="28">
        <v>8.6024000000000003E-2</v>
      </c>
      <c r="CO2" s="28">
        <v>8.2227999999999996E-2</v>
      </c>
      <c r="CP2" s="28">
        <v>0.77759400000000001</v>
      </c>
      <c r="CQ2" s="28">
        <v>0.20146366666666701</v>
      </c>
      <c r="CR2" s="28">
        <v>0.16419500000000001</v>
      </c>
      <c r="CS2" s="28">
        <v>0.47496733333333302</v>
      </c>
      <c r="CT2" s="28">
        <v>0.2372935017543859</v>
      </c>
      <c r="CU2" s="34">
        <v>22.54288266666666</v>
      </c>
    </row>
    <row r="3" spans="1:99" x14ac:dyDescent="0.25">
      <c r="A3" s="24">
        <v>2</v>
      </c>
      <c r="B3" s="26">
        <v>0.5</v>
      </c>
      <c r="C3" s="28">
        <v>8.3636000000000002E-2</v>
      </c>
      <c r="D3" s="28">
        <v>0.211454</v>
      </c>
      <c r="E3" s="28">
        <v>5.6000000000000001E-2</v>
      </c>
      <c r="F3" s="28">
        <v>5.7000000000000002E-2</v>
      </c>
      <c r="G3" s="28">
        <v>0.17182900000000001</v>
      </c>
      <c r="H3" s="28">
        <v>0.13958000000000001</v>
      </c>
      <c r="I3" s="28">
        <v>4.5999999999999999E-2</v>
      </c>
      <c r="J3" s="28">
        <v>0.11550000000000001</v>
      </c>
      <c r="K3" s="28">
        <v>0.29747899999999999</v>
      </c>
      <c r="L3" s="28">
        <v>0.28406999999999999</v>
      </c>
      <c r="M3" s="28">
        <v>8.7099999999999997E-2</v>
      </c>
      <c r="N3" s="28">
        <v>0.100124</v>
      </c>
      <c r="O3" s="28">
        <v>5.3999999999999999E-2</v>
      </c>
      <c r="P3" s="28">
        <v>4.7E-2</v>
      </c>
      <c r="Q3" s="28">
        <v>0.13195200000000001</v>
      </c>
      <c r="R3" s="28">
        <v>0.14957400000000001</v>
      </c>
      <c r="S3" s="28">
        <v>0.05</v>
      </c>
      <c r="T3" s="28">
        <v>0.12900200000000001</v>
      </c>
      <c r="U3" s="28">
        <v>0.485933333333333</v>
      </c>
      <c r="V3" s="28">
        <v>0.1431</v>
      </c>
      <c r="W3" s="28">
        <v>0.10996</v>
      </c>
      <c r="X3" s="28">
        <v>0.128048</v>
      </c>
      <c r="Y3" s="28">
        <v>5.8000000000000003E-2</v>
      </c>
      <c r="Z3" s="28">
        <v>0.16109499999999999</v>
      </c>
      <c r="AA3" s="28">
        <v>0.186419</v>
      </c>
      <c r="AB3" s="28">
        <v>0.18836</v>
      </c>
      <c r="AC3" s="28">
        <v>5.6000000000000001E-2</v>
      </c>
      <c r="AD3" s="28">
        <v>0.15555466666666701</v>
      </c>
      <c r="AE3" s="28">
        <v>0.102091</v>
      </c>
      <c r="AF3" s="28">
        <v>0.20332</v>
      </c>
      <c r="AG3" s="28">
        <v>0.152686666666667</v>
      </c>
      <c r="AH3" s="28">
        <v>0.10343266666666701</v>
      </c>
      <c r="AI3" s="28">
        <v>5.1999999999999998E-2</v>
      </c>
      <c r="AJ3" s="28">
        <v>4.9000000000000002E-2</v>
      </c>
      <c r="AK3" s="28">
        <v>0.85611833333333298</v>
      </c>
      <c r="AL3" s="28">
        <v>5.1999999999999998E-2</v>
      </c>
      <c r="AM3" s="28">
        <v>0.22719</v>
      </c>
      <c r="AN3" s="28">
        <v>4.5999999999999999E-2</v>
      </c>
      <c r="AO3" s="28">
        <v>0.63928300000000005</v>
      </c>
      <c r="AP3" s="28">
        <v>0.12088400000000001</v>
      </c>
      <c r="AQ3" s="28">
        <v>5.8000000000000003E-2</v>
      </c>
      <c r="AR3" s="28">
        <v>4.9000000000000002E-2</v>
      </c>
      <c r="AS3" s="28">
        <v>0.202722666666667</v>
      </c>
      <c r="AT3" s="28">
        <v>0.24962799999999999</v>
      </c>
      <c r="AU3" s="28">
        <v>5.3999999999999999E-2</v>
      </c>
      <c r="AV3" s="28">
        <v>0.36332166666666699</v>
      </c>
      <c r="AW3" s="28">
        <v>0.17419333333333301</v>
      </c>
      <c r="AX3" s="28">
        <v>0.26204666666666698</v>
      </c>
      <c r="AY3" s="28">
        <v>4.9000000000000002E-2</v>
      </c>
      <c r="AZ3" s="28">
        <v>0.12880466666666701</v>
      </c>
      <c r="BA3" s="28">
        <v>3.4000000000000002E-2</v>
      </c>
      <c r="BB3" s="28">
        <v>0.138258666666667</v>
      </c>
      <c r="BC3" s="28">
        <v>0.56177466666666698</v>
      </c>
      <c r="BD3" s="28">
        <v>0.10125199999999999</v>
      </c>
      <c r="BE3" s="28">
        <v>0.23048233333333301</v>
      </c>
      <c r="BF3" s="28">
        <v>4.8000000000000001E-2</v>
      </c>
      <c r="BG3" s="28">
        <v>4.7E-2</v>
      </c>
      <c r="BH3" s="28">
        <v>2.9000000000000001E-2</v>
      </c>
      <c r="BI3" s="28">
        <v>0.447135333333333</v>
      </c>
      <c r="BJ3" s="28">
        <v>0.43712933333333298</v>
      </c>
      <c r="BK3" s="28">
        <v>0.19187233333333301</v>
      </c>
      <c r="BL3" s="28">
        <v>4.7E-2</v>
      </c>
      <c r="BM3" s="28">
        <v>4.8000000000000001E-2</v>
      </c>
      <c r="BN3" s="28">
        <v>0.249696</v>
      </c>
      <c r="BO3" s="28">
        <v>0.47743000000000002</v>
      </c>
      <c r="BP3" s="28">
        <v>0.79453533333333304</v>
      </c>
      <c r="BQ3" s="28">
        <v>0.05</v>
      </c>
      <c r="BR3" s="28">
        <v>1.7480433333333301</v>
      </c>
      <c r="BS3" s="28">
        <v>5.1999999999999998E-2</v>
      </c>
      <c r="BT3" s="28">
        <v>3.7999999999999999E-2</v>
      </c>
      <c r="BU3" s="28">
        <v>0.35674099999999997</v>
      </c>
      <c r="BV3" s="28">
        <v>0.143526666666667</v>
      </c>
      <c r="BW3" s="28">
        <v>0.10048</v>
      </c>
      <c r="BX3" s="28">
        <v>5.3999999999999999E-2</v>
      </c>
      <c r="BY3" s="28">
        <v>0.21547233333333299</v>
      </c>
      <c r="BZ3" s="28">
        <v>0.57246133333333304</v>
      </c>
      <c r="CA3" s="28">
        <v>4.5999999999999999E-2</v>
      </c>
      <c r="CB3" s="28">
        <v>0.19825200000000001</v>
      </c>
      <c r="CC3" s="28">
        <v>0.29335966666666702</v>
      </c>
      <c r="CD3" s="28">
        <v>6.1200666666666702E-2</v>
      </c>
      <c r="CE3" s="28">
        <v>0.24066799999999999</v>
      </c>
      <c r="CF3" s="28">
        <v>0.13580066666666701</v>
      </c>
      <c r="CG3" s="28">
        <v>0.13243833333333299</v>
      </c>
      <c r="CH3" s="28">
        <v>0.22235533333333299</v>
      </c>
      <c r="CI3" s="28">
        <v>4.9000000000000002E-2</v>
      </c>
      <c r="CJ3" s="28">
        <v>1.0430316666666699</v>
      </c>
      <c r="CK3" s="28">
        <v>0.71254666666666699</v>
      </c>
      <c r="CL3" s="28">
        <v>0.158846666666667</v>
      </c>
      <c r="CM3" s="28">
        <v>5.2319999999999998E-2</v>
      </c>
      <c r="CN3" s="28">
        <v>0.15606400000000001</v>
      </c>
      <c r="CO3" s="28">
        <v>0.12519866666666701</v>
      </c>
      <c r="CP3" s="28">
        <v>0.66790099999999997</v>
      </c>
      <c r="CQ3" s="28">
        <v>5.0999999999999997E-2</v>
      </c>
      <c r="CR3" s="28">
        <v>4.8000000000000001E-2</v>
      </c>
      <c r="CS3" s="28">
        <v>0.39730733333333301</v>
      </c>
      <c r="CT3" s="28">
        <v>0.21140077894736839</v>
      </c>
      <c r="CU3" s="34">
        <v>20.083074</v>
      </c>
    </row>
    <row r="4" spans="1:99" x14ac:dyDescent="0.25">
      <c r="A4" s="24">
        <v>3</v>
      </c>
      <c r="B4" s="26">
        <v>1</v>
      </c>
      <c r="C4" s="28">
        <v>0.183862</v>
      </c>
      <c r="D4" s="28">
        <v>4.2999999999999997E-2</v>
      </c>
      <c r="E4" s="28">
        <v>0.195842666666667</v>
      </c>
      <c r="F4" s="28">
        <v>5.7000000000000002E-2</v>
      </c>
      <c r="G4" s="28">
        <v>0.21314433333333399</v>
      </c>
      <c r="H4" s="28">
        <v>0.193201333333333</v>
      </c>
      <c r="I4" s="28">
        <v>4.5999999999999999E-2</v>
      </c>
      <c r="J4" s="28">
        <v>0.130692</v>
      </c>
      <c r="K4" s="28">
        <v>0.13314266666666699</v>
      </c>
      <c r="L4" s="28">
        <v>0.13477666666666699</v>
      </c>
      <c r="M4" s="28">
        <v>7.0550000000000002E-2</v>
      </c>
      <c r="N4" s="28">
        <v>0.19817733333333301</v>
      </c>
      <c r="O4" s="28">
        <v>0.10102333333333301</v>
      </c>
      <c r="P4" s="28">
        <v>0.17726666666666699</v>
      </c>
      <c r="Q4" s="28">
        <v>5.3999999999999999E-2</v>
      </c>
      <c r="R4" s="28">
        <v>0.19324666666666701</v>
      </c>
      <c r="S4" s="28">
        <v>0.05</v>
      </c>
      <c r="T4" s="28">
        <v>0.195086333333333</v>
      </c>
      <c r="U4" s="28">
        <v>0.58344133333333303</v>
      </c>
      <c r="V4" s="28">
        <v>4.1000000000000002E-2</v>
      </c>
      <c r="W4" s="28">
        <v>4.9000000000000002E-2</v>
      </c>
      <c r="X4" s="28">
        <v>0.275326666666667</v>
      </c>
      <c r="Y4" s="28">
        <v>0.10128</v>
      </c>
      <c r="Z4" s="28">
        <v>4.7E-2</v>
      </c>
      <c r="AA4" s="28">
        <v>6.0305666666666702E-2</v>
      </c>
      <c r="AB4" s="28">
        <v>5.3999999999999999E-2</v>
      </c>
      <c r="AC4" s="28">
        <v>5.6000000000000001E-2</v>
      </c>
      <c r="AD4" s="28">
        <v>4.4999999999999998E-2</v>
      </c>
      <c r="AE4" s="28">
        <v>5.1999999999999998E-2</v>
      </c>
      <c r="AF4" s="28">
        <v>0.129149666666667</v>
      </c>
      <c r="AG4" s="28">
        <v>3.5999999999999997E-2</v>
      </c>
      <c r="AH4" s="28">
        <v>0.222336333333333</v>
      </c>
      <c r="AI4" s="28">
        <v>0.17924200000000001</v>
      </c>
      <c r="AJ4" s="28">
        <v>0.22476633333333301</v>
      </c>
      <c r="AK4" s="28">
        <v>0.67911666666666703</v>
      </c>
      <c r="AL4" s="28">
        <v>5.1999999999999998E-2</v>
      </c>
      <c r="AM4" s="28">
        <v>4.8000000000000001E-2</v>
      </c>
      <c r="AN4" s="28">
        <v>0.183256</v>
      </c>
      <c r="AO4" s="28">
        <v>0.38714166666666699</v>
      </c>
      <c r="AP4" s="28">
        <v>5.2999999999999999E-2</v>
      </c>
      <c r="AQ4" s="28">
        <v>0.16072500000000001</v>
      </c>
      <c r="AR4" s="28">
        <v>0.14787466666666699</v>
      </c>
      <c r="AS4" s="28">
        <v>9.9667333333333302E-2</v>
      </c>
      <c r="AT4" s="28">
        <v>0.16691066666666701</v>
      </c>
      <c r="AU4" s="28">
        <v>5.3999999999999999E-2</v>
      </c>
      <c r="AV4" s="28">
        <v>0.87092566666666604</v>
      </c>
      <c r="AW4" s="28">
        <v>7.9206666666666703E-2</v>
      </c>
      <c r="AX4" s="28">
        <v>0.188247366666667</v>
      </c>
      <c r="AY4" s="28">
        <v>0.143946666666667</v>
      </c>
      <c r="AZ4" s="28">
        <v>5.0497666666666698E-2</v>
      </c>
      <c r="BA4" s="28">
        <v>0.15091499999999999</v>
      </c>
      <c r="BB4" s="28">
        <v>8.4082000000000004E-2</v>
      </c>
      <c r="BC4" s="28">
        <v>4.8000000000000001E-2</v>
      </c>
      <c r="BD4" s="28">
        <v>0.12785199999999999</v>
      </c>
      <c r="BE4" s="28">
        <v>0.104282333333333</v>
      </c>
      <c r="BF4" s="28">
        <v>4.8000000000000001E-2</v>
      </c>
      <c r="BG4" s="28">
        <v>0.114288</v>
      </c>
      <c r="BH4" s="28">
        <v>2.9000000000000001E-2</v>
      </c>
      <c r="BI4" s="28">
        <v>0.17234133333333301</v>
      </c>
      <c r="BJ4" s="28">
        <v>3.9E-2</v>
      </c>
      <c r="BK4" s="28">
        <v>3.7999999999999999E-2</v>
      </c>
      <c r="BL4" s="28">
        <v>4.7E-2</v>
      </c>
      <c r="BM4" s="28">
        <v>0.21183399999999999</v>
      </c>
      <c r="BN4" s="28">
        <v>0.20788000000000001</v>
      </c>
      <c r="BO4" s="28">
        <v>0.223389333333333</v>
      </c>
      <c r="BP4" s="28">
        <v>0.92955333333333301</v>
      </c>
      <c r="BQ4" s="28">
        <v>0.27252599999999999</v>
      </c>
      <c r="BR4" s="28">
        <v>0.25795600000000002</v>
      </c>
      <c r="BS4" s="28">
        <v>0.205750666666667</v>
      </c>
      <c r="BT4" s="28">
        <v>0.13858999999999999</v>
      </c>
      <c r="BU4" s="28">
        <v>6.6446000000000005E-2</v>
      </c>
      <c r="BV4" s="28">
        <v>5.3999999999999999E-2</v>
      </c>
      <c r="BW4" s="28">
        <v>0.30367466666666698</v>
      </c>
      <c r="BX4" s="28">
        <v>0.34612799999999999</v>
      </c>
      <c r="BY4" s="28">
        <v>5.8303000000000001E-2</v>
      </c>
      <c r="BZ4" s="28">
        <v>0.56291766666666698</v>
      </c>
      <c r="CA4" s="28">
        <v>0.31635933333333299</v>
      </c>
      <c r="CB4" s="28">
        <v>0.17102600000000001</v>
      </c>
      <c r="CC4" s="28">
        <v>0.121204666666667</v>
      </c>
      <c r="CD4" s="28">
        <v>0.11860533333333299</v>
      </c>
      <c r="CE4" s="28">
        <v>5.6000000000000001E-2</v>
      </c>
      <c r="CF4" s="28">
        <v>0.14858933333333299</v>
      </c>
      <c r="CG4" s="28">
        <v>5.3556666666666697E-2</v>
      </c>
      <c r="CH4" s="28">
        <v>0.05</v>
      </c>
      <c r="CI4" s="28">
        <v>4.9000000000000002E-2</v>
      </c>
      <c r="CJ4" s="28">
        <v>5.8385666666666697E-2</v>
      </c>
      <c r="CK4" s="28">
        <v>9.2675999999999994E-2</v>
      </c>
      <c r="CL4" s="28">
        <v>0.119312666666667</v>
      </c>
      <c r="CM4" s="28">
        <v>0.12144000000000001</v>
      </c>
      <c r="CN4" s="28">
        <v>4.3999999999999997E-2</v>
      </c>
      <c r="CO4" s="28">
        <v>5.5371333333333397E-2</v>
      </c>
      <c r="CP4" s="28">
        <v>0.16956933333333299</v>
      </c>
      <c r="CQ4" s="28">
        <v>0.20762966666666699</v>
      </c>
      <c r="CR4" s="28">
        <v>0.30884133333333302</v>
      </c>
      <c r="CS4" s="28">
        <v>0.16984399999999999</v>
      </c>
      <c r="CT4" s="28">
        <v>0.1596157547368422</v>
      </c>
      <c r="CU4" s="34">
        <v>15.16349670000001</v>
      </c>
    </row>
    <row r="5" spans="1:99" x14ac:dyDescent="0.25">
      <c r="A5" s="24">
        <v>4</v>
      </c>
      <c r="B5" s="26">
        <v>1.5</v>
      </c>
      <c r="C5" s="28">
        <v>5.5E-2</v>
      </c>
      <c r="D5" s="28">
        <v>0.16551199999999999</v>
      </c>
      <c r="E5" s="28">
        <v>0.20597333333333301</v>
      </c>
      <c r="F5" s="28">
        <v>5.7000000000000002E-2</v>
      </c>
      <c r="G5" s="28">
        <v>5.3999999999999999E-2</v>
      </c>
      <c r="H5" s="28">
        <v>0.15567666666666699</v>
      </c>
      <c r="I5" s="28">
        <v>4.5999999999999999E-2</v>
      </c>
      <c r="J5" s="28">
        <v>5.0999999999999997E-2</v>
      </c>
      <c r="K5" s="28">
        <v>0.203416666666667</v>
      </c>
      <c r="L5" s="28">
        <v>4.1000000000000002E-2</v>
      </c>
      <c r="M5" s="28">
        <v>0.15881666666666699</v>
      </c>
      <c r="N5" s="28">
        <v>0.112116666666667</v>
      </c>
      <c r="O5" s="28">
        <v>9.1618666666666598E-2</v>
      </c>
      <c r="P5" s="28">
        <v>6.0026666666666603E-2</v>
      </c>
      <c r="Q5" s="28">
        <v>0.12329066666666701</v>
      </c>
      <c r="R5" s="28">
        <v>0.18230666666666701</v>
      </c>
      <c r="S5" s="28">
        <v>0.05</v>
      </c>
      <c r="T5" s="28">
        <v>0.10406899999999999</v>
      </c>
      <c r="U5" s="28">
        <v>0.63846766666666699</v>
      </c>
      <c r="V5" s="28">
        <v>8.1839999999999996E-2</v>
      </c>
      <c r="W5" s="28">
        <v>0.10996</v>
      </c>
      <c r="X5" s="28">
        <v>8.3524000000000001E-2</v>
      </c>
      <c r="Y5" s="28">
        <v>0.173413333333333</v>
      </c>
      <c r="Z5" s="28">
        <v>0.128680666666667</v>
      </c>
      <c r="AA5" s="28">
        <v>5.3999999999999999E-2</v>
      </c>
      <c r="AB5" s="28">
        <v>0.18836</v>
      </c>
      <c r="AC5" s="28">
        <v>5.6000000000000001E-2</v>
      </c>
      <c r="AD5" s="28">
        <v>0.197012666666667</v>
      </c>
      <c r="AE5" s="28">
        <v>9.0959666666666703E-2</v>
      </c>
      <c r="AF5" s="28">
        <v>0.103269</v>
      </c>
      <c r="AG5" s="28">
        <v>3.5999999999999997E-2</v>
      </c>
      <c r="AH5" s="28">
        <v>0.103127</v>
      </c>
      <c r="AI5" s="28">
        <v>0.119849333333333</v>
      </c>
      <c r="AJ5" s="28">
        <v>8.0916666666666595E-2</v>
      </c>
      <c r="AK5" s="28">
        <v>0.44452766666666699</v>
      </c>
      <c r="AL5" s="28">
        <v>5.1999999999999998E-2</v>
      </c>
      <c r="AM5" s="28">
        <v>4.8000000000000001E-2</v>
      </c>
      <c r="AN5" s="28">
        <v>7.6501333333333296E-2</v>
      </c>
      <c r="AO5" s="28">
        <v>0.191924333333333</v>
      </c>
      <c r="AP5" s="28">
        <v>8.3170666666666698E-2</v>
      </c>
      <c r="AQ5" s="28">
        <v>0.105938333333333</v>
      </c>
      <c r="AR5" s="28">
        <v>7.3718666666666599E-2</v>
      </c>
      <c r="AS5" s="28">
        <v>0.20261899999999999</v>
      </c>
      <c r="AT5" s="28">
        <v>7.6396000000000006E-2</v>
      </c>
      <c r="AU5" s="28">
        <v>0.16402133333333399</v>
      </c>
      <c r="AV5" s="28">
        <v>0.30933233333333399</v>
      </c>
      <c r="AW5" s="28">
        <v>0.229409</v>
      </c>
      <c r="AX5" s="28">
        <v>0.236883333333333</v>
      </c>
      <c r="AY5" s="28">
        <v>4.9000000000000002E-2</v>
      </c>
      <c r="AZ5" s="28">
        <v>0.108793</v>
      </c>
      <c r="BA5" s="28">
        <v>8.8560333333333199E-2</v>
      </c>
      <c r="BB5" s="28">
        <v>0.26114233333333298</v>
      </c>
      <c r="BC5" s="28">
        <v>8.1923333333333306E-2</v>
      </c>
      <c r="BD5" s="28">
        <v>0.22459066666666699</v>
      </c>
      <c r="BE5" s="28">
        <v>0.16441866666666699</v>
      </c>
      <c r="BF5" s="28">
        <v>4.8000000000000001E-2</v>
      </c>
      <c r="BG5" s="28">
        <v>0.18312200000000001</v>
      </c>
      <c r="BH5" s="28">
        <v>2.9000000000000001E-2</v>
      </c>
      <c r="BI5" s="28">
        <v>0.54443433333333302</v>
      </c>
      <c r="BJ5" s="28">
        <v>0.14194200000000001</v>
      </c>
      <c r="BK5" s="28">
        <v>0.15347666666666701</v>
      </c>
      <c r="BL5" s="28">
        <v>4.7E-2</v>
      </c>
      <c r="BM5" s="28">
        <v>0.456623</v>
      </c>
      <c r="BN5" s="28">
        <v>5.6965333333333298E-2</v>
      </c>
      <c r="BO5" s="28">
        <v>4.7E-2</v>
      </c>
      <c r="BP5" s="28">
        <v>0.13014400000000001</v>
      </c>
      <c r="BQ5" s="28">
        <v>0.13087599999999999</v>
      </c>
      <c r="BR5" s="28">
        <v>0.52382166666666696</v>
      </c>
      <c r="BS5" s="28">
        <v>5.1999999999999998E-2</v>
      </c>
      <c r="BT5" s="28">
        <v>3.7999999999999999E-2</v>
      </c>
      <c r="BU5" s="28">
        <v>0.19014666666666699</v>
      </c>
      <c r="BV5" s="28">
        <v>0.1573</v>
      </c>
      <c r="BW5" s="28">
        <v>7.6932E-2</v>
      </c>
      <c r="BX5" s="28">
        <v>7.3921666666666705E-2</v>
      </c>
      <c r="BY5" s="28">
        <v>5.3999999999999999E-2</v>
      </c>
      <c r="BZ5" s="28">
        <v>5.8000000000000003E-2</v>
      </c>
      <c r="CA5" s="28">
        <v>8.9423333333333299E-2</v>
      </c>
      <c r="CB5" s="28">
        <v>0.34821466666666701</v>
      </c>
      <c r="CC5" s="28">
        <v>0.22223399999999999</v>
      </c>
      <c r="CD5" s="28">
        <v>6.1200666666666702E-2</v>
      </c>
      <c r="CE5" s="28">
        <v>0.131546</v>
      </c>
      <c r="CF5" s="28">
        <v>0.18648733333333301</v>
      </c>
      <c r="CG5" s="28">
        <v>8.8047333333333394E-2</v>
      </c>
      <c r="CH5" s="28">
        <v>0.159680666666667</v>
      </c>
      <c r="CI5" s="28">
        <v>4.9000000000000002E-2</v>
      </c>
      <c r="CJ5" s="28">
        <v>0.22906433333333301</v>
      </c>
      <c r="CK5" s="28">
        <v>0.17097599999999999</v>
      </c>
      <c r="CL5" s="28">
        <v>0.28791533333333302</v>
      </c>
      <c r="CM5" s="28">
        <v>4.8000000000000001E-2</v>
      </c>
      <c r="CN5" s="28">
        <v>0.19808799999999999</v>
      </c>
      <c r="CO5" s="28">
        <v>0.15205533333333299</v>
      </c>
      <c r="CP5" s="28">
        <v>3.6999999999999998E-2</v>
      </c>
      <c r="CQ5" s="28">
        <v>7.5731000000000007E-2</v>
      </c>
      <c r="CR5" s="28">
        <v>6.8504999999999996E-2</v>
      </c>
      <c r="CS5" s="28">
        <v>4.9675999999999998E-2</v>
      </c>
      <c r="CT5" s="28">
        <v>0.13979604561403511</v>
      </c>
      <c r="CU5" s="34">
        <v>13.280624333333339</v>
      </c>
    </row>
    <row r="6" spans="1:99" x14ac:dyDescent="0.25">
      <c r="A6" s="24">
        <v>5</v>
      </c>
      <c r="B6" s="26">
        <v>2</v>
      </c>
      <c r="C6" s="28">
        <v>0.14090800000000001</v>
      </c>
      <c r="D6" s="28">
        <v>8.8942000000000104E-2</v>
      </c>
      <c r="E6" s="28">
        <v>5.6000000000000001E-2</v>
      </c>
      <c r="F6" s="28">
        <v>5.7000000000000002E-2</v>
      </c>
      <c r="G6" s="28">
        <v>0.154394</v>
      </c>
      <c r="H6" s="28">
        <v>0.124928</v>
      </c>
      <c r="I6" s="28">
        <v>4.5999999999999999E-2</v>
      </c>
      <c r="J6" s="28">
        <v>0.11741</v>
      </c>
      <c r="K6" s="28">
        <v>3.9E-2</v>
      </c>
      <c r="L6" s="28">
        <v>0.259253333333333</v>
      </c>
      <c r="M6" s="28">
        <v>5.3999999999999999E-2</v>
      </c>
      <c r="N6" s="28">
        <v>0.22045466666666699</v>
      </c>
      <c r="O6" s="28">
        <v>0.105725666666667</v>
      </c>
      <c r="P6" s="28">
        <v>0.13818666666666701</v>
      </c>
      <c r="Q6" s="28">
        <v>6.2661333333333402E-2</v>
      </c>
      <c r="R6" s="28">
        <v>0.120123333333333</v>
      </c>
      <c r="S6" s="28">
        <v>0.05</v>
      </c>
      <c r="T6" s="28">
        <v>9.8061333333333403E-2</v>
      </c>
      <c r="U6" s="28">
        <v>0.172584666666667</v>
      </c>
      <c r="V6" s="28">
        <v>0.14990666666666699</v>
      </c>
      <c r="W6" s="28">
        <v>4.9000000000000002E-2</v>
      </c>
      <c r="X6" s="28">
        <v>0.24689666666666699</v>
      </c>
      <c r="Y6" s="28">
        <v>5.8000000000000003E-2</v>
      </c>
      <c r="Z6" s="28">
        <v>0.107850666666667</v>
      </c>
      <c r="AA6" s="28">
        <v>0.186419</v>
      </c>
      <c r="AB6" s="28">
        <v>5.3999999999999999E-2</v>
      </c>
      <c r="AC6" s="28">
        <v>9.2560000000000003E-2</v>
      </c>
      <c r="AD6" s="28">
        <v>4.4999999999999998E-2</v>
      </c>
      <c r="AE6" s="28">
        <v>0.13548499999999999</v>
      </c>
      <c r="AF6" s="28">
        <v>0.20978466666666701</v>
      </c>
      <c r="AG6" s="28">
        <v>0.11184633333333301</v>
      </c>
      <c r="AH6" s="28">
        <v>0.15386533333333299</v>
      </c>
      <c r="AI6" s="28">
        <v>0.101466666666667</v>
      </c>
      <c r="AJ6" s="28">
        <v>0.17369799999999999</v>
      </c>
      <c r="AK6" s="28">
        <v>0.50465166666666705</v>
      </c>
      <c r="AL6" s="28">
        <v>5.1999999999999998E-2</v>
      </c>
      <c r="AM6" s="28">
        <v>0.22719</v>
      </c>
      <c r="AN6" s="28">
        <v>0.11462799999999999</v>
      </c>
      <c r="AO6" s="28">
        <v>0.17951900000000001</v>
      </c>
      <c r="AP6" s="28">
        <v>9.0713333333333299E-2</v>
      </c>
      <c r="AQ6" s="28">
        <v>9.2241666666666694E-2</v>
      </c>
      <c r="AR6" s="28">
        <v>4.9000000000000002E-2</v>
      </c>
      <c r="AS6" s="28">
        <v>0.27069733333333301</v>
      </c>
      <c r="AT6" s="28">
        <v>0.39235666666666702</v>
      </c>
      <c r="AU6" s="28">
        <v>5.3999999999999999E-2</v>
      </c>
      <c r="AV6" s="28">
        <v>4.3999999999999997E-2</v>
      </c>
      <c r="AW6" s="28">
        <v>0.103687</v>
      </c>
      <c r="AX6" s="28">
        <v>0.06</v>
      </c>
      <c r="AY6" s="28">
        <v>0.110715333333333</v>
      </c>
      <c r="AZ6" s="28">
        <v>0.18784733333333301</v>
      </c>
      <c r="BA6" s="28">
        <v>3.4000000000000002E-2</v>
      </c>
      <c r="BB6" s="28">
        <v>3.7999999999999999E-2</v>
      </c>
      <c r="BC6" s="28">
        <v>0.163339333333333</v>
      </c>
      <c r="BD6" s="28">
        <v>6.3094666666666702E-2</v>
      </c>
      <c r="BE6" s="28">
        <v>0.170346</v>
      </c>
      <c r="BF6" s="28">
        <v>4.8000000000000001E-2</v>
      </c>
      <c r="BG6" s="28">
        <v>8.3232E-2</v>
      </c>
      <c r="BH6" s="28">
        <v>2.9000000000000001E-2</v>
      </c>
      <c r="BI6" s="28">
        <v>0.23124366666666701</v>
      </c>
      <c r="BJ6" s="28">
        <v>0.194305333333333</v>
      </c>
      <c r="BK6" s="28">
        <v>0.100826</v>
      </c>
      <c r="BL6" s="28">
        <v>4.7E-2</v>
      </c>
      <c r="BM6" s="28">
        <v>0.93643466666666697</v>
      </c>
      <c r="BN6" s="28">
        <v>0.29010866666666701</v>
      </c>
      <c r="BO6" s="28">
        <v>0.10910400000000001</v>
      </c>
      <c r="BP6" s="28">
        <v>5.5E-2</v>
      </c>
      <c r="BQ6" s="28">
        <v>0.18942000000000001</v>
      </c>
      <c r="BR6" s="28">
        <v>0.30180499999999999</v>
      </c>
      <c r="BS6" s="28">
        <v>0.107909333333333</v>
      </c>
      <c r="BT6" s="28">
        <v>3.7999999999999999E-2</v>
      </c>
      <c r="BU6" s="28">
        <v>0.13435266666666701</v>
      </c>
      <c r="BV6" s="28">
        <v>0.102206666666667</v>
      </c>
      <c r="BW6" s="28">
        <v>0.12033000000000001</v>
      </c>
      <c r="BX6" s="28">
        <v>0.34149966666666698</v>
      </c>
      <c r="BY6" s="28">
        <v>0.13145399999999999</v>
      </c>
      <c r="BZ6" s="28">
        <v>0.29054966666666698</v>
      </c>
      <c r="CA6" s="28">
        <v>8.9423333333333396E-2</v>
      </c>
      <c r="CB6" s="28">
        <v>0.154308</v>
      </c>
      <c r="CC6" s="28">
        <v>8.2843E-2</v>
      </c>
      <c r="CD6" s="28">
        <v>0.11860533333333299</v>
      </c>
      <c r="CE6" s="28">
        <v>0.16512199999999999</v>
      </c>
      <c r="CF6" s="28">
        <v>0.17398666666666701</v>
      </c>
      <c r="CG6" s="28">
        <v>7.2079666666666695E-2</v>
      </c>
      <c r="CH6" s="28">
        <v>0.11267466666666701</v>
      </c>
      <c r="CI6" s="28">
        <v>4.9000000000000002E-2</v>
      </c>
      <c r="CJ6" s="28">
        <v>0.11711199999999999</v>
      </c>
      <c r="CK6" s="28">
        <v>0.142342</v>
      </c>
      <c r="CL6" s="28">
        <v>5.7284666666666699E-2</v>
      </c>
      <c r="CM6" s="28">
        <v>0.12576000000000001</v>
      </c>
      <c r="CN6" s="28">
        <v>4.3999999999999997E-2</v>
      </c>
      <c r="CO6" s="28">
        <v>0.05</v>
      </c>
      <c r="CP6" s="28">
        <v>0.27652333333333301</v>
      </c>
      <c r="CQ6" s="28">
        <v>5.0999999999999997E-2</v>
      </c>
      <c r="CR6" s="28">
        <v>4.8000000000000001E-2</v>
      </c>
      <c r="CS6" s="28">
        <v>0.31822400000000001</v>
      </c>
      <c r="CT6" s="28">
        <v>0.13803694035087721</v>
      </c>
      <c r="CU6" s="34">
        <v>13.11350933333334</v>
      </c>
    </row>
    <row r="7" spans="1:99" x14ac:dyDescent="0.25">
      <c r="A7" s="24">
        <v>6</v>
      </c>
      <c r="B7" s="26">
        <v>2.5</v>
      </c>
      <c r="C7" s="28">
        <v>0.12659000000000001</v>
      </c>
      <c r="D7" s="28">
        <v>5.8313999999999998E-2</v>
      </c>
      <c r="E7" s="28">
        <v>0.34581933333333298</v>
      </c>
      <c r="F7" s="28">
        <v>5.7000000000000002E-2</v>
      </c>
      <c r="G7" s="28">
        <v>0.230579333333333</v>
      </c>
      <c r="H7" s="28">
        <v>0.17566000000000001</v>
      </c>
      <c r="I7" s="28">
        <v>4.5999999999999999E-2</v>
      </c>
      <c r="J7" s="28">
        <v>6.4282000000000006E-2</v>
      </c>
      <c r="K7" s="28">
        <v>0.15170666666666699</v>
      </c>
      <c r="L7" s="28">
        <v>4.1000000000000002E-2</v>
      </c>
      <c r="M7" s="28">
        <v>0.114683333333333</v>
      </c>
      <c r="N7" s="28">
        <v>0.106405</v>
      </c>
      <c r="O7" s="28">
        <v>8.6916333333333304E-2</v>
      </c>
      <c r="P7" s="28">
        <v>9.9106666666666801E-2</v>
      </c>
      <c r="Q7" s="28">
        <v>0.110298666666667</v>
      </c>
      <c r="R7" s="28">
        <v>0.13474800000000001</v>
      </c>
      <c r="S7" s="28">
        <v>0.05</v>
      </c>
      <c r="T7" s="28">
        <v>0.28009600000000001</v>
      </c>
      <c r="U7" s="28">
        <v>5.6000000000000001E-2</v>
      </c>
      <c r="V7" s="28">
        <v>4.1000000000000002E-2</v>
      </c>
      <c r="W7" s="28">
        <v>8.6253333333333307E-2</v>
      </c>
      <c r="X7" s="28">
        <v>0.111954</v>
      </c>
      <c r="Y7" s="28">
        <v>0.21669333333333299</v>
      </c>
      <c r="Z7" s="28">
        <v>0.153488666666667</v>
      </c>
      <c r="AA7" s="28">
        <v>6.0305666666666702E-2</v>
      </c>
      <c r="AB7" s="28">
        <v>0.15476999999999999</v>
      </c>
      <c r="AC7" s="28">
        <v>0.22051999999999999</v>
      </c>
      <c r="AD7" s="28">
        <v>4.4999999999999998E-2</v>
      </c>
      <c r="AE7" s="28">
        <v>5.1999999999999998E-2</v>
      </c>
      <c r="AF7" s="28">
        <v>0.171954</v>
      </c>
      <c r="AG7" s="28">
        <v>7.6840333333333399E-2</v>
      </c>
      <c r="AH7" s="28">
        <v>0.21646099999999999</v>
      </c>
      <c r="AI7" s="28">
        <v>0.20751800000000001</v>
      </c>
      <c r="AJ7" s="28">
        <v>0.13198333333333301</v>
      </c>
      <c r="AK7" s="28">
        <v>0.50461533333333297</v>
      </c>
      <c r="AL7" s="28">
        <v>5.1999999999999998E-2</v>
      </c>
      <c r="AM7" s="28">
        <v>4.8000000000000001E-2</v>
      </c>
      <c r="AN7" s="28">
        <v>0.145129333333333</v>
      </c>
      <c r="AO7" s="28">
        <v>6.3834333333333299E-2</v>
      </c>
      <c r="AP7" s="28">
        <v>5.2999999999999999E-2</v>
      </c>
      <c r="AQ7" s="28">
        <v>0.174421666666667</v>
      </c>
      <c r="AR7" s="28">
        <v>4.9000000000000002E-2</v>
      </c>
      <c r="AS7" s="28">
        <v>0.24806566666666699</v>
      </c>
      <c r="AT7" s="28">
        <v>0.130412</v>
      </c>
      <c r="AU7" s="28">
        <v>0.16402133333333299</v>
      </c>
      <c r="AV7" s="28">
        <v>0.19152233333333299</v>
      </c>
      <c r="AW7" s="28">
        <v>0.197590666666667</v>
      </c>
      <c r="AX7" s="28">
        <v>0.06</v>
      </c>
      <c r="AY7" s="28">
        <v>8.2231333333333295E-2</v>
      </c>
      <c r="AZ7" s="28">
        <v>6.4843333333333406E-2</v>
      </c>
      <c r="BA7" s="28">
        <v>3.4000000000000002E-2</v>
      </c>
      <c r="BB7" s="28">
        <v>0.206967333333333</v>
      </c>
      <c r="BC7" s="28">
        <v>4.8000000000000001E-2</v>
      </c>
      <c r="BD7" s="28">
        <v>0.11975733333333299</v>
      </c>
      <c r="BE7" s="28">
        <v>9.1032000000000002E-2</v>
      </c>
      <c r="BF7" s="28">
        <v>4.8000000000000001E-2</v>
      </c>
      <c r="BG7" s="28">
        <v>0.21417800000000001</v>
      </c>
      <c r="BH7" s="28">
        <v>2.9000000000000001E-2</v>
      </c>
      <c r="BI7" s="28">
        <v>0.33340966666666699</v>
      </c>
      <c r="BJ7" s="28">
        <v>3.9E-2</v>
      </c>
      <c r="BK7" s="28">
        <v>3.7999999999999999E-2</v>
      </c>
      <c r="BL7" s="28">
        <v>4.7E-2</v>
      </c>
      <c r="BM7" s="28">
        <v>1.06447</v>
      </c>
      <c r="BN7" s="28">
        <v>0.159502</v>
      </c>
      <c r="BO7" s="28">
        <v>0.15568199999999999</v>
      </c>
      <c r="BP7" s="28">
        <v>5.5E-2</v>
      </c>
      <c r="BQ7" s="28">
        <v>0.13588</v>
      </c>
      <c r="BR7" s="28">
        <v>0.155168</v>
      </c>
      <c r="BS7" s="28">
        <v>0.14984133333333299</v>
      </c>
      <c r="BT7" s="28">
        <v>0.13858999999999999</v>
      </c>
      <c r="BU7" s="28">
        <v>0.13008800000000001</v>
      </c>
      <c r="BV7" s="28">
        <v>5.3999999999999999E-2</v>
      </c>
      <c r="BW7" s="28">
        <v>0.269023333333333</v>
      </c>
      <c r="BX7" s="28">
        <v>0.114409</v>
      </c>
      <c r="BY7" s="28">
        <v>0.14231666666666701</v>
      </c>
      <c r="BZ7" s="28">
        <v>0.13</v>
      </c>
      <c r="CA7" s="28">
        <v>0.30408733333333299</v>
      </c>
      <c r="CB7" s="28">
        <v>0.18411133333333299</v>
      </c>
      <c r="CC7" s="28">
        <v>0.28670200000000001</v>
      </c>
      <c r="CD7" s="28">
        <v>5.2999999999999999E-2</v>
      </c>
      <c r="CE7" s="28">
        <v>5.6000000000000001E-2</v>
      </c>
      <c r="CF7" s="28">
        <v>4.7E-2</v>
      </c>
      <c r="CG7" s="28">
        <v>0.186866333333333</v>
      </c>
      <c r="CH7" s="28">
        <v>7.3502999999999999E-2</v>
      </c>
      <c r="CI7" s="28">
        <v>4.9000000000000002E-2</v>
      </c>
      <c r="CJ7" s="28">
        <v>0.14139933333333299</v>
      </c>
      <c r="CK7" s="28">
        <v>4.8000000000000001E-2</v>
      </c>
      <c r="CL7" s="28">
        <v>4.5999999999999999E-2</v>
      </c>
      <c r="CM7" s="28">
        <v>5.2319999999999998E-2</v>
      </c>
      <c r="CN7" s="28">
        <v>4.3999999999999997E-2</v>
      </c>
      <c r="CO7" s="28">
        <v>0.14668400000000001</v>
      </c>
      <c r="CP7" s="28">
        <v>3.6999999999999998E-2</v>
      </c>
      <c r="CQ7" s="28">
        <v>0.116949333333333</v>
      </c>
      <c r="CR7" s="28">
        <v>0.24732433333333301</v>
      </c>
      <c r="CS7" s="28">
        <v>6.3028000000000001E-2</v>
      </c>
      <c r="CT7" s="28">
        <v>0.13469393684210529</v>
      </c>
      <c r="CU7" s="34">
        <v>12.795923999999999</v>
      </c>
    </row>
    <row r="8" spans="1:99" x14ac:dyDescent="0.25">
      <c r="A8" s="24">
        <v>7</v>
      </c>
      <c r="B8" s="26">
        <v>3</v>
      </c>
      <c r="C8" s="28">
        <v>5.5E-2</v>
      </c>
      <c r="D8" s="28">
        <v>0.19614000000000001</v>
      </c>
      <c r="E8" s="28">
        <v>5.6000000000000001E-2</v>
      </c>
      <c r="F8" s="28">
        <v>5.7000000000000002E-2</v>
      </c>
      <c r="G8" s="28">
        <v>0.104197</v>
      </c>
      <c r="H8" s="28">
        <v>0.10494466666666701</v>
      </c>
      <c r="I8" s="28">
        <v>4.5999999999999999E-2</v>
      </c>
      <c r="J8" s="28">
        <v>0.108555333333333</v>
      </c>
      <c r="K8" s="28">
        <v>3.9E-2</v>
      </c>
      <c r="L8" s="28">
        <v>4.1000000000000002E-2</v>
      </c>
      <c r="M8" s="28">
        <v>0.114683333333333</v>
      </c>
      <c r="N8" s="28">
        <v>0.211409666666667</v>
      </c>
      <c r="O8" s="28">
        <v>6.8107000000000001E-2</v>
      </c>
      <c r="P8" s="28">
        <v>4.7E-2</v>
      </c>
      <c r="Q8" s="28">
        <v>7.5653333333333295E-2</v>
      </c>
      <c r="R8" s="28">
        <v>0.134949333333333</v>
      </c>
      <c r="S8" s="28">
        <v>0.05</v>
      </c>
      <c r="T8" s="28">
        <v>0.05</v>
      </c>
      <c r="U8" s="28">
        <v>5.6000000000000001E-2</v>
      </c>
      <c r="V8" s="28">
        <v>0.19074666666666701</v>
      </c>
      <c r="W8" s="28">
        <v>7.27066666666666E-2</v>
      </c>
      <c r="X8" s="28">
        <v>3.9E-2</v>
      </c>
      <c r="Y8" s="28">
        <v>5.8000000000000003E-2</v>
      </c>
      <c r="Z8" s="28">
        <v>0.11117766666666699</v>
      </c>
      <c r="AA8" s="28">
        <v>6.6611333333333397E-2</v>
      </c>
      <c r="AB8" s="28">
        <v>8.7590000000000001E-2</v>
      </c>
      <c r="AC8" s="28">
        <v>5.6000000000000001E-2</v>
      </c>
      <c r="AD8" s="28">
        <v>0.197012666666667</v>
      </c>
      <c r="AE8" s="28">
        <v>5.1999999999999998E-2</v>
      </c>
      <c r="AF8" s="28">
        <v>7.6397999999999994E-2</v>
      </c>
      <c r="AG8" s="28">
        <v>4.7668666666666699E-2</v>
      </c>
      <c r="AH8" s="28">
        <v>8.7388333333333304E-2</v>
      </c>
      <c r="AI8" s="28">
        <v>9.6519999999999995E-2</v>
      </c>
      <c r="AJ8" s="28">
        <v>0.116248</v>
      </c>
      <c r="AK8" s="28">
        <v>0.45461133333333298</v>
      </c>
      <c r="AL8" s="28">
        <v>5.1999999999999998E-2</v>
      </c>
      <c r="AM8" s="28">
        <v>0.15388499999999999</v>
      </c>
      <c r="AN8" s="28">
        <v>4.5999999999999999E-2</v>
      </c>
      <c r="AO8" s="28">
        <v>0.18871033333333301</v>
      </c>
      <c r="AP8" s="28">
        <v>0.12088400000000001</v>
      </c>
      <c r="AQ8" s="28">
        <v>5.8000000000000003E-2</v>
      </c>
      <c r="AR8" s="28">
        <v>0.17259333333333299</v>
      </c>
      <c r="AS8" s="28">
        <v>6.2142000000000003E-2</v>
      </c>
      <c r="AT8" s="28">
        <v>0.122789333333333</v>
      </c>
      <c r="AU8" s="28">
        <v>5.3999999999999999E-2</v>
      </c>
      <c r="AV8" s="28">
        <v>6.7293000000000006E-2</v>
      </c>
      <c r="AW8" s="28">
        <v>0.168709</v>
      </c>
      <c r="AX8" s="28">
        <v>0.06</v>
      </c>
      <c r="AY8" s="28">
        <v>4.9000000000000002E-2</v>
      </c>
      <c r="AZ8" s="28">
        <v>0.119317333333333</v>
      </c>
      <c r="BA8" s="28">
        <v>3.4000000000000002E-2</v>
      </c>
      <c r="BB8" s="28">
        <v>0.138258666666667</v>
      </c>
      <c r="BC8" s="28">
        <v>0.18369333333333299</v>
      </c>
      <c r="BD8" s="28">
        <v>0.24482733333333301</v>
      </c>
      <c r="BE8" s="28">
        <v>0.217294666666667</v>
      </c>
      <c r="BF8" s="28">
        <v>4.8000000000000001E-2</v>
      </c>
      <c r="BG8" s="28">
        <v>4.7E-2</v>
      </c>
      <c r="BH8" s="28">
        <v>2.9000000000000001E-2</v>
      </c>
      <c r="BI8" s="28">
        <v>0.520193666666666</v>
      </c>
      <c r="BJ8" s="28">
        <v>0.104589666666667</v>
      </c>
      <c r="BK8" s="28">
        <v>0.16045733333333301</v>
      </c>
      <c r="BL8" s="28">
        <v>4.7E-2</v>
      </c>
      <c r="BM8" s="28">
        <v>1.7299</v>
      </c>
      <c r="BN8" s="28">
        <v>0.209674</v>
      </c>
      <c r="BO8" s="28">
        <v>4.7E-2</v>
      </c>
      <c r="BP8" s="28">
        <v>5.5E-2</v>
      </c>
      <c r="BQ8" s="28">
        <v>0.22001333333333301</v>
      </c>
      <c r="BR8" s="28">
        <v>5.7037333333333301E-2</v>
      </c>
      <c r="BS8" s="28">
        <v>5.1999999999999998E-2</v>
      </c>
      <c r="BT8" s="28">
        <v>3.7999999999999999E-2</v>
      </c>
      <c r="BU8" s="28">
        <v>0.19441133333333299</v>
      </c>
      <c r="BV8" s="28">
        <v>5.3999999999999999E-2</v>
      </c>
      <c r="BW8" s="28">
        <v>0.10619933333333299</v>
      </c>
      <c r="BX8" s="28">
        <v>0.30907299999999999</v>
      </c>
      <c r="BY8" s="28">
        <v>5.3999999999999999E-2</v>
      </c>
      <c r="BZ8" s="28">
        <v>0.101283</v>
      </c>
      <c r="CA8" s="28">
        <v>5.8271999999999997E-2</v>
      </c>
      <c r="CB8" s="28">
        <v>0.23482133333333399</v>
      </c>
      <c r="CC8" s="28">
        <v>0.16724600000000001</v>
      </c>
      <c r="CD8" s="28">
        <v>8.5802666666666694E-2</v>
      </c>
      <c r="CE8" s="28">
        <v>0.15672800000000001</v>
      </c>
      <c r="CF8" s="28">
        <v>0.180147</v>
      </c>
      <c r="CG8" s="28">
        <v>4.0622666666666703E-2</v>
      </c>
      <c r="CH8" s="28">
        <v>0.19885233333333299</v>
      </c>
      <c r="CI8" s="28">
        <v>4.9000000000000002E-2</v>
      </c>
      <c r="CJ8" s="28">
        <v>0.211162666666667</v>
      </c>
      <c r="CK8" s="28">
        <v>0.265318</v>
      </c>
      <c r="CL8" s="28">
        <v>0.23064633333333301</v>
      </c>
      <c r="CM8" s="28">
        <v>0.12144000000000001</v>
      </c>
      <c r="CN8" s="28">
        <v>4.3999999999999997E-2</v>
      </c>
      <c r="CO8" s="28">
        <v>6.0742666666666702E-2</v>
      </c>
      <c r="CP8" s="28">
        <v>3.6999999999999998E-2</v>
      </c>
      <c r="CQ8" s="28">
        <v>0.16641133333333299</v>
      </c>
      <c r="CR8" s="28">
        <v>0.13002</v>
      </c>
      <c r="CS8" s="28">
        <v>9.0407333333333298E-2</v>
      </c>
      <c r="CT8" s="28">
        <v>0.1310651438596491</v>
      </c>
      <c r="CU8" s="34">
        <v>12.45118866666666</v>
      </c>
    </row>
    <row r="9" spans="1:99" x14ac:dyDescent="0.25">
      <c r="A9" s="24">
        <v>8</v>
      </c>
      <c r="B9" s="26">
        <v>3.5</v>
      </c>
      <c r="C9" s="28">
        <v>0.13374900000000001</v>
      </c>
      <c r="D9" s="28">
        <v>4.2999999999999997E-2</v>
      </c>
      <c r="E9" s="28">
        <v>0.19808000000000001</v>
      </c>
      <c r="F9" s="28">
        <v>5.7000000000000002E-2</v>
      </c>
      <c r="G9" s="28">
        <v>0.248671</v>
      </c>
      <c r="H9" s="28">
        <v>0.17954666666666699</v>
      </c>
      <c r="I9" s="28">
        <v>4.5999999999999999E-2</v>
      </c>
      <c r="J9" s="28">
        <v>7.31366666666666E-2</v>
      </c>
      <c r="K9" s="28">
        <v>0.17822299999999999</v>
      </c>
      <c r="L9" s="28">
        <v>4.1000000000000002E-2</v>
      </c>
      <c r="M9" s="28">
        <v>8.1583333333333397E-2</v>
      </c>
      <c r="N9" s="28">
        <v>9.2603333333333399E-2</v>
      </c>
      <c r="O9" s="28">
        <v>0.12453500000000001</v>
      </c>
      <c r="P9" s="28">
        <v>0.19029333333333301</v>
      </c>
      <c r="Q9" s="28">
        <v>8.4314666666666704E-2</v>
      </c>
      <c r="R9" s="28">
        <v>0.25522866666666699</v>
      </c>
      <c r="S9" s="28">
        <v>0.05</v>
      </c>
      <c r="T9" s="28">
        <v>0.194950333333333</v>
      </c>
      <c r="U9" s="28">
        <v>5.6000000000000001E-2</v>
      </c>
      <c r="V9" s="28">
        <v>4.1000000000000002E-2</v>
      </c>
      <c r="W9" s="28">
        <v>4.9000000000000002E-2</v>
      </c>
      <c r="X9" s="28">
        <v>0.15031</v>
      </c>
      <c r="Y9" s="28">
        <v>0.18062666666666699</v>
      </c>
      <c r="Z9" s="28">
        <v>7.9715666666666601E-2</v>
      </c>
      <c r="AA9" s="28">
        <v>0.18011333333333299</v>
      </c>
      <c r="AB9" s="28">
        <v>0.10774400000000001</v>
      </c>
      <c r="AC9" s="28">
        <v>0.25707999999999998</v>
      </c>
      <c r="AD9" s="28">
        <v>4.4999999999999998E-2</v>
      </c>
      <c r="AE9" s="28">
        <v>0.118788</v>
      </c>
      <c r="AF9" s="28">
        <v>0.29439199999999999</v>
      </c>
      <c r="AG9" s="28">
        <v>0.141018</v>
      </c>
      <c r="AH9" s="28">
        <v>0.18268400000000001</v>
      </c>
      <c r="AI9" s="28">
        <v>0.103589</v>
      </c>
      <c r="AJ9" s="28">
        <v>0.18943333333333301</v>
      </c>
      <c r="AK9" s="28">
        <v>5.2999999999999999E-2</v>
      </c>
      <c r="AL9" s="28">
        <v>5.1999999999999998E-2</v>
      </c>
      <c r="AM9" s="28">
        <v>0.121305</v>
      </c>
      <c r="AN9" s="28">
        <v>0.21375733333333299</v>
      </c>
      <c r="AO9" s="28">
        <v>9.8269999999999996E-2</v>
      </c>
      <c r="AP9" s="28">
        <v>5.2999999999999999E-2</v>
      </c>
      <c r="AQ9" s="28">
        <v>0.20181499999999999</v>
      </c>
      <c r="AR9" s="28">
        <v>4.9000000000000002E-2</v>
      </c>
      <c r="AS9" s="28">
        <v>0.32745733333333299</v>
      </c>
      <c r="AT9" s="28">
        <v>0.27067266666666701</v>
      </c>
      <c r="AU9" s="28">
        <v>5.3999999999999999E-2</v>
      </c>
      <c r="AV9" s="28">
        <v>4.3999999999999997E-2</v>
      </c>
      <c r="AW9" s="28">
        <v>4.5999999999999999E-2</v>
      </c>
      <c r="AX9" s="28">
        <v>0.06</v>
      </c>
      <c r="AY9" s="28">
        <v>0.143946666666667</v>
      </c>
      <c r="AZ9" s="28">
        <v>0.112722</v>
      </c>
      <c r="BA9" s="28">
        <v>0.182092333333333</v>
      </c>
      <c r="BB9" s="28">
        <v>0.17624600000000001</v>
      </c>
      <c r="BC9" s="28">
        <v>6.1569333333333399E-2</v>
      </c>
      <c r="BD9" s="28">
        <v>0.10761533333333299</v>
      </c>
      <c r="BE9" s="28">
        <v>7.3438000000000003E-2</v>
      </c>
      <c r="BF9" s="28">
        <v>4.8000000000000001E-2</v>
      </c>
      <c r="BG9" s="28">
        <v>0.102524333333333</v>
      </c>
      <c r="BH9" s="28">
        <v>2.9000000000000001E-2</v>
      </c>
      <c r="BI9" s="28">
        <v>7.5623999999999997E-2</v>
      </c>
      <c r="BJ9" s="28">
        <v>0.23165766666666601</v>
      </c>
      <c r="BK9" s="28">
        <v>9.3845333333333295E-2</v>
      </c>
      <c r="BL9" s="28">
        <v>4.7E-2</v>
      </c>
      <c r="BM9" s="28">
        <v>0.186248</v>
      </c>
      <c r="BN9" s="28">
        <v>0.21632999999999999</v>
      </c>
      <c r="BO9" s="28">
        <v>0.21778600000000001</v>
      </c>
      <c r="BP9" s="28">
        <v>0.121794666666667</v>
      </c>
      <c r="BQ9" s="28">
        <v>0.17940800000000001</v>
      </c>
      <c r="BR9" s="28">
        <v>2.9000000000000001E-2</v>
      </c>
      <c r="BS9" s="28">
        <v>5.1999999999999998E-2</v>
      </c>
      <c r="BT9" s="28">
        <v>3.7999999999999999E-2</v>
      </c>
      <c r="BU9" s="28">
        <v>0.04</v>
      </c>
      <c r="BV9" s="28">
        <v>0.11598</v>
      </c>
      <c r="BW9" s="28">
        <v>0.239420666666667</v>
      </c>
      <c r="BX9" s="28">
        <v>0.182694666666667</v>
      </c>
      <c r="BY9" s="28">
        <v>5.3999999999999999E-2</v>
      </c>
      <c r="BZ9" s="28">
        <v>0.31927033333333299</v>
      </c>
      <c r="CA9" s="28">
        <v>0.14153133333333301</v>
      </c>
      <c r="CB9" s="28">
        <v>0.17102600000000001</v>
      </c>
      <c r="CC9" s="28">
        <v>0.229771</v>
      </c>
      <c r="CD9" s="28">
        <v>9.40033333333333E-2</v>
      </c>
      <c r="CE9" s="28">
        <v>0.13994000000000001</v>
      </c>
      <c r="CF9" s="28">
        <v>0.123183</v>
      </c>
      <c r="CG9" s="28">
        <v>0.170898666666667</v>
      </c>
      <c r="CH9" s="28">
        <v>0.05</v>
      </c>
      <c r="CI9" s="28">
        <v>4.9000000000000002E-2</v>
      </c>
      <c r="CJ9" s="28">
        <v>5.1999999999999998E-2</v>
      </c>
      <c r="CK9" s="28">
        <v>4.8000000000000001E-2</v>
      </c>
      <c r="CL9" s="28">
        <v>0.187866333333333</v>
      </c>
      <c r="CM9" s="28">
        <v>5.2319999999999998E-2</v>
      </c>
      <c r="CN9" s="28">
        <v>4.3999999999999997E-2</v>
      </c>
      <c r="CO9" s="28">
        <v>0.05</v>
      </c>
      <c r="CP9" s="28">
        <v>0.23829033333333299</v>
      </c>
      <c r="CQ9" s="28">
        <v>5.0999999999999997E-2</v>
      </c>
      <c r="CR9" s="28">
        <v>4.8000000000000001E-2</v>
      </c>
      <c r="CS9" s="28">
        <v>0.29084433333333298</v>
      </c>
      <c r="CT9" s="28">
        <v>0.1242270947368421</v>
      </c>
      <c r="CU9" s="34">
        <v>11.801574</v>
      </c>
    </row>
    <row r="10" spans="1:99" x14ac:dyDescent="0.25">
      <c r="A10" s="24">
        <v>9</v>
      </c>
      <c r="B10" s="26">
        <v>4</v>
      </c>
      <c r="C10" s="28">
        <v>0.13374900000000001</v>
      </c>
      <c r="D10" s="28">
        <v>0.211454</v>
      </c>
      <c r="E10" s="28">
        <v>0.203736</v>
      </c>
      <c r="F10" s="28">
        <v>5.7000000000000002E-2</v>
      </c>
      <c r="G10" s="28">
        <v>8.6105333333333298E-2</v>
      </c>
      <c r="H10" s="28">
        <v>6.7144999999999996E-2</v>
      </c>
      <c r="I10" s="28">
        <v>4.5999999999999999E-2</v>
      </c>
      <c r="J10" s="28">
        <v>0.126264666666667</v>
      </c>
      <c r="K10" s="28">
        <v>0.152701</v>
      </c>
      <c r="L10" s="28">
        <v>0.13477666666666699</v>
      </c>
      <c r="M10" s="28">
        <v>0.14778333333333299</v>
      </c>
      <c r="N10" s="28">
        <v>0.217690666666667</v>
      </c>
      <c r="O10" s="28">
        <v>5.3999999999999999E-2</v>
      </c>
      <c r="P10" s="28">
        <v>4.7E-2</v>
      </c>
      <c r="Q10" s="28">
        <v>0.101637333333333</v>
      </c>
      <c r="R10" s="28">
        <v>7.4061333333333298E-2</v>
      </c>
      <c r="S10" s="28">
        <v>0.05</v>
      </c>
      <c r="T10" s="28">
        <v>0.18320700000000001</v>
      </c>
      <c r="U10" s="28">
        <v>5.6000000000000001E-2</v>
      </c>
      <c r="V10" s="28">
        <v>0.17032666666666699</v>
      </c>
      <c r="W10" s="28">
        <v>4.9000000000000002E-2</v>
      </c>
      <c r="X10" s="28">
        <v>0.25306466666666699</v>
      </c>
      <c r="Y10" s="28">
        <v>9.4066666666666604E-2</v>
      </c>
      <c r="Z10" s="28">
        <v>0.19912666666666701</v>
      </c>
      <c r="AA10" s="28">
        <v>5.3999999999999999E-2</v>
      </c>
      <c r="AB10" s="28">
        <v>0.13461600000000001</v>
      </c>
      <c r="AC10" s="28">
        <v>5.6000000000000001E-2</v>
      </c>
      <c r="AD10" s="28">
        <v>0.114096666666667</v>
      </c>
      <c r="AE10" s="28">
        <v>0.107656666666667</v>
      </c>
      <c r="AF10" s="28">
        <v>6.4948666666666696E-2</v>
      </c>
      <c r="AG10" s="28">
        <v>3.5999999999999997E-2</v>
      </c>
      <c r="AH10" s="28">
        <v>5.2999999999999999E-2</v>
      </c>
      <c r="AI10" s="28">
        <v>0.20044899999999999</v>
      </c>
      <c r="AJ10" s="28">
        <v>4.9000000000000002E-2</v>
      </c>
      <c r="AK10" s="28">
        <v>0.103047</v>
      </c>
      <c r="AL10" s="28">
        <v>5.1999999999999998E-2</v>
      </c>
      <c r="AM10" s="28">
        <v>4.8000000000000001E-2</v>
      </c>
      <c r="AN10" s="28">
        <v>4.5999999999999999E-2</v>
      </c>
      <c r="AO10" s="28">
        <v>0.27960166666666703</v>
      </c>
      <c r="AP10" s="28">
        <v>5.2999999999999999E-2</v>
      </c>
      <c r="AQ10" s="28">
        <v>6.4848333333333397E-2</v>
      </c>
      <c r="AR10" s="28">
        <v>4.9000000000000002E-2</v>
      </c>
      <c r="AS10" s="28">
        <v>0.16519900000000001</v>
      </c>
      <c r="AT10" s="28">
        <v>0.18630666666666701</v>
      </c>
      <c r="AU10" s="28">
        <v>0.10901066666666701</v>
      </c>
      <c r="AV10" s="28">
        <v>0.19152233333333299</v>
      </c>
      <c r="AW10" s="28">
        <v>0.31388700000000003</v>
      </c>
      <c r="AX10" s="28">
        <v>0.06</v>
      </c>
      <c r="AY10" s="28">
        <v>4.9000000000000002E-2</v>
      </c>
      <c r="AZ10" s="28">
        <v>4.2000000000000003E-2</v>
      </c>
      <c r="BA10" s="28">
        <v>5.7383000000000003E-2</v>
      </c>
      <c r="BB10" s="28">
        <v>0.14749599999999999</v>
      </c>
      <c r="BC10" s="28">
        <v>0.14298533333333299</v>
      </c>
      <c r="BD10" s="28">
        <v>0.238276666666667</v>
      </c>
      <c r="BE10" s="28">
        <v>0.27013933333333301</v>
      </c>
      <c r="BF10" s="28">
        <v>4.8000000000000001E-2</v>
      </c>
      <c r="BG10" s="28">
        <v>0.19488566666666701</v>
      </c>
      <c r="BH10" s="28">
        <v>2.9000000000000001E-2</v>
      </c>
      <c r="BI10" s="28">
        <v>4.8000000000000001E-2</v>
      </c>
      <c r="BJ10" s="28">
        <v>3.9E-2</v>
      </c>
      <c r="BK10" s="28">
        <v>0.13697999999999999</v>
      </c>
      <c r="BL10" s="28">
        <v>4.7E-2</v>
      </c>
      <c r="BM10" s="28">
        <v>4.8000000000000001E-2</v>
      </c>
      <c r="BN10" s="28">
        <v>0.108450666666667</v>
      </c>
      <c r="BO10" s="28">
        <v>4.7E-2</v>
      </c>
      <c r="BP10" s="28">
        <v>6.3349333333333299E-2</v>
      </c>
      <c r="BQ10" s="28">
        <v>0.22681066666666699</v>
      </c>
      <c r="BR10" s="28">
        <v>0.17619599999999999</v>
      </c>
      <c r="BS10" s="28">
        <v>0.121886666666667</v>
      </c>
      <c r="BT10" s="28">
        <v>0.13858999999999999</v>
      </c>
      <c r="BU10" s="28">
        <v>0.28449933333333299</v>
      </c>
      <c r="BV10" s="28">
        <v>0.143526666666667</v>
      </c>
      <c r="BW10" s="28">
        <v>0.1792</v>
      </c>
      <c r="BX10" s="28">
        <v>0.159208666666667</v>
      </c>
      <c r="BY10" s="28">
        <v>0.14231666666666701</v>
      </c>
      <c r="BZ10" s="28">
        <v>5.8000000000000003E-2</v>
      </c>
      <c r="CA10" s="28">
        <v>0.14153133333333301</v>
      </c>
      <c r="CB10" s="28">
        <v>0.21197666666666701</v>
      </c>
      <c r="CC10" s="28">
        <v>0.22063966666666701</v>
      </c>
      <c r="CD10" s="28">
        <v>5.2999999999999999E-2</v>
      </c>
      <c r="CE10" s="28">
        <v>5.6000000000000001E-2</v>
      </c>
      <c r="CF10" s="28">
        <v>0.19290866666666701</v>
      </c>
      <c r="CG10" s="28">
        <v>9.6670000000000006E-2</v>
      </c>
      <c r="CH10" s="28">
        <v>0.05</v>
      </c>
      <c r="CI10" s="28">
        <v>4.9000000000000002E-2</v>
      </c>
      <c r="CJ10" s="28">
        <v>0.27162333333333399</v>
      </c>
      <c r="CK10" s="28">
        <v>0.207592</v>
      </c>
      <c r="CL10" s="28">
        <v>0.15753700000000001</v>
      </c>
      <c r="CM10" s="28">
        <v>0.12144000000000001</v>
      </c>
      <c r="CN10" s="28">
        <v>4.3999999999999997E-2</v>
      </c>
      <c r="CO10" s="28">
        <v>0.15742666666666699</v>
      </c>
      <c r="CP10" s="28">
        <v>7.5229333333333301E-2</v>
      </c>
      <c r="CQ10" s="28">
        <v>5.0999999999999997E-2</v>
      </c>
      <c r="CR10" s="28">
        <v>0.31567966666666702</v>
      </c>
      <c r="CS10" s="28">
        <v>4.2999999999999997E-2</v>
      </c>
      <c r="CT10" s="28">
        <v>0.1201107438596492</v>
      </c>
      <c r="CU10" s="34">
        <v>11.41052066666667</v>
      </c>
    </row>
    <row r="11" spans="1:99" x14ac:dyDescent="0.25">
      <c r="A11" s="24">
        <v>10</v>
      </c>
      <c r="B11" s="26">
        <v>4.5</v>
      </c>
      <c r="C11" s="28">
        <v>5.5E-2</v>
      </c>
      <c r="D11" s="28">
        <v>4.2999999999999997E-2</v>
      </c>
      <c r="E11" s="28">
        <v>5.6000000000000001E-2</v>
      </c>
      <c r="F11" s="28">
        <v>5.7000000000000002E-2</v>
      </c>
      <c r="G11" s="28">
        <v>0.154394</v>
      </c>
      <c r="H11" s="28">
        <v>0.28173300000000001</v>
      </c>
      <c r="I11" s="28">
        <v>4.5999999999999999E-2</v>
      </c>
      <c r="J11" s="28">
        <v>5.5427333333333301E-2</v>
      </c>
      <c r="K11" s="28">
        <v>6.4524333333333295E-2</v>
      </c>
      <c r="L11" s="28">
        <v>4.1000000000000002E-2</v>
      </c>
      <c r="M11" s="28">
        <v>5.3999999999999999E-2</v>
      </c>
      <c r="N11" s="28">
        <v>0.140188333333333</v>
      </c>
      <c r="O11" s="28">
        <v>0.13864199999999999</v>
      </c>
      <c r="P11" s="28">
        <v>7.3053333333333303E-2</v>
      </c>
      <c r="Q11" s="28">
        <v>5.3999999999999999E-2</v>
      </c>
      <c r="R11" s="28">
        <v>0.24299333333333301</v>
      </c>
      <c r="S11" s="28">
        <v>0.05</v>
      </c>
      <c r="T11" s="28">
        <v>0.100274</v>
      </c>
      <c r="U11" s="28">
        <v>5.6000000000000001E-2</v>
      </c>
      <c r="V11" s="28">
        <v>6.1420000000000002E-2</v>
      </c>
      <c r="W11" s="28">
        <v>0.10996</v>
      </c>
      <c r="X11" s="28">
        <v>8.3524000000000001E-2</v>
      </c>
      <c r="Y11" s="28">
        <v>5.8000000000000003E-2</v>
      </c>
      <c r="Z11" s="28">
        <v>0.128680666666667</v>
      </c>
      <c r="AA11" s="28">
        <v>0.18011333333333299</v>
      </c>
      <c r="AB11" s="28">
        <v>5.3999999999999999E-2</v>
      </c>
      <c r="AC11" s="28">
        <v>5.6000000000000001E-2</v>
      </c>
      <c r="AD11" s="28">
        <v>0.127916</v>
      </c>
      <c r="AE11" s="28">
        <v>8.5393999999999998E-2</v>
      </c>
      <c r="AF11" s="28">
        <v>0.218252</v>
      </c>
      <c r="AG11" s="28">
        <v>0.152686666666667</v>
      </c>
      <c r="AH11" s="28">
        <v>0.21150266666666701</v>
      </c>
      <c r="AI11" s="28">
        <v>5.1999999999999998E-2</v>
      </c>
      <c r="AJ11" s="28">
        <v>4.9000000000000002E-2</v>
      </c>
      <c r="AK11" s="28">
        <v>0.37022500000000003</v>
      </c>
      <c r="AL11" s="28">
        <v>5.1999999999999998E-2</v>
      </c>
      <c r="AM11" s="28">
        <v>0.22719</v>
      </c>
      <c r="AN11" s="28">
        <v>0.16037999999999999</v>
      </c>
      <c r="AO11" s="28">
        <v>4.7E-2</v>
      </c>
      <c r="AP11" s="28">
        <v>9.0713333333333299E-2</v>
      </c>
      <c r="AQ11" s="28">
        <v>0.14702833333333301</v>
      </c>
      <c r="AR11" s="28">
        <v>0.15405433333333299</v>
      </c>
      <c r="AS11" s="28">
        <v>0.24469866666666701</v>
      </c>
      <c r="AT11" s="28">
        <v>0.27311400000000002</v>
      </c>
      <c r="AU11" s="28">
        <v>0.10901066666666701</v>
      </c>
      <c r="AV11" s="28">
        <v>6.7293000000000006E-2</v>
      </c>
      <c r="AW11" s="28">
        <v>0.10096883333333299</v>
      </c>
      <c r="AX11" s="28">
        <v>0.06</v>
      </c>
      <c r="AY11" s="28">
        <v>0.143946666666667</v>
      </c>
      <c r="AZ11" s="28">
        <v>0.210693666666667</v>
      </c>
      <c r="BA11" s="28">
        <v>8.0766000000000004E-2</v>
      </c>
      <c r="BB11" s="28">
        <v>5.9484000000000002E-2</v>
      </c>
      <c r="BC11" s="28">
        <v>0.102277333333333</v>
      </c>
      <c r="BD11" s="28">
        <v>0.114166</v>
      </c>
      <c r="BE11" s="28">
        <v>6.4625333333333299E-2</v>
      </c>
      <c r="BF11" s="28">
        <v>4.8000000000000001E-2</v>
      </c>
      <c r="BG11" s="28">
        <v>4.7E-2</v>
      </c>
      <c r="BH11" s="28">
        <v>2.9000000000000001E-2</v>
      </c>
      <c r="BI11" s="28">
        <v>4.8000000000000001E-2</v>
      </c>
      <c r="BJ11" s="28">
        <v>0.194305333333333</v>
      </c>
      <c r="BK11" s="28">
        <v>5.44966666666667E-2</v>
      </c>
      <c r="BL11" s="28">
        <v>4.7E-2</v>
      </c>
      <c r="BM11" s="28">
        <v>0.15482799999999999</v>
      </c>
      <c r="BN11" s="28">
        <v>0.24600633333333299</v>
      </c>
      <c r="BO11" s="28">
        <v>4.7E-2</v>
      </c>
      <c r="BP11" s="28">
        <v>0.13014400000000001</v>
      </c>
      <c r="BQ11" s="28">
        <v>0.05</v>
      </c>
      <c r="BR11" s="28">
        <v>3.6009333333333303E-2</v>
      </c>
      <c r="BS11" s="28">
        <v>0.13586400000000001</v>
      </c>
      <c r="BT11" s="28">
        <v>3.7999999999999999E-2</v>
      </c>
      <c r="BU11" s="28">
        <v>0.04</v>
      </c>
      <c r="BV11" s="28">
        <v>5.3999999999999999E-2</v>
      </c>
      <c r="BW11" s="28">
        <v>4.8000000000000001E-2</v>
      </c>
      <c r="BX11" s="28">
        <v>0.159760666666667</v>
      </c>
      <c r="BY11" s="28">
        <v>0.118545</v>
      </c>
      <c r="BZ11" s="28">
        <v>0.21</v>
      </c>
      <c r="CA11" s="28">
        <v>4.5999999999999999E-2</v>
      </c>
      <c r="CB11" s="28">
        <v>0.19023799999999999</v>
      </c>
      <c r="CC11" s="28">
        <v>0.121209</v>
      </c>
      <c r="CD11" s="28">
        <v>0.126806</v>
      </c>
      <c r="CE11" s="28">
        <v>0.21548600000000001</v>
      </c>
      <c r="CF11" s="28">
        <v>0.12946933333333299</v>
      </c>
      <c r="CG11" s="28">
        <v>3.2000000000000001E-2</v>
      </c>
      <c r="CH11" s="28">
        <v>0.19101799999999999</v>
      </c>
      <c r="CI11" s="28">
        <v>4.9000000000000002E-2</v>
      </c>
      <c r="CJ11" s="28">
        <v>8.09386666666667E-2</v>
      </c>
      <c r="CK11" s="28">
        <v>0.105726</v>
      </c>
      <c r="CL11" s="28">
        <v>9.0089666666666707E-2</v>
      </c>
      <c r="CM11" s="28">
        <v>4.8000000000000001E-2</v>
      </c>
      <c r="CN11" s="28">
        <v>0.15606400000000001</v>
      </c>
      <c r="CO11" s="28">
        <v>0.05</v>
      </c>
      <c r="CP11" s="28">
        <v>0.135829333333333</v>
      </c>
      <c r="CQ11" s="28">
        <v>5.0999999999999997E-2</v>
      </c>
      <c r="CR11" s="28">
        <v>6.1670000000000003E-2</v>
      </c>
      <c r="CS11" s="28">
        <v>0.197385</v>
      </c>
      <c r="CT11" s="28">
        <v>0.1082652894736842</v>
      </c>
      <c r="CU11" s="34">
        <v>10.2852025</v>
      </c>
    </row>
    <row r="12" spans="1:99" x14ac:dyDescent="0.25">
      <c r="A12" s="24">
        <v>11</v>
      </c>
      <c r="B12" s="26">
        <v>5</v>
      </c>
      <c r="C12" s="28">
        <v>0.176703</v>
      </c>
      <c r="D12" s="28">
        <v>0.134884</v>
      </c>
      <c r="E12" s="28">
        <v>0.26284400000000002</v>
      </c>
      <c r="F12" s="28">
        <v>5.7000000000000002E-2</v>
      </c>
      <c r="G12" s="28">
        <v>0.26510766666666702</v>
      </c>
      <c r="H12" s="28">
        <v>4.2999999999999997E-2</v>
      </c>
      <c r="I12" s="28">
        <v>4.5999999999999999E-2</v>
      </c>
      <c r="J12" s="28">
        <v>6.4282000000000006E-2</v>
      </c>
      <c r="K12" s="28">
        <v>0.170599</v>
      </c>
      <c r="L12" s="28">
        <v>4.1000000000000002E-2</v>
      </c>
      <c r="M12" s="28">
        <v>0.175366666666667</v>
      </c>
      <c r="N12" s="28">
        <v>8.5082666666666695E-2</v>
      </c>
      <c r="O12" s="28">
        <v>5.3999999999999999E-2</v>
      </c>
      <c r="P12" s="28">
        <v>0.16424</v>
      </c>
      <c r="Q12" s="28">
        <v>0.13195200000000001</v>
      </c>
      <c r="R12" s="28">
        <v>0.120123333333333</v>
      </c>
      <c r="S12" s="28">
        <v>0.05</v>
      </c>
      <c r="T12" s="28">
        <v>0.27788333333333298</v>
      </c>
      <c r="U12" s="28">
        <v>5.6000000000000001E-2</v>
      </c>
      <c r="V12" s="28">
        <v>4.1000000000000002E-2</v>
      </c>
      <c r="W12" s="28">
        <v>4.9000000000000002E-2</v>
      </c>
      <c r="X12" s="28">
        <v>0.15773066666666699</v>
      </c>
      <c r="Y12" s="28">
        <v>0.21669333333333299</v>
      </c>
      <c r="Z12" s="28">
        <v>4.7E-2</v>
      </c>
      <c r="AA12" s="28">
        <v>6.6611333333333397E-2</v>
      </c>
      <c r="AB12" s="28">
        <v>5.3999999999999999E-2</v>
      </c>
      <c r="AC12" s="28">
        <v>0.16567999999999999</v>
      </c>
      <c r="AD12" s="28">
        <v>4.4999999999999998E-2</v>
      </c>
      <c r="AE12" s="28">
        <v>0.14105066666666699</v>
      </c>
      <c r="AF12" s="28">
        <v>0.163486666666667</v>
      </c>
      <c r="AG12" s="28">
        <v>3.5999999999999997E-2</v>
      </c>
      <c r="AH12" s="28">
        <v>0.164393333333333</v>
      </c>
      <c r="AI12" s="28">
        <v>0.184188666666667</v>
      </c>
      <c r="AJ12" s="28">
        <v>0.25668733333333299</v>
      </c>
      <c r="AK12" s="28">
        <v>7.0627999999999996E-2</v>
      </c>
      <c r="AL12" s="28">
        <v>5.1999999999999998E-2</v>
      </c>
      <c r="AM12" s="28">
        <v>4.8000000000000001E-2</v>
      </c>
      <c r="AN12" s="28">
        <v>9.9377333333333207E-2</v>
      </c>
      <c r="AO12" s="28">
        <v>0.13362399999999999</v>
      </c>
      <c r="AP12" s="28">
        <v>8.3170666666666601E-2</v>
      </c>
      <c r="AQ12" s="28">
        <v>0.11963500000000001</v>
      </c>
      <c r="AR12" s="28">
        <v>6.7539000000000002E-2</v>
      </c>
      <c r="AS12" s="28">
        <v>0.15486866666666699</v>
      </c>
      <c r="AT12" s="28">
        <v>0.120348</v>
      </c>
      <c r="AU12" s="28">
        <v>5.3999999999999999E-2</v>
      </c>
      <c r="AV12" s="28">
        <v>4.3999999999999997E-2</v>
      </c>
      <c r="AW12" s="28">
        <v>7.9782666666666696E-2</v>
      </c>
      <c r="AX12" s="28">
        <v>0.06</v>
      </c>
      <c r="AY12" s="28">
        <v>4.9000000000000002E-2</v>
      </c>
      <c r="AZ12" s="28">
        <v>0.112722</v>
      </c>
      <c r="BA12" s="28">
        <v>0.15870933333333301</v>
      </c>
      <c r="BB12" s="28">
        <v>0.16036600000000001</v>
      </c>
      <c r="BC12" s="28">
        <v>4.8000000000000001E-2</v>
      </c>
      <c r="BD12" s="28">
        <v>7.5236666666666702E-2</v>
      </c>
      <c r="BE12" s="28">
        <v>4.7E-2</v>
      </c>
      <c r="BF12" s="28">
        <v>4.8000000000000001E-2</v>
      </c>
      <c r="BG12" s="28">
        <v>4.7E-2</v>
      </c>
      <c r="BH12" s="28">
        <v>2.9000000000000001E-2</v>
      </c>
      <c r="BI12" s="28">
        <v>0.199932</v>
      </c>
      <c r="BJ12" s="28">
        <v>0.14194200000000001</v>
      </c>
      <c r="BK12" s="28">
        <v>0.100826</v>
      </c>
      <c r="BL12" s="28">
        <v>4.7E-2</v>
      </c>
      <c r="BM12" s="28">
        <v>7.9420000000000004E-2</v>
      </c>
      <c r="BN12" s="28">
        <v>0.199621666666667</v>
      </c>
      <c r="BO12" s="28">
        <v>0.140156</v>
      </c>
      <c r="BP12" s="28">
        <v>5.5E-2</v>
      </c>
      <c r="BQ12" s="28">
        <v>0.370597333333333</v>
      </c>
      <c r="BR12" s="28">
        <v>8.5074666666666701E-2</v>
      </c>
      <c r="BS12" s="28">
        <v>5.1999999999999998E-2</v>
      </c>
      <c r="BT12" s="28">
        <v>3.7999999999999999E-2</v>
      </c>
      <c r="BU12" s="28">
        <v>0.04</v>
      </c>
      <c r="BV12" s="28">
        <v>7.4660000000000004E-2</v>
      </c>
      <c r="BW12" s="28">
        <v>0.26212566666666698</v>
      </c>
      <c r="BX12" s="28">
        <v>0.23875133333333401</v>
      </c>
      <c r="BY12" s="28">
        <v>9.84506666666667E-2</v>
      </c>
      <c r="BZ12" s="28">
        <v>0.21054666666666699</v>
      </c>
      <c r="CA12" s="28">
        <v>0.156448</v>
      </c>
      <c r="CB12" s="28">
        <v>0.28303733333333297</v>
      </c>
      <c r="CC12" s="28">
        <v>0.26215666666666698</v>
      </c>
      <c r="CD12" s="28">
        <v>5.2999999999999999E-2</v>
      </c>
      <c r="CE12" s="28">
        <v>8.1182000000000101E-2</v>
      </c>
      <c r="CF12" s="28">
        <v>0.14224000000000001</v>
      </c>
      <c r="CG12" s="28">
        <v>8.9256666666666706E-2</v>
      </c>
      <c r="CH12" s="28">
        <v>8.1337333333333303E-2</v>
      </c>
      <c r="CI12" s="28">
        <v>4.9000000000000002E-2</v>
      </c>
      <c r="CJ12" s="28">
        <v>5.1999999999999998E-2</v>
      </c>
      <c r="CK12" s="28">
        <v>4.8000000000000001E-2</v>
      </c>
      <c r="CL12" s="28">
        <v>0.209226666666667</v>
      </c>
      <c r="CM12" s="28">
        <v>0.12576000000000001</v>
      </c>
      <c r="CN12" s="28">
        <v>8.6024000000000003E-2</v>
      </c>
      <c r="CO12" s="28">
        <v>0.05</v>
      </c>
      <c r="CP12" s="28">
        <v>0.177693666666667</v>
      </c>
      <c r="CQ12" s="28">
        <v>0.23236066666666699</v>
      </c>
      <c r="CR12" s="28">
        <v>7.41946666666667E-2</v>
      </c>
      <c r="CS12" s="28">
        <v>0.13713966666666699</v>
      </c>
      <c r="CT12" s="28">
        <v>0.1152711403508772</v>
      </c>
      <c r="CU12" s="34">
        <v>10.95075833333334</v>
      </c>
    </row>
    <row r="13" spans="1:99" x14ac:dyDescent="0.25">
      <c r="A13" s="24">
        <v>12</v>
      </c>
      <c r="B13" s="26">
        <v>5.5</v>
      </c>
      <c r="C13" s="28">
        <v>9.0795000000000001E-2</v>
      </c>
      <c r="D13" s="28">
        <v>0.11957</v>
      </c>
      <c r="E13" s="28">
        <v>0.138973333333333</v>
      </c>
      <c r="F13" s="28">
        <v>5.7000000000000002E-2</v>
      </c>
      <c r="G13" s="28">
        <v>0.132881</v>
      </c>
      <c r="H13" s="28">
        <v>0.24443200000000001</v>
      </c>
      <c r="I13" s="28">
        <v>4.5999999999999999E-2</v>
      </c>
      <c r="J13" s="28">
        <v>0.11741</v>
      </c>
      <c r="K13" s="28">
        <v>0.146071333333333</v>
      </c>
      <c r="L13" s="28">
        <v>5.4396666666666697E-2</v>
      </c>
      <c r="M13" s="28">
        <v>5.3999999999999999E-2</v>
      </c>
      <c r="N13" s="28">
        <v>0.27033533333333298</v>
      </c>
      <c r="O13" s="28">
        <v>5.3999999999999999E-2</v>
      </c>
      <c r="P13" s="28">
        <v>4.7E-2</v>
      </c>
      <c r="Q13" s="28">
        <v>5.3999999999999999E-2</v>
      </c>
      <c r="R13" s="28">
        <v>4.7E-2</v>
      </c>
      <c r="S13" s="28">
        <v>0.05</v>
      </c>
      <c r="T13" s="28">
        <v>5.7181999999999997E-2</v>
      </c>
      <c r="U13" s="28">
        <v>5.6000000000000001E-2</v>
      </c>
      <c r="V13" s="28">
        <v>4.1000000000000002E-2</v>
      </c>
      <c r="W13" s="28">
        <v>4.9000000000000002E-2</v>
      </c>
      <c r="X13" s="28">
        <v>3.9E-2</v>
      </c>
      <c r="Y13" s="28">
        <v>5.8000000000000003E-2</v>
      </c>
      <c r="Z13" s="28">
        <v>0.23767533333333299</v>
      </c>
      <c r="AA13" s="28">
        <v>5.3999999999999999E-2</v>
      </c>
      <c r="AB13" s="28">
        <v>5.3999999999999999E-2</v>
      </c>
      <c r="AC13" s="28">
        <v>0.1474</v>
      </c>
      <c r="AD13" s="28">
        <v>0.197012666666667</v>
      </c>
      <c r="AE13" s="28">
        <v>5.1999999999999998E-2</v>
      </c>
      <c r="AF13" s="28">
        <v>7.6397999999999994E-2</v>
      </c>
      <c r="AG13" s="28">
        <v>0.106012</v>
      </c>
      <c r="AH13" s="28">
        <v>0.132251333333333</v>
      </c>
      <c r="AI13" s="28">
        <v>0.16436933333333301</v>
      </c>
      <c r="AJ13" s="28">
        <v>4.9000000000000002E-2</v>
      </c>
      <c r="AK13" s="28">
        <v>0.14617133333333299</v>
      </c>
      <c r="AL13" s="28">
        <v>5.1999999999999998E-2</v>
      </c>
      <c r="AM13" s="28">
        <v>0.22719</v>
      </c>
      <c r="AN13" s="28">
        <v>4.5999999999999999E-2</v>
      </c>
      <c r="AO13" s="28">
        <v>0.24425133333333299</v>
      </c>
      <c r="AP13" s="28">
        <v>0.16966999999999999</v>
      </c>
      <c r="AQ13" s="28">
        <v>5.8000000000000003E-2</v>
      </c>
      <c r="AR13" s="28">
        <v>4.9000000000000002E-2</v>
      </c>
      <c r="AS13" s="28">
        <v>0.218207333333333</v>
      </c>
      <c r="AT13" s="28">
        <v>5.7000000000000002E-2</v>
      </c>
      <c r="AU13" s="28">
        <v>0.16402133333333299</v>
      </c>
      <c r="AV13" s="28">
        <v>0.20705100000000001</v>
      </c>
      <c r="AW13" s="28">
        <v>0.29419800000000002</v>
      </c>
      <c r="AX13" s="28">
        <v>0.06</v>
      </c>
      <c r="AY13" s="28">
        <v>0.293553433333333</v>
      </c>
      <c r="AZ13" s="28">
        <v>0.13337333333333301</v>
      </c>
      <c r="BA13" s="28">
        <v>3.4000000000000002E-2</v>
      </c>
      <c r="BB13" s="28">
        <v>0.18485733333333301</v>
      </c>
      <c r="BC13" s="28">
        <v>9.5492666666666698E-2</v>
      </c>
      <c r="BD13" s="28">
        <v>0.246371333333333</v>
      </c>
      <c r="BE13" s="28">
        <v>0.20845066666666701</v>
      </c>
      <c r="BF13" s="28">
        <v>4.8000000000000001E-2</v>
      </c>
      <c r="BG13" s="28">
        <v>0.13653799999999999</v>
      </c>
      <c r="BH13" s="28">
        <v>2.9000000000000001E-2</v>
      </c>
      <c r="BI13" s="28">
        <v>4.8000000000000001E-2</v>
      </c>
      <c r="BJ13" s="28">
        <v>3.9E-2</v>
      </c>
      <c r="BK13" s="28">
        <v>0.15347666666666701</v>
      </c>
      <c r="BL13" s="28">
        <v>4.7E-2</v>
      </c>
      <c r="BM13" s="28">
        <v>4.8000000000000001E-2</v>
      </c>
      <c r="BN13" s="28">
        <v>0.10475733333333299</v>
      </c>
      <c r="BO13" s="28">
        <v>0.12463</v>
      </c>
      <c r="BP13" s="28">
        <v>0.13014400000000001</v>
      </c>
      <c r="BQ13" s="28">
        <v>6.4378666666666695E-2</v>
      </c>
      <c r="BR13" s="28">
        <v>0.127130666666667</v>
      </c>
      <c r="BS13" s="28">
        <v>5.1999999999999998E-2</v>
      </c>
      <c r="BT13" s="28">
        <v>0.13858999999999999</v>
      </c>
      <c r="BU13" s="28">
        <v>5.5014666666666698E-2</v>
      </c>
      <c r="BV13" s="28">
        <v>0.18484666666666699</v>
      </c>
      <c r="BW13" s="28">
        <v>0.36036600000000002</v>
      </c>
      <c r="BX13" s="28">
        <v>0.161772</v>
      </c>
      <c r="BY13" s="28">
        <v>0.13228999999999999</v>
      </c>
      <c r="BZ13" s="28">
        <v>0.14599999999999999</v>
      </c>
      <c r="CA13" s="28">
        <v>0.24933466666666701</v>
      </c>
      <c r="CB13" s="28">
        <v>5.9895333333333398E-2</v>
      </c>
      <c r="CC13" s="28">
        <v>0.145167666666667</v>
      </c>
      <c r="CD13" s="28">
        <v>0.126806</v>
      </c>
      <c r="CE13" s="28">
        <v>5.6000000000000001E-2</v>
      </c>
      <c r="CF13" s="28">
        <v>0.19283666666666699</v>
      </c>
      <c r="CG13" s="28">
        <v>0.13951</v>
      </c>
      <c r="CH13" s="28">
        <v>5.7834333333333397E-2</v>
      </c>
      <c r="CI13" s="28">
        <v>6.5128199999999997E-2</v>
      </c>
      <c r="CJ13" s="28">
        <v>0.300562</v>
      </c>
      <c r="CK13" s="28">
        <v>0.13681599999999999</v>
      </c>
      <c r="CL13" s="28">
        <v>0.23270666666666701</v>
      </c>
      <c r="CM13" s="28">
        <v>4.8000000000000001E-2</v>
      </c>
      <c r="CN13" s="28">
        <v>4.3999999999999997E-2</v>
      </c>
      <c r="CO13" s="28">
        <v>0.05</v>
      </c>
      <c r="CP13" s="28">
        <v>3.6999999999999998E-2</v>
      </c>
      <c r="CQ13" s="28">
        <v>5.0999999999999997E-2</v>
      </c>
      <c r="CR13" s="28">
        <v>0.289480666666667</v>
      </c>
      <c r="CS13" s="28">
        <v>0.148545333333333</v>
      </c>
      <c r="CT13" s="28">
        <v>0.1183640277192982</v>
      </c>
      <c r="CU13" s="34">
        <v>11.24458263333333</v>
      </c>
    </row>
    <row r="14" spans="1:99" x14ac:dyDescent="0.25">
      <c r="A14" s="24">
        <v>13</v>
      </c>
      <c r="B14" s="26">
        <v>6</v>
      </c>
      <c r="C14" s="28">
        <v>5.5E-2</v>
      </c>
      <c r="D14" s="28">
        <v>5.0657000000000001E-2</v>
      </c>
      <c r="E14" s="28">
        <v>0.14282666666666699</v>
      </c>
      <c r="F14" s="28">
        <v>5.7000000000000002E-2</v>
      </c>
      <c r="G14" s="28">
        <v>0.123671</v>
      </c>
      <c r="H14" s="28">
        <v>0.104446</v>
      </c>
      <c r="I14" s="28">
        <v>4.5999999999999999E-2</v>
      </c>
      <c r="J14" s="28">
        <v>5.0999999999999997E-2</v>
      </c>
      <c r="K14" s="28">
        <v>0.19048799999999999</v>
      </c>
      <c r="L14" s="28">
        <v>0.12138</v>
      </c>
      <c r="M14" s="28">
        <v>6.5033333333333401E-2</v>
      </c>
      <c r="N14" s="28">
        <v>5.5E-2</v>
      </c>
      <c r="O14" s="28">
        <v>0.115130333333333</v>
      </c>
      <c r="P14" s="28">
        <v>0.18378</v>
      </c>
      <c r="Q14" s="28">
        <v>5.3999999999999999E-2</v>
      </c>
      <c r="R14" s="28">
        <v>0.20787133333333299</v>
      </c>
      <c r="S14" s="28">
        <v>0.05</v>
      </c>
      <c r="T14" s="28">
        <v>0.200822</v>
      </c>
      <c r="U14" s="28">
        <v>5.6000000000000001E-2</v>
      </c>
      <c r="V14" s="28">
        <v>0.14990666666666699</v>
      </c>
      <c r="W14" s="28">
        <v>5.9181999999999998E-2</v>
      </c>
      <c r="X14" s="28">
        <v>0.15031</v>
      </c>
      <c r="Y14" s="28">
        <v>0.195053333333333</v>
      </c>
      <c r="Z14" s="28">
        <v>0.105343333333333</v>
      </c>
      <c r="AA14" s="28">
        <v>0.19272466666666699</v>
      </c>
      <c r="AB14" s="28">
        <v>0.18836</v>
      </c>
      <c r="AC14" s="28">
        <v>5.6000000000000001E-2</v>
      </c>
      <c r="AD14" s="28">
        <v>4.4999999999999998E-2</v>
      </c>
      <c r="AE14" s="28">
        <v>0.206051333333333</v>
      </c>
      <c r="AF14" s="28">
        <v>0.27796900000000002</v>
      </c>
      <c r="AG14" s="28">
        <v>8.2674666666666702E-2</v>
      </c>
      <c r="AH14" s="28">
        <v>0.24364466666666701</v>
      </c>
      <c r="AI14" s="28">
        <v>0.12268999999999999</v>
      </c>
      <c r="AJ14" s="28">
        <v>0.157516666666667</v>
      </c>
      <c r="AK14" s="28">
        <v>0.220578</v>
      </c>
      <c r="AL14" s="28">
        <v>5.1999999999999998E-2</v>
      </c>
      <c r="AM14" s="28">
        <v>4.8000000000000001E-2</v>
      </c>
      <c r="AN14" s="28">
        <v>4.5999999999999999E-2</v>
      </c>
      <c r="AO14" s="28">
        <v>7.9140000000000002E-2</v>
      </c>
      <c r="AP14" s="28">
        <v>0.33398033333333299</v>
      </c>
      <c r="AQ14" s="28">
        <v>0.13333166666666699</v>
      </c>
      <c r="AR14" s="28">
        <v>0.17259333333333299</v>
      </c>
      <c r="AS14" s="28">
        <v>0.110568</v>
      </c>
      <c r="AT14" s="28">
        <v>0.21372933333333299</v>
      </c>
      <c r="AU14" s="28">
        <v>5.3999999999999999E-2</v>
      </c>
      <c r="AV14" s="28">
        <v>5.1764333333333398E-2</v>
      </c>
      <c r="AW14" s="28">
        <v>5.8819333333333397E-2</v>
      </c>
      <c r="AX14" s="28">
        <v>0.06</v>
      </c>
      <c r="AY14" s="28">
        <v>0.119202666666667</v>
      </c>
      <c r="AZ14" s="28">
        <v>0.154678333333333</v>
      </c>
      <c r="BA14" s="28">
        <v>3.4000000000000002E-2</v>
      </c>
      <c r="BB14" s="28">
        <v>3.7999999999999999E-2</v>
      </c>
      <c r="BC14" s="28">
        <v>0.14976999999999999</v>
      </c>
      <c r="BD14" s="28">
        <v>8.5834666666666698E-2</v>
      </c>
      <c r="BE14" s="28">
        <v>4.7E-2</v>
      </c>
      <c r="BF14" s="28">
        <v>4.8000000000000001E-2</v>
      </c>
      <c r="BG14" s="28">
        <v>0.16087199999999999</v>
      </c>
      <c r="BH14" s="28">
        <v>2.9000000000000001E-2</v>
      </c>
      <c r="BI14" s="28">
        <v>0.16540199999999999</v>
      </c>
      <c r="BJ14" s="28">
        <v>0.24577633333333301</v>
      </c>
      <c r="BK14" s="28">
        <v>3.7999999999999999E-2</v>
      </c>
      <c r="BL14" s="28">
        <v>4.7E-2</v>
      </c>
      <c r="BM14" s="28">
        <v>0.13597600000000001</v>
      </c>
      <c r="BN14" s="28">
        <v>0.35694599999999999</v>
      </c>
      <c r="BO14" s="28">
        <v>4.7E-2</v>
      </c>
      <c r="BP14" s="28">
        <v>5.5E-2</v>
      </c>
      <c r="BQ14" s="28">
        <v>5.52633333333334E-2</v>
      </c>
      <c r="BR14" s="28">
        <v>2.9000000000000001E-2</v>
      </c>
      <c r="BS14" s="28">
        <v>0.205750666666667</v>
      </c>
      <c r="BT14" s="28">
        <v>3.7999999999999999E-2</v>
      </c>
      <c r="BU14" s="28">
        <v>0.19014666666666699</v>
      </c>
      <c r="BV14" s="28">
        <v>5.3999999999999999E-2</v>
      </c>
      <c r="BW14" s="28">
        <v>0.21608666666666701</v>
      </c>
      <c r="BX14" s="28">
        <v>0.27819933333333302</v>
      </c>
      <c r="BY14" s="28">
        <v>0.109939</v>
      </c>
      <c r="BZ14" s="28">
        <v>0.178136666666667</v>
      </c>
      <c r="CA14" s="28">
        <v>4.5999999999999999E-2</v>
      </c>
      <c r="CB14" s="28">
        <v>0.35184733333333301</v>
      </c>
      <c r="CC14" s="28">
        <v>5.8243666666666701E-2</v>
      </c>
      <c r="CD14" s="28">
        <v>5.2999999999999999E-2</v>
      </c>
      <c r="CE14" s="28">
        <v>0.28544133333333299</v>
      </c>
      <c r="CF14" s="28">
        <v>0.167637333333333</v>
      </c>
      <c r="CG14" s="28">
        <v>7.0802000000000004E-2</v>
      </c>
      <c r="CH14" s="28">
        <v>0.21452099999999999</v>
      </c>
      <c r="CI14" s="28">
        <v>6.7000000000000004E-2</v>
      </c>
      <c r="CJ14" s="28">
        <v>5.1999999999999998E-2</v>
      </c>
      <c r="CK14" s="28">
        <v>0.109488</v>
      </c>
      <c r="CL14" s="28">
        <v>0.14577100000000001</v>
      </c>
      <c r="CM14" s="28">
        <v>6.096E-2</v>
      </c>
      <c r="CN14" s="28">
        <v>0.191084</v>
      </c>
      <c r="CO14" s="28">
        <v>0.05</v>
      </c>
      <c r="CP14" s="28">
        <v>0.19938966666666699</v>
      </c>
      <c r="CQ14" s="28">
        <v>5.0999999999999997E-2</v>
      </c>
      <c r="CR14" s="28">
        <v>6.1670000000000003E-2</v>
      </c>
      <c r="CS14" s="28">
        <v>0.14592333333333299</v>
      </c>
      <c r="CT14" s="28">
        <v>0.12095574035087719</v>
      </c>
      <c r="CU14" s="34">
        <v>11.490795333333329</v>
      </c>
    </row>
    <row r="15" spans="1:99" x14ac:dyDescent="0.25">
      <c r="A15" s="24">
        <v>14</v>
      </c>
      <c r="B15" s="26">
        <v>6.5</v>
      </c>
      <c r="C15" s="28">
        <v>0.162385</v>
      </c>
      <c r="D15" s="28">
        <v>0.20379700000000001</v>
      </c>
      <c r="E15" s="28">
        <v>0.24707799999999999</v>
      </c>
      <c r="F15" s="28">
        <v>7.0131666666666606E-2</v>
      </c>
      <c r="G15" s="28">
        <v>0.189208933333333</v>
      </c>
      <c r="H15" s="28">
        <v>4.2999999999999997E-2</v>
      </c>
      <c r="I15" s="28">
        <v>4.5999999999999999E-2</v>
      </c>
      <c r="J15" s="28">
        <v>0.130692</v>
      </c>
      <c r="K15" s="28">
        <v>0.146071333333333</v>
      </c>
      <c r="L15" s="28">
        <v>4.1000000000000002E-2</v>
      </c>
      <c r="M15" s="28">
        <v>0.164333333333333</v>
      </c>
      <c r="N15" s="28">
        <v>0.187608</v>
      </c>
      <c r="O15" s="28">
        <v>7.7511666666666701E-2</v>
      </c>
      <c r="P15" s="28">
        <v>0.28452166666666701</v>
      </c>
      <c r="Q15" s="28">
        <v>5.3999999999999999E-2</v>
      </c>
      <c r="R15" s="28">
        <v>4.7E-2</v>
      </c>
      <c r="S15" s="28">
        <v>0.05</v>
      </c>
      <c r="T15" s="28">
        <v>0.05</v>
      </c>
      <c r="U15" s="28">
        <v>5.6000000000000001E-2</v>
      </c>
      <c r="V15" s="28">
        <v>8.1839999999999899E-2</v>
      </c>
      <c r="W15" s="28">
        <v>4.9000000000000002E-2</v>
      </c>
      <c r="X15" s="28">
        <v>0.24495866666666699</v>
      </c>
      <c r="Y15" s="28">
        <v>7.9640000000000002E-2</v>
      </c>
      <c r="Z15" s="28">
        <v>0.13827600000000001</v>
      </c>
      <c r="AA15" s="28">
        <v>5.3999999999999999E-2</v>
      </c>
      <c r="AB15" s="28">
        <v>5.3999999999999999E-2</v>
      </c>
      <c r="AC15" s="28">
        <v>9.47842666666667E-2</v>
      </c>
      <c r="AD15" s="28">
        <v>7.0836666666666701E-2</v>
      </c>
      <c r="AE15" s="28">
        <v>5.1999999999999998E-2</v>
      </c>
      <c r="AF15" s="28">
        <v>8.1371666666666703E-2</v>
      </c>
      <c r="AG15" s="28">
        <v>7.6840333333333302E-2</v>
      </c>
      <c r="AH15" s="28">
        <v>5.2999999999999999E-2</v>
      </c>
      <c r="AI15" s="28">
        <v>0.13682800000000001</v>
      </c>
      <c r="AJ15" s="28">
        <v>0.26087666666666698</v>
      </c>
      <c r="AK15" s="28">
        <v>0.141894666666667</v>
      </c>
      <c r="AL15" s="28">
        <v>5.1999999999999998E-2</v>
      </c>
      <c r="AM15" s="28">
        <v>9.6869999999999998E-2</v>
      </c>
      <c r="AN15" s="28">
        <v>0.13750399999999999</v>
      </c>
      <c r="AO15" s="28">
        <v>0.19234200000000001</v>
      </c>
      <c r="AP15" s="28">
        <v>0.12088400000000001</v>
      </c>
      <c r="AQ15" s="28">
        <v>0.13333166666666699</v>
      </c>
      <c r="AR15" s="28">
        <v>4.9000000000000002E-2</v>
      </c>
      <c r="AS15" s="28">
        <v>0.15167800000000001</v>
      </c>
      <c r="AT15" s="28">
        <v>0.22680266666666701</v>
      </c>
      <c r="AU15" s="28">
        <v>5.3999999999999999E-2</v>
      </c>
      <c r="AV15" s="28">
        <v>5.3620666666666601E-2</v>
      </c>
      <c r="AW15" s="28">
        <v>0.195273</v>
      </c>
      <c r="AX15" s="28">
        <v>0.06</v>
      </c>
      <c r="AY15" s="28">
        <v>4.9000000000000002E-2</v>
      </c>
      <c r="AZ15" s="28">
        <v>0.136753666666667</v>
      </c>
      <c r="BA15" s="28">
        <v>0.20547533333333301</v>
      </c>
      <c r="BB15" s="28">
        <v>0.138258666666667</v>
      </c>
      <c r="BC15" s="28">
        <v>4.8000000000000001E-2</v>
      </c>
      <c r="BD15" s="28">
        <v>8.5834666666666698E-2</v>
      </c>
      <c r="BE15" s="28">
        <v>0.163007333333333</v>
      </c>
      <c r="BF15" s="28">
        <v>4.8000000000000001E-2</v>
      </c>
      <c r="BG15" s="28">
        <v>4.7E-2</v>
      </c>
      <c r="BH15" s="28">
        <v>2.9000000000000001E-2</v>
      </c>
      <c r="BI15" s="28">
        <v>8.2530000000000006E-2</v>
      </c>
      <c r="BJ15" s="28">
        <v>9.0471000000000107E-2</v>
      </c>
      <c r="BK15" s="28">
        <v>3.7999999999999999E-2</v>
      </c>
      <c r="BL15" s="28">
        <v>4.7E-2</v>
      </c>
      <c r="BM15" s="28">
        <v>9.8271999999999998E-2</v>
      </c>
      <c r="BN15" s="28">
        <v>0.10063</v>
      </c>
      <c r="BO15" s="28">
        <v>0.21778600000000001</v>
      </c>
      <c r="BP15" s="28">
        <v>5.5E-2</v>
      </c>
      <c r="BQ15" s="28">
        <v>0.15000333333333299</v>
      </c>
      <c r="BR15" s="28">
        <v>0.183205333333333</v>
      </c>
      <c r="BS15" s="28">
        <v>1.4302616666666701</v>
      </c>
      <c r="BT15" s="28">
        <v>3.7999999999999999E-2</v>
      </c>
      <c r="BU15" s="28">
        <v>9.2892000000000002E-2</v>
      </c>
      <c r="BV15" s="28">
        <v>0.19173333333333301</v>
      </c>
      <c r="BW15" s="28">
        <v>1.5605803333333299</v>
      </c>
      <c r="BX15" s="28">
        <v>0.18790699999999999</v>
      </c>
      <c r="BY15" s="28">
        <v>5.3999999999999999E-2</v>
      </c>
      <c r="BZ15" s="28">
        <v>0.15440999999999999</v>
      </c>
      <c r="CA15" s="28">
        <v>0.24933466666666701</v>
      </c>
      <c r="CB15" s="28">
        <v>0.167393333333334</v>
      </c>
      <c r="CC15" s="28">
        <v>0.132882</v>
      </c>
      <c r="CD15" s="28">
        <v>0.126806</v>
      </c>
      <c r="CE15" s="28">
        <v>0.18367</v>
      </c>
      <c r="CF15" s="28">
        <v>4.7E-2</v>
      </c>
      <c r="CG15" s="28">
        <v>3.2000000000000001E-2</v>
      </c>
      <c r="CH15" s="28">
        <v>0.05</v>
      </c>
      <c r="CI15" s="28">
        <v>6.7000000000000004E-2</v>
      </c>
      <c r="CJ15" s="28">
        <v>0.20272000000000001</v>
      </c>
      <c r="CK15" s="28">
        <v>7.5328000000000006E-2</v>
      </c>
      <c r="CL15" s="28">
        <v>0.246497666666667</v>
      </c>
      <c r="CM15" s="28">
        <v>0.1128</v>
      </c>
      <c r="CN15" s="28">
        <v>5.1004000000000001E-2</v>
      </c>
      <c r="CO15" s="28">
        <v>0.05</v>
      </c>
      <c r="CP15" s="28">
        <v>0.114133</v>
      </c>
      <c r="CQ15" s="28">
        <v>0.174655</v>
      </c>
      <c r="CR15" s="28">
        <v>0.136855</v>
      </c>
      <c r="CS15" s="28">
        <v>4.2999999999999997E-2</v>
      </c>
      <c r="CT15" s="28">
        <v>0.14136717754385969</v>
      </c>
      <c r="CU15" s="34">
        <v>13.429881866666671</v>
      </c>
    </row>
    <row r="16" spans="1:99" x14ac:dyDescent="0.25">
      <c r="A16" s="24">
        <v>15</v>
      </c>
      <c r="B16" s="26">
        <v>7</v>
      </c>
      <c r="C16" s="28">
        <v>0.105113</v>
      </c>
      <c r="D16" s="28">
        <v>5.3024666666666602E-2</v>
      </c>
      <c r="E16" s="28">
        <v>0.29834699999999997</v>
      </c>
      <c r="F16" s="28">
        <v>0.163432666666667</v>
      </c>
      <c r="G16" s="28">
        <v>5.3999999999999999E-2</v>
      </c>
      <c r="H16" s="28">
        <v>0.21223866666666699</v>
      </c>
      <c r="I16" s="28">
        <v>0.190826</v>
      </c>
      <c r="J16" s="28">
        <v>5.0999999999999997E-2</v>
      </c>
      <c r="K16" s="28">
        <v>0.29043566666666698</v>
      </c>
      <c r="L16" s="28">
        <v>4.1000000000000002E-2</v>
      </c>
      <c r="M16" s="28">
        <v>5.3999999999999999E-2</v>
      </c>
      <c r="N16" s="28">
        <v>0.16780999999999999</v>
      </c>
      <c r="O16" s="28">
        <v>0.119832666666667</v>
      </c>
      <c r="P16" s="28">
        <v>4.7E-2</v>
      </c>
      <c r="Q16" s="28">
        <v>0.10596800000000001</v>
      </c>
      <c r="R16" s="28">
        <v>0.26090000000000002</v>
      </c>
      <c r="S16" s="28">
        <v>0.05</v>
      </c>
      <c r="T16" s="28">
        <v>0.32815733333333302</v>
      </c>
      <c r="U16" s="28">
        <v>5.6000000000000001E-2</v>
      </c>
      <c r="V16" s="28">
        <v>5.1140666666666702E-2</v>
      </c>
      <c r="W16" s="28">
        <v>0.10996</v>
      </c>
      <c r="X16" s="28">
        <v>8.4209333333333303E-2</v>
      </c>
      <c r="Y16" s="28">
        <v>5.8000000000000003E-2</v>
      </c>
      <c r="Z16" s="28">
        <v>0.21380126666666699</v>
      </c>
      <c r="AA16" s="28">
        <v>5.3999999999999999E-2</v>
      </c>
      <c r="AB16" s="28">
        <v>8.7590000000000001E-2</v>
      </c>
      <c r="AC16" s="28">
        <v>0.22966</v>
      </c>
      <c r="AD16" s="28">
        <v>0.10012600000000001</v>
      </c>
      <c r="AE16" s="28">
        <v>0.107656666666667</v>
      </c>
      <c r="AF16" s="28">
        <v>5.3999999999999999E-2</v>
      </c>
      <c r="AG16" s="28">
        <v>0.11184633333333301</v>
      </c>
      <c r="AH16" s="28">
        <v>0.20205166666666699</v>
      </c>
      <c r="AI16" s="28">
        <v>5.1999999999999998E-2</v>
      </c>
      <c r="AJ16" s="28">
        <v>0.22897366666666699</v>
      </c>
      <c r="AK16" s="28">
        <v>0.24248266666666701</v>
      </c>
      <c r="AL16" s="28">
        <v>5.1999999999999998E-2</v>
      </c>
      <c r="AM16" s="28">
        <v>0.17832000000000001</v>
      </c>
      <c r="AN16" s="28">
        <v>0.26073966666666698</v>
      </c>
      <c r="AO16" s="28">
        <v>0.166245333333333</v>
      </c>
      <c r="AP16" s="28">
        <v>5.2999999999999999E-2</v>
      </c>
      <c r="AQ16" s="28">
        <v>5.8000000000000003E-2</v>
      </c>
      <c r="AR16" s="28">
        <v>4.9000000000000002E-2</v>
      </c>
      <c r="AS16" s="28">
        <v>0.28596133333333301</v>
      </c>
      <c r="AT16" s="28">
        <v>0.188507333333333</v>
      </c>
      <c r="AU16" s="28">
        <v>0.39997389999999999</v>
      </c>
      <c r="AV16" s="28">
        <v>0.14366899999999999</v>
      </c>
      <c r="AW16" s="28">
        <v>0.171025333333333</v>
      </c>
      <c r="AX16" s="28">
        <v>0.06</v>
      </c>
      <c r="AY16" s="28">
        <v>0.143946666666667</v>
      </c>
      <c r="AZ16" s="28">
        <v>0.15129799999999999</v>
      </c>
      <c r="BA16" s="28">
        <v>3.4000000000000002E-2</v>
      </c>
      <c r="BB16" s="28">
        <v>0.206967333333333</v>
      </c>
      <c r="BC16" s="28">
        <v>0.21425533333333299</v>
      </c>
      <c r="BD16" s="28">
        <v>0.26660800000000001</v>
      </c>
      <c r="BE16" s="28">
        <v>0.17175733333333301</v>
      </c>
      <c r="BF16" s="28">
        <v>5.45E-2</v>
      </c>
      <c r="BG16" s="28">
        <v>0.119464</v>
      </c>
      <c r="BH16" s="28">
        <v>2.9000000000000001E-2</v>
      </c>
      <c r="BI16" s="28">
        <v>0.12396600000000001</v>
      </c>
      <c r="BJ16" s="28">
        <v>0.15900866666666699</v>
      </c>
      <c r="BK16" s="28">
        <v>0.15347666666666701</v>
      </c>
      <c r="BL16" s="28">
        <v>4.7E-2</v>
      </c>
      <c r="BM16" s="28">
        <v>0.24162</v>
      </c>
      <c r="BN16" s="28">
        <v>0.12156699999999999</v>
      </c>
      <c r="BO16" s="28">
        <v>2.69302333333333</v>
      </c>
      <c r="BP16" s="28">
        <v>0.44934933333333299</v>
      </c>
      <c r="BQ16" s="28">
        <v>0.12189333333333301</v>
      </c>
      <c r="BR16" s="28">
        <v>2.9000000000000001E-2</v>
      </c>
      <c r="BS16" s="28">
        <v>0.76162700000000005</v>
      </c>
      <c r="BT16" s="28">
        <v>0.13858999999999999</v>
      </c>
      <c r="BU16" s="28">
        <v>8.1460666666666695E-2</v>
      </c>
      <c r="BV16" s="28">
        <v>6.7773333333333394E-2</v>
      </c>
      <c r="BW16" s="28">
        <v>0.29343866666666701</v>
      </c>
      <c r="BX16" s="28">
        <v>0.26003300000000001</v>
      </c>
      <c r="BY16" s="28">
        <v>0.14231666666666701</v>
      </c>
      <c r="BZ16" s="28">
        <v>5.8000000000000003E-2</v>
      </c>
      <c r="CA16" s="28">
        <v>0.156448</v>
      </c>
      <c r="CB16" s="28">
        <v>0.2690302</v>
      </c>
      <c r="CC16" s="28">
        <v>0.28168599999999999</v>
      </c>
      <c r="CD16" s="28">
        <v>5.2999999999999999E-2</v>
      </c>
      <c r="CE16" s="28">
        <v>0.292223333333333</v>
      </c>
      <c r="CF16" s="28">
        <v>8.5042000000000006E-2</v>
      </c>
      <c r="CG16" s="28">
        <v>0.18403766666666699</v>
      </c>
      <c r="CH16" s="28">
        <v>0.12050900000000001</v>
      </c>
      <c r="CI16" s="28">
        <v>0.27474999999999999</v>
      </c>
      <c r="CJ16" s="28">
        <v>0.38596999999999998</v>
      </c>
      <c r="CK16" s="28">
        <v>0.22309799999999999</v>
      </c>
      <c r="CL16" s="28">
        <v>0.117382666666667</v>
      </c>
      <c r="CM16" s="28">
        <v>8.6879999999999999E-2</v>
      </c>
      <c r="CN16" s="28">
        <v>0.44020100000000001</v>
      </c>
      <c r="CO16" s="28">
        <v>0.103713333333333</v>
      </c>
      <c r="CP16" s="28">
        <v>3.6999999999999998E-2</v>
      </c>
      <c r="CQ16" s="28">
        <v>0.10870566666666701</v>
      </c>
      <c r="CR16" s="28">
        <v>0.129161</v>
      </c>
      <c r="CS16" s="28">
        <v>0.149816</v>
      </c>
      <c r="CT16" s="28">
        <v>0.18459600035087709</v>
      </c>
      <c r="CU16" s="34">
        <v>17.536620033333321</v>
      </c>
    </row>
    <row r="17" spans="1:99" x14ac:dyDescent="0.25">
      <c r="A17" s="24">
        <v>16</v>
      </c>
      <c r="B17" s="26">
        <v>7.5</v>
      </c>
      <c r="C17" s="28">
        <v>0.100856666666667</v>
      </c>
      <c r="D17" s="28">
        <v>0.152562633333333</v>
      </c>
      <c r="E17" s="28">
        <v>0.26565</v>
      </c>
      <c r="F17" s="28">
        <v>0.14505000000000001</v>
      </c>
      <c r="G17" s="28">
        <v>0.154394</v>
      </c>
      <c r="H17" s="28">
        <v>0.136639333333333</v>
      </c>
      <c r="I17" s="28">
        <v>4.9363499999999998E-2</v>
      </c>
      <c r="J17" s="28">
        <v>5.0999999999999997E-2</v>
      </c>
      <c r="K17" s="28">
        <v>0.32352233333333302</v>
      </c>
      <c r="L17" s="28">
        <v>0.13477666666666699</v>
      </c>
      <c r="M17" s="28">
        <v>7.6066666666666699E-2</v>
      </c>
      <c r="N17" s="28">
        <v>5.5E-2</v>
      </c>
      <c r="O17" s="28">
        <v>7.2809333333333295E-2</v>
      </c>
      <c r="P17" s="28">
        <v>6.7278333333333301E-2</v>
      </c>
      <c r="Q17" s="28">
        <v>7.9984E-2</v>
      </c>
      <c r="R17" s="28">
        <v>0.129278</v>
      </c>
      <c r="S17" s="28">
        <v>0.05</v>
      </c>
      <c r="T17" s="28">
        <v>9.9152833333333301E-2</v>
      </c>
      <c r="U17" s="28">
        <v>5.6000000000000001E-2</v>
      </c>
      <c r="V17" s="28">
        <v>1.2043856666666699</v>
      </c>
      <c r="W17" s="28">
        <v>6.2546666666666695E-2</v>
      </c>
      <c r="X17" s="28">
        <v>0.28674133333333401</v>
      </c>
      <c r="Y17" s="28">
        <v>5.8000000000000003E-2</v>
      </c>
      <c r="Z17" s="28">
        <v>4.7E-2</v>
      </c>
      <c r="AA17" s="28">
        <v>0.19272466666666699</v>
      </c>
      <c r="AB17" s="28">
        <v>0.22341666666666701</v>
      </c>
      <c r="AC17" s="28">
        <v>5.6000000000000001E-2</v>
      </c>
      <c r="AD17" s="28">
        <v>0.15555466666666701</v>
      </c>
      <c r="AE17" s="28">
        <v>0.1312556</v>
      </c>
      <c r="AF17" s="28">
        <v>0.25307866666666701</v>
      </c>
      <c r="AG17" s="28">
        <v>0.19563466666666701</v>
      </c>
      <c r="AH17" s="28">
        <v>0.17384433333333299</v>
      </c>
      <c r="AI17" s="28">
        <v>8.0276E-2</v>
      </c>
      <c r="AJ17" s="28">
        <v>0.15629673333333299</v>
      </c>
      <c r="AK17" s="28">
        <v>7.7243999999999993E-2</v>
      </c>
      <c r="AL17" s="28">
        <v>5.1999999999999998E-2</v>
      </c>
      <c r="AM17" s="28">
        <v>4.8000000000000001E-2</v>
      </c>
      <c r="AN17" s="28">
        <v>7.0680000000000007E-2</v>
      </c>
      <c r="AO17" s="28">
        <v>0.143266</v>
      </c>
      <c r="AP17" s="28">
        <v>8.6942000000000005E-2</v>
      </c>
      <c r="AQ17" s="28">
        <v>0.174421666666667</v>
      </c>
      <c r="AR17" s="28">
        <v>5.9495733333333398E-2</v>
      </c>
      <c r="AS17" s="28">
        <v>0.117063866666667</v>
      </c>
      <c r="AT17" s="28">
        <v>0.112736</v>
      </c>
      <c r="AU17" s="28">
        <v>0.26613999999999999</v>
      </c>
      <c r="AV17" s="28">
        <v>0.15717200000000001</v>
      </c>
      <c r="AW17" s="28">
        <v>4.5999999999999999E-2</v>
      </c>
      <c r="AX17" s="28">
        <v>0.06</v>
      </c>
      <c r="AY17" s="28">
        <v>4.9000000000000002E-2</v>
      </c>
      <c r="AZ17" s="28">
        <v>0.26937133333333302</v>
      </c>
      <c r="BA17" s="28">
        <v>0.15870933333333301</v>
      </c>
      <c r="BB17" s="28">
        <v>3.7999999999999999E-2</v>
      </c>
      <c r="BC17" s="28">
        <v>0.10336933333333299</v>
      </c>
      <c r="BD17" s="28">
        <v>5.5E-2</v>
      </c>
      <c r="BE17" s="28">
        <v>1.038095</v>
      </c>
      <c r="BF17" s="28">
        <v>0.145617</v>
      </c>
      <c r="BG17" s="28">
        <v>0.167997333333333</v>
      </c>
      <c r="BH17" s="28">
        <v>2.9000000000000001E-2</v>
      </c>
      <c r="BI17" s="28">
        <v>0.12396600000000001</v>
      </c>
      <c r="BJ17" s="28">
        <v>0.17723866666666699</v>
      </c>
      <c r="BK17" s="28">
        <v>0.100826</v>
      </c>
      <c r="BL17" s="28">
        <v>6.0346999999999998E-2</v>
      </c>
      <c r="BM17" s="28">
        <v>8.4000000000000102E-2</v>
      </c>
      <c r="BN17" s="28">
        <v>1.0344718666666699</v>
      </c>
      <c r="BO17" s="28">
        <v>1.2883626666666701</v>
      </c>
      <c r="BP17" s="28">
        <v>0.44828366666666702</v>
      </c>
      <c r="BQ17" s="28">
        <v>0.24153866666666701</v>
      </c>
      <c r="BR17" s="28">
        <v>5.7037333333333301E-2</v>
      </c>
      <c r="BS17" s="28">
        <v>0.64166666666666705</v>
      </c>
      <c r="BT17" s="28">
        <v>3.7999999999999999E-2</v>
      </c>
      <c r="BU17" s="28">
        <v>0.19014666666666699</v>
      </c>
      <c r="BV17" s="28">
        <v>5.3999999999999999E-2</v>
      </c>
      <c r="BW17" s="28">
        <v>1.422104</v>
      </c>
      <c r="BX17" s="28">
        <v>0.16221466666666701</v>
      </c>
      <c r="BY17" s="28">
        <v>5.3999999999999999E-2</v>
      </c>
      <c r="BZ17" s="28">
        <v>0.36255166666666699</v>
      </c>
      <c r="CA17" s="28">
        <v>0.15021599999999999</v>
      </c>
      <c r="CB17" s="28">
        <v>2.7174641333333298</v>
      </c>
      <c r="CC17" s="28">
        <v>0.23193766666666699</v>
      </c>
      <c r="CD17" s="28">
        <v>0.110404666666667</v>
      </c>
      <c r="CE17" s="28">
        <v>5.6000000000000001E-2</v>
      </c>
      <c r="CF17" s="28">
        <v>0.28801189999999999</v>
      </c>
      <c r="CG17" s="28">
        <v>9.4882666666666698E-2</v>
      </c>
      <c r="CH17" s="28">
        <v>0.151846333333333</v>
      </c>
      <c r="CI17" s="28">
        <v>6.7000000000000004E-2</v>
      </c>
      <c r="CJ17" s="28">
        <v>5.1999999999999998E-2</v>
      </c>
      <c r="CK17" s="28">
        <v>6.2892000000000003E-2</v>
      </c>
      <c r="CL17" s="28">
        <v>0.113708</v>
      </c>
      <c r="CM17" s="28">
        <v>8.6879999999999999E-2</v>
      </c>
      <c r="CN17" s="28">
        <v>9.2675999999999994E-2</v>
      </c>
      <c r="CO17" s="28">
        <v>0.103713333333333</v>
      </c>
      <c r="CP17" s="28">
        <v>0.59719433333333405</v>
      </c>
      <c r="CQ17" s="28">
        <v>5.0999999999999997E-2</v>
      </c>
      <c r="CR17" s="28">
        <v>0.15932733333333299</v>
      </c>
      <c r="CS17" s="28">
        <v>0.23144066666666699</v>
      </c>
      <c r="CT17" s="28">
        <v>0.2206401171929826</v>
      </c>
      <c r="CU17" s="34">
        <v>20.960811133333351</v>
      </c>
    </row>
    <row r="18" spans="1:99" x14ac:dyDescent="0.25">
      <c r="A18" s="24">
        <v>17</v>
      </c>
      <c r="B18" s="26">
        <v>8</v>
      </c>
      <c r="C18" s="28">
        <v>1.177975</v>
      </c>
      <c r="D18" s="28">
        <v>0.16242166666666699</v>
      </c>
      <c r="E18" s="28">
        <v>0.122378666666667</v>
      </c>
      <c r="F18" s="28">
        <v>1.0587583333333299</v>
      </c>
      <c r="G18" s="28">
        <v>5.3999999999999999E-2</v>
      </c>
      <c r="H18" s="28">
        <v>4.2999999999999997E-2</v>
      </c>
      <c r="I18" s="28">
        <v>4.5999999999999999E-2</v>
      </c>
      <c r="J18" s="28">
        <v>0.31703199999999998</v>
      </c>
      <c r="K18" s="28">
        <v>0.17756166666666701</v>
      </c>
      <c r="L18" s="28">
        <v>4.1000000000000002E-2</v>
      </c>
      <c r="M18" s="28">
        <v>0.442230333333333</v>
      </c>
      <c r="N18" s="28">
        <v>0.20264933333333299</v>
      </c>
      <c r="O18" s="28">
        <v>0.13864199999999999</v>
      </c>
      <c r="P18" s="28">
        <v>0.17726666666666699</v>
      </c>
      <c r="Q18" s="28">
        <v>5.3999999999999999E-2</v>
      </c>
      <c r="R18" s="28">
        <v>0.18155833333333299</v>
      </c>
      <c r="S18" s="28">
        <v>0.09</v>
      </c>
      <c r="T18" s="28">
        <v>0.49935833333333302</v>
      </c>
      <c r="U18" s="28">
        <v>5.6000000000000001E-2</v>
      </c>
      <c r="V18" s="28">
        <v>0.20368773333333301</v>
      </c>
      <c r="W18" s="28">
        <v>9.6413333333333295E-2</v>
      </c>
      <c r="X18" s="28">
        <v>0.141978733333333</v>
      </c>
      <c r="Y18" s="28">
        <v>0.18062666666666699</v>
      </c>
      <c r="Z18" s="28">
        <v>0.100244333333333</v>
      </c>
      <c r="AA18" s="28">
        <v>0.49510599999999999</v>
      </c>
      <c r="AB18" s="28">
        <v>5.3999999999999999E-2</v>
      </c>
      <c r="AC18" s="28">
        <v>0.22051999999999999</v>
      </c>
      <c r="AD18" s="28">
        <v>8.1173333333333403E-2</v>
      </c>
      <c r="AE18" s="28">
        <v>5.3662133333333403E-2</v>
      </c>
      <c r="AF18" s="28">
        <v>0.12866</v>
      </c>
      <c r="AG18" s="28">
        <v>0.24732599999999999</v>
      </c>
      <c r="AH18" s="28">
        <v>5.2999999999999999E-2</v>
      </c>
      <c r="AI18" s="28">
        <v>0.17924200000000001</v>
      </c>
      <c r="AJ18" s="28">
        <v>7.4141399999999996E-2</v>
      </c>
      <c r="AK18" s="28">
        <v>0.29859933333333299</v>
      </c>
      <c r="AL18" s="28">
        <v>5.1999999999999998E-2</v>
      </c>
      <c r="AM18" s="28">
        <v>4.8000000000000001E-2</v>
      </c>
      <c r="AN18" s="28">
        <v>0.216798666666667</v>
      </c>
      <c r="AO18" s="28">
        <v>0.22181600000000001</v>
      </c>
      <c r="AP18" s="28">
        <v>0.27016200000000001</v>
      </c>
      <c r="AQ18" s="28">
        <v>9.2241666666666597E-2</v>
      </c>
      <c r="AR18" s="28">
        <v>1.36009333333333</v>
      </c>
      <c r="AS18" s="28">
        <v>0.93210999999999999</v>
      </c>
      <c r="AT18" s="28">
        <v>0.17984133333333399</v>
      </c>
      <c r="AU18" s="28">
        <v>0.19777666666666699</v>
      </c>
      <c r="AV18" s="28">
        <v>4.3999999999999997E-2</v>
      </c>
      <c r="AW18" s="28">
        <v>0.320297</v>
      </c>
      <c r="AX18" s="28">
        <v>0.06</v>
      </c>
      <c r="AY18" s="28">
        <v>0.126828833333333</v>
      </c>
      <c r="AZ18" s="28">
        <v>0.36018933333333297</v>
      </c>
      <c r="BA18" s="28">
        <v>8.0765999999999893E-2</v>
      </c>
      <c r="BB18" s="28">
        <v>0.158808</v>
      </c>
      <c r="BC18" s="28">
        <v>4.8000000000000001E-2</v>
      </c>
      <c r="BD18" s="28">
        <v>0.22687399999999999</v>
      </c>
      <c r="BE18" s="28">
        <v>0.35378399999999999</v>
      </c>
      <c r="BF18" s="28">
        <v>4.8000000000000001E-2</v>
      </c>
      <c r="BG18" s="28">
        <v>7.7652666666666703E-2</v>
      </c>
      <c r="BH18" s="28">
        <v>2.9000000000000001E-2</v>
      </c>
      <c r="BI18" s="28">
        <v>4.8000000000000001E-2</v>
      </c>
      <c r="BJ18" s="28">
        <v>7.0330333333333397E-2</v>
      </c>
      <c r="BK18" s="28">
        <v>3.7999999999999999E-2</v>
      </c>
      <c r="BL18" s="28">
        <v>5.3673499999999999E-2</v>
      </c>
      <c r="BM18" s="28">
        <v>7.3136000000000007E-2</v>
      </c>
      <c r="BN18" s="28">
        <v>0.12863416666666699</v>
      </c>
      <c r="BO18" s="28">
        <v>0.393969333333333</v>
      </c>
      <c r="BP18" s="28">
        <v>0.31114999999999998</v>
      </c>
      <c r="BQ18" s="28">
        <v>0.26763500000000001</v>
      </c>
      <c r="BR18" s="28">
        <v>0.155168</v>
      </c>
      <c r="BS18" s="28">
        <v>0.43598199999999998</v>
      </c>
      <c r="BT18" s="28">
        <v>0.6554432</v>
      </c>
      <c r="BU18" s="28">
        <v>4.7405999999999997E-2</v>
      </c>
      <c r="BV18" s="28">
        <v>5.3999999999999999E-2</v>
      </c>
      <c r="BW18" s="28">
        <v>0.54541399999999995</v>
      </c>
      <c r="BX18" s="28">
        <v>0.16349</v>
      </c>
      <c r="BY18" s="28">
        <v>0.13145399999999999</v>
      </c>
      <c r="BZ18" s="28">
        <v>1.91241166666667</v>
      </c>
      <c r="CA18" s="28">
        <v>0.200342666666667</v>
      </c>
      <c r="CB18" s="28">
        <v>0.46020006666666602</v>
      </c>
      <c r="CC18" s="28">
        <v>7.2731000000000004E-2</v>
      </c>
      <c r="CD18" s="28">
        <v>0.61946800000000002</v>
      </c>
      <c r="CE18" s="28">
        <v>0.40312033333333303</v>
      </c>
      <c r="CF18" s="28">
        <v>0.222739933333333</v>
      </c>
      <c r="CG18" s="28">
        <v>0.22331416666666701</v>
      </c>
      <c r="CH18" s="28">
        <v>0.05</v>
      </c>
      <c r="CI18" s="28">
        <v>0.16446</v>
      </c>
      <c r="CJ18" s="28">
        <v>0.20437066666666701</v>
      </c>
      <c r="CK18" s="28">
        <v>0.22248399999999999</v>
      </c>
      <c r="CL18" s="28">
        <v>4.5999999999999999E-2</v>
      </c>
      <c r="CM18" s="28">
        <v>5.6640000000000003E-2</v>
      </c>
      <c r="CN18" s="28">
        <v>0.19808799999999999</v>
      </c>
      <c r="CO18" s="28">
        <v>0.05</v>
      </c>
      <c r="CP18" s="28">
        <v>9.4980333333333403E-2</v>
      </c>
      <c r="CQ18" s="28">
        <v>0.13343666666666701</v>
      </c>
      <c r="CR18" s="28">
        <v>0.19836999999999999</v>
      </c>
      <c r="CS18" s="28">
        <v>0.103084</v>
      </c>
      <c r="CT18" s="28">
        <v>0.23541452491228071</v>
      </c>
      <c r="CU18" s="34">
        <v>22.36437986666667</v>
      </c>
    </row>
    <row r="19" spans="1:99" x14ac:dyDescent="0.25">
      <c r="A19" s="24">
        <v>18</v>
      </c>
      <c r="B19" s="26">
        <v>8.5</v>
      </c>
      <c r="C19" s="28">
        <v>0.27131899999999998</v>
      </c>
      <c r="D19" s="28">
        <v>0.16505600000000001</v>
      </c>
      <c r="E19" s="28">
        <v>0.247864</v>
      </c>
      <c r="F19" s="28">
        <v>0.239493333333333</v>
      </c>
      <c r="G19" s="28">
        <v>0.17439499999999999</v>
      </c>
      <c r="H19" s="28">
        <v>0.30587799999999998</v>
      </c>
      <c r="I19" s="28">
        <v>4.5999999999999999E-2</v>
      </c>
      <c r="J19" s="28">
        <v>0.113113333333333</v>
      </c>
      <c r="K19" s="28">
        <v>0.125185666666667</v>
      </c>
      <c r="L19" s="28">
        <v>0.84151266666666702</v>
      </c>
      <c r="M19" s="28">
        <v>0.353267</v>
      </c>
      <c r="N19" s="28">
        <v>0.152768666666667</v>
      </c>
      <c r="O19" s="28">
        <v>0.14490800000000001</v>
      </c>
      <c r="P19" s="28">
        <v>0.27304166666666702</v>
      </c>
      <c r="Q19" s="28">
        <v>8.8645333333333395E-2</v>
      </c>
      <c r="R19" s="28">
        <v>0.20861966666666701</v>
      </c>
      <c r="S19" s="28">
        <v>0.85211999999999999</v>
      </c>
      <c r="T19" s="28">
        <v>1.3634090000000001</v>
      </c>
      <c r="U19" s="28">
        <v>5.6000000000000001E-2</v>
      </c>
      <c r="V19" s="28">
        <v>4.9593999999999999E-2</v>
      </c>
      <c r="W19" s="28">
        <v>4.9000000000000002E-2</v>
      </c>
      <c r="X19" s="28">
        <v>0.1250358</v>
      </c>
      <c r="Y19" s="28">
        <v>9.4066666666666604E-2</v>
      </c>
      <c r="Z19" s="28">
        <v>0.24277199999999999</v>
      </c>
      <c r="AA19" s="28">
        <v>0.20030999999999999</v>
      </c>
      <c r="AB19" s="28">
        <v>0.174924</v>
      </c>
      <c r="AC19" s="28">
        <v>9.2560000000000003E-2</v>
      </c>
      <c r="AD19" s="28">
        <v>0.213108666666667</v>
      </c>
      <c r="AE19" s="28">
        <v>0.21352699999999999</v>
      </c>
      <c r="AF19" s="28">
        <v>8.3863999999999994E-2</v>
      </c>
      <c r="AG19" s="28">
        <v>0.30150066666666703</v>
      </c>
      <c r="AH19" s="28">
        <v>0.44857999999999998</v>
      </c>
      <c r="AI19" s="28">
        <v>5.1999999999999998E-2</v>
      </c>
      <c r="AJ19" s="28">
        <v>0.224024</v>
      </c>
      <c r="AK19" s="28">
        <v>0.332357333333333</v>
      </c>
      <c r="AL19" s="28">
        <v>5.1999999999999998E-2</v>
      </c>
      <c r="AM19" s="28">
        <v>4.8000000000000001E-2</v>
      </c>
      <c r="AN19" s="28">
        <v>0.381533333333333</v>
      </c>
      <c r="AO19" s="28">
        <v>0.193538666666667</v>
      </c>
      <c r="AP19" s="28">
        <v>0.26051999999999997</v>
      </c>
      <c r="AQ19" s="28">
        <v>5.8000000000000003E-2</v>
      </c>
      <c r="AR19" s="28">
        <v>0.91597333333333397</v>
      </c>
      <c r="AS19" s="28">
        <v>0.65608100000000003</v>
      </c>
      <c r="AT19" s="28">
        <v>0.33646199999999998</v>
      </c>
      <c r="AU19" s="28">
        <v>0.19370999999999999</v>
      </c>
      <c r="AV19" s="28">
        <v>9.0586E-2</v>
      </c>
      <c r="AW19" s="28">
        <v>4.5999999999999999E-2</v>
      </c>
      <c r="AX19" s="28">
        <v>0.06</v>
      </c>
      <c r="AY19" s="28">
        <v>0.54051866666666704</v>
      </c>
      <c r="AZ19" s="28">
        <v>0.370813333333333</v>
      </c>
      <c r="BA19" s="28">
        <v>3.4000000000000002E-2</v>
      </c>
      <c r="BB19" s="28">
        <v>0.18641333333333401</v>
      </c>
      <c r="BC19" s="28">
        <v>0.199723866666667</v>
      </c>
      <c r="BD19" s="28">
        <v>0.43342126666666703</v>
      </c>
      <c r="BE19" s="28">
        <v>1.46235</v>
      </c>
      <c r="BF19" s="28">
        <v>4.8000000000000001E-2</v>
      </c>
      <c r="BG19" s="28">
        <v>0.14016799999999999</v>
      </c>
      <c r="BH19" s="28">
        <v>2.9000000000000001E-2</v>
      </c>
      <c r="BI19" s="28">
        <v>8.2530000000000006E-2</v>
      </c>
      <c r="BJ19" s="28">
        <v>0.187246</v>
      </c>
      <c r="BK19" s="28">
        <v>0.21630733333333299</v>
      </c>
      <c r="BL19" s="28">
        <v>4.7E-2</v>
      </c>
      <c r="BM19" s="28">
        <v>0.16111200000000001</v>
      </c>
      <c r="BN19" s="28">
        <v>0.21701366666666699</v>
      </c>
      <c r="BO19" s="28">
        <v>5.7818666666666699E-2</v>
      </c>
      <c r="BP19" s="28">
        <v>5.5E-2</v>
      </c>
      <c r="BQ19" s="28">
        <v>0.26216266666666699</v>
      </c>
      <c r="BR19" s="28">
        <v>2.9000000000000001E-2</v>
      </c>
      <c r="BS19" s="28">
        <v>0.39753066666666598</v>
      </c>
      <c r="BT19" s="28">
        <v>1.4762104</v>
      </c>
      <c r="BU19" s="28">
        <v>0.20664213333333301</v>
      </c>
      <c r="BV19" s="28">
        <v>0.143526666666667</v>
      </c>
      <c r="BW19" s="28">
        <v>0.32727200000000001</v>
      </c>
      <c r="BX19" s="28">
        <v>0.28910533333333299</v>
      </c>
      <c r="BY19" s="28">
        <v>0.1941532</v>
      </c>
      <c r="BZ19" s="28">
        <v>0.33621600000000001</v>
      </c>
      <c r="CA19" s="28">
        <v>0.11670800000000001</v>
      </c>
      <c r="CB19" s="28">
        <v>0.35657366666666701</v>
      </c>
      <c r="CC19" s="28">
        <v>0.34434933333333301</v>
      </c>
      <c r="CD19" s="28">
        <v>0.73951666666666704</v>
      </c>
      <c r="CE19" s="28">
        <v>0.48724200000000001</v>
      </c>
      <c r="CF19" s="28">
        <v>0.21188283333333299</v>
      </c>
      <c r="CG19" s="28">
        <v>0.35165000000000002</v>
      </c>
      <c r="CH19" s="28">
        <v>0.22235533333333299</v>
      </c>
      <c r="CI19" s="28">
        <v>6.7000000000000004E-2</v>
      </c>
      <c r="CJ19" s="28">
        <v>1.1386957</v>
      </c>
      <c r="CK19" s="28">
        <v>9.0833999999999998E-2</v>
      </c>
      <c r="CL19" s="28">
        <v>0.19707166666666701</v>
      </c>
      <c r="CM19" s="28">
        <v>0.11712</v>
      </c>
      <c r="CN19" s="28">
        <v>4.3999999999999997E-2</v>
      </c>
      <c r="CO19" s="28">
        <v>0.21713666666666701</v>
      </c>
      <c r="CP19" s="28">
        <v>0.13760666666666699</v>
      </c>
      <c r="CQ19" s="28">
        <v>0.149924</v>
      </c>
      <c r="CR19" s="28">
        <v>4.8000000000000001E-2</v>
      </c>
      <c r="CS19" s="28">
        <v>0.21935933333333399</v>
      </c>
      <c r="CT19" s="28">
        <v>0.26946848280701752</v>
      </c>
      <c r="CU19" s="34">
        <v>25.599505866666661</v>
      </c>
    </row>
    <row r="20" spans="1:99" x14ac:dyDescent="0.25">
      <c r="A20" s="24">
        <v>19</v>
      </c>
      <c r="B20" s="26">
        <v>9</v>
      </c>
      <c r="C20" s="28">
        <v>1.36513366666667</v>
      </c>
      <c r="D20" s="28">
        <v>0.28651450000000001</v>
      </c>
      <c r="E20" s="28">
        <v>1.499018</v>
      </c>
      <c r="F20" s="28">
        <v>0.19646</v>
      </c>
      <c r="G20" s="28">
        <v>0.21057833333333301</v>
      </c>
      <c r="H20" s="28">
        <v>0.26051999999999997</v>
      </c>
      <c r="I20" s="28">
        <v>4.5999999999999999E-2</v>
      </c>
      <c r="J20" s="28">
        <v>0.239728</v>
      </c>
      <c r="K20" s="28">
        <v>3.9E-2</v>
      </c>
      <c r="L20" s="28">
        <v>1.6425670000000001</v>
      </c>
      <c r="M20" s="28">
        <v>0.71044600000000002</v>
      </c>
      <c r="N20" s="28">
        <v>0.13496333333333299</v>
      </c>
      <c r="O20" s="28">
        <v>0.25865700000000003</v>
      </c>
      <c r="P20" s="28">
        <v>0.21006533333333299</v>
      </c>
      <c r="Q20" s="28">
        <v>9.7306666666666597E-2</v>
      </c>
      <c r="R20" s="28">
        <v>6.3816333333333294E-2</v>
      </c>
      <c r="S20" s="28">
        <v>0.34744999999999998</v>
      </c>
      <c r="T20" s="28">
        <v>0.28247666666666699</v>
      </c>
      <c r="U20" s="28">
        <v>5.6000000000000001E-2</v>
      </c>
      <c r="V20" s="28">
        <v>0.259555166666667</v>
      </c>
      <c r="W20" s="28">
        <v>9.3026666666666702E-2</v>
      </c>
      <c r="X20" s="28">
        <v>0.85274799999999995</v>
      </c>
      <c r="Y20" s="28">
        <v>0.15746933333333299</v>
      </c>
      <c r="Z20" s="28">
        <v>9.9451800000000007E-2</v>
      </c>
      <c r="AA20" s="28">
        <v>0.21669633333333299</v>
      </c>
      <c r="AB20" s="28">
        <v>6.7435999999999996E-2</v>
      </c>
      <c r="AC20" s="28">
        <v>0.13825999999999999</v>
      </c>
      <c r="AD20" s="28">
        <v>0.60905399999999998</v>
      </c>
      <c r="AE20" s="28">
        <v>8.36103333333333E-2</v>
      </c>
      <c r="AF20" s="28">
        <v>0.50264699999999995</v>
      </c>
      <c r="AG20" s="28">
        <v>9.4773333333333404E-2</v>
      </c>
      <c r="AH20" s="28">
        <v>0.164393333333333</v>
      </c>
      <c r="AI20" s="28">
        <v>5.1999999999999998E-2</v>
      </c>
      <c r="AJ20" s="28">
        <v>0.171043633333333</v>
      </c>
      <c r="AK20" s="28">
        <v>0.21902706666666699</v>
      </c>
      <c r="AL20" s="28">
        <v>5.1999999999999998E-2</v>
      </c>
      <c r="AM20" s="28">
        <v>0.22719</v>
      </c>
      <c r="AN20" s="28">
        <v>0.11462799999999999</v>
      </c>
      <c r="AO20" s="28">
        <v>0.203594466666667</v>
      </c>
      <c r="AP20" s="28">
        <v>0.42158833333333301</v>
      </c>
      <c r="AQ20" s="28">
        <v>0.20866333333333301</v>
      </c>
      <c r="AR20" s="28">
        <v>1.1712199999999999</v>
      </c>
      <c r="AS20" s="28">
        <v>0.32242466666666703</v>
      </c>
      <c r="AT20" s="28">
        <v>5.7000000000000002E-2</v>
      </c>
      <c r="AU20" s="28">
        <v>0.23300499999999999</v>
      </c>
      <c r="AV20" s="28">
        <v>0.17422933333333299</v>
      </c>
      <c r="AW20" s="28">
        <v>1.14009433333333</v>
      </c>
      <c r="AX20" s="28">
        <v>0.06</v>
      </c>
      <c r="AY20" s="28">
        <v>0.29130386666666702</v>
      </c>
      <c r="AZ20" s="28">
        <v>0.26543666666666699</v>
      </c>
      <c r="BA20" s="28">
        <v>0.34542200000000001</v>
      </c>
      <c r="BB20" s="28">
        <v>3.7999999999999999E-2</v>
      </c>
      <c r="BC20" s="28">
        <v>6.0305999999999998E-2</v>
      </c>
      <c r="BD20" s="28">
        <v>0.264382333333333</v>
      </c>
      <c r="BE20" s="28">
        <v>1.3136000000000001</v>
      </c>
      <c r="BF20" s="28">
        <v>4.8000000000000001E-2</v>
      </c>
      <c r="BG20" s="28">
        <v>0.13653799999999999</v>
      </c>
      <c r="BH20" s="28">
        <v>2.9000000000000001E-2</v>
      </c>
      <c r="BI20" s="28">
        <v>0.16540199999999999</v>
      </c>
      <c r="BJ20" s="28">
        <v>0.14344199999999999</v>
      </c>
      <c r="BK20" s="28">
        <v>3.7999999999999999E-2</v>
      </c>
      <c r="BL20" s="28">
        <v>4.7E-2</v>
      </c>
      <c r="BM20" s="28">
        <v>4.8000000000000001E-2</v>
      </c>
      <c r="BN20" s="28">
        <v>0.26864933333333302</v>
      </c>
      <c r="BO20" s="28">
        <v>0.33435999999999999</v>
      </c>
      <c r="BP20" s="28">
        <v>0.29054966666666698</v>
      </c>
      <c r="BQ20" s="28">
        <v>0.200023333333333</v>
      </c>
      <c r="BR20" s="28">
        <v>2.9000000000000001E-2</v>
      </c>
      <c r="BS20" s="28">
        <v>0.25189</v>
      </c>
      <c r="BT20" s="28">
        <v>0.1072</v>
      </c>
      <c r="BU20" s="28">
        <v>8.8484333333333304E-2</v>
      </c>
      <c r="BV20" s="28">
        <v>2.0584526666666698</v>
      </c>
      <c r="BW20" s="28">
        <v>0.57623400000000002</v>
      </c>
      <c r="BX20" s="28">
        <v>0.31013400000000002</v>
      </c>
      <c r="BY20" s="28">
        <v>1.6659036</v>
      </c>
      <c r="BZ20" s="28">
        <v>0.24992066666666701</v>
      </c>
      <c r="CA20" s="28">
        <v>0.244567333333333</v>
      </c>
      <c r="CB20" s="28">
        <v>0.13544300000000001</v>
      </c>
      <c r="CC20" s="28">
        <v>9.69656666666667E-2</v>
      </c>
      <c r="CD20" s="28">
        <v>0.31546666666666701</v>
      </c>
      <c r="CE20" s="28">
        <v>0.299342</v>
      </c>
      <c r="CF20" s="28">
        <v>0.16117100000000001</v>
      </c>
      <c r="CG20" s="28">
        <v>0.210530666666667</v>
      </c>
      <c r="CH20" s="28">
        <v>0.05</v>
      </c>
      <c r="CI20" s="28">
        <v>6.7000000000000004E-2</v>
      </c>
      <c r="CJ20" s="28">
        <v>8.79741666666667E-2</v>
      </c>
      <c r="CK20" s="28">
        <v>4.8000000000000001E-2</v>
      </c>
      <c r="CL20" s="28">
        <v>0.22143699999999999</v>
      </c>
      <c r="CM20" s="28">
        <v>4.8000000000000001E-2</v>
      </c>
      <c r="CN20" s="28">
        <v>0.10551199999999999</v>
      </c>
      <c r="CO20" s="28">
        <v>0.26112999999999997</v>
      </c>
      <c r="CP20" s="28">
        <v>0.163579</v>
      </c>
      <c r="CQ20" s="28">
        <v>0.160637</v>
      </c>
      <c r="CR20" s="28">
        <v>0.16419500000000001</v>
      </c>
      <c r="CS20" s="28">
        <v>0.10181333333333301</v>
      </c>
      <c r="CT20" s="28">
        <v>0.30232556421052631</v>
      </c>
      <c r="CU20" s="34">
        <v>28.720928600000001</v>
      </c>
    </row>
    <row r="21" spans="1:99" x14ac:dyDescent="0.25">
      <c r="A21" s="24">
        <v>20</v>
      </c>
      <c r="B21" s="26">
        <v>9.5</v>
      </c>
      <c r="C21" s="28">
        <v>2.9296150000000001</v>
      </c>
      <c r="D21" s="28">
        <v>5.1520966666666598E-2</v>
      </c>
      <c r="E21" s="28">
        <v>0.60785800000000001</v>
      </c>
      <c r="F21" s="28">
        <v>0.18645999999999999</v>
      </c>
      <c r="G21" s="28">
        <v>5.3999999999999999E-2</v>
      </c>
      <c r="H21" s="28">
        <v>0.23832700000000001</v>
      </c>
      <c r="I21" s="28">
        <v>4.5999999999999999E-2</v>
      </c>
      <c r="J21" s="28">
        <v>0.1433594</v>
      </c>
      <c r="K21" s="28">
        <v>0.125185666666667</v>
      </c>
      <c r="L21" s="28">
        <v>1.36056546666667</v>
      </c>
      <c r="M21" s="28">
        <v>0.63805333333333303</v>
      </c>
      <c r="N21" s="28">
        <v>0.22045466666666699</v>
      </c>
      <c r="O21" s="28">
        <v>0.96854799999999996</v>
      </c>
      <c r="P21" s="28">
        <v>8.4257600000000002E-2</v>
      </c>
      <c r="Q21" s="28">
        <v>9.0796666666666706E-2</v>
      </c>
      <c r="R21" s="28">
        <v>0.60128099999999995</v>
      </c>
      <c r="S21" s="28">
        <v>0.15</v>
      </c>
      <c r="T21" s="28">
        <v>0.115891333333333</v>
      </c>
      <c r="U21" s="28">
        <v>6.0095333333333403E-2</v>
      </c>
      <c r="V21" s="28">
        <v>0.14951666666666699</v>
      </c>
      <c r="W21" s="28">
        <v>6.5933333333333302E-2</v>
      </c>
      <c r="X21" s="28">
        <v>0.30086533333333298</v>
      </c>
      <c r="Y21" s="28">
        <v>0.173413333333333</v>
      </c>
      <c r="Z21" s="28">
        <v>2.1965986666666701</v>
      </c>
      <c r="AA21" s="28">
        <v>0.505419333333333</v>
      </c>
      <c r="AB21" s="28">
        <v>0.22425300000000001</v>
      </c>
      <c r="AC21" s="28">
        <v>0.17482</v>
      </c>
      <c r="AD21" s="28">
        <v>2.1789733333333299</v>
      </c>
      <c r="AE21" s="28">
        <v>0.30299666666666702</v>
      </c>
      <c r="AF21" s="28">
        <v>0.27756799999999998</v>
      </c>
      <c r="AG21" s="28">
        <v>0.152686666666667</v>
      </c>
      <c r="AH21" s="28">
        <v>0.125046666666667</v>
      </c>
      <c r="AI21" s="28">
        <v>0.14104</v>
      </c>
      <c r="AJ21" s="28">
        <v>0.13709253333333299</v>
      </c>
      <c r="AK21" s="28">
        <v>0.23608066666666699</v>
      </c>
      <c r="AL21" s="28">
        <v>5.1999999999999998E-2</v>
      </c>
      <c r="AM21" s="28">
        <v>4.8000000000000001E-2</v>
      </c>
      <c r="AN21" s="28">
        <v>2.0723066666666701</v>
      </c>
      <c r="AO21" s="28">
        <v>0.21037373333333301</v>
      </c>
      <c r="AP21" s="28">
        <v>0.25036000000000003</v>
      </c>
      <c r="AQ21" s="28">
        <v>0.21133866666666701</v>
      </c>
      <c r="AR21" s="28">
        <v>4.9000000000000002E-2</v>
      </c>
      <c r="AS21" s="28">
        <v>0.18558133333333299</v>
      </c>
      <c r="AT21" s="28">
        <v>0.169237</v>
      </c>
      <c r="AU21" s="28">
        <v>0.26817433333333301</v>
      </c>
      <c r="AV21" s="28">
        <v>1.7139926666666701</v>
      </c>
      <c r="AW21" s="28">
        <v>1.524756</v>
      </c>
      <c r="AX21" s="28">
        <v>0.06</v>
      </c>
      <c r="AY21" s="28">
        <v>0.25569199999999997</v>
      </c>
      <c r="AZ21" s="28">
        <v>0.27068466666666702</v>
      </c>
      <c r="BA21" s="28">
        <v>3.4000000000000002E-2</v>
      </c>
      <c r="BB21" s="28">
        <v>9.1762333333333307E-2</v>
      </c>
      <c r="BC21" s="28">
        <v>0.15697766666666699</v>
      </c>
      <c r="BD21" s="28">
        <v>0.30321999999999999</v>
      </c>
      <c r="BE21" s="28">
        <v>0.69028699999999998</v>
      </c>
      <c r="BF21" s="28">
        <v>4.8000000000000001E-2</v>
      </c>
      <c r="BG21" s="28">
        <v>0.58336266666666703</v>
      </c>
      <c r="BH21" s="28">
        <v>2.9000000000000001E-2</v>
      </c>
      <c r="BI21" s="28">
        <v>4.8000000000000001E-2</v>
      </c>
      <c r="BJ21" s="28">
        <v>0.32902266666666702</v>
      </c>
      <c r="BK21" s="28">
        <v>8.7489999999999998E-2</v>
      </c>
      <c r="BL21" s="28">
        <v>4.7E-2</v>
      </c>
      <c r="BM21" s="28">
        <v>0.21618200000000001</v>
      </c>
      <c r="BN21" s="28">
        <v>0.148816633333333</v>
      </c>
      <c r="BO21" s="28">
        <v>0.118867</v>
      </c>
      <c r="BP21" s="28">
        <v>0.20177</v>
      </c>
      <c r="BQ21" s="28">
        <v>0.30549599999999999</v>
      </c>
      <c r="BR21" s="28">
        <v>7.8065333333333403E-2</v>
      </c>
      <c r="BS21" s="28">
        <v>0.36964066666666701</v>
      </c>
      <c r="BT21" s="28">
        <v>0.47706666666666703</v>
      </c>
      <c r="BU21" s="28">
        <v>0.16094166666666701</v>
      </c>
      <c r="BV21" s="28">
        <v>0.64770973333333204</v>
      </c>
      <c r="BW21" s="28">
        <v>0.53850833333333303</v>
      </c>
      <c r="BX21" s="28">
        <v>0.36129</v>
      </c>
      <c r="BY21" s="28">
        <v>1.4541283</v>
      </c>
      <c r="BZ21" s="28">
        <v>0.295047333333333</v>
      </c>
      <c r="CA21" s="28">
        <v>0.214764966666667</v>
      </c>
      <c r="CB21" s="28">
        <v>0.30701666666666699</v>
      </c>
      <c r="CC21" s="28">
        <v>0.15241133333333301</v>
      </c>
      <c r="CD21" s="28">
        <v>0.28447</v>
      </c>
      <c r="CE21" s="28">
        <v>0.19098000000000001</v>
      </c>
      <c r="CF21" s="28">
        <v>0.14224000000000001</v>
      </c>
      <c r="CG21" s="28">
        <v>0.20812566666666699</v>
      </c>
      <c r="CH21" s="28">
        <v>0.151846333333333</v>
      </c>
      <c r="CI21" s="28">
        <v>1.0833333333333299</v>
      </c>
      <c r="CJ21" s="28">
        <v>1.23137433333333</v>
      </c>
      <c r="CK21" s="28">
        <v>0.265318</v>
      </c>
      <c r="CL21" s="28">
        <v>8.0123333333333394E-2</v>
      </c>
      <c r="CM21" s="28">
        <v>4.8000000000000001E-2</v>
      </c>
      <c r="CN21" s="28">
        <v>0.29836400000000002</v>
      </c>
      <c r="CO21" s="28">
        <v>0.35534666666666698</v>
      </c>
      <c r="CP21" s="28">
        <v>1.20820866666667</v>
      </c>
      <c r="CQ21" s="28">
        <v>0.228224333333333</v>
      </c>
      <c r="CR21" s="28">
        <v>0.213148333333333</v>
      </c>
      <c r="CS21" s="28">
        <v>0.122805466666667</v>
      </c>
      <c r="CT21" s="28">
        <v>0.39961920140350882</v>
      </c>
      <c r="CU21" s="34">
        <v>37.96382413333334</v>
      </c>
    </row>
    <row r="22" spans="1:99" x14ac:dyDescent="0.25">
      <c r="A22" s="24">
        <v>21</v>
      </c>
      <c r="B22" s="26">
        <v>10</v>
      </c>
      <c r="C22" s="28">
        <v>1.8908463333333301</v>
      </c>
      <c r="D22" s="28">
        <v>4.2999999999999997E-2</v>
      </c>
      <c r="E22" s="28">
        <v>2.2167706666666702</v>
      </c>
      <c r="F22" s="28">
        <v>5.7000000000000002E-2</v>
      </c>
      <c r="G22" s="28">
        <v>0.35969433333333301</v>
      </c>
      <c r="H22" s="28">
        <v>0.110551</v>
      </c>
      <c r="I22" s="28">
        <v>4.5999999999999999E-2</v>
      </c>
      <c r="J22" s="28">
        <v>5.9854666666666702E-2</v>
      </c>
      <c r="K22" s="28">
        <v>0.21137366666666699</v>
      </c>
      <c r="L22" s="28">
        <v>0.95986666666666598</v>
      </c>
      <c r="M22" s="28">
        <v>0.23707666666666699</v>
      </c>
      <c r="N22" s="28">
        <v>7.7846666666666703E-2</v>
      </c>
      <c r="O22" s="28">
        <v>0.28237533333333298</v>
      </c>
      <c r="P22" s="28">
        <v>0.155295033333333</v>
      </c>
      <c r="Q22" s="28">
        <v>5.3999999999999999E-2</v>
      </c>
      <c r="R22" s="28">
        <v>8.5753333333333404E-2</v>
      </c>
      <c r="S22" s="28">
        <v>0.179768333333333</v>
      </c>
      <c r="T22" s="28">
        <v>0.257375666666667</v>
      </c>
      <c r="U22" s="28">
        <v>7.7915200000000004E-2</v>
      </c>
      <c r="V22" s="28">
        <v>0.22007133333333301</v>
      </c>
      <c r="W22" s="28">
        <v>4.9000000000000002E-2</v>
      </c>
      <c r="X22" s="28">
        <v>0.15099533333333301</v>
      </c>
      <c r="Y22" s="28">
        <v>5.8000000000000003E-2</v>
      </c>
      <c r="Z22" s="28">
        <v>0.35342576666666697</v>
      </c>
      <c r="AA22" s="28">
        <v>0.24293999999999999</v>
      </c>
      <c r="AB22" s="28">
        <v>0.31490899999999999</v>
      </c>
      <c r="AC22" s="28">
        <v>0.100976133333333</v>
      </c>
      <c r="AD22" s="28">
        <v>4.4999999999999998E-2</v>
      </c>
      <c r="AE22" s="28">
        <v>0.12618799999999999</v>
      </c>
      <c r="AF22" s="28">
        <v>0.33923599999999998</v>
      </c>
      <c r="AG22" s="28">
        <v>3.5999999999999997E-2</v>
      </c>
      <c r="AH22" s="28">
        <v>0.25084933333333298</v>
      </c>
      <c r="AI22" s="28">
        <v>0.33206833333333302</v>
      </c>
      <c r="AJ22" s="28">
        <v>1.2344241</v>
      </c>
      <c r="AK22" s="28">
        <v>1.31003266666667</v>
      </c>
      <c r="AL22" s="28">
        <v>5.1999999999999998E-2</v>
      </c>
      <c r="AM22" s="28">
        <v>1.02115</v>
      </c>
      <c r="AN22" s="28">
        <v>0.60986320000000105</v>
      </c>
      <c r="AO22" s="28">
        <v>0.12792493333333299</v>
      </c>
      <c r="AP22" s="28">
        <v>0.32934733333333399</v>
      </c>
      <c r="AQ22" s="28">
        <v>0.366759</v>
      </c>
      <c r="AR22" s="28">
        <v>0.17259333333333299</v>
      </c>
      <c r="AS22" s="28">
        <v>0.27749200000000002</v>
      </c>
      <c r="AT22" s="28">
        <v>0.35353166666666702</v>
      </c>
      <c r="AU22" s="28">
        <v>0.19691</v>
      </c>
      <c r="AV22" s="28">
        <v>0.26606400000000002</v>
      </c>
      <c r="AW22" s="28">
        <v>1.88673</v>
      </c>
      <c r="AX22" s="28">
        <v>0.06</v>
      </c>
      <c r="AY22" s="28">
        <v>4.9000000000000002E-2</v>
      </c>
      <c r="AZ22" s="28">
        <v>0.33039733333333299</v>
      </c>
      <c r="BA22" s="28">
        <v>0.18988666666666701</v>
      </c>
      <c r="BB22" s="28">
        <v>0.231979666666667</v>
      </c>
      <c r="BC22" s="28">
        <v>1.67809133333333</v>
      </c>
      <c r="BD22" s="28">
        <v>0.32930733333333301</v>
      </c>
      <c r="BE22" s="28">
        <v>0.13628833333333301</v>
      </c>
      <c r="BF22" s="28">
        <v>0.3357562</v>
      </c>
      <c r="BG22" s="28">
        <v>0.97096333333333296</v>
      </c>
      <c r="BH22" s="28">
        <v>2.9000000000000001E-2</v>
      </c>
      <c r="BI22" s="28">
        <v>4.8000000000000001E-2</v>
      </c>
      <c r="BJ22" s="28">
        <v>0.224947333333333</v>
      </c>
      <c r="BK22" s="28">
        <v>0.135399666666667</v>
      </c>
      <c r="BL22" s="28">
        <v>4.7E-2</v>
      </c>
      <c r="BM22" s="28">
        <v>0.113937133333333</v>
      </c>
      <c r="BN22" s="28">
        <v>0.43817066666666699</v>
      </c>
      <c r="BO22" s="28">
        <v>4.7E-2</v>
      </c>
      <c r="BP22" s="28">
        <v>0.201501333333333</v>
      </c>
      <c r="BQ22" s="28">
        <v>0.42978533333333302</v>
      </c>
      <c r="BR22" s="28">
        <v>0.13414000000000001</v>
      </c>
      <c r="BS22" s="28">
        <v>1.49473533333333</v>
      </c>
      <c r="BT22" s="28">
        <v>2.5369999999999999</v>
      </c>
      <c r="BU22" s="28">
        <v>0.12973799999999999</v>
      </c>
      <c r="BV22" s="28">
        <v>0.10099546666666701</v>
      </c>
      <c r="BW22" s="28">
        <v>0.25030999999999998</v>
      </c>
      <c r="BX22" s="28">
        <v>0.446975333333333</v>
      </c>
      <c r="BY22" s="28">
        <v>1.1433343333333299</v>
      </c>
      <c r="BZ22" s="28">
        <v>6.6000000000000003E-2</v>
      </c>
      <c r="CA22" s="28">
        <v>1.1336588000000001</v>
      </c>
      <c r="CB22" s="28">
        <v>0.24403266666666701</v>
      </c>
      <c r="CC22" s="28">
        <v>0.31987300000000002</v>
      </c>
      <c r="CD22" s="28">
        <v>8.5802666666666597E-2</v>
      </c>
      <c r="CE22" s="28">
        <v>0.66436266666666599</v>
      </c>
      <c r="CF22" s="28">
        <v>0.21823400000000001</v>
      </c>
      <c r="CG22" s="28">
        <v>7.0118E-2</v>
      </c>
      <c r="CH22" s="28">
        <v>0.12050900000000001</v>
      </c>
      <c r="CI22" s="28">
        <v>0.75919999999999999</v>
      </c>
      <c r="CJ22" s="28">
        <v>1.2423</v>
      </c>
      <c r="CK22" s="28">
        <v>4.8000000000000001E-2</v>
      </c>
      <c r="CL22" s="28">
        <v>0.33182600000000001</v>
      </c>
      <c r="CM22" s="28">
        <v>4.8000000000000001E-2</v>
      </c>
      <c r="CN22" s="28">
        <v>0.13389999999999999</v>
      </c>
      <c r="CO22" s="28">
        <v>0.29860833333333298</v>
      </c>
      <c r="CP22" s="28">
        <v>0.181115633333333</v>
      </c>
      <c r="CQ22" s="28">
        <v>1.1752180000000001</v>
      </c>
      <c r="CR22" s="28">
        <v>4.8000000000000001E-2</v>
      </c>
      <c r="CS22" s="28">
        <v>1.03582633333333</v>
      </c>
      <c r="CT22" s="28">
        <v>0.40710600280701748</v>
      </c>
      <c r="CU22" s="34">
        <v>38.675070266666673</v>
      </c>
    </row>
    <row r="23" spans="1:99" x14ac:dyDescent="0.25">
      <c r="A23" s="24">
        <v>22</v>
      </c>
      <c r="B23" s="26">
        <v>10.5</v>
      </c>
      <c r="C23" s="28">
        <v>1.6855946666666699</v>
      </c>
      <c r="D23" s="28">
        <v>9.6599000000000004E-2</v>
      </c>
      <c r="E23" s="28">
        <v>0.45074799999999998</v>
      </c>
      <c r="F23" s="28">
        <v>5.7000000000000002E-2</v>
      </c>
      <c r="G23" s="28">
        <v>0.29820400000000002</v>
      </c>
      <c r="H23" s="28">
        <v>6.3481999999999997E-2</v>
      </c>
      <c r="I23" s="28">
        <v>4.5999999999999999E-2</v>
      </c>
      <c r="J23" s="28">
        <v>0.12183733333333301</v>
      </c>
      <c r="K23" s="28">
        <v>7.21483333333333E-2</v>
      </c>
      <c r="L23" s="28">
        <v>0.95021666666666704</v>
      </c>
      <c r="M23" s="28">
        <v>0.1172</v>
      </c>
      <c r="N23" s="28">
        <v>0.112116666666667</v>
      </c>
      <c r="O23" s="28">
        <v>0.237866666666667</v>
      </c>
      <c r="P23" s="28">
        <v>9.9106666666666801E-2</v>
      </c>
      <c r="Q23" s="28">
        <v>5.3999999999999999E-2</v>
      </c>
      <c r="R23" s="28">
        <v>1.0393653333333299</v>
      </c>
      <c r="S23" s="28">
        <v>8.3699999999999997E-2</v>
      </c>
      <c r="T23" s="28">
        <v>9.2053666666666603E-2</v>
      </c>
      <c r="U23" s="28">
        <v>0.1087572</v>
      </c>
      <c r="V23" s="28">
        <v>0.31248666666666602</v>
      </c>
      <c r="W23" s="28">
        <v>5.4091E-2</v>
      </c>
      <c r="X23" s="28">
        <v>0.25237933333333301</v>
      </c>
      <c r="Y23" s="28">
        <v>0.25118119999999999</v>
      </c>
      <c r="Z23" s="28">
        <v>0.41366239999999999</v>
      </c>
      <c r="AA23" s="28">
        <v>0.249746</v>
      </c>
      <c r="AB23" s="28">
        <v>0.29946666666666699</v>
      </c>
      <c r="AC23" s="28">
        <v>0.30922713333333302</v>
      </c>
      <c r="AD23" s="28">
        <v>4.4999999999999998E-2</v>
      </c>
      <c r="AE23" s="28">
        <v>6.1981333333333402E-2</v>
      </c>
      <c r="AF23" s="28">
        <v>0.167402666666667</v>
      </c>
      <c r="AG23" s="28">
        <v>1.7484236666666699</v>
      </c>
      <c r="AH23" s="28">
        <v>5.2999999999999999E-2</v>
      </c>
      <c r="AI23" s="28">
        <v>1.3661540000000001</v>
      </c>
      <c r="AJ23" s="28">
        <v>0.56330800000000003</v>
      </c>
      <c r="AK23" s="28">
        <v>0.17627366666666699</v>
      </c>
      <c r="AL23" s="28">
        <v>5.1999999999999998E-2</v>
      </c>
      <c r="AM23" s="28">
        <v>9.6869999999999998E-2</v>
      </c>
      <c r="AN23" s="28">
        <v>0.20303733333333299</v>
      </c>
      <c r="AO23" s="28">
        <v>0.21856200000000001</v>
      </c>
      <c r="AP23" s="28">
        <v>6.4313999999999996E-2</v>
      </c>
      <c r="AQ23" s="28">
        <v>0.42779266666666699</v>
      </c>
      <c r="AR23" s="28">
        <v>4.9000000000000002E-2</v>
      </c>
      <c r="AS23" s="28">
        <v>0.22572</v>
      </c>
      <c r="AT23" s="28">
        <v>5.7000000000000002E-2</v>
      </c>
      <c r="AU23" s="28">
        <v>0.308802666666667</v>
      </c>
      <c r="AV23" s="28">
        <v>8.8872833333333401E-2</v>
      </c>
      <c r="AW23" s="28">
        <v>0.29237933333333299</v>
      </c>
      <c r="AX23" s="28">
        <v>0.06</v>
      </c>
      <c r="AY23" s="28">
        <v>0.110715333333333</v>
      </c>
      <c r="AZ23" s="28">
        <v>0.258826</v>
      </c>
      <c r="BA23" s="28">
        <v>0.14905333333333301</v>
      </c>
      <c r="BB23" s="28">
        <v>5.9484000000000002E-2</v>
      </c>
      <c r="BC23" s="28">
        <v>0.63519733333333295</v>
      </c>
      <c r="BD23" s="28">
        <v>1.07545293333333</v>
      </c>
      <c r="BE23" s="28">
        <v>0.391303333333333</v>
      </c>
      <c r="BF23" s="28">
        <v>3.0302133333333301</v>
      </c>
      <c r="BG23" s="28">
        <v>4.7E-2</v>
      </c>
      <c r="BH23" s="28">
        <v>2.9000000000000001E-2</v>
      </c>
      <c r="BI23" s="28">
        <v>4.8000000000000001E-2</v>
      </c>
      <c r="BJ23" s="28">
        <v>0.24901999999999999</v>
      </c>
      <c r="BK23" s="28">
        <v>6.9413000000000002E-2</v>
      </c>
      <c r="BL23" s="28">
        <v>5.5E-2</v>
      </c>
      <c r="BM23" s="28">
        <v>1.0339446666666701</v>
      </c>
      <c r="BN23" s="28">
        <v>0.26339426666666699</v>
      </c>
      <c r="BO23" s="28">
        <v>0.244786</v>
      </c>
      <c r="BP23" s="28">
        <v>0.26223400000000002</v>
      </c>
      <c r="BQ23" s="28">
        <v>0.36897466666666701</v>
      </c>
      <c r="BR23" s="28">
        <v>2.9000000000000001E-2</v>
      </c>
      <c r="BS23" s="28">
        <v>0.21889</v>
      </c>
      <c r="BT23" s="28">
        <v>2.6375666666666699</v>
      </c>
      <c r="BU23" s="28">
        <v>0.75810476666666704</v>
      </c>
      <c r="BV23" s="28">
        <v>0.25459666666666703</v>
      </c>
      <c r="BW23" s="28">
        <v>0.39737093333333401</v>
      </c>
      <c r="BX23" s="28">
        <v>2.2094543333333299</v>
      </c>
      <c r="BY23" s="28">
        <v>0.197365333333334</v>
      </c>
      <c r="BZ23" s="28">
        <v>0.354553333333333</v>
      </c>
      <c r="CA23" s="28">
        <v>0.91642333333333303</v>
      </c>
      <c r="CB23" s="28">
        <v>0.10134550000000001</v>
      </c>
      <c r="CC23" s="28">
        <v>0.14934766666666699</v>
      </c>
      <c r="CD23" s="28">
        <v>6.9401333333333301E-2</v>
      </c>
      <c r="CE23" s="28">
        <v>0.52300999999999997</v>
      </c>
      <c r="CF23" s="28">
        <v>4.7E-2</v>
      </c>
      <c r="CG23" s="28">
        <v>0.211183333333333</v>
      </c>
      <c r="CH23" s="28">
        <v>0.36325800000000003</v>
      </c>
      <c r="CI23" s="28">
        <v>1.3499000000000001</v>
      </c>
      <c r="CJ23" s="28">
        <v>0.39240133333333299</v>
      </c>
      <c r="CK23" s="28">
        <v>0.16475799999999999</v>
      </c>
      <c r="CL23" s="28">
        <v>5.2560999999999997E-2</v>
      </c>
      <c r="CM23" s="28">
        <v>0.10847999999999999</v>
      </c>
      <c r="CN23" s="28">
        <v>0.20269933333333301</v>
      </c>
      <c r="CO23" s="28">
        <v>0.27878333333333299</v>
      </c>
      <c r="CP23" s="28">
        <v>0.46770800000000001</v>
      </c>
      <c r="CQ23" s="28">
        <v>0.86871299999999996</v>
      </c>
      <c r="CR23" s="28">
        <v>0.18012</v>
      </c>
      <c r="CS23" s="28">
        <v>8.2879999999999995E-2</v>
      </c>
      <c r="CT23" s="28">
        <v>0.38128440175438588</v>
      </c>
      <c r="CU23" s="34">
        <v>36.222018166666658</v>
      </c>
    </row>
    <row r="24" spans="1:99" x14ac:dyDescent="0.25">
      <c r="A24" s="24">
        <v>23</v>
      </c>
      <c r="B24" s="26">
        <v>11</v>
      </c>
      <c r="C24" s="28">
        <v>8.4704000000000002E-2</v>
      </c>
      <c r="D24" s="28">
        <v>0.157855</v>
      </c>
      <c r="E24" s="28">
        <v>1.3429266666666699</v>
      </c>
      <c r="F24" s="28">
        <v>5.7000000000000002E-2</v>
      </c>
      <c r="G24" s="28">
        <v>0.198781666666667</v>
      </c>
      <c r="H24" s="28">
        <v>0.36749266666666702</v>
      </c>
      <c r="I24" s="28">
        <v>4.5999999999999999E-2</v>
      </c>
      <c r="J24" s="28">
        <v>5.0999999999999997E-2</v>
      </c>
      <c r="K24" s="28">
        <v>0.26441100000000001</v>
      </c>
      <c r="L24" s="28">
        <v>0.122896266666667</v>
      </c>
      <c r="M24" s="28">
        <v>0.16985</v>
      </c>
      <c r="N24" s="28">
        <v>5.5E-2</v>
      </c>
      <c r="O24" s="28">
        <v>0.175685333333333</v>
      </c>
      <c r="P24" s="28">
        <v>4.7E-2</v>
      </c>
      <c r="Q24" s="28">
        <v>0.168751333333333</v>
      </c>
      <c r="R24" s="28">
        <v>0.193964</v>
      </c>
      <c r="S24" s="28">
        <v>0.32245000000000001</v>
      </c>
      <c r="T24" s="28">
        <v>9.3091999999999994E-2</v>
      </c>
      <c r="U24" s="28">
        <v>9.1343766666666701E-2</v>
      </c>
      <c r="V24" s="28">
        <v>1.91319533333333</v>
      </c>
      <c r="W24" s="28">
        <v>7.9546000000000103E-2</v>
      </c>
      <c r="X24" s="28">
        <v>5.3841333333333297E-2</v>
      </c>
      <c r="Y24" s="28">
        <v>0.1290472</v>
      </c>
      <c r="Z24" s="28">
        <v>0.208576066666667</v>
      </c>
      <c r="AA24" s="28">
        <v>0.104445333333333</v>
      </c>
      <c r="AB24" s="28">
        <v>0.25000600000000001</v>
      </c>
      <c r="AC24" s="28">
        <v>1.54791533333333</v>
      </c>
      <c r="AD24" s="28">
        <v>0.197012666666667</v>
      </c>
      <c r="AE24" s="28">
        <v>0.1813478</v>
      </c>
      <c r="AF24" s="28">
        <v>0.15253800000000001</v>
      </c>
      <c r="AG24" s="28">
        <v>0.21560099999999999</v>
      </c>
      <c r="AH24" s="28">
        <v>0.125405666666667</v>
      </c>
      <c r="AI24" s="28">
        <v>0.333901</v>
      </c>
      <c r="AJ24" s="28">
        <v>0.154</v>
      </c>
      <c r="AK24" s="28">
        <v>1.1441686666666699</v>
      </c>
      <c r="AL24" s="28">
        <v>5.1999999999999998E-2</v>
      </c>
      <c r="AM24" s="28">
        <v>6.429E-2</v>
      </c>
      <c r="AN24" s="28">
        <v>8.6149600000000007E-2</v>
      </c>
      <c r="AO24" s="28">
        <v>0.17048033333333301</v>
      </c>
      <c r="AP24" s="28">
        <v>6.8085333333333303E-2</v>
      </c>
      <c r="AQ24" s="28">
        <v>0.42492400000000002</v>
      </c>
      <c r="AR24" s="28">
        <v>0.14787466666666699</v>
      </c>
      <c r="AS24" s="28">
        <v>0.12623733333333301</v>
      </c>
      <c r="AT24" s="28">
        <v>0.16390766666666701</v>
      </c>
      <c r="AU24" s="28">
        <v>0.23811233333333401</v>
      </c>
      <c r="AV24" s="28">
        <v>0.15853666666666699</v>
      </c>
      <c r="AW24" s="28">
        <v>0.17604400000000001</v>
      </c>
      <c r="AX24" s="28">
        <v>8.9663000000000007E-2</v>
      </c>
      <c r="AY24" s="28">
        <v>0.39117566666666698</v>
      </c>
      <c r="AZ24" s="28">
        <v>0.28309066666666699</v>
      </c>
      <c r="BA24" s="28">
        <v>3.4000000000000002E-2</v>
      </c>
      <c r="BB24" s="28">
        <v>0.206967333333333</v>
      </c>
      <c r="BC24" s="28">
        <v>0.67319600000000002</v>
      </c>
      <c r="BD24" s="28">
        <v>0.167091666666667</v>
      </c>
      <c r="BE24" s="28">
        <v>0.38413666666666602</v>
      </c>
      <c r="BF24" s="28">
        <v>2.3348599999999999</v>
      </c>
      <c r="BG24" s="28">
        <v>0.155696</v>
      </c>
      <c r="BH24" s="28">
        <v>2.9000000000000001E-2</v>
      </c>
      <c r="BI24" s="28">
        <v>0.199932</v>
      </c>
      <c r="BJ24" s="28">
        <v>0.18751000000000001</v>
      </c>
      <c r="BK24" s="28">
        <v>0.15347666666666701</v>
      </c>
      <c r="BL24" s="28">
        <v>8.1965933333333296E-2</v>
      </c>
      <c r="BM24" s="28">
        <v>0.85471266666666701</v>
      </c>
      <c r="BN24" s="28">
        <v>2.2582833333333299</v>
      </c>
      <c r="BO24" s="28">
        <v>0.23344000000000001</v>
      </c>
      <c r="BP24" s="28">
        <v>0.16120156666666699</v>
      </c>
      <c r="BQ24" s="28">
        <v>0.46256999999999998</v>
      </c>
      <c r="BR24" s="28">
        <v>0.340897333333333</v>
      </c>
      <c r="BS24" s="28">
        <v>0.70035866666666702</v>
      </c>
      <c r="BT24" s="28">
        <v>0.45450000000000002</v>
      </c>
      <c r="BU24" s="28">
        <v>2.5229133333333298</v>
      </c>
      <c r="BV24" s="28">
        <v>0.18795466666666699</v>
      </c>
      <c r="BW24" s="28">
        <v>5.7169333333333301E-2</v>
      </c>
      <c r="BX24" s="28">
        <v>2.5968</v>
      </c>
      <c r="BY24" s="28">
        <v>0.23474400000000001</v>
      </c>
      <c r="BZ24" s="28">
        <v>5.8000000000000003E-2</v>
      </c>
      <c r="CA24" s="28">
        <v>0.213653333333333</v>
      </c>
      <c r="CB24" s="28">
        <v>0.36645450000000002</v>
      </c>
      <c r="CC24" s="28">
        <v>9.4462000000000101E-2</v>
      </c>
      <c r="CD24" s="28">
        <v>0.110404666666667</v>
      </c>
      <c r="CE24" s="28">
        <v>0.483063666666666</v>
      </c>
      <c r="CF24" s="28">
        <v>0.104063</v>
      </c>
      <c r="CG24" s="28">
        <v>2.82669066666667</v>
      </c>
      <c r="CH24" s="28">
        <v>1.801426</v>
      </c>
      <c r="CI24" s="28">
        <v>5.3199999999999997E-2</v>
      </c>
      <c r="CJ24" s="28">
        <v>0.32569266666666702</v>
      </c>
      <c r="CK24" s="28">
        <v>0.14856</v>
      </c>
      <c r="CL24" s="28">
        <v>0.26753533333333301</v>
      </c>
      <c r="CM24" s="28">
        <v>6.5280000000000005E-2</v>
      </c>
      <c r="CN24" s="28">
        <v>5.8007999999999997E-2</v>
      </c>
      <c r="CO24" s="28">
        <v>0.46450666666666701</v>
      </c>
      <c r="CP24" s="28">
        <v>0.302043333333333</v>
      </c>
      <c r="CQ24" s="28">
        <v>1.2003649999999999</v>
      </c>
      <c r="CR24" s="28">
        <v>0.19722600000000001</v>
      </c>
      <c r="CS24" s="28">
        <v>0.15264</v>
      </c>
      <c r="CT24" s="28">
        <v>0.40429446701754368</v>
      </c>
      <c r="CU24" s="34">
        <v>38.407974366666657</v>
      </c>
    </row>
    <row r="25" spans="1:99" x14ac:dyDescent="0.25">
      <c r="A25" s="24">
        <v>24</v>
      </c>
      <c r="B25" s="26">
        <v>11.5</v>
      </c>
      <c r="C25" s="28">
        <v>0.28084999999999999</v>
      </c>
      <c r="D25" s="28">
        <v>4.2999999999999997E-2</v>
      </c>
      <c r="E25" s="28">
        <v>0.18221733333333301</v>
      </c>
      <c r="F25" s="28">
        <v>5.7000000000000002E-2</v>
      </c>
      <c r="G25" s="28">
        <v>0.442052</v>
      </c>
      <c r="H25" s="28">
        <v>1.55582</v>
      </c>
      <c r="I25" s="28">
        <v>4.5999999999999999E-2</v>
      </c>
      <c r="J25" s="28">
        <v>0.26208853333333398</v>
      </c>
      <c r="K25" s="28">
        <v>3.9E-2</v>
      </c>
      <c r="L25" s="28">
        <v>0.10024</v>
      </c>
      <c r="M25" s="28">
        <v>5.9516666666666697E-2</v>
      </c>
      <c r="N25" s="28">
        <v>0.20264933333333299</v>
      </c>
      <c r="O25" s="28">
        <v>0.18824733333333299</v>
      </c>
      <c r="P25" s="28">
        <v>0.36807000000000001</v>
      </c>
      <c r="Q25" s="28">
        <v>5.3999999999999999E-2</v>
      </c>
      <c r="R25" s="28">
        <v>0.61514643333333296</v>
      </c>
      <c r="S25" s="28">
        <v>0.107736766666667</v>
      </c>
      <c r="T25" s="28">
        <v>0.23700399999999999</v>
      </c>
      <c r="U25" s="28">
        <v>0.14603713333333301</v>
      </c>
      <c r="V25" s="28">
        <v>1.1067973333333301</v>
      </c>
      <c r="W25" s="28">
        <v>0.38130380000000003</v>
      </c>
      <c r="X25" s="28">
        <v>0.34953333333333297</v>
      </c>
      <c r="Y25" s="28">
        <v>0.24882699999999999</v>
      </c>
      <c r="Z25" s="28">
        <v>1.0992026666666701</v>
      </c>
      <c r="AA25" s="28">
        <v>9.8139666666666694E-2</v>
      </c>
      <c r="AB25" s="28">
        <v>0.56579299999999999</v>
      </c>
      <c r="AC25" s="28">
        <v>0.533897333333333</v>
      </c>
      <c r="AD25" s="28">
        <v>4.4999999999999998E-2</v>
      </c>
      <c r="AE25" s="28">
        <v>0.13698206666666701</v>
      </c>
      <c r="AF25" s="28">
        <v>6.4948666666666696E-2</v>
      </c>
      <c r="AG25" s="28">
        <v>0.28233200000000003</v>
      </c>
      <c r="AH25" s="28">
        <v>0.25049033333333298</v>
      </c>
      <c r="AI25" s="28">
        <v>0.104815933333333</v>
      </c>
      <c r="AJ25" s="28">
        <v>0.31699866666666698</v>
      </c>
      <c r="AK25" s="28">
        <v>1.6590986666666701</v>
      </c>
      <c r="AL25" s="28">
        <v>5.1999999999999998E-2</v>
      </c>
      <c r="AM25" s="28">
        <v>0.2109</v>
      </c>
      <c r="AN25" s="28">
        <v>0.13750399999999999</v>
      </c>
      <c r="AO25" s="28">
        <v>5.0723999999999998E-2</v>
      </c>
      <c r="AP25" s="28">
        <v>0.105798666666667</v>
      </c>
      <c r="AQ25" s="28">
        <v>4.2310333333333299</v>
      </c>
      <c r="AR25" s="28">
        <v>7.3718666666666599E-2</v>
      </c>
      <c r="AS25" s="28">
        <v>0.37100666666666698</v>
      </c>
      <c r="AT25" s="28">
        <v>0.25541566666666699</v>
      </c>
      <c r="AU25" s="28">
        <v>5.3999999999999999E-2</v>
      </c>
      <c r="AV25" s="28">
        <v>0.24402099999999999</v>
      </c>
      <c r="AW25" s="28">
        <v>6.5692E-2</v>
      </c>
      <c r="AX25" s="28">
        <v>9.86740333333333E-2</v>
      </c>
      <c r="AY25" s="28">
        <v>4.9000000000000002E-2</v>
      </c>
      <c r="AZ25" s="28">
        <v>0.15077866666666701</v>
      </c>
      <c r="BA25" s="28">
        <v>0.255948333333333</v>
      </c>
      <c r="BB25" s="28">
        <v>0.18686866666666699</v>
      </c>
      <c r="BC25" s="28">
        <v>0.37386866666666702</v>
      </c>
      <c r="BD25" s="28">
        <v>1.1581980000000001</v>
      </c>
      <c r="BE25" s="28">
        <v>2.0925213333333299</v>
      </c>
      <c r="BF25" s="28">
        <v>0.67030820000000002</v>
      </c>
      <c r="BG25" s="28">
        <v>0.14171400000000001</v>
      </c>
      <c r="BH25" s="28">
        <v>2.9000000000000001E-2</v>
      </c>
      <c r="BI25" s="28">
        <v>4.8000000000000001E-2</v>
      </c>
      <c r="BJ25" s="28">
        <v>0.55271566666666705</v>
      </c>
      <c r="BK25" s="28">
        <v>3.7999999999999999E-2</v>
      </c>
      <c r="BL25" s="28">
        <v>5.9652999999999998E-2</v>
      </c>
      <c r="BM25" s="28">
        <v>1.4406333333333301</v>
      </c>
      <c r="BN25" s="28">
        <v>2.7793700000000001</v>
      </c>
      <c r="BO25" s="28">
        <v>0.20226</v>
      </c>
      <c r="BP25" s="28">
        <v>0.53858753333333298</v>
      </c>
      <c r="BQ25" s="28">
        <v>0.27652399999999999</v>
      </c>
      <c r="BR25" s="28">
        <v>0.30540699999999998</v>
      </c>
      <c r="BS25" s="28">
        <v>1.88100666666667</v>
      </c>
      <c r="BT25" s="28">
        <v>3.7999999999999999E-2</v>
      </c>
      <c r="BU25" s="28">
        <v>1.7852139</v>
      </c>
      <c r="BV25" s="28">
        <v>0.33541500000000002</v>
      </c>
      <c r="BW25" s="28">
        <v>4.8000000000000001E-2</v>
      </c>
      <c r="BX25" s="28">
        <v>1.9509829999999999</v>
      </c>
      <c r="BY25" s="28">
        <v>0.61951766666666697</v>
      </c>
      <c r="BZ25" s="28">
        <v>0.13499266666666701</v>
      </c>
      <c r="CA25" s="28">
        <v>1.0144933333333299</v>
      </c>
      <c r="CB25" s="28">
        <v>0.181830833333333</v>
      </c>
      <c r="CC25" s="28">
        <v>6.7159333333333293E-2</v>
      </c>
      <c r="CD25" s="28">
        <v>5.2999999999999999E-2</v>
      </c>
      <c r="CE25" s="28">
        <v>0.81832533333333402</v>
      </c>
      <c r="CF25" s="28">
        <v>0.29088399999999998</v>
      </c>
      <c r="CG25" s="28">
        <v>0.24104193333333301</v>
      </c>
      <c r="CH25" s="28">
        <v>6.5668666666666695E-2</v>
      </c>
      <c r="CI25" s="28">
        <v>4.9000000000000002E-2</v>
      </c>
      <c r="CJ25" s="28">
        <v>1.3252286666666699</v>
      </c>
      <c r="CK25" s="28">
        <v>9.0219999999999995E-2</v>
      </c>
      <c r="CL25" s="28">
        <v>0.150976</v>
      </c>
      <c r="CM25" s="28">
        <v>6.096E-2</v>
      </c>
      <c r="CN25" s="28">
        <v>4.3999999999999997E-2</v>
      </c>
      <c r="CO25" s="28">
        <v>0.323087333333333</v>
      </c>
      <c r="CP25" s="28">
        <v>1.1611852333333299</v>
      </c>
      <c r="CQ25" s="28">
        <v>1.071078</v>
      </c>
      <c r="CR25" s="28">
        <v>5.4548666666666697E-2</v>
      </c>
      <c r="CS25" s="28">
        <v>0.181329666666667</v>
      </c>
      <c r="CT25" s="28">
        <v>0.4586086982456139</v>
      </c>
      <c r="CU25" s="34">
        <v>43.567826333333322</v>
      </c>
    </row>
    <row r="26" spans="1:99" x14ac:dyDescent="0.25">
      <c r="A26" s="24">
        <v>25</v>
      </c>
      <c r="B26" s="26">
        <v>12</v>
      </c>
      <c r="C26" s="28">
        <v>0.14665966666666699</v>
      </c>
      <c r="D26" s="28">
        <v>0.267092</v>
      </c>
      <c r="E26" s="28">
        <v>0.59880199999999995</v>
      </c>
      <c r="F26" s="28">
        <v>5.7000000000000002E-2</v>
      </c>
      <c r="G26" s="28">
        <v>0.25384133333333297</v>
      </c>
      <c r="H26" s="28">
        <v>0.25452000000000002</v>
      </c>
      <c r="I26" s="28">
        <v>4.5999999999999999E-2</v>
      </c>
      <c r="J26" s="28">
        <v>0.159103666666667</v>
      </c>
      <c r="K26" s="28">
        <v>0.204080333333333</v>
      </c>
      <c r="L26" s="28">
        <v>0.200604</v>
      </c>
      <c r="M26" s="28">
        <v>5.3999999999999999E-2</v>
      </c>
      <c r="N26" s="28">
        <v>0.152768666666667</v>
      </c>
      <c r="O26" s="28">
        <v>0.14846000000000001</v>
      </c>
      <c r="P26" s="28">
        <v>9.6410000000000107E-2</v>
      </c>
      <c r="Q26" s="28">
        <v>0.13568733333333299</v>
      </c>
      <c r="R26" s="28">
        <v>2.7439666666666702</v>
      </c>
      <c r="S26" s="28">
        <v>6.1728999999999999E-2</v>
      </c>
      <c r="T26" s="28">
        <v>0.110115133333333</v>
      </c>
      <c r="U26" s="28">
        <v>0.21989666666666699</v>
      </c>
      <c r="V26" s="28">
        <v>1.3464993333333299</v>
      </c>
      <c r="W26" s="28">
        <v>7.0480000000000001E-2</v>
      </c>
      <c r="X26" s="28">
        <v>3.9E-2</v>
      </c>
      <c r="Y26" s="28">
        <v>0.109803333333333</v>
      </c>
      <c r="Z26" s="28">
        <v>1.0082599999999999</v>
      </c>
      <c r="AA26" s="28">
        <v>0.32039499999999999</v>
      </c>
      <c r="AB26" s="28">
        <v>0.23608399999999999</v>
      </c>
      <c r="AC26" s="28">
        <v>0.42896766666666603</v>
      </c>
      <c r="AD26" s="28">
        <v>0.127916</v>
      </c>
      <c r="AE26" s="28">
        <v>0.23296</v>
      </c>
      <c r="AF26" s="28">
        <v>0.218252</v>
      </c>
      <c r="AG26" s="28">
        <v>0.25899466666666698</v>
      </c>
      <c r="AH26" s="28">
        <v>5.85696666666667E-2</v>
      </c>
      <c r="AI26" s="28">
        <v>0.67362460000000002</v>
      </c>
      <c r="AJ26" s="28">
        <v>0.33289233333333301</v>
      </c>
      <c r="AK26" s="28">
        <v>2.9719133333333301</v>
      </c>
      <c r="AL26" s="28">
        <v>5.1999999999999998E-2</v>
      </c>
      <c r="AM26" s="28">
        <v>4.8000000000000001E-2</v>
      </c>
      <c r="AN26" s="28">
        <v>0.12225333333333301</v>
      </c>
      <c r="AO26" s="28">
        <v>0.308748666666667</v>
      </c>
      <c r="AP26" s="28">
        <v>0.333372</v>
      </c>
      <c r="AQ26" s="28">
        <v>3.2232266666666698</v>
      </c>
      <c r="AR26" s="28">
        <v>4.9000000000000002E-2</v>
      </c>
      <c r="AS26" s="28">
        <v>6.7522666666666703E-2</v>
      </c>
      <c r="AT26" s="28">
        <v>0.22718866666666701</v>
      </c>
      <c r="AU26" s="28">
        <v>0.25716366666666701</v>
      </c>
      <c r="AV26" s="28">
        <v>0.37146966666666698</v>
      </c>
      <c r="AW26" s="28">
        <v>0.31090200000000001</v>
      </c>
      <c r="AX26" s="28">
        <v>0.06</v>
      </c>
      <c r="AY26" s="28">
        <v>8.2231333333333295E-2</v>
      </c>
      <c r="AZ26" s="28">
        <v>1.0042546666666701</v>
      </c>
      <c r="BA26" s="28">
        <v>0.33553539999999998</v>
      </c>
      <c r="BB26" s="28">
        <v>0.29650700000000002</v>
      </c>
      <c r="BC26" s="28">
        <v>0.29950733333333301</v>
      </c>
      <c r="BD26" s="28">
        <v>2.1677266666666699</v>
      </c>
      <c r="BE26" s="28">
        <v>1.09109266666667</v>
      </c>
      <c r="BF26" s="28">
        <v>8.1142000000000006E-2</v>
      </c>
      <c r="BG26" s="28">
        <v>4.7E-2</v>
      </c>
      <c r="BH26" s="28">
        <v>2.9000000000000001E-2</v>
      </c>
      <c r="BI26" s="28">
        <v>0.14468400000000001</v>
      </c>
      <c r="BJ26" s="28">
        <v>0.18751000000000001</v>
      </c>
      <c r="BK26" s="28">
        <v>9.57383333333333E-2</v>
      </c>
      <c r="BL26" s="28">
        <v>6.4469833333333296E-2</v>
      </c>
      <c r="BM26" s="28">
        <v>4.8000000000000001E-2</v>
      </c>
      <c r="BN26" s="28">
        <v>1.2671520000000001</v>
      </c>
      <c r="BO26" s="28">
        <v>0.25146600000000002</v>
      </c>
      <c r="BP26" s="28">
        <v>6.3143900000000003E-2</v>
      </c>
      <c r="BQ26" s="28">
        <v>0.29268333333333402</v>
      </c>
      <c r="BR26" s="28">
        <v>3.60093333333334E-2</v>
      </c>
      <c r="BS26" s="28">
        <v>7.9954666666666702E-2</v>
      </c>
      <c r="BT26" s="28">
        <v>3.7999999999999999E-2</v>
      </c>
      <c r="BU26" s="28">
        <v>0.16196226666666699</v>
      </c>
      <c r="BV26" s="28">
        <v>0.41296436666666703</v>
      </c>
      <c r="BW26" s="28">
        <v>0.31471393333333297</v>
      </c>
      <c r="BX26" s="28">
        <v>0.208997666666667</v>
      </c>
      <c r="BY26" s="28">
        <v>0.55484533333333297</v>
      </c>
      <c r="BZ26" s="28">
        <v>0.28555966666666699</v>
      </c>
      <c r="CA26" s="28">
        <v>1.361308</v>
      </c>
      <c r="CB26" s="28">
        <v>0.35850799999999999</v>
      </c>
      <c r="CC26" s="28">
        <v>0.35494399999999998</v>
      </c>
      <c r="CD26" s="28">
        <v>5.2999999999999999E-2</v>
      </c>
      <c r="CE26" s="28">
        <v>0.41269166666666701</v>
      </c>
      <c r="CF26" s="28">
        <v>0.26217473333333302</v>
      </c>
      <c r="CG26" s="28">
        <v>1.5181563</v>
      </c>
      <c r="CH26" s="28">
        <v>0.128343333333333</v>
      </c>
      <c r="CI26" s="28">
        <v>6.4333333333333298E-2</v>
      </c>
      <c r="CJ26" s="28">
        <v>0.52892859999999997</v>
      </c>
      <c r="CK26" s="28">
        <v>0.27293800000000001</v>
      </c>
      <c r="CL26" s="28">
        <v>0.22817066666666699</v>
      </c>
      <c r="CM26" s="28">
        <v>0.1128</v>
      </c>
      <c r="CN26" s="28">
        <v>0.22120933333333301</v>
      </c>
      <c r="CO26" s="28">
        <v>0.414173666666667</v>
      </c>
      <c r="CP26" s="28">
        <v>1.862881</v>
      </c>
      <c r="CQ26" s="28">
        <v>0.92419200000000001</v>
      </c>
      <c r="CR26" s="28">
        <v>0.30912766666666702</v>
      </c>
      <c r="CS26" s="28">
        <v>1.559958</v>
      </c>
      <c r="CT26" s="28">
        <v>0.42806195508771938</v>
      </c>
      <c r="CU26" s="34">
        <v>40.665885733333347</v>
      </c>
    </row>
    <row r="27" spans="1:99" x14ac:dyDescent="0.25">
      <c r="A27" s="24">
        <v>26</v>
      </c>
      <c r="B27" s="26">
        <v>12.5</v>
      </c>
      <c r="C27" s="28">
        <v>0.30598633333333303</v>
      </c>
      <c r="D27" s="28">
        <v>0.12249</v>
      </c>
      <c r="E27" s="28">
        <v>0.33383400000000002</v>
      </c>
      <c r="F27" s="28">
        <v>5.7000000000000002E-2</v>
      </c>
      <c r="G27" s="28">
        <v>0.326239</v>
      </c>
      <c r="H27" s="28">
        <v>0.30587799999999998</v>
      </c>
      <c r="I27" s="28">
        <v>4.5999999999999999E-2</v>
      </c>
      <c r="J27" s="28">
        <v>0.151</v>
      </c>
      <c r="K27" s="28">
        <v>0.13247900000000001</v>
      </c>
      <c r="L27" s="28">
        <v>5.8484000000000001E-2</v>
      </c>
      <c r="M27" s="28">
        <v>0.114683333333333</v>
      </c>
      <c r="N27" s="28">
        <v>8.9270000000000002E-2</v>
      </c>
      <c r="O27" s="28">
        <v>0.33684120000000001</v>
      </c>
      <c r="P27" s="28">
        <v>0.28182499999999999</v>
      </c>
      <c r="Q27" s="28">
        <v>0.48272433333333298</v>
      </c>
      <c r="R27" s="28">
        <v>2.6800199999999998</v>
      </c>
      <c r="S27" s="28">
        <v>1.3952423</v>
      </c>
      <c r="T27" s="28">
        <v>1.48520733333333</v>
      </c>
      <c r="U27" s="28">
        <v>0.25448866666666697</v>
      </c>
      <c r="V27" s="28">
        <v>0.16274</v>
      </c>
      <c r="W27" s="28">
        <v>0.10996</v>
      </c>
      <c r="X27" s="28">
        <v>3.9E-2</v>
      </c>
      <c r="Y27" s="28">
        <v>0.21669333333333299</v>
      </c>
      <c r="Z27" s="28">
        <v>0.22346833333333299</v>
      </c>
      <c r="AA27" s="28">
        <v>0.155266666666667</v>
      </c>
      <c r="AB27" s="28">
        <v>0.161953333333333</v>
      </c>
      <c r="AC27" s="28">
        <v>0.39076699999999998</v>
      </c>
      <c r="AD27" s="28">
        <v>0.114096666666667</v>
      </c>
      <c r="AE27" s="28">
        <v>0.29896</v>
      </c>
      <c r="AF27" s="28">
        <v>0.163486666666667</v>
      </c>
      <c r="AG27" s="28">
        <v>0.25825399999999998</v>
      </c>
      <c r="AH27" s="28">
        <v>0.158823666666667</v>
      </c>
      <c r="AI27" s="28">
        <v>1.22933</v>
      </c>
      <c r="AJ27" s="28">
        <v>0.14633733333333299</v>
      </c>
      <c r="AK27" s="28">
        <v>2.5166406666666701</v>
      </c>
      <c r="AL27" s="28">
        <v>5.1999999999999998E-2</v>
      </c>
      <c r="AM27" s="28">
        <v>0.22719</v>
      </c>
      <c r="AN27" s="28">
        <v>4.5999999999999999E-2</v>
      </c>
      <c r="AO27" s="28">
        <v>0.25542316666666698</v>
      </c>
      <c r="AP27" s="28">
        <v>8.3170666666666601E-2</v>
      </c>
      <c r="AQ27" s="28">
        <v>0.65944733333333305</v>
      </c>
      <c r="AR27" s="28">
        <v>9.2257666666666599E-2</v>
      </c>
      <c r="AS27" s="28">
        <v>0.150449</v>
      </c>
      <c r="AT27" s="28">
        <v>0.37794499999999998</v>
      </c>
      <c r="AU27" s="28">
        <v>0.31151400000000001</v>
      </c>
      <c r="AV27" s="28">
        <v>0.25856166666666702</v>
      </c>
      <c r="AW27" s="28">
        <v>6.1445E-2</v>
      </c>
      <c r="AX27" s="28">
        <v>0.10165766666666699</v>
      </c>
      <c r="AY27" s="28">
        <v>0.110715333333333</v>
      </c>
      <c r="AZ27" s="28">
        <v>0.12614400000000001</v>
      </c>
      <c r="BA27" s="28">
        <v>1.3298666666666701</v>
      </c>
      <c r="BB27" s="28">
        <v>0.124455</v>
      </c>
      <c r="BC27" s="28">
        <v>0.25144633333333299</v>
      </c>
      <c r="BD27" s="28">
        <v>1.64635873333333</v>
      </c>
      <c r="BE27" s="28">
        <v>0.35982999999999998</v>
      </c>
      <c r="BF27" s="28">
        <v>8.3141933333333307E-2</v>
      </c>
      <c r="BG27" s="28">
        <v>0.182205333333333</v>
      </c>
      <c r="BH27" s="28">
        <v>0.67879999999999996</v>
      </c>
      <c r="BI27" s="28">
        <v>0.10324800000000001</v>
      </c>
      <c r="BJ27" s="28">
        <v>0.53835</v>
      </c>
      <c r="BK27" s="28">
        <v>0.158564333333333</v>
      </c>
      <c r="BL27" s="28">
        <v>4.7E-2</v>
      </c>
      <c r="BM27" s="28">
        <v>0.20096</v>
      </c>
      <c r="BN27" s="28">
        <v>0.38601333333333299</v>
      </c>
      <c r="BO27" s="28">
        <v>6.6443199999999994E-2</v>
      </c>
      <c r="BP27" s="28">
        <v>0.33457199999999998</v>
      </c>
      <c r="BQ27" s="28">
        <v>0.30097933333333299</v>
      </c>
      <c r="BR27" s="28">
        <v>0.17619599999999999</v>
      </c>
      <c r="BS27" s="28">
        <v>0.36581733333333399</v>
      </c>
      <c r="BT27" s="28">
        <v>0.13858999999999999</v>
      </c>
      <c r="BU27" s="28">
        <v>0.29141440000000002</v>
      </c>
      <c r="BV27" s="28">
        <v>5.3999999999999999E-2</v>
      </c>
      <c r="BW27" s="28">
        <v>0.51243266666666698</v>
      </c>
      <c r="BX27" s="28">
        <v>0.26389966666666698</v>
      </c>
      <c r="BY27" s="28">
        <v>0.72737333333333398</v>
      </c>
      <c r="BZ27" s="28">
        <v>5.8000000000000003E-2</v>
      </c>
      <c r="CA27" s="28">
        <v>0.40716933333333299</v>
      </c>
      <c r="CB27" s="28">
        <v>1.39117133333333</v>
      </c>
      <c r="CC27" s="28">
        <v>9.1941000000000106E-2</v>
      </c>
      <c r="CD27" s="28">
        <v>0.126806</v>
      </c>
      <c r="CE27" s="28">
        <v>0.405117</v>
      </c>
      <c r="CF27" s="28">
        <v>0.50414333333333305</v>
      </c>
      <c r="CG27" s="28">
        <v>0.63084269999999998</v>
      </c>
      <c r="CH27" s="28">
        <v>0.144012</v>
      </c>
      <c r="CI27" s="28">
        <v>8.3616733333333304E-2</v>
      </c>
      <c r="CJ27" s="28">
        <v>0.379944</v>
      </c>
      <c r="CK27" s="28">
        <v>0.22682266666666701</v>
      </c>
      <c r="CL27" s="28">
        <v>0.19034200000000001</v>
      </c>
      <c r="CM27" s="28">
        <v>4.8000000000000001E-2</v>
      </c>
      <c r="CN27" s="28">
        <v>0.29209333333333398</v>
      </c>
      <c r="CO27" s="28">
        <v>0.36623733333333403</v>
      </c>
      <c r="CP27" s="28">
        <v>2.12331466666667</v>
      </c>
      <c r="CQ27" s="28">
        <v>3.7225799999999998</v>
      </c>
      <c r="CR27" s="28">
        <v>6.1670000000000003E-2</v>
      </c>
      <c r="CS27" s="28">
        <v>0.88299999999999901</v>
      </c>
      <c r="CT27" s="28">
        <v>0.41766496526315772</v>
      </c>
      <c r="CU27" s="34">
        <v>39.678171699999979</v>
      </c>
    </row>
    <row r="28" spans="1:99" x14ac:dyDescent="0.25">
      <c r="A28" s="24">
        <v>27</v>
      </c>
      <c r="B28" s="26">
        <v>13</v>
      </c>
      <c r="C28" s="28">
        <v>0.22350400000000001</v>
      </c>
      <c r="D28" s="28">
        <v>1.1124130000000001</v>
      </c>
      <c r="E28" s="28">
        <v>0.35181966666666697</v>
      </c>
      <c r="F28" s="28">
        <v>5.7000000000000002E-2</v>
      </c>
      <c r="G28" s="28">
        <v>0.74060899999999996</v>
      </c>
      <c r="H28" s="28">
        <v>0.10689333333333299</v>
      </c>
      <c r="I28" s="28">
        <v>4.5999999999999999E-2</v>
      </c>
      <c r="J28" s="28">
        <v>0.46156666666666701</v>
      </c>
      <c r="K28" s="28">
        <v>3.9E-2</v>
      </c>
      <c r="L28" s="28">
        <v>4.1000000000000002E-2</v>
      </c>
      <c r="M28" s="28">
        <v>0.114683333333333</v>
      </c>
      <c r="N28" s="28">
        <v>0.25110666666666698</v>
      </c>
      <c r="O28" s="28">
        <v>0.24566463333333299</v>
      </c>
      <c r="P28" s="28">
        <v>6.9934866666666706E-2</v>
      </c>
      <c r="Q28" s="28">
        <v>0.24502399999999999</v>
      </c>
      <c r="R28" s="28">
        <v>0.84068833333333304</v>
      </c>
      <c r="S28" s="28">
        <v>1.0523</v>
      </c>
      <c r="T28" s="28">
        <v>8.75214666666667E-2</v>
      </c>
      <c r="U28" s="28">
        <v>0.20494999999999999</v>
      </c>
      <c r="V28" s="28">
        <v>0.32993600000000001</v>
      </c>
      <c r="W28" s="28">
        <v>4.9000000000000002E-2</v>
      </c>
      <c r="X28" s="28">
        <v>0.103848</v>
      </c>
      <c r="Y28" s="28">
        <v>5.8000000000000003E-2</v>
      </c>
      <c r="Z28" s="28">
        <v>0.168321</v>
      </c>
      <c r="AA28" s="28">
        <v>0.197730566666667</v>
      </c>
      <c r="AB28" s="28">
        <v>5.3999999999999999E-2</v>
      </c>
      <c r="AC28" s="28">
        <v>0.19696333333333299</v>
      </c>
      <c r="AD28" s="28">
        <v>5.1909666666666701E-2</v>
      </c>
      <c r="AE28" s="28">
        <v>0.34540466666666703</v>
      </c>
      <c r="AF28" s="28">
        <v>5.3999999999999999E-2</v>
      </c>
      <c r="AG28" s="28">
        <v>0.35853566666666697</v>
      </c>
      <c r="AH28" s="28">
        <v>0.117842</v>
      </c>
      <c r="AI28" s="28">
        <v>0.33641933333333301</v>
      </c>
      <c r="AJ28" s="28">
        <v>0.24921399999999999</v>
      </c>
      <c r="AK28" s="28">
        <v>0.38865033333333299</v>
      </c>
      <c r="AL28" s="28">
        <v>5.1999999999999998E-2</v>
      </c>
      <c r="AM28" s="28">
        <v>4.8000000000000001E-2</v>
      </c>
      <c r="AN28" s="28">
        <v>0.19088133333333299</v>
      </c>
      <c r="AO28" s="28">
        <v>0.238875266666667</v>
      </c>
      <c r="AP28" s="28">
        <v>5.2999999999999999E-2</v>
      </c>
      <c r="AQ28" s="28">
        <v>0.33349499999999999</v>
      </c>
      <c r="AR28" s="28">
        <v>0.12933566666666699</v>
      </c>
      <c r="AS28" s="28">
        <v>0.33603100000000002</v>
      </c>
      <c r="AT28" s="28">
        <v>0.53743200000000002</v>
      </c>
      <c r="AU28" s="28">
        <v>5.3999999999999999E-2</v>
      </c>
      <c r="AV28" s="28">
        <v>0.20378599999999999</v>
      </c>
      <c r="AW28" s="28">
        <v>0.18603149999999999</v>
      </c>
      <c r="AX28" s="28">
        <v>0.06</v>
      </c>
      <c r="AY28" s="28">
        <v>4.9000000000000002E-2</v>
      </c>
      <c r="AZ28" s="28">
        <v>0.10827199999999999</v>
      </c>
      <c r="BA28" s="28">
        <v>0.18673653333333301</v>
      </c>
      <c r="BB28" s="28">
        <v>6.7164333333333395E-2</v>
      </c>
      <c r="BC28" s="28">
        <v>0.39851999999999999</v>
      </c>
      <c r="BD28" s="28">
        <v>0.21170720000000001</v>
      </c>
      <c r="BE28" s="28">
        <v>0.411503333333333</v>
      </c>
      <c r="BF28" s="28">
        <v>0.24562999999999999</v>
      </c>
      <c r="BG28" s="28">
        <v>0.176538</v>
      </c>
      <c r="BH28" s="28">
        <v>0.79154133333333399</v>
      </c>
      <c r="BI28" s="28">
        <v>4.8000000000000001E-2</v>
      </c>
      <c r="BJ28" s="28">
        <v>0.253711666666667</v>
      </c>
      <c r="BK28" s="28">
        <v>3.7999999999999999E-2</v>
      </c>
      <c r="BL28" s="28">
        <v>6.13E-2</v>
      </c>
      <c r="BM28" s="28">
        <v>0.13502</v>
      </c>
      <c r="BN28" s="28">
        <v>5.0066666666666697E-2</v>
      </c>
      <c r="BO28" s="28">
        <v>1.0695629333333301</v>
      </c>
      <c r="BP28" s="28">
        <v>0.33231666666666698</v>
      </c>
      <c r="BQ28" s="28">
        <v>0.17875666666666701</v>
      </c>
      <c r="BR28" s="28">
        <v>2.9000000000000001E-2</v>
      </c>
      <c r="BS28" s="28">
        <v>5.86666666666667E-2</v>
      </c>
      <c r="BT28" s="28">
        <v>3.7999999999999999E-2</v>
      </c>
      <c r="BU28" s="28">
        <v>5.1513700000000003E-2</v>
      </c>
      <c r="BV28" s="28">
        <v>0.16418666666666701</v>
      </c>
      <c r="BW28" s="28">
        <v>4.8000000000000001E-2</v>
      </c>
      <c r="BX28" s="28">
        <v>0.239846</v>
      </c>
      <c r="BY28" s="28">
        <v>0.40089799999999998</v>
      </c>
      <c r="BZ28" s="28">
        <v>0.341698</v>
      </c>
      <c r="CA28" s="28">
        <v>0.32971066666666698</v>
      </c>
      <c r="CB28" s="28">
        <v>8.5976666666666701E-2</v>
      </c>
      <c r="CC28" s="28">
        <v>0.22169133333333299</v>
      </c>
      <c r="CD28" s="28">
        <v>0.10226666666666701</v>
      </c>
      <c r="CE28" s="28">
        <v>0.167374</v>
      </c>
      <c r="CF28" s="28">
        <v>4.7E-2</v>
      </c>
      <c r="CG28" s="28">
        <v>0.171902266666667</v>
      </c>
      <c r="CH28" s="28">
        <v>0.05</v>
      </c>
      <c r="CI28" s="28">
        <v>0.372509066666667</v>
      </c>
      <c r="CJ28" s="28">
        <v>0.19586000000000001</v>
      </c>
      <c r="CK28" s="28">
        <v>0.14610400000000001</v>
      </c>
      <c r="CL28" s="28">
        <v>7.9853999999999994E-2</v>
      </c>
      <c r="CM28" s="28">
        <v>6.096E-2</v>
      </c>
      <c r="CN28" s="28">
        <v>4.3999999999999997E-2</v>
      </c>
      <c r="CO28" s="28">
        <v>0.11426799999999999</v>
      </c>
      <c r="CP28" s="28">
        <v>0.31413600000000003</v>
      </c>
      <c r="CQ28" s="28">
        <v>2.6225000000000001</v>
      </c>
      <c r="CR28" s="28">
        <v>0.27466600000000002</v>
      </c>
      <c r="CS28" s="28">
        <v>1.9229799999999999</v>
      </c>
      <c r="CT28" s="28">
        <v>0.26613932982456151</v>
      </c>
      <c r="CU28" s="34">
        <v>25.283236333333338</v>
      </c>
    </row>
    <row r="29" spans="1:99" x14ac:dyDescent="0.25">
      <c r="A29" s="24">
        <v>28</v>
      </c>
      <c r="B29" s="26">
        <v>13.5</v>
      </c>
      <c r="C29" s="28">
        <v>1.72858166666667</v>
      </c>
      <c r="D29" s="28">
        <v>0.104256</v>
      </c>
      <c r="E29" s="28">
        <v>0.56092866666666696</v>
      </c>
      <c r="F29" s="28">
        <v>5.7000000000000002E-2</v>
      </c>
      <c r="G29" s="28">
        <v>0.29783999999999999</v>
      </c>
      <c r="H29" s="28">
        <v>0.22222</v>
      </c>
      <c r="I29" s="28">
        <v>4.5999999999999999E-2</v>
      </c>
      <c r="J29" s="28">
        <v>0.226395333333333</v>
      </c>
      <c r="K29" s="28">
        <v>0.207394</v>
      </c>
      <c r="L29" s="28">
        <v>0.13477666666666699</v>
      </c>
      <c r="M29" s="28">
        <v>5.3999999999999999E-2</v>
      </c>
      <c r="N29" s="28">
        <v>7.0041333333333303E-2</v>
      </c>
      <c r="O29" s="28">
        <v>0.18090816666666701</v>
      </c>
      <c r="P29" s="28">
        <v>6.1286E-2</v>
      </c>
      <c r="Q29" s="28">
        <v>0.184069333333333</v>
      </c>
      <c r="R29" s="28">
        <v>0.50053966666666705</v>
      </c>
      <c r="S29" s="28">
        <v>0.75046666666666695</v>
      </c>
      <c r="T29" s="28">
        <v>0.449378533333334</v>
      </c>
      <c r="U29" s="28">
        <v>0.22947000000000001</v>
      </c>
      <c r="V29" s="28">
        <v>0.395625333333333</v>
      </c>
      <c r="W29" s="28">
        <v>0.10996</v>
      </c>
      <c r="X29" s="28">
        <v>0.299526666666667</v>
      </c>
      <c r="Y29" s="28">
        <v>8.6853333333333393E-2</v>
      </c>
      <c r="Z29" s="28">
        <v>0.102553066666667</v>
      </c>
      <c r="AA29" s="28">
        <v>0.20443220000000001</v>
      </c>
      <c r="AB29" s="28">
        <v>5.3999999999999999E-2</v>
      </c>
      <c r="AC29" s="28">
        <v>1.9930540000000001</v>
      </c>
      <c r="AD29" s="28">
        <v>0.19010299999999999</v>
      </c>
      <c r="AE29" s="28">
        <v>0.37430400000000003</v>
      </c>
      <c r="AF29" s="28">
        <v>0.17295533333333299</v>
      </c>
      <c r="AG29" s="28">
        <v>0.17738633333333301</v>
      </c>
      <c r="AH29" s="28">
        <v>0.14666066666666699</v>
      </c>
      <c r="AI29" s="28">
        <v>0.38512666666666701</v>
      </c>
      <c r="AJ29" s="28">
        <v>7.1415999999999993E-2</v>
      </c>
      <c r="AK29" s="28">
        <v>0.45312533333333299</v>
      </c>
      <c r="AL29" s="28">
        <v>5.1999999999999998E-2</v>
      </c>
      <c r="AM29" s="28">
        <v>4.8000000000000001E-2</v>
      </c>
      <c r="AN29" s="28">
        <v>1.1295786666666701</v>
      </c>
      <c r="AO29" s="28">
        <v>0.50852066666666695</v>
      </c>
      <c r="AP29" s="28">
        <v>0.12088400000000001</v>
      </c>
      <c r="AQ29" s="28">
        <v>0.888459</v>
      </c>
      <c r="AR29" s="28">
        <v>9.2257666666666599E-2</v>
      </c>
      <c r="AS29" s="28">
        <v>0.15940399999999999</v>
      </c>
      <c r="AT29" s="28">
        <v>0.33463700000000002</v>
      </c>
      <c r="AU29" s="28">
        <v>0.16402133333333299</v>
      </c>
      <c r="AV29" s="28">
        <v>0.28729933333333302</v>
      </c>
      <c r="AW29" s="28">
        <v>5.11483333333334E-2</v>
      </c>
      <c r="AX29" s="28">
        <v>0.06</v>
      </c>
      <c r="AY29" s="28">
        <v>0.35262333333333301</v>
      </c>
      <c r="AZ29" s="28">
        <v>0.13337333333333301</v>
      </c>
      <c r="BA29" s="28">
        <v>0.24959000000000001</v>
      </c>
      <c r="BB29" s="28">
        <v>0.19928699999999999</v>
      </c>
      <c r="BC29" s="28">
        <v>0.50179333333333298</v>
      </c>
      <c r="BD29" s="28">
        <v>0.24725179999999999</v>
      </c>
      <c r="BE29" s="28">
        <v>0.488458</v>
      </c>
      <c r="BF29" s="28">
        <v>4.8000000000000001E-2</v>
      </c>
      <c r="BG29" s="28">
        <v>0.117067666666667</v>
      </c>
      <c r="BH29" s="28">
        <v>5.9132666666666597E-2</v>
      </c>
      <c r="BI29" s="28">
        <v>8.9436000000000002E-2</v>
      </c>
      <c r="BJ29" s="28">
        <v>6.0178000000000002E-2</v>
      </c>
      <c r="BK29" s="28">
        <v>0.162681666666667</v>
      </c>
      <c r="BL29" s="28">
        <v>6.7666666666666597E-2</v>
      </c>
      <c r="BM29" s="28">
        <v>0.16192366666666699</v>
      </c>
      <c r="BN29" s="28">
        <v>0.15808523333333299</v>
      </c>
      <c r="BO29" s="28">
        <v>0.1520444</v>
      </c>
      <c r="BP29" s="28">
        <v>0.167194866666667</v>
      </c>
      <c r="BQ29" s="28">
        <v>0.100325333333333</v>
      </c>
      <c r="BR29" s="28">
        <v>0.16217733333333301</v>
      </c>
      <c r="BS29" s="28">
        <v>0.54452800000000001</v>
      </c>
      <c r="BT29" s="28">
        <v>0.10266500000000001</v>
      </c>
      <c r="BU29" s="28">
        <v>0.17513200000000001</v>
      </c>
      <c r="BV29" s="28">
        <v>9.5319999999999905E-2</v>
      </c>
      <c r="BW29" s="28">
        <v>0.283824666666667</v>
      </c>
      <c r="BX29" s="28">
        <v>1.1335023333333301</v>
      </c>
      <c r="BY29" s="28">
        <v>0.10889600000000001</v>
      </c>
      <c r="BZ29" s="28">
        <v>0.123591666666667</v>
      </c>
      <c r="CA29" s="28">
        <v>0.55567699999999898</v>
      </c>
      <c r="CB29" s="28">
        <v>1.1253016</v>
      </c>
      <c r="CC29" s="28">
        <v>0.19064900000000001</v>
      </c>
      <c r="CD29" s="28">
        <v>0.21326999999999999</v>
      </c>
      <c r="CE29" s="28">
        <v>0.59029933333333395</v>
      </c>
      <c r="CF29" s="28">
        <v>6.4139600000000005E-2</v>
      </c>
      <c r="CG29" s="28">
        <v>0.1179624</v>
      </c>
      <c r="CH29" s="28">
        <v>5.4864999999999997E-2</v>
      </c>
      <c r="CI29" s="28">
        <v>0.25397999999999998</v>
      </c>
      <c r="CJ29" s="28">
        <v>0.18533266666666701</v>
      </c>
      <c r="CK29" s="28">
        <v>0.15232200000000001</v>
      </c>
      <c r="CL29" s="28">
        <v>0.25379200000000002</v>
      </c>
      <c r="CM29" s="28">
        <v>0.1128</v>
      </c>
      <c r="CN29" s="28">
        <v>6.68053333333333E-2</v>
      </c>
      <c r="CO29" s="28">
        <v>0.24611659999999999</v>
      </c>
      <c r="CP29" s="28">
        <v>0.216546666666667</v>
      </c>
      <c r="CQ29" s="28">
        <v>0.46916666666666701</v>
      </c>
      <c r="CR29" s="28">
        <v>0.116757533333333</v>
      </c>
      <c r="CS29" s="28">
        <v>0.39723666666666702</v>
      </c>
      <c r="CT29" s="28">
        <v>0.28218541052631602</v>
      </c>
      <c r="CU29" s="34">
        <v>26.807614000000019</v>
      </c>
    </row>
    <row r="30" spans="1:99" x14ac:dyDescent="0.25">
      <c r="A30" s="24">
        <v>29</v>
      </c>
      <c r="B30" s="26">
        <v>14</v>
      </c>
      <c r="C30" s="28">
        <v>2.4446180000000002</v>
      </c>
      <c r="D30" s="28">
        <v>4.2999999999999997E-2</v>
      </c>
      <c r="E30" s="28">
        <v>0.31702723333333299</v>
      </c>
      <c r="F30" s="28">
        <v>5.7000000000000002E-2</v>
      </c>
      <c r="G30" s="28">
        <v>0.36203733333333299</v>
      </c>
      <c r="H30" s="28">
        <v>0.30403533333333299</v>
      </c>
      <c r="I30" s="28">
        <v>4.5999999999999999E-2</v>
      </c>
      <c r="J30" s="28">
        <v>0.35512666666666698</v>
      </c>
      <c r="K30" s="28">
        <v>0.12916533333333299</v>
      </c>
      <c r="L30" s="28">
        <v>4.1000000000000002E-2</v>
      </c>
      <c r="M30" s="28">
        <v>0.13123333333333301</v>
      </c>
      <c r="N30" s="28">
        <v>0.136772333333333</v>
      </c>
      <c r="O30" s="28">
        <v>0.10313133333333301</v>
      </c>
      <c r="P30" s="28">
        <v>0.14394193333333299</v>
      </c>
      <c r="Q30" s="28">
        <v>0.458625</v>
      </c>
      <c r="R30" s="28">
        <v>1.2633903333333301</v>
      </c>
      <c r="S30" s="28">
        <v>0.05</v>
      </c>
      <c r="T30" s="28">
        <v>0.134107333333333</v>
      </c>
      <c r="U30" s="28">
        <v>5.6000000000000001E-2</v>
      </c>
      <c r="V30" s="28">
        <v>0.39454499999999998</v>
      </c>
      <c r="W30" s="28">
        <v>4.9000000000000002E-2</v>
      </c>
      <c r="X30" s="28">
        <v>3.9E-2</v>
      </c>
      <c r="Y30" s="28">
        <v>0.18784000000000001</v>
      </c>
      <c r="Z30" s="28">
        <v>0.33359739999999999</v>
      </c>
      <c r="AA30" s="28">
        <v>0.30983300000000003</v>
      </c>
      <c r="AB30" s="28">
        <v>0.34427000000000002</v>
      </c>
      <c r="AC30" s="28">
        <v>9.8243333333333405E-2</v>
      </c>
      <c r="AD30" s="28">
        <v>4.4999999999999998E-2</v>
      </c>
      <c r="AE30" s="28">
        <v>0.285742</v>
      </c>
      <c r="AF30" s="28">
        <v>0.20878333333333399</v>
      </c>
      <c r="AG30" s="28">
        <v>0.28368966666666701</v>
      </c>
      <c r="AH30" s="28">
        <v>5.2999999999999999E-2</v>
      </c>
      <c r="AI30" s="28">
        <v>0.22695000000000001</v>
      </c>
      <c r="AJ30" s="28">
        <v>9.3831999999999999E-2</v>
      </c>
      <c r="AK30" s="28">
        <v>1.1196763333333299</v>
      </c>
      <c r="AL30" s="28">
        <v>5.1999999999999998E-2</v>
      </c>
      <c r="AM30" s="28">
        <v>0.327710733333333</v>
      </c>
      <c r="AN30" s="28">
        <v>0.206726466666667</v>
      </c>
      <c r="AO30" s="28">
        <v>0.13832533333333299</v>
      </c>
      <c r="AP30" s="28">
        <v>6.4313999999999996E-2</v>
      </c>
      <c r="AQ30" s="28">
        <v>0.93435900000000005</v>
      </c>
      <c r="AR30" s="28">
        <v>0.12933566666666699</v>
      </c>
      <c r="AS30" s="28">
        <v>0.15486866666666699</v>
      </c>
      <c r="AT30" s="28">
        <v>1.7766439999999999</v>
      </c>
      <c r="AU30" s="28">
        <v>5.3999999999999999E-2</v>
      </c>
      <c r="AV30" s="28">
        <v>0.39665</v>
      </c>
      <c r="AW30" s="28">
        <v>0.32029766666666698</v>
      </c>
      <c r="AX30" s="28">
        <v>0.06</v>
      </c>
      <c r="AY30" s="28">
        <v>0.25661866666666699</v>
      </c>
      <c r="AZ30" s="28">
        <v>0.117613333333333</v>
      </c>
      <c r="BA30" s="28">
        <v>0.40449433333333301</v>
      </c>
      <c r="BB30" s="28">
        <v>0.138258666666667</v>
      </c>
      <c r="BC30" s="28">
        <v>0.28097</v>
      </c>
      <c r="BD30" s="28">
        <v>0.1004946</v>
      </c>
      <c r="BE30" s="28">
        <v>0.353188</v>
      </c>
      <c r="BF30" s="28">
        <v>4.8000000000000001E-2</v>
      </c>
      <c r="BG30" s="28">
        <v>0.193675666666667</v>
      </c>
      <c r="BH30" s="28">
        <v>4.9000000000000002E-2</v>
      </c>
      <c r="BI30" s="28">
        <v>0.158496</v>
      </c>
      <c r="BJ30" s="28">
        <v>0.276069333333333</v>
      </c>
      <c r="BK30" s="28">
        <v>9.1622999999999899E-2</v>
      </c>
      <c r="BL30" s="28">
        <v>4.7E-2</v>
      </c>
      <c r="BM30" s="28">
        <v>0.46816400000000002</v>
      </c>
      <c r="BN30" s="28">
        <v>0.92426233333333296</v>
      </c>
      <c r="BO30" s="28">
        <v>0.35919786666666698</v>
      </c>
      <c r="BP30" s="28">
        <v>0.361418133333333</v>
      </c>
      <c r="BQ30" s="28">
        <v>0.22938800000000001</v>
      </c>
      <c r="BR30" s="28">
        <v>0.30194466666666703</v>
      </c>
      <c r="BS30" s="28">
        <v>0.110818666666667</v>
      </c>
      <c r="BT30" s="28">
        <v>7.3925000000000005E-2</v>
      </c>
      <c r="BU30" s="28">
        <v>7.0029333333333402E-2</v>
      </c>
      <c r="BV30" s="28">
        <v>5.3999999999999999E-2</v>
      </c>
      <c r="BW30" s="28">
        <v>0.14926200000000001</v>
      </c>
      <c r="BX30" s="28">
        <v>0.60563833333333295</v>
      </c>
      <c r="BY30" s="28">
        <v>0.16528699999999999</v>
      </c>
      <c r="BZ30" s="28">
        <v>0.29116599999999998</v>
      </c>
      <c r="CA30" s="28">
        <v>0.18190220000000001</v>
      </c>
      <c r="CB30" s="28">
        <v>1.177414</v>
      </c>
      <c r="CC30" s="28">
        <v>0.101705666666667</v>
      </c>
      <c r="CD30" s="28">
        <v>1.41967333333333</v>
      </c>
      <c r="CE30" s="28">
        <v>1.1843118666666701</v>
      </c>
      <c r="CF30" s="28">
        <v>0.49772420000000001</v>
      </c>
      <c r="CG30" s="28">
        <v>0.13872200000000001</v>
      </c>
      <c r="CH30" s="28">
        <v>0.49774916666666702</v>
      </c>
      <c r="CI30" s="28">
        <v>0.31831066666666602</v>
      </c>
      <c r="CJ30" s="28">
        <v>0.35827799999999999</v>
      </c>
      <c r="CK30" s="28">
        <v>9.2675999999999994E-2</v>
      </c>
      <c r="CL30" s="28">
        <v>0.14092833333333299</v>
      </c>
      <c r="CM30" s="28">
        <v>7.8240000000000004E-2</v>
      </c>
      <c r="CN30" s="28">
        <v>8.35567333333333E-2</v>
      </c>
      <c r="CO30" s="28">
        <v>7.0767399999999994E-2</v>
      </c>
      <c r="CP30" s="28">
        <v>8.9565333333333302E-2</v>
      </c>
      <c r="CQ30" s="28">
        <v>0.23236066666666699</v>
      </c>
      <c r="CR30" s="28">
        <v>0.33105580000000001</v>
      </c>
      <c r="CS30" s="28">
        <v>2.5187893333333302</v>
      </c>
      <c r="CT30" s="28">
        <v>0.33113872350877183</v>
      </c>
      <c r="CU30" s="34">
        <v>31.45817873333332</v>
      </c>
    </row>
    <row r="31" spans="1:99" x14ac:dyDescent="0.25">
      <c r="A31" s="24">
        <v>30</v>
      </c>
      <c r="B31" s="26">
        <v>14.5</v>
      </c>
      <c r="C31" s="28">
        <v>0.94939466666666605</v>
      </c>
      <c r="D31" s="28">
        <v>4.2999999999999997E-2</v>
      </c>
      <c r="E31" s="28">
        <v>0.26073433333333301</v>
      </c>
      <c r="F31" s="28">
        <v>0.210887666666667</v>
      </c>
      <c r="G31" s="28">
        <v>0.44844933333333298</v>
      </c>
      <c r="H31" s="28">
        <v>5.7439866666666603E-2</v>
      </c>
      <c r="I31" s="28">
        <v>4.5999999999999999E-2</v>
      </c>
      <c r="J31" s="28">
        <v>0.14622853333333299</v>
      </c>
      <c r="K31" s="28">
        <v>6.1541333333333302E-2</v>
      </c>
      <c r="L31" s="28">
        <v>0.12807833333333299</v>
      </c>
      <c r="M31" s="28">
        <v>9.8133333333333198E-2</v>
      </c>
      <c r="N31" s="28">
        <v>0.21864566666666699</v>
      </c>
      <c r="O31" s="28">
        <v>0.26010183333333398</v>
      </c>
      <c r="P31" s="28">
        <v>0.379659466666667</v>
      </c>
      <c r="Q31" s="28">
        <v>0.28657700000000003</v>
      </c>
      <c r="R31" s="28">
        <v>0.49806400000000001</v>
      </c>
      <c r="S31" s="28">
        <v>0.05</v>
      </c>
      <c r="T31" s="28">
        <v>0.24404999999999999</v>
      </c>
      <c r="U31" s="28">
        <v>5.6000000000000001E-2</v>
      </c>
      <c r="V31" s="28">
        <v>0.172818</v>
      </c>
      <c r="W31" s="28">
        <v>4.9000000000000002E-2</v>
      </c>
      <c r="X31" s="28">
        <v>0.20111999999999999</v>
      </c>
      <c r="Y31" s="28">
        <v>5.8000000000000003E-2</v>
      </c>
      <c r="Z31" s="28">
        <v>0.1241028</v>
      </c>
      <c r="AA31" s="28">
        <v>0.173807666666667</v>
      </c>
      <c r="AB31" s="28">
        <v>0.36744066666666603</v>
      </c>
      <c r="AC31" s="28">
        <v>5.6000000000000001E-2</v>
      </c>
      <c r="AD31" s="28">
        <v>0.197012666666667</v>
      </c>
      <c r="AE31" s="28">
        <v>0.20378933333333299</v>
      </c>
      <c r="AF31" s="28">
        <v>5.3999999999999999E-2</v>
      </c>
      <c r="AG31" s="28">
        <v>3.5999999999999997E-2</v>
      </c>
      <c r="AH31" s="28">
        <v>0.29504766666666699</v>
      </c>
      <c r="AI31" s="28">
        <v>0.42037666666666701</v>
      </c>
      <c r="AJ31" s="28">
        <v>0.18943333333333301</v>
      </c>
      <c r="AK31" s="28">
        <v>1.8655600000000001</v>
      </c>
      <c r="AL31" s="28">
        <v>5.1999999999999998E-2</v>
      </c>
      <c r="AM31" s="28">
        <v>0.19726199999999999</v>
      </c>
      <c r="AN31" s="28">
        <v>0.327891933333333</v>
      </c>
      <c r="AO31" s="28">
        <v>6.3070000000000001E-2</v>
      </c>
      <c r="AP31" s="28">
        <v>0.10957</v>
      </c>
      <c r="AQ31" s="28">
        <v>0.37534066666666699</v>
      </c>
      <c r="AR31" s="28">
        <v>5.7028000000000002E-2</v>
      </c>
      <c r="AS31" s="28">
        <v>0.15361333333333299</v>
      </c>
      <c r="AT31" s="28">
        <v>0.1970981</v>
      </c>
      <c r="AU31" s="28">
        <v>5.3999999999999999E-2</v>
      </c>
      <c r="AV31" s="28">
        <v>0.410248</v>
      </c>
      <c r="AW31" s="28">
        <v>4.5999999999999999E-2</v>
      </c>
      <c r="AX31" s="28">
        <v>0.06</v>
      </c>
      <c r="AY31" s="28">
        <v>0.22069566666666701</v>
      </c>
      <c r="AZ31" s="28">
        <v>0.114426</v>
      </c>
      <c r="BA31" s="28">
        <v>0.52964366666666696</v>
      </c>
      <c r="BB31" s="28">
        <v>0.16088533333333299</v>
      </c>
      <c r="BC31" s="28">
        <v>0.38911800000000002</v>
      </c>
      <c r="BD31" s="28">
        <v>0.31553053333333397</v>
      </c>
      <c r="BE31" s="28">
        <v>0.92755366666666705</v>
      </c>
      <c r="BF31" s="28">
        <v>0.14161699999999999</v>
      </c>
      <c r="BG31" s="28">
        <v>9.0499999999999997E-2</v>
      </c>
      <c r="BH31" s="28">
        <v>2.9000000000000001E-2</v>
      </c>
      <c r="BI31" s="28">
        <v>4.8000000000000001E-2</v>
      </c>
      <c r="BJ31" s="28">
        <v>3.9E-2</v>
      </c>
      <c r="BK31" s="28">
        <v>6.2432333333333402E-2</v>
      </c>
      <c r="BL31" s="28">
        <v>4.7E-2</v>
      </c>
      <c r="BM31" s="28">
        <v>4.8000000000000001E-2</v>
      </c>
      <c r="BN31" s="28">
        <v>2.6117333333333299</v>
      </c>
      <c r="BO31" s="28">
        <v>0.178265333333333</v>
      </c>
      <c r="BP31" s="28">
        <v>8.8238666666666701E-2</v>
      </c>
      <c r="BQ31" s="28">
        <v>0.11508599999999999</v>
      </c>
      <c r="BR31" s="28">
        <v>0.25594600000000001</v>
      </c>
      <c r="BS31" s="28">
        <v>0.390374</v>
      </c>
      <c r="BT31" s="28">
        <v>3.7999999999999999E-2</v>
      </c>
      <c r="BU31" s="28">
        <v>0.122580666666667</v>
      </c>
      <c r="BV31" s="28">
        <v>0.205506666666667</v>
      </c>
      <c r="BW31" s="28">
        <v>4.8000000000000001E-2</v>
      </c>
      <c r="BX31" s="28">
        <v>0.39962033333333302</v>
      </c>
      <c r="BY31" s="28">
        <v>0.10213999999999999</v>
      </c>
      <c r="BZ31" s="28">
        <v>0.36860999999999999</v>
      </c>
      <c r="CA31" s="28">
        <v>0.19616296666666699</v>
      </c>
      <c r="CB31" s="28">
        <v>1.6846209999999999</v>
      </c>
      <c r="CC31" s="28">
        <v>1.533345</v>
      </c>
      <c r="CD31" s="28">
        <v>2.41248833333333</v>
      </c>
      <c r="CE31" s="28">
        <v>0.68693973333333302</v>
      </c>
      <c r="CF31" s="28">
        <v>0.70513333333333394</v>
      </c>
      <c r="CG31" s="28">
        <v>0.24284</v>
      </c>
      <c r="CH31" s="28">
        <v>1.01125816666667</v>
      </c>
      <c r="CI31" s="28">
        <v>4.9000000000000002E-2</v>
      </c>
      <c r="CJ31" s="28">
        <v>8.3916199999999996E-2</v>
      </c>
      <c r="CK31" s="28">
        <v>0.27432466666666699</v>
      </c>
      <c r="CL31" s="28">
        <v>0.38495316666666601</v>
      </c>
      <c r="CM31" s="28">
        <v>0.14078399999999999</v>
      </c>
      <c r="CN31" s="28">
        <v>0.120416466666667</v>
      </c>
      <c r="CO31" s="28">
        <v>0.42680533333333298</v>
      </c>
      <c r="CP31" s="28">
        <v>7.0450666666666606E-2</v>
      </c>
      <c r="CQ31" s="28">
        <v>5.0999999999999997E-2</v>
      </c>
      <c r="CR31" s="28">
        <v>0.26997916666666699</v>
      </c>
      <c r="CS31" s="28">
        <v>2.59541333333333</v>
      </c>
      <c r="CT31" s="28">
        <v>0.33723106245614032</v>
      </c>
      <c r="CU31" s="34">
        <v>32.03695093333333</v>
      </c>
    </row>
    <row r="32" spans="1:99" x14ac:dyDescent="0.25">
      <c r="A32" s="24">
        <v>31</v>
      </c>
      <c r="B32" s="26">
        <v>15</v>
      </c>
      <c r="C32" s="28">
        <v>1.82686033333333</v>
      </c>
      <c r="D32" s="28">
        <v>0.16551199999999999</v>
      </c>
      <c r="E32" s="28">
        <v>0.2535036</v>
      </c>
      <c r="F32" s="28">
        <v>0.20549999999999999</v>
      </c>
      <c r="G32" s="28">
        <v>0.49536233333333402</v>
      </c>
      <c r="H32" s="28">
        <v>0.147628333333333</v>
      </c>
      <c r="I32" s="28">
        <v>4.5999999999999999E-2</v>
      </c>
      <c r="J32" s="28">
        <v>0.1857412</v>
      </c>
      <c r="K32" s="28">
        <v>1.192952</v>
      </c>
      <c r="L32" s="28">
        <v>4.7698333333333301E-2</v>
      </c>
      <c r="M32" s="28">
        <v>5.9516666666666697E-2</v>
      </c>
      <c r="N32" s="28">
        <v>5.5E-2</v>
      </c>
      <c r="O32" s="28">
        <v>0.13864199999999999</v>
      </c>
      <c r="P32" s="28">
        <v>9.1961433333333301E-2</v>
      </c>
      <c r="Q32" s="28">
        <v>0.24561366666666701</v>
      </c>
      <c r="R32" s="28">
        <v>0.32151533333333399</v>
      </c>
      <c r="S32" s="28">
        <v>0.05</v>
      </c>
      <c r="T32" s="28">
        <v>0.116084333333333</v>
      </c>
      <c r="U32" s="28">
        <v>5.6000000000000001E-2</v>
      </c>
      <c r="V32" s="28">
        <v>7.7095833333333294E-2</v>
      </c>
      <c r="W32" s="28">
        <v>0.10996</v>
      </c>
      <c r="X32" s="28">
        <v>4.27236E-2</v>
      </c>
      <c r="Y32" s="28">
        <v>5.8000000000000003E-2</v>
      </c>
      <c r="Z32" s="28">
        <v>0.272697666666667</v>
      </c>
      <c r="AA32" s="28">
        <v>0.12605773333333301</v>
      </c>
      <c r="AB32" s="28">
        <v>1.34894133333333</v>
      </c>
      <c r="AC32" s="28">
        <v>0.299323333333333</v>
      </c>
      <c r="AD32" s="28">
        <v>4.4999999999999998E-2</v>
      </c>
      <c r="AE32" s="28">
        <v>0.21791966666666701</v>
      </c>
      <c r="AF32" s="28">
        <v>0.185884666666667</v>
      </c>
      <c r="AG32" s="28">
        <v>3.5999999999999997E-2</v>
      </c>
      <c r="AH32" s="28">
        <v>8.08483333333333E-2</v>
      </c>
      <c r="AI32" s="28">
        <v>2.5258416666666701</v>
      </c>
      <c r="AJ32" s="28">
        <v>0.116248</v>
      </c>
      <c r="AK32" s="28">
        <v>0.70429133333333405</v>
      </c>
      <c r="AL32" s="28">
        <v>5.1999999999999998E-2</v>
      </c>
      <c r="AM32" s="28">
        <v>0.15093733333333301</v>
      </c>
      <c r="AN32" s="28">
        <v>0.10789133333333301</v>
      </c>
      <c r="AO32" s="28">
        <v>0.187569333333333</v>
      </c>
      <c r="AP32" s="28">
        <v>7.5628000000000001E-2</v>
      </c>
      <c r="AQ32" s="28">
        <v>0.35594799999999999</v>
      </c>
      <c r="AR32" s="28">
        <v>0.31199333333333301</v>
      </c>
      <c r="AS32" s="28">
        <v>0.110581</v>
      </c>
      <c r="AT32" s="28">
        <v>0.45529140000000001</v>
      </c>
      <c r="AU32" s="28">
        <v>5.3999999999999999E-2</v>
      </c>
      <c r="AV32" s="28">
        <v>0.40204200000000001</v>
      </c>
      <c r="AW32" s="28">
        <v>0.164384</v>
      </c>
      <c r="AX32" s="28">
        <v>0.06</v>
      </c>
      <c r="AY32" s="28">
        <v>0.289833333333333</v>
      </c>
      <c r="AZ32" s="28">
        <v>0.13337333333333301</v>
      </c>
      <c r="BA32" s="28">
        <v>0.36727799999999999</v>
      </c>
      <c r="BB32" s="28">
        <v>8.4081999999999907E-2</v>
      </c>
      <c r="BC32" s="28">
        <v>0.16434799999999999</v>
      </c>
      <c r="BD32" s="28">
        <v>9.3543333333333395E-2</v>
      </c>
      <c r="BE32" s="28">
        <v>1.2306090000000001</v>
      </c>
      <c r="BF32" s="28">
        <v>6.1675366666666703E-2</v>
      </c>
      <c r="BG32" s="28">
        <v>0.20601800000000001</v>
      </c>
      <c r="BH32" s="28">
        <v>2.9000000000000001E-2</v>
      </c>
      <c r="BI32" s="28">
        <v>4.8000000000000001E-2</v>
      </c>
      <c r="BJ32" s="28">
        <v>0.20371400000000001</v>
      </c>
      <c r="BK32" s="28">
        <v>0.15062866666666699</v>
      </c>
      <c r="BL32" s="28">
        <v>9.8500000000000004E-2</v>
      </c>
      <c r="BM32" s="28">
        <v>0.14854400000000001</v>
      </c>
      <c r="BN32" s="28">
        <v>2.6988233333333298</v>
      </c>
      <c r="BO32" s="28">
        <v>0.27710126666666701</v>
      </c>
      <c r="BP32" s="28">
        <v>0.35399333333333299</v>
      </c>
      <c r="BQ32" s="28">
        <v>0.25629533333333299</v>
      </c>
      <c r="BR32" s="28">
        <v>0.187586</v>
      </c>
      <c r="BS32" s="28">
        <v>1.3998539999999999</v>
      </c>
      <c r="BT32" s="28">
        <v>0.13858999999999999</v>
      </c>
      <c r="BU32" s="28">
        <v>0.13580366666666699</v>
      </c>
      <c r="BV32" s="28">
        <v>5.3999999999999999E-2</v>
      </c>
      <c r="BW32" s="28">
        <v>0.363387666666667</v>
      </c>
      <c r="BX32" s="28">
        <v>0.245981333333333</v>
      </c>
      <c r="BY32" s="28">
        <v>0.30203666666666701</v>
      </c>
      <c r="BZ32" s="28">
        <v>0.19634599999999999</v>
      </c>
      <c r="CA32" s="28">
        <v>0.31473933333333398</v>
      </c>
      <c r="CB32" s="28">
        <v>0.472955666666667</v>
      </c>
      <c r="CC32" s="28">
        <v>0.97084000000000004</v>
      </c>
      <c r="CD32" s="28">
        <v>0.29075533333333298</v>
      </c>
      <c r="CE32" s="28">
        <v>0.39267673333333297</v>
      </c>
      <c r="CF32" s="28">
        <v>0.27091999999999999</v>
      </c>
      <c r="CG32" s="28">
        <v>0.45485900000000001</v>
      </c>
      <c r="CH32" s="28">
        <v>0.269558666666667</v>
      </c>
      <c r="CI32" s="28">
        <v>4.9000000000000002E-2</v>
      </c>
      <c r="CJ32" s="28">
        <v>0.28315659999999998</v>
      </c>
      <c r="CK32" s="28">
        <v>0.26394000000000001</v>
      </c>
      <c r="CL32" s="28">
        <v>0.28543483333333303</v>
      </c>
      <c r="CM32" s="28">
        <v>4.8000000000000001E-2</v>
      </c>
      <c r="CN32" s="28">
        <v>0.52428699999999995</v>
      </c>
      <c r="CO32" s="28">
        <v>0.48160366666666699</v>
      </c>
      <c r="CP32" s="28">
        <v>0.200058666666667</v>
      </c>
      <c r="CQ32" s="28">
        <v>6.7487333333333302E-2</v>
      </c>
      <c r="CR32" s="28">
        <v>8.5095000000000004E-2</v>
      </c>
      <c r="CS32" s="28">
        <v>0.95611866666666601</v>
      </c>
      <c r="CT32" s="28">
        <v>0.32670129052631569</v>
      </c>
      <c r="CU32" s="34">
        <v>31.036622599999991</v>
      </c>
    </row>
    <row r="33" spans="1:99" x14ac:dyDescent="0.25">
      <c r="A33" s="24">
        <v>32</v>
      </c>
      <c r="B33" s="26">
        <v>15.5</v>
      </c>
      <c r="C33" s="28">
        <v>0.35682999999999998</v>
      </c>
      <c r="D33" s="28">
        <v>0.74804199999999998</v>
      </c>
      <c r="E33" s="28">
        <v>0.26948610000000001</v>
      </c>
      <c r="F33" s="28">
        <v>0.20815600000000001</v>
      </c>
      <c r="G33" s="28">
        <v>0.28564533333333397</v>
      </c>
      <c r="H33" s="28">
        <v>5.10483333333333E-2</v>
      </c>
      <c r="I33" s="28">
        <v>4.5999999999999999E-2</v>
      </c>
      <c r="J33" s="28">
        <v>0.108119333333333</v>
      </c>
      <c r="K33" s="28">
        <v>0.583716666666666</v>
      </c>
      <c r="L33" s="28">
        <v>4.1000000000000002E-2</v>
      </c>
      <c r="M33" s="28">
        <v>0.16985</v>
      </c>
      <c r="N33" s="28">
        <v>0.13496333333333299</v>
      </c>
      <c r="O33" s="28">
        <v>5.3999999999999999E-2</v>
      </c>
      <c r="P33" s="28">
        <v>0.235704466666667</v>
      </c>
      <c r="Q33" s="28">
        <v>0.189632</v>
      </c>
      <c r="R33" s="28">
        <v>0.19562399999999999</v>
      </c>
      <c r="S33" s="28">
        <v>0.05</v>
      </c>
      <c r="T33" s="28">
        <v>0.19025300000000001</v>
      </c>
      <c r="U33" s="28">
        <v>5.6000000000000001E-2</v>
      </c>
      <c r="V33" s="28">
        <v>0.57470833333333304</v>
      </c>
      <c r="W33" s="28">
        <v>4.9000000000000002E-2</v>
      </c>
      <c r="X33" s="28">
        <v>0.20111999999999999</v>
      </c>
      <c r="Y33" s="28">
        <v>0.20226666666666701</v>
      </c>
      <c r="Z33" s="28">
        <v>0.50398633333333398</v>
      </c>
      <c r="AA33" s="28">
        <v>0.25061800000000001</v>
      </c>
      <c r="AB33" s="28">
        <v>0.756002333333333</v>
      </c>
      <c r="AC33" s="28">
        <v>0.18273</v>
      </c>
      <c r="AD33" s="28">
        <v>8.6880333333333407E-2</v>
      </c>
      <c r="AE33" s="28">
        <v>0.51306799999999997</v>
      </c>
      <c r="AF33" s="28">
        <v>0.223854</v>
      </c>
      <c r="AG33" s="28">
        <v>3.5999999999999997E-2</v>
      </c>
      <c r="AH33" s="28">
        <v>5.2999999999999999E-2</v>
      </c>
      <c r="AI33" s="28">
        <v>1.3898726666666701</v>
      </c>
      <c r="AJ33" s="28">
        <v>0.23004040000000001</v>
      </c>
      <c r="AK33" s="28">
        <v>0.86190199999999995</v>
      </c>
      <c r="AL33" s="28">
        <v>5.1999999999999998E-2</v>
      </c>
      <c r="AM33" s="28">
        <v>0.2423932</v>
      </c>
      <c r="AN33" s="28">
        <v>0.14866596666666701</v>
      </c>
      <c r="AO33" s="28">
        <v>0.138878</v>
      </c>
      <c r="AP33" s="28">
        <v>9.8255999999999996E-2</v>
      </c>
      <c r="AQ33" s="28">
        <v>0.82942866666666704</v>
      </c>
      <c r="AR33" s="28">
        <v>1.88269333333333</v>
      </c>
      <c r="AS33" s="28">
        <v>0.238506</v>
      </c>
      <c r="AT33" s="28">
        <v>0.18674263333333299</v>
      </c>
      <c r="AU33" s="28">
        <v>0.16402133333333299</v>
      </c>
      <c r="AV33" s="28">
        <v>0.308939666666667</v>
      </c>
      <c r="AW33" s="28">
        <v>0.20191400000000001</v>
      </c>
      <c r="AX33" s="28">
        <v>0.06</v>
      </c>
      <c r="AY33" s="28">
        <v>8.7519666666666607E-2</v>
      </c>
      <c r="AZ33" s="28">
        <v>0.146820333333333</v>
      </c>
      <c r="BA33" s="28">
        <v>1.67241</v>
      </c>
      <c r="BB33" s="28">
        <v>0.138258666666667</v>
      </c>
      <c r="BC33" s="28">
        <v>0.28941600000000001</v>
      </c>
      <c r="BD33" s="28">
        <v>0.10125199999999999</v>
      </c>
      <c r="BE33" s="28">
        <v>2.0705116666666701</v>
      </c>
      <c r="BF33" s="28">
        <v>0.15223610000000001</v>
      </c>
      <c r="BG33" s="28">
        <v>0.17512800000000001</v>
      </c>
      <c r="BH33" s="28">
        <v>2.9000000000000001E-2</v>
      </c>
      <c r="BI33" s="28">
        <v>0.199932</v>
      </c>
      <c r="BJ33" s="28">
        <v>0.132533333333333</v>
      </c>
      <c r="BK33" s="28">
        <v>7.9241666666666599E-2</v>
      </c>
      <c r="BL33" s="28">
        <v>0.21535199999999999</v>
      </c>
      <c r="BM33" s="28">
        <v>8.5704000000000002E-2</v>
      </c>
      <c r="BN33" s="28">
        <v>0.45190266666666601</v>
      </c>
      <c r="BO33" s="28">
        <v>4.82152E-2</v>
      </c>
      <c r="BP33" s="28">
        <v>0.57652866666666702</v>
      </c>
      <c r="BQ33" s="28">
        <v>0.41484399999999999</v>
      </c>
      <c r="BR33" s="28">
        <v>0.31188266666666697</v>
      </c>
      <c r="BS33" s="28">
        <v>0.78711966666666699</v>
      </c>
      <c r="BT33" s="28">
        <v>3.7999999999999999E-2</v>
      </c>
      <c r="BU33" s="28">
        <v>0.106115</v>
      </c>
      <c r="BV33" s="28">
        <v>5.3999999999999999E-2</v>
      </c>
      <c r="BW33" s="28">
        <v>6.9698999999999997E-2</v>
      </c>
      <c r="BX33" s="28">
        <v>0.14266733333333301</v>
      </c>
      <c r="BY33" s="28">
        <v>0.71929533333333295</v>
      </c>
      <c r="BZ33" s="28">
        <v>0.40515400000000001</v>
      </c>
      <c r="CA33" s="28">
        <v>1.29890533333333</v>
      </c>
      <c r="CB33" s="28">
        <v>0.357408</v>
      </c>
      <c r="CC33" s="28">
        <v>1.6557153333333301</v>
      </c>
      <c r="CD33" s="28">
        <v>1.316046</v>
      </c>
      <c r="CE33" s="28">
        <v>0.2434714</v>
      </c>
      <c r="CF33" s="28">
        <v>9.5533333333333401E-2</v>
      </c>
      <c r="CG33" s="28">
        <v>0.12546933333333299</v>
      </c>
      <c r="CH33" s="28">
        <v>0.112431</v>
      </c>
      <c r="CI33" s="28">
        <v>4.9000000000000002E-2</v>
      </c>
      <c r="CJ33" s="28">
        <v>0.26099866666666699</v>
      </c>
      <c r="CK33" s="28">
        <v>0.35773933333333302</v>
      </c>
      <c r="CL33" s="28">
        <v>0.111472666666667</v>
      </c>
      <c r="CM33" s="28">
        <v>0.1490274</v>
      </c>
      <c r="CN33" s="28">
        <v>0.27206313333333298</v>
      </c>
      <c r="CO33" s="28">
        <v>0.33861466666666701</v>
      </c>
      <c r="CP33" s="28">
        <v>0.113458666666667</v>
      </c>
      <c r="CQ33" s="28">
        <v>0.215873333333333</v>
      </c>
      <c r="CR33" s="28">
        <v>0.15525383333333301</v>
      </c>
      <c r="CS33" s="28">
        <v>0.20473666666666701</v>
      </c>
      <c r="CT33" s="28">
        <v>0.33447911052631563</v>
      </c>
      <c r="CU33" s="34">
        <v>31.77551549999999</v>
      </c>
    </row>
    <row r="34" spans="1:99" x14ac:dyDescent="0.25">
      <c r="A34" s="24">
        <v>33</v>
      </c>
      <c r="B34" s="26">
        <v>16</v>
      </c>
      <c r="C34" s="28">
        <v>0.35346</v>
      </c>
      <c r="D34" s="28">
        <v>0.27508126666666699</v>
      </c>
      <c r="E34" s="28">
        <v>0.295688333333333</v>
      </c>
      <c r="F34" s="28">
        <v>0.18576400000000001</v>
      </c>
      <c r="G34" s="28">
        <v>0.30483766666666701</v>
      </c>
      <c r="H34" s="28">
        <v>0.14541000000000001</v>
      </c>
      <c r="I34" s="28">
        <v>4.5999999999999999E-2</v>
      </c>
      <c r="J34" s="28">
        <v>0.11741</v>
      </c>
      <c r="K34" s="28">
        <v>6.2904966666666604E-2</v>
      </c>
      <c r="L34" s="28">
        <v>0.15226200000000001</v>
      </c>
      <c r="M34" s="28">
        <v>5.3999999999999999E-2</v>
      </c>
      <c r="N34" s="28">
        <v>0.22045466666666699</v>
      </c>
      <c r="O34" s="28">
        <v>5.3999999999999999E-2</v>
      </c>
      <c r="P34" s="28">
        <v>7.5140999999999902E-2</v>
      </c>
      <c r="Q34" s="28">
        <v>0.184148333333333</v>
      </c>
      <c r="R34" s="28">
        <v>0.36419933333333299</v>
      </c>
      <c r="S34" s="28">
        <v>0.05</v>
      </c>
      <c r="T34" s="28">
        <v>0.12182</v>
      </c>
      <c r="U34" s="28">
        <v>5.6000000000000001E-2</v>
      </c>
      <c r="V34" s="28">
        <v>7.4817966666666597E-2</v>
      </c>
      <c r="W34" s="28">
        <v>5.0799999999999998E-2</v>
      </c>
      <c r="X34" s="28">
        <v>0.19483400000000001</v>
      </c>
      <c r="Y34" s="28">
        <v>0.12422999999999999</v>
      </c>
      <c r="Z34" s="28">
        <v>0.213580666666667</v>
      </c>
      <c r="AA34" s="28">
        <v>0.21586</v>
      </c>
      <c r="AB34" s="28">
        <v>1.5053673333333299</v>
      </c>
      <c r="AC34" s="28">
        <v>0.26494066666666699</v>
      </c>
      <c r="AD34" s="28">
        <v>0.234138333333333</v>
      </c>
      <c r="AE34" s="28">
        <v>0.234236</v>
      </c>
      <c r="AF34" s="28">
        <v>0.18047233333333301</v>
      </c>
      <c r="AG34" s="28">
        <v>0.152686666666667</v>
      </c>
      <c r="AH34" s="28">
        <v>0.12580566666666701</v>
      </c>
      <c r="AI34" s="28">
        <v>2.0774189999999999</v>
      </c>
      <c r="AJ34" s="28">
        <v>0.12790799999999999</v>
      </c>
      <c r="AK34" s="28">
        <v>0.421920666666667</v>
      </c>
      <c r="AL34" s="28">
        <v>5.1999999999999998E-2</v>
      </c>
      <c r="AM34" s="28">
        <v>6.4218999999999998E-2</v>
      </c>
      <c r="AN34" s="28">
        <v>0.37601433333333301</v>
      </c>
      <c r="AO34" s="28">
        <v>9.8423999999999998E-2</v>
      </c>
      <c r="AP34" s="28">
        <v>5.2999999999999999E-2</v>
      </c>
      <c r="AQ34" s="28">
        <v>0.269704</v>
      </c>
      <c r="AR34" s="28">
        <v>2.6090599999999999</v>
      </c>
      <c r="AS34" s="28">
        <v>0.24998300000000001</v>
      </c>
      <c r="AT34" s="28">
        <v>5.7000000000000002E-2</v>
      </c>
      <c r="AU34" s="28">
        <v>5.3999999999999999E-2</v>
      </c>
      <c r="AV34" s="28">
        <v>0.2364</v>
      </c>
      <c r="AW34" s="28">
        <v>5.2641333333333297E-2</v>
      </c>
      <c r="AX34" s="28">
        <v>0.06</v>
      </c>
      <c r="AY34" s="28">
        <v>9.2635999999999996E-2</v>
      </c>
      <c r="AZ34" s="28">
        <v>9.8924999999999902E-2</v>
      </c>
      <c r="BA34" s="28">
        <v>1.17133333333333</v>
      </c>
      <c r="BB34" s="28">
        <v>0.19160666666666701</v>
      </c>
      <c r="BC34" s="28">
        <v>0.26528333333333398</v>
      </c>
      <c r="BD34" s="28">
        <v>0.23904866666666699</v>
      </c>
      <c r="BE34" s="28">
        <v>0.34749533333333299</v>
      </c>
      <c r="BF34" s="28">
        <v>0.132408533333333</v>
      </c>
      <c r="BG34" s="28">
        <v>0.130646233333333</v>
      </c>
      <c r="BH34" s="28">
        <v>2.9000000000000001E-2</v>
      </c>
      <c r="BI34" s="28">
        <v>4.8000000000000001E-2</v>
      </c>
      <c r="BJ34" s="28">
        <v>3.9E-2</v>
      </c>
      <c r="BK34" s="28">
        <v>6.9413000000000002E-2</v>
      </c>
      <c r="BL34" s="28">
        <v>0.25135666666666701</v>
      </c>
      <c r="BM34" s="28">
        <v>4.8000000000000001E-2</v>
      </c>
      <c r="BN34" s="28">
        <v>0.10475733333333299</v>
      </c>
      <c r="BO34" s="28">
        <v>0.151652333333333</v>
      </c>
      <c r="BP34" s="28">
        <v>0.47331499999999999</v>
      </c>
      <c r="BQ34" s="28">
        <v>0.20933399999999999</v>
      </c>
      <c r="BR34" s="28">
        <v>0.395336666666667</v>
      </c>
      <c r="BS34" s="28">
        <v>0.56317933333333403</v>
      </c>
      <c r="BT34" s="28">
        <v>6.6739999999999994E-2</v>
      </c>
      <c r="BU34" s="28">
        <v>0.19014666666666699</v>
      </c>
      <c r="BV34" s="28">
        <v>0.216045866666667</v>
      </c>
      <c r="BW34" s="28">
        <v>4.8000000000000001E-2</v>
      </c>
      <c r="BX34" s="28">
        <v>0.14183933333333301</v>
      </c>
      <c r="BY34" s="28">
        <v>0.15690899999999999</v>
      </c>
      <c r="BZ34" s="28">
        <v>0.26036999999999999</v>
      </c>
      <c r="CA34" s="28">
        <v>0.44131866666666603</v>
      </c>
      <c r="CB34" s="28">
        <v>2.3893046</v>
      </c>
      <c r="CC34" s="28">
        <v>0.32601999999999998</v>
      </c>
      <c r="CD34" s="28">
        <v>5.2999999999999999E-2</v>
      </c>
      <c r="CE34" s="28">
        <v>0.24548139999999999</v>
      </c>
      <c r="CF34" s="28">
        <v>0.31347399999999997</v>
      </c>
      <c r="CG34" s="28">
        <v>0.1109358</v>
      </c>
      <c r="CH34" s="28">
        <v>0.104593333333333</v>
      </c>
      <c r="CI34" s="28">
        <v>0.20204</v>
      </c>
      <c r="CJ34" s="28">
        <v>0.22114266666666699</v>
      </c>
      <c r="CK34" s="28">
        <v>2.542897</v>
      </c>
      <c r="CL34" s="28">
        <v>4.98513333333334E-2</v>
      </c>
      <c r="CM34" s="28">
        <v>9.7378166666666696E-2</v>
      </c>
      <c r="CN34" s="28">
        <v>0.30652953333333399</v>
      </c>
      <c r="CO34" s="28">
        <v>0.26397999999999999</v>
      </c>
      <c r="CP34" s="28">
        <v>0.29643999999999998</v>
      </c>
      <c r="CQ34" s="28">
        <v>5.0999999999999997E-2</v>
      </c>
      <c r="CR34" s="28">
        <v>0.25610433333333299</v>
      </c>
      <c r="CS34" s="28">
        <v>0.422402</v>
      </c>
      <c r="CT34" s="28">
        <v>0.29869174385964897</v>
      </c>
      <c r="CU34" s="34">
        <v>28.37571566666665</v>
      </c>
    </row>
    <row r="35" spans="1:99" x14ac:dyDescent="0.25">
      <c r="A35" s="24">
        <v>34</v>
      </c>
      <c r="B35" s="26">
        <v>16.5</v>
      </c>
      <c r="C35" s="28">
        <v>0.44747466666666702</v>
      </c>
      <c r="D35" s="28">
        <v>0.32783980000000001</v>
      </c>
      <c r="E35" s="28">
        <v>0.41842333333333298</v>
      </c>
      <c r="F35" s="28">
        <v>0.24176500000000001</v>
      </c>
      <c r="G35" s="28">
        <v>0.150317533333333</v>
      </c>
      <c r="H35" s="28">
        <v>0.14712966666666699</v>
      </c>
      <c r="I35" s="28">
        <v>4.5999999999999999E-2</v>
      </c>
      <c r="J35" s="28">
        <v>5.5427333333333301E-2</v>
      </c>
      <c r="K35" s="28">
        <v>0.27448466666666699</v>
      </c>
      <c r="L35" s="28">
        <v>0.17780509999999999</v>
      </c>
      <c r="M35" s="28">
        <v>0.100817333333333</v>
      </c>
      <c r="N35" s="28">
        <v>0.13988800000000001</v>
      </c>
      <c r="O35" s="28">
        <v>0.13864199999999999</v>
      </c>
      <c r="P35" s="28">
        <v>0.18502976666666701</v>
      </c>
      <c r="Q35" s="28">
        <v>8.3493066666666602E-2</v>
      </c>
      <c r="R35" s="28">
        <v>0.416331333333333</v>
      </c>
      <c r="S35" s="28">
        <v>0.05</v>
      </c>
      <c r="T35" s="28">
        <v>0.05</v>
      </c>
      <c r="U35" s="28">
        <v>5.6000000000000001E-2</v>
      </c>
      <c r="V35" s="28">
        <v>0.23899000000000001</v>
      </c>
      <c r="W35" s="28">
        <v>0.11355999999999999</v>
      </c>
      <c r="X35" s="28">
        <v>4.64206666666667E-2</v>
      </c>
      <c r="Y35" s="28">
        <v>0.385492</v>
      </c>
      <c r="Z35" s="28">
        <v>0.1235</v>
      </c>
      <c r="AA35" s="28">
        <v>0.88271333333333402</v>
      </c>
      <c r="AB35" s="28">
        <v>1.69577933333333</v>
      </c>
      <c r="AC35" s="28">
        <v>0.42299433333333297</v>
      </c>
      <c r="AD35" s="28">
        <v>2.172688</v>
      </c>
      <c r="AE35" s="28">
        <v>0.34704866666666701</v>
      </c>
      <c r="AF35" s="28">
        <v>0.37943933333333402</v>
      </c>
      <c r="AG35" s="28">
        <v>3.5999999999999997E-2</v>
      </c>
      <c r="AH35" s="28">
        <v>9.1987666666666607E-2</v>
      </c>
      <c r="AI35" s="28">
        <v>1.0047429999999999</v>
      </c>
      <c r="AJ35" s="28">
        <v>5.0999999999999997E-2</v>
      </c>
      <c r="AK35" s="28">
        <v>0.120975</v>
      </c>
      <c r="AL35" s="28">
        <v>5.1999999999999998E-2</v>
      </c>
      <c r="AM35" s="28">
        <v>8.5090166666666703E-2</v>
      </c>
      <c r="AN35" s="28">
        <v>0.296619666666667</v>
      </c>
      <c r="AO35" s="28">
        <v>5.8393333333333297E-2</v>
      </c>
      <c r="AP35" s="28">
        <v>5.2999999999999999E-2</v>
      </c>
      <c r="AQ35" s="28">
        <v>0.28670400000000001</v>
      </c>
      <c r="AR35" s="28">
        <v>2.8746999999999998</v>
      </c>
      <c r="AS35" s="28">
        <v>0.42558233333333301</v>
      </c>
      <c r="AT35" s="28">
        <v>0.32238466666666699</v>
      </c>
      <c r="AU35" s="28">
        <v>9.3293333333333395E-2</v>
      </c>
      <c r="AV35" s="28">
        <v>0.31926233333333298</v>
      </c>
      <c r="AW35" s="28">
        <v>0.31365533333333301</v>
      </c>
      <c r="AX35" s="28">
        <v>0.06</v>
      </c>
      <c r="AY35" s="28">
        <v>0.23457586666666699</v>
      </c>
      <c r="AZ35" s="28">
        <v>0.19698533333333301</v>
      </c>
      <c r="BA35" s="28">
        <v>1.7739036666666701</v>
      </c>
      <c r="BB35" s="28">
        <v>0.10349</v>
      </c>
      <c r="BC35" s="28">
        <v>0.120161366666667</v>
      </c>
      <c r="BD35" s="28">
        <v>6.7141999999999993E-2</v>
      </c>
      <c r="BE35" s="28">
        <v>0.50021466666666703</v>
      </c>
      <c r="BF35" s="28">
        <v>2.2084181333333301</v>
      </c>
      <c r="BG35" s="28">
        <v>0.127486933333333</v>
      </c>
      <c r="BH35" s="28">
        <v>2.9000000000000001E-2</v>
      </c>
      <c r="BI35" s="28">
        <v>0.18612000000000001</v>
      </c>
      <c r="BJ35" s="28">
        <v>0.26901000000000003</v>
      </c>
      <c r="BK35" s="28">
        <v>9.4158000000000006E-2</v>
      </c>
      <c r="BL35" s="28">
        <v>0.25268800000000002</v>
      </c>
      <c r="BM35" s="28">
        <v>7.9420000000000004E-2</v>
      </c>
      <c r="BN35" s="28">
        <v>0.232069</v>
      </c>
      <c r="BO35" s="28">
        <v>0.116867</v>
      </c>
      <c r="BP35" s="28">
        <v>0.16046253333333299</v>
      </c>
      <c r="BQ35" s="28">
        <v>0.423371</v>
      </c>
      <c r="BR35" s="28">
        <v>0.24297299999999999</v>
      </c>
      <c r="BS35" s="28">
        <v>0.442960666666667</v>
      </c>
      <c r="BT35" s="28">
        <v>0.10985</v>
      </c>
      <c r="BU35" s="28">
        <v>8.8390266666666703E-2</v>
      </c>
      <c r="BV35" s="28">
        <v>0.103949266666667</v>
      </c>
      <c r="BW35" s="28">
        <v>0.16153200000000001</v>
      </c>
      <c r="BX35" s="28">
        <v>0.70818999999999999</v>
      </c>
      <c r="BY35" s="28">
        <v>0.14399999999999999</v>
      </c>
      <c r="BZ35" s="28">
        <v>0.39419733333333301</v>
      </c>
      <c r="CA35" s="28">
        <v>0.24001</v>
      </c>
      <c r="CB35" s="28">
        <v>0.16710976666666699</v>
      </c>
      <c r="CC35" s="28">
        <v>0.1342865</v>
      </c>
      <c r="CD35" s="28">
        <v>0.144161333333333</v>
      </c>
      <c r="CE35" s="28">
        <v>0.66200446666666701</v>
      </c>
      <c r="CF35" s="28">
        <v>4.7E-2</v>
      </c>
      <c r="CG35" s="28">
        <v>0.50955293333333296</v>
      </c>
      <c r="CH35" s="28">
        <v>0.249107833333333</v>
      </c>
      <c r="CI35" s="28">
        <v>0.24479400000000001</v>
      </c>
      <c r="CJ35" s="28">
        <v>0.33046366666666699</v>
      </c>
      <c r="CK35" s="28">
        <v>0.27170899999999998</v>
      </c>
      <c r="CL35" s="28">
        <v>9.7592933333333298E-2</v>
      </c>
      <c r="CM35" s="28">
        <v>0.17225799999999999</v>
      </c>
      <c r="CN35" s="28">
        <v>0.36842433333333302</v>
      </c>
      <c r="CO35" s="28">
        <v>0.67620499999999995</v>
      </c>
      <c r="CP35" s="28">
        <v>0.33104966666666702</v>
      </c>
      <c r="CQ35" s="28">
        <v>0.15816766666666701</v>
      </c>
      <c r="CR35" s="28">
        <v>0.44227333333333402</v>
      </c>
      <c r="CS35" s="28">
        <v>4.2999999999999997E-2</v>
      </c>
      <c r="CT35" s="28">
        <v>0.33391201649122798</v>
      </c>
      <c r="CU35" s="34">
        <v>31.721641566666669</v>
      </c>
    </row>
    <row r="36" spans="1:99" x14ac:dyDescent="0.25">
      <c r="A36" s="24">
        <v>35</v>
      </c>
      <c r="B36" s="26">
        <v>17</v>
      </c>
      <c r="C36" s="28">
        <v>0.61395666666666704</v>
      </c>
      <c r="D36" s="28">
        <v>0.161031333333333</v>
      </c>
      <c r="E36" s="28">
        <v>0.28165333333333298</v>
      </c>
      <c r="F36" s="28">
        <v>0.252392333333333</v>
      </c>
      <c r="G36" s="28">
        <v>0.19324253333333299</v>
      </c>
      <c r="H36" s="28">
        <v>9.9338333333333501E-2</v>
      </c>
      <c r="I36" s="28">
        <v>4.5999999999999999E-2</v>
      </c>
      <c r="J36" s="28">
        <v>0.131725333333333</v>
      </c>
      <c r="K36" s="28">
        <v>0.27986499999999997</v>
      </c>
      <c r="L36" s="28">
        <v>9.1271000000000005E-2</v>
      </c>
      <c r="M36" s="28">
        <v>0.17268646666666701</v>
      </c>
      <c r="N36" s="28">
        <v>0.36914233333333302</v>
      </c>
      <c r="O36" s="28">
        <v>6.1640533333333303E-2</v>
      </c>
      <c r="P36" s="28">
        <v>0.1024</v>
      </c>
      <c r="Q36" s="28">
        <v>0.243575133333333</v>
      </c>
      <c r="R36" s="28">
        <v>0.77011766666666603</v>
      </c>
      <c r="S36" s="28">
        <v>0.05</v>
      </c>
      <c r="T36" s="28">
        <v>0.17015333333333299</v>
      </c>
      <c r="U36" s="28">
        <v>0.176024666666667</v>
      </c>
      <c r="V36" s="28">
        <v>0.31386333333333399</v>
      </c>
      <c r="W36" s="28">
        <v>4.9000000000000002E-2</v>
      </c>
      <c r="X36" s="28">
        <v>0.223382</v>
      </c>
      <c r="Y36" s="28">
        <v>0.64297833333333299</v>
      </c>
      <c r="Z36" s="28">
        <v>0.12220399999999999</v>
      </c>
      <c r="AA36" s="28">
        <v>1.0172713333333301</v>
      </c>
      <c r="AB36" s="28">
        <v>0.318745</v>
      </c>
      <c r="AC36" s="28">
        <v>0.25078766666666702</v>
      </c>
      <c r="AD36" s="28">
        <v>0.80673266666666599</v>
      </c>
      <c r="AE36" s="28">
        <v>1.9508813333333299</v>
      </c>
      <c r="AF36" s="28">
        <v>0.59554669999999998</v>
      </c>
      <c r="AG36" s="28">
        <v>0.18753366666666699</v>
      </c>
      <c r="AH36" s="28">
        <v>0.25835966666666699</v>
      </c>
      <c r="AI36" s="28">
        <v>0.793366666666666</v>
      </c>
      <c r="AJ36" s="28">
        <v>0.30900333333333302</v>
      </c>
      <c r="AK36" s="28">
        <v>0.33443366666666702</v>
      </c>
      <c r="AL36" s="28">
        <v>5.1999999999999998E-2</v>
      </c>
      <c r="AM36" s="28">
        <v>0.27871166666666702</v>
      </c>
      <c r="AN36" s="28">
        <v>0.30601133333333302</v>
      </c>
      <c r="AO36" s="28">
        <v>0.29783933333333301</v>
      </c>
      <c r="AP36" s="28">
        <v>9.4484666666666703E-2</v>
      </c>
      <c r="AQ36" s="28">
        <v>0.364375333333333</v>
      </c>
      <c r="AR36" s="28">
        <v>0.39444936666666702</v>
      </c>
      <c r="AS36" s="28">
        <v>0.11182549999999999</v>
      </c>
      <c r="AT36" s="28">
        <v>7.1077333333333298E-2</v>
      </c>
      <c r="AU36" s="28">
        <v>0.12472800000000001</v>
      </c>
      <c r="AV36" s="28">
        <v>0.20555433333333301</v>
      </c>
      <c r="AW36" s="28">
        <v>4.5999999999999999E-2</v>
      </c>
      <c r="AX36" s="28">
        <v>0.15685716666666699</v>
      </c>
      <c r="AY36" s="28">
        <v>1.1075069333333301</v>
      </c>
      <c r="AZ36" s="28">
        <v>0.15143066666666699</v>
      </c>
      <c r="BA36" s="28">
        <v>0.24282466666666699</v>
      </c>
      <c r="BB36" s="28">
        <v>0.11885066666666699</v>
      </c>
      <c r="BC36" s="28">
        <v>0.22743596666666699</v>
      </c>
      <c r="BD36" s="28">
        <v>0.24964666666666699</v>
      </c>
      <c r="BE36" s="28">
        <v>1.027034</v>
      </c>
      <c r="BF36" s="28">
        <v>0.15238409999999999</v>
      </c>
      <c r="BG36" s="28">
        <v>0.1981842</v>
      </c>
      <c r="BH36" s="28">
        <v>2.9000000000000001E-2</v>
      </c>
      <c r="BI36" s="28">
        <v>6.1811999999999999E-2</v>
      </c>
      <c r="BJ36" s="28">
        <v>6.7237333333333302E-2</v>
      </c>
      <c r="BK36" s="28">
        <v>0.170615666666667</v>
      </c>
      <c r="BL36" s="28">
        <v>0.21135000000000001</v>
      </c>
      <c r="BM36" s="28">
        <v>0.15482799999999999</v>
      </c>
      <c r="BN36" s="28">
        <v>0.22550700000000001</v>
      </c>
      <c r="BO36" s="28">
        <v>4.7E-2</v>
      </c>
      <c r="BP36" s="28">
        <v>0.166341666666667</v>
      </c>
      <c r="BQ36" s="28">
        <v>0.26269399999999998</v>
      </c>
      <c r="BR36" s="28">
        <v>0.18336620000000001</v>
      </c>
      <c r="BS36" s="28">
        <v>0.68773099999999998</v>
      </c>
      <c r="BT36" s="28">
        <v>3.7999999999999999E-2</v>
      </c>
      <c r="BU36" s="28">
        <v>0.1874034</v>
      </c>
      <c r="BV36" s="28">
        <v>0.304076333333333</v>
      </c>
      <c r="BW36" s="28">
        <v>0.31940016666666698</v>
      </c>
      <c r="BX36" s="28">
        <v>0.70597500000000002</v>
      </c>
      <c r="BY36" s="28">
        <v>0.249773</v>
      </c>
      <c r="BZ36" s="28">
        <v>0.27713300000000002</v>
      </c>
      <c r="CA36" s="28">
        <v>0.40938999999999998</v>
      </c>
      <c r="CB36" s="28">
        <v>0.60249533333333405</v>
      </c>
      <c r="CC36" s="28">
        <v>0.40834500000000001</v>
      </c>
      <c r="CD36" s="28">
        <v>0.34570333333333297</v>
      </c>
      <c r="CE36" s="28">
        <v>0.55414019999999997</v>
      </c>
      <c r="CF36" s="28">
        <v>7.23973333333333E-2</v>
      </c>
      <c r="CG36" s="28">
        <v>0.27112233333333302</v>
      </c>
      <c r="CH36" s="28">
        <v>0.45226666666666698</v>
      </c>
      <c r="CI36" s="28">
        <v>0.50621733333333296</v>
      </c>
      <c r="CJ36" s="28">
        <v>0.668014</v>
      </c>
      <c r="CK36" s="28">
        <v>0.40780499999999997</v>
      </c>
      <c r="CL36" s="28">
        <v>0.28024626666666702</v>
      </c>
      <c r="CM36" s="28">
        <v>6.2290666666666702E-2</v>
      </c>
      <c r="CN36" s="28">
        <v>0.11765</v>
      </c>
      <c r="CO36" s="28">
        <v>0.29470533333333299</v>
      </c>
      <c r="CP36" s="28">
        <v>0.19338886666666699</v>
      </c>
      <c r="CQ36" s="28">
        <v>0.125193</v>
      </c>
      <c r="CR36" s="28">
        <v>0.45679399999999998</v>
      </c>
      <c r="CS36" s="28">
        <v>0.17652000000000001</v>
      </c>
      <c r="CT36" s="28">
        <v>0.30708890210526302</v>
      </c>
      <c r="CU36" s="34">
        <v>29.173445699999981</v>
      </c>
    </row>
    <row r="37" spans="1:99" x14ac:dyDescent="0.25">
      <c r="A37" s="24">
        <v>36</v>
      </c>
      <c r="B37" s="26">
        <v>17.5</v>
      </c>
      <c r="C37" s="28">
        <v>1.19795233333333</v>
      </c>
      <c r="D37" s="28">
        <v>0.23411933333333301</v>
      </c>
      <c r="E37" s="28">
        <v>1.0349873333333299</v>
      </c>
      <c r="F37" s="28">
        <v>0.22009999999999999</v>
      </c>
      <c r="G37" s="28">
        <v>0.29745280000000002</v>
      </c>
      <c r="H37" s="28">
        <v>0.12358066666666701</v>
      </c>
      <c r="I37" s="28">
        <v>4.5999999999999999E-2</v>
      </c>
      <c r="J37" s="28">
        <v>0.83242366666666701</v>
      </c>
      <c r="K37" s="28">
        <v>1.7069650000000001</v>
      </c>
      <c r="L37" s="28">
        <v>0.2381856</v>
      </c>
      <c r="M37" s="28">
        <v>0.13281333333333301</v>
      </c>
      <c r="N37" s="28">
        <v>0.18414066666666701</v>
      </c>
      <c r="O37" s="28">
        <v>0.19611546666666699</v>
      </c>
      <c r="P37" s="28">
        <v>0.19444946666666699</v>
      </c>
      <c r="Q37" s="28">
        <v>5.6448199999999997E-2</v>
      </c>
      <c r="R37" s="28">
        <v>0.55092133333333304</v>
      </c>
      <c r="S37" s="28">
        <v>0.05</v>
      </c>
      <c r="T37" s="28">
        <v>0.05</v>
      </c>
      <c r="U37" s="28">
        <v>0.26615</v>
      </c>
      <c r="V37" s="28">
        <v>0.13984533333333299</v>
      </c>
      <c r="W37" s="28">
        <v>0.10996</v>
      </c>
      <c r="X37" s="28">
        <v>0.17999266666666699</v>
      </c>
      <c r="Y37" s="28">
        <v>0.32454033333333299</v>
      </c>
      <c r="Z37" s="28">
        <v>0.33946159999999997</v>
      </c>
      <c r="AA37" s="28">
        <v>5.3999999999999999E-2</v>
      </c>
      <c r="AB37" s="28">
        <v>0.30637266666666702</v>
      </c>
      <c r="AC37" s="28">
        <v>0.293771</v>
      </c>
      <c r="AD37" s="28">
        <v>0.22319333333333299</v>
      </c>
      <c r="AE37" s="28">
        <v>1.97315</v>
      </c>
      <c r="AF37" s="28">
        <v>1.35083833333333</v>
      </c>
      <c r="AG37" s="28">
        <v>6.8232666666666705E-2</v>
      </c>
      <c r="AH37" s="28">
        <v>0.11753633333333301</v>
      </c>
      <c r="AI37" s="28">
        <v>0.20751800000000001</v>
      </c>
      <c r="AJ37" s="28">
        <v>0.371103666666666</v>
      </c>
      <c r="AK37" s="28">
        <v>0.53498699999999999</v>
      </c>
      <c r="AL37" s="28">
        <v>5.1999999999999998E-2</v>
      </c>
      <c r="AM37" s="28">
        <v>0.303760266666667</v>
      </c>
      <c r="AN37" s="28">
        <v>0.1231288</v>
      </c>
      <c r="AO37" s="28">
        <v>0.15562999999999999</v>
      </c>
      <c r="AP37" s="28">
        <v>7.9399333333333294E-2</v>
      </c>
      <c r="AQ37" s="28">
        <v>0.23426</v>
      </c>
      <c r="AR37" s="28">
        <v>0.10025766666666699</v>
      </c>
      <c r="AS37" s="28">
        <v>0.34419633333333299</v>
      </c>
      <c r="AT37" s="28">
        <v>0.12811866666666699</v>
      </c>
      <c r="AU37" s="28">
        <v>5.3999999999999999E-2</v>
      </c>
      <c r="AV37" s="28">
        <v>0.29891933333333298</v>
      </c>
      <c r="AW37" s="28">
        <v>0.32029633333333302</v>
      </c>
      <c r="AX37" s="28">
        <v>0.113001166666667</v>
      </c>
      <c r="AY37" s="28">
        <v>0.394655066666666</v>
      </c>
      <c r="AZ37" s="28">
        <v>0.182174</v>
      </c>
      <c r="BA37" s="28">
        <v>1.2951600000000001</v>
      </c>
      <c r="BB37" s="28">
        <v>0.17624600000000001</v>
      </c>
      <c r="BC37" s="28">
        <v>9.5731433333333296E-2</v>
      </c>
      <c r="BD37" s="28">
        <v>0.102796</v>
      </c>
      <c r="BE37" s="28">
        <v>0.78999866666666696</v>
      </c>
      <c r="BF37" s="28">
        <v>0.103285366666667</v>
      </c>
      <c r="BG37" s="28">
        <v>0.1183332</v>
      </c>
      <c r="BH37" s="28">
        <v>2.9000000000000001E-2</v>
      </c>
      <c r="BI37" s="28">
        <v>5.8776866666666698E-2</v>
      </c>
      <c r="BJ37" s="28">
        <v>0.28438933333333299</v>
      </c>
      <c r="BK37" s="28">
        <v>0.39168999999999998</v>
      </c>
      <c r="BL37" s="28">
        <v>0.28602499999999997</v>
      </c>
      <c r="BM37" s="28">
        <v>4.8000000000000001E-2</v>
      </c>
      <c r="BN37" s="28">
        <v>0.112314</v>
      </c>
      <c r="BO37" s="28">
        <v>0.404227</v>
      </c>
      <c r="BP37" s="28">
        <v>0.283714666666667</v>
      </c>
      <c r="BQ37" s="28">
        <v>0.29807366666666701</v>
      </c>
      <c r="BR37" s="28">
        <v>0.113455</v>
      </c>
      <c r="BS37" s="28">
        <v>0.43012533333333303</v>
      </c>
      <c r="BT37" s="28">
        <v>0.13858999999999999</v>
      </c>
      <c r="BU37" s="28">
        <v>0.323703666666667</v>
      </c>
      <c r="BV37" s="28">
        <v>5.3999999999999999E-2</v>
      </c>
      <c r="BW37" s="28">
        <v>9.4274999999999998E-2</v>
      </c>
      <c r="BX37" s="28">
        <v>0.71918400000000005</v>
      </c>
      <c r="BY37" s="28">
        <v>5.3999999999999999E-2</v>
      </c>
      <c r="BZ37" s="28">
        <v>0.20016999999999999</v>
      </c>
      <c r="CA37" s="28">
        <v>0.27163466666666702</v>
      </c>
      <c r="CB37" s="28">
        <v>1.4326093333333301</v>
      </c>
      <c r="CC37" s="28">
        <v>0.37337266666666702</v>
      </c>
      <c r="CD37" s="28">
        <v>0.66914399999999996</v>
      </c>
      <c r="CE37" s="28">
        <v>0.33779666666666702</v>
      </c>
      <c r="CF37" s="28">
        <v>0.218333</v>
      </c>
      <c r="CG37" s="28">
        <v>0.26146200000000003</v>
      </c>
      <c r="CH37" s="28">
        <v>0.779053</v>
      </c>
      <c r="CI37" s="28">
        <v>1.95471333333333</v>
      </c>
      <c r="CJ37" s="28">
        <v>1.3921829999999999</v>
      </c>
      <c r="CK37" s="28">
        <v>0.19043299999999999</v>
      </c>
      <c r="CL37" s="28">
        <v>0.243366</v>
      </c>
      <c r="CM37" s="28">
        <v>4.8000000000000001E-2</v>
      </c>
      <c r="CN37" s="28">
        <v>1.268988</v>
      </c>
      <c r="CO37" s="28">
        <v>0.246943</v>
      </c>
      <c r="CP37" s="28">
        <v>6.4689933333333297E-2</v>
      </c>
      <c r="CQ37" s="28">
        <v>9.2218333333333305E-2</v>
      </c>
      <c r="CR37" s="28">
        <v>9.0095333333333305E-2</v>
      </c>
      <c r="CS37" s="28">
        <v>0.2708296</v>
      </c>
      <c r="CT37" s="28">
        <v>0.36107614912280678</v>
      </c>
      <c r="CU37" s="34">
        <v>34.302234166666643</v>
      </c>
    </row>
    <row r="38" spans="1:99" x14ac:dyDescent="0.25">
      <c r="A38" s="24">
        <v>37</v>
      </c>
      <c r="B38" s="26">
        <v>18</v>
      </c>
      <c r="C38" s="28">
        <v>1.0537138666666701</v>
      </c>
      <c r="D38" s="28">
        <v>0.143136033333333</v>
      </c>
      <c r="E38" s="28">
        <v>0.402221</v>
      </c>
      <c r="F38" s="28">
        <v>0.116369</v>
      </c>
      <c r="G38" s="28">
        <v>0.33985233333333298</v>
      </c>
      <c r="H38" s="28">
        <v>0.24580866666666701</v>
      </c>
      <c r="I38" s="28">
        <v>4.5999999999999999E-2</v>
      </c>
      <c r="J38" s="28">
        <v>1.12929233333333</v>
      </c>
      <c r="K38" s="28">
        <v>0.61225133333333404</v>
      </c>
      <c r="L38" s="28">
        <v>0.17338066666666699</v>
      </c>
      <c r="M38" s="28">
        <v>0.29312666666666698</v>
      </c>
      <c r="N38" s="28">
        <v>0.16252666666666701</v>
      </c>
      <c r="O38" s="28">
        <v>0.36228466666666698</v>
      </c>
      <c r="P38" s="28">
        <v>0.2918461</v>
      </c>
      <c r="Q38" s="28">
        <v>5.3999999999999999E-2</v>
      </c>
      <c r="R38" s="28">
        <v>0.200444333333333</v>
      </c>
      <c r="S38" s="28">
        <v>0.05</v>
      </c>
      <c r="T38" s="28">
        <v>0.34812866666666697</v>
      </c>
      <c r="U38" s="28">
        <v>0.44358500000000001</v>
      </c>
      <c r="V38" s="28">
        <v>0.12042310000000001</v>
      </c>
      <c r="W38" s="28">
        <v>0.15405466666666701</v>
      </c>
      <c r="X38" s="28">
        <v>3.9E-2</v>
      </c>
      <c r="Y38" s="28">
        <v>0.24185000000000001</v>
      </c>
      <c r="Z38" s="28">
        <v>0.34741613333333299</v>
      </c>
      <c r="AA38" s="28">
        <v>6.6611333333333397E-2</v>
      </c>
      <c r="AB38" s="28">
        <v>0.17204166666666701</v>
      </c>
      <c r="AC38" s="28">
        <v>0.23880879999999999</v>
      </c>
      <c r="AD38" s="28">
        <v>6.5605666666666701E-2</v>
      </c>
      <c r="AE38" s="28">
        <v>0.44309466666666703</v>
      </c>
      <c r="AF38" s="28">
        <v>3.745924</v>
      </c>
      <c r="AG38" s="28">
        <v>0.206324333333333</v>
      </c>
      <c r="AH38" s="28">
        <v>0.15028966666666699</v>
      </c>
      <c r="AI38" s="28">
        <v>5.1999999999999998E-2</v>
      </c>
      <c r="AJ38" s="28">
        <v>0.30718899999999999</v>
      </c>
      <c r="AK38" s="28">
        <v>0.288578</v>
      </c>
      <c r="AL38" s="28">
        <v>5.1999999999999998E-2</v>
      </c>
      <c r="AM38" s="28">
        <v>5.8378666666666697E-2</v>
      </c>
      <c r="AN38" s="28">
        <v>0.123611866666667</v>
      </c>
      <c r="AO38" s="28">
        <v>0.41613866666666699</v>
      </c>
      <c r="AP38" s="28">
        <v>0.15501466666666699</v>
      </c>
      <c r="AQ38" s="28">
        <v>0.38604066666666698</v>
      </c>
      <c r="AR38" s="28">
        <v>0.36056333333333301</v>
      </c>
      <c r="AS38" s="28">
        <v>0.15386966666666699</v>
      </c>
      <c r="AT38" s="28">
        <v>0.29596600000000001</v>
      </c>
      <c r="AU38" s="28">
        <v>0.296314666666667</v>
      </c>
      <c r="AV38" s="28">
        <v>0.32964399999999999</v>
      </c>
      <c r="AW38" s="28">
        <v>5.6296666666666703E-2</v>
      </c>
      <c r="AX38" s="28">
        <v>8.5000000000000006E-2</v>
      </c>
      <c r="AY38" s="28">
        <v>0.28397499999999998</v>
      </c>
      <c r="AZ38" s="28">
        <v>0.18688133333333301</v>
      </c>
      <c r="BA38" s="28">
        <v>0.97460166666666703</v>
      </c>
      <c r="BB38" s="28">
        <v>0.27692733333333303</v>
      </c>
      <c r="BC38" s="28">
        <v>0.30405789999999999</v>
      </c>
      <c r="BD38" s="28">
        <v>5.5E-2</v>
      </c>
      <c r="BE38" s="28">
        <v>0.44662733333333299</v>
      </c>
      <c r="BF38" s="28">
        <v>9.5732666666666702E-2</v>
      </c>
      <c r="BG38" s="28">
        <v>0.269681</v>
      </c>
      <c r="BH38" s="28">
        <v>2.9000000000000001E-2</v>
      </c>
      <c r="BI38" s="28">
        <v>4.8000000000000001E-2</v>
      </c>
      <c r="BJ38" s="28">
        <v>0.443272</v>
      </c>
      <c r="BK38" s="28">
        <v>0.30497833333333302</v>
      </c>
      <c r="BL38" s="28">
        <v>0.28860000000000002</v>
      </c>
      <c r="BM38" s="28">
        <v>4.8000000000000001E-2</v>
      </c>
      <c r="BN38" s="28">
        <v>0.34526200000000001</v>
      </c>
      <c r="BO38" s="28">
        <v>5.5411599999999998E-2</v>
      </c>
      <c r="BP38" s="28">
        <v>5.5E-2</v>
      </c>
      <c r="BQ38" s="28">
        <v>0.50933166666666696</v>
      </c>
      <c r="BR38" s="28">
        <v>0.75419400000000003</v>
      </c>
      <c r="BS38" s="28">
        <v>0.639940333333333</v>
      </c>
      <c r="BT38" s="28">
        <v>3.7999999999999999E-2</v>
      </c>
      <c r="BU38" s="28">
        <v>1.1117779999999999</v>
      </c>
      <c r="BV38" s="28">
        <v>0.122866666666667</v>
      </c>
      <c r="BW38" s="28">
        <v>1.35342933333333</v>
      </c>
      <c r="BX38" s="28">
        <v>0.84926933333333299</v>
      </c>
      <c r="BY38" s="28">
        <v>0.285482666666667</v>
      </c>
      <c r="BZ38" s="28">
        <v>0.13800000000000001</v>
      </c>
      <c r="CA38" s="28">
        <v>1.48629533333333</v>
      </c>
      <c r="CB38" s="28">
        <v>1.1359598</v>
      </c>
      <c r="CC38" s="28">
        <v>0.32570900000000003</v>
      </c>
      <c r="CD38" s="28">
        <v>0.10720399999999999</v>
      </c>
      <c r="CE38" s="28">
        <v>0.33359766666666701</v>
      </c>
      <c r="CF38" s="28">
        <v>0.116743666666667</v>
      </c>
      <c r="CG38" s="28">
        <v>0.16348099999999999</v>
      </c>
      <c r="CH38" s="28">
        <v>0.23906649999999999</v>
      </c>
      <c r="CI38" s="28">
        <v>0.22238733333333299</v>
      </c>
      <c r="CJ38" s="28">
        <v>0.66554933333333299</v>
      </c>
      <c r="CK38" s="28">
        <v>0.332536</v>
      </c>
      <c r="CL38" s="28">
        <v>0.39246900000000001</v>
      </c>
      <c r="CM38" s="28">
        <v>0.10081266666666699</v>
      </c>
      <c r="CN38" s="28">
        <v>0.13204353333333299</v>
      </c>
      <c r="CO38" s="28">
        <v>0.56162366666666697</v>
      </c>
      <c r="CP38" s="28">
        <v>1.3582763333333301</v>
      </c>
      <c r="CQ38" s="28">
        <v>0.191142333333333</v>
      </c>
      <c r="CR38" s="28">
        <v>0.29988983333333302</v>
      </c>
      <c r="CS38" s="28">
        <v>7.4970400000000006E-2</v>
      </c>
      <c r="CT38" s="28">
        <v>0.36241131368421042</v>
      </c>
      <c r="CU38" s="34">
        <v>34.429074799999988</v>
      </c>
    </row>
    <row r="39" spans="1:99" x14ac:dyDescent="0.25">
      <c r="A39" s="24">
        <v>38</v>
      </c>
      <c r="B39" s="26">
        <v>18.5</v>
      </c>
      <c r="C39" s="28">
        <v>0.23819173333333299</v>
      </c>
      <c r="D39" s="28">
        <v>0.381774</v>
      </c>
      <c r="E39" s="28">
        <v>1.0756030000000001</v>
      </c>
      <c r="F39" s="28">
        <v>0.146315466666667</v>
      </c>
      <c r="G39" s="28">
        <v>0.28989366666666699</v>
      </c>
      <c r="H39" s="28">
        <v>5.7166666666666699E-2</v>
      </c>
      <c r="I39" s="28">
        <v>4.5999999999999999E-2</v>
      </c>
      <c r="J39" s="28">
        <v>1.7010419999999999</v>
      </c>
      <c r="K39" s="28">
        <v>1.0008986666666699</v>
      </c>
      <c r="L39" s="28">
        <v>0.25427866666666699</v>
      </c>
      <c r="M39" s="28">
        <v>0.13000600000000001</v>
      </c>
      <c r="N39" s="28">
        <v>0.37725666666666702</v>
      </c>
      <c r="O39" s="28">
        <v>0.30087999999999998</v>
      </c>
      <c r="P39" s="28">
        <v>5.7336999999999999E-2</v>
      </c>
      <c r="Q39" s="28">
        <v>0.14643800000000001</v>
      </c>
      <c r="R39" s="28">
        <v>0.39361566666666697</v>
      </c>
      <c r="S39" s="28">
        <v>5.50825666666667E-2</v>
      </c>
      <c r="T39" s="28">
        <v>6.73406E-2</v>
      </c>
      <c r="U39" s="28">
        <v>0.28963666666666699</v>
      </c>
      <c r="V39" s="28">
        <v>0.47158603333333299</v>
      </c>
      <c r="W39" s="28">
        <v>0.21987999999999999</v>
      </c>
      <c r="X39" s="28">
        <v>0.109212666666667</v>
      </c>
      <c r="Y39" s="28">
        <v>0.252016666666667</v>
      </c>
      <c r="Z39" s="28">
        <v>0.41773533333333301</v>
      </c>
      <c r="AA39" s="28">
        <v>0.18011333333333299</v>
      </c>
      <c r="AB39" s="28">
        <v>0.16386066666666699</v>
      </c>
      <c r="AC39" s="28">
        <v>0.1073808</v>
      </c>
      <c r="AD39" s="28">
        <v>0.25086639999999999</v>
      </c>
      <c r="AE39" s="28">
        <v>0.14810999999999999</v>
      </c>
      <c r="AF39" s="28">
        <v>0.10403333333333301</v>
      </c>
      <c r="AG39" s="28">
        <v>0.35774</v>
      </c>
      <c r="AH39" s="28">
        <v>0.22560633333333299</v>
      </c>
      <c r="AI39" s="28">
        <v>0.14104</v>
      </c>
      <c r="AJ39" s="28">
        <v>9.6949333333333304E-2</v>
      </c>
      <c r="AK39" s="28">
        <v>0.405355666666667</v>
      </c>
      <c r="AL39" s="28">
        <v>5.1999999999999998E-2</v>
      </c>
      <c r="AM39" s="28">
        <v>0.14535473333333301</v>
      </c>
      <c r="AN39" s="28">
        <v>4.5999999999999999E-2</v>
      </c>
      <c r="AO39" s="28">
        <v>0.25021606666666701</v>
      </c>
      <c r="AP39" s="28">
        <v>0.35222900000000001</v>
      </c>
      <c r="AQ39" s="28">
        <v>0.45374266666666702</v>
      </c>
      <c r="AR39" s="28">
        <v>4.9000000000000002E-2</v>
      </c>
      <c r="AS39" s="28">
        <v>0.23881720000000001</v>
      </c>
      <c r="AT39" s="28">
        <v>0.181545333333333</v>
      </c>
      <c r="AU39" s="28">
        <v>1.7298453333333299</v>
      </c>
      <c r="AV39" s="28">
        <v>0.320637333333333</v>
      </c>
      <c r="AW39" s="28">
        <v>5.6296666666666703E-2</v>
      </c>
      <c r="AX39" s="28">
        <v>8.8954666666666696E-2</v>
      </c>
      <c r="AY39" s="28">
        <v>0.25403700000000001</v>
      </c>
      <c r="AZ39" s="28">
        <v>0.29544583333333302</v>
      </c>
      <c r="BA39" s="28">
        <v>1.667038</v>
      </c>
      <c r="BB39" s="28">
        <v>0.35642533333333298</v>
      </c>
      <c r="BC39" s="28">
        <v>0.17460999999999999</v>
      </c>
      <c r="BD39" s="28">
        <v>0.106843333333333</v>
      </c>
      <c r="BE39" s="28">
        <v>0.18644566666666701</v>
      </c>
      <c r="BF39" s="28">
        <v>0.28563</v>
      </c>
      <c r="BG39" s="28">
        <v>0.36505933333333301</v>
      </c>
      <c r="BH39" s="28">
        <v>6.8000000000000005E-2</v>
      </c>
      <c r="BI39" s="28">
        <v>0.460160333333333</v>
      </c>
      <c r="BJ39" s="28">
        <v>1.14848366666667</v>
      </c>
      <c r="BK39" s="28">
        <v>0.276341</v>
      </c>
      <c r="BL39" s="28">
        <v>0.29260000000000003</v>
      </c>
      <c r="BM39" s="28">
        <v>0.186248</v>
      </c>
      <c r="BN39" s="28">
        <v>4.9000000000000002E-2</v>
      </c>
      <c r="BO39" s="28">
        <v>0.190442</v>
      </c>
      <c r="BP39" s="28">
        <v>0.123074666666667</v>
      </c>
      <c r="BQ39" s="28">
        <v>0.18014833333333299</v>
      </c>
      <c r="BR39" s="28">
        <v>0.59002666666666703</v>
      </c>
      <c r="BS39" s="28">
        <v>3.0957063333333301</v>
      </c>
      <c r="BT39" s="28">
        <v>9.3513333333333296E-2</v>
      </c>
      <c r="BU39" s="28">
        <v>0.209655966666667</v>
      </c>
      <c r="BV39" s="28">
        <v>0.43965033333333298</v>
      </c>
      <c r="BW39" s="28">
        <v>0.200943333333333</v>
      </c>
      <c r="BX39" s="28">
        <v>0.49526999999999999</v>
      </c>
      <c r="BY39" s="28">
        <v>5.3999999999999999E-2</v>
      </c>
      <c r="BZ39" s="28">
        <v>0.64112566666666704</v>
      </c>
      <c r="CA39" s="28">
        <v>0.42783266666666703</v>
      </c>
      <c r="CB39" s="28">
        <v>1.2192569666666699</v>
      </c>
      <c r="CC39" s="28">
        <v>0.27774966666666701</v>
      </c>
      <c r="CD39" s="28">
        <v>8.0585900000000002E-2</v>
      </c>
      <c r="CE39" s="28">
        <v>0.26479866666666702</v>
      </c>
      <c r="CF39" s="28">
        <v>9.1445333333333406E-2</v>
      </c>
      <c r="CG39" s="28">
        <v>0.205224666666667</v>
      </c>
      <c r="CH39" s="28">
        <v>0.28383833333333303</v>
      </c>
      <c r="CI39" s="28">
        <v>0.326042</v>
      </c>
      <c r="CJ39" s="28">
        <v>1.49037333333333</v>
      </c>
      <c r="CK39" s="28">
        <v>0.226451666666667</v>
      </c>
      <c r="CL39" s="28">
        <v>0.23887120000000001</v>
      </c>
      <c r="CM39" s="28">
        <v>0.12576000000000001</v>
      </c>
      <c r="CN39" s="28">
        <v>0.16944493333333299</v>
      </c>
      <c r="CO39" s="28">
        <v>0.515807666666667</v>
      </c>
      <c r="CP39" s="28">
        <v>0.12945999999999999</v>
      </c>
      <c r="CQ39" s="28">
        <v>5.0999999999999997E-2</v>
      </c>
      <c r="CR39" s="28">
        <v>0.32664100000000001</v>
      </c>
      <c r="CS39" s="28">
        <v>0.20577453333333301</v>
      </c>
      <c r="CT39" s="28">
        <v>0.35544384491228082</v>
      </c>
      <c r="CU39" s="34">
        <v>33.767165266666673</v>
      </c>
    </row>
    <row r="40" spans="1:99" x14ac:dyDescent="0.25">
      <c r="A40" s="24">
        <v>39</v>
      </c>
      <c r="B40" s="26">
        <v>19</v>
      </c>
      <c r="C40" s="28">
        <v>0.20078733333333301</v>
      </c>
      <c r="D40" s="28">
        <v>0.50558756666666704</v>
      </c>
      <c r="E40" s="28">
        <v>0.15536066666666701</v>
      </c>
      <c r="F40" s="28">
        <v>0.333011733333333</v>
      </c>
      <c r="G40" s="28">
        <v>0.74839100000000003</v>
      </c>
      <c r="H40" s="28">
        <v>0.64743333333333397</v>
      </c>
      <c r="I40" s="28">
        <v>4.5999999999999999E-2</v>
      </c>
      <c r="J40" s="28">
        <v>0.33912066666666701</v>
      </c>
      <c r="K40" s="28">
        <v>2.8028266666666699</v>
      </c>
      <c r="L40" s="28">
        <v>0.47475899999999999</v>
      </c>
      <c r="M40" s="28">
        <v>0.24689333333333299</v>
      </c>
      <c r="N40" s="28">
        <v>0.180308</v>
      </c>
      <c r="O40" s="28">
        <v>0.42909000000000003</v>
      </c>
      <c r="P40" s="28">
        <v>0.32775310000000002</v>
      </c>
      <c r="Q40" s="28">
        <v>0.26475199999999999</v>
      </c>
      <c r="R40" s="28">
        <v>0.498873333333333</v>
      </c>
      <c r="S40" s="28">
        <v>6.0166666666666702E-2</v>
      </c>
      <c r="T40" s="28">
        <v>0.108068</v>
      </c>
      <c r="U40" s="28">
        <v>0.15033666666666701</v>
      </c>
      <c r="V40" s="28">
        <v>0.15582733333333301</v>
      </c>
      <c r="W40" s="28">
        <v>0.1535685</v>
      </c>
      <c r="X40" s="28">
        <v>0.29416199999999998</v>
      </c>
      <c r="Y40" s="28">
        <v>0.39286700000000002</v>
      </c>
      <c r="Z40" s="28">
        <v>0.157471</v>
      </c>
      <c r="AA40" s="28">
        <v>5.3999999999999999E-2</v>
      </c>
      <c r="AB40" s="28">
        <v>8.62666666666667E-2</v>
      </c>
      <c r="AC40" s="28">
        <v>0.1625838</v>
      </c>
      <c r="AD40" s="28">
        <v>7.5755400000000001E-2</v>
      </c>
      <c r="AE40" s="28">
        <v>0.1825541</v>
      </c>
      <c r="AF40" s="28">
        <v>6.8931999999999993E-2</v>
      </c>
      <c r="AG40" s="28">
        <v>0.26150366666666702</v>
      </c>
      <c r="AH40" s="28">
        <v>0.11766699999999999</v>
      </c>
      <c r="AI40" s="28">
        <v>0.15096599999999999</v>
      </c>
      <c r="AJ40" s="28">
        <v>0.178258</v>
      </c>
      <c r="AK40" s="28">
        <v>1.8024516666666699</v>
      </c>
      <c r="AL40" s="28">
        <v>5.1999999999999998E-2</v>
      </c>
      <c r="AM40" s="28">
        <v>6.429E-2</v>
      </c>
      <c r="AN40" s="28">
        <v>4.5999999999999999E-2</v>
      </c>
      <c r="AO40" s="28">
        <v>0.29599799999999998</v>
      </c>
      <c r="AP40" s="28">
        <v>8.3342666666666704E-2</v>
      </c>
      <c r="AQ40" s="28">
        <v>0.14018</v>
      </c>
      <c r="AR40" s="28">
        <v>4.9000000000000002E-2</v>
      </c>
      <c r="AS40" s="28">
        <v>0.34876000000000001</v>
      </c>
      <c r="AT40" s="28">
        <v>0.25898666666666698</v>
      </c>
      <c r="AU40" s="28">
        <v>2.3109933333333301</v>
      </c>
      <c r="AV40" s="28">
        <v>0.34595666666666702</v>
      </c>
      <c r="AW40" s="28">
        <v>0.25042166666666699</v>
      </c>
      <c r="AX40" s="28">
        <v>0.24246266666666699</v>
      </c>
      <c r="AY40" s="28">
        <v>0.75903133333333295</v>
      </c>
      <c r="AZ40" s="28">
        <v>0.4106804</v>
      </c>
      <c r="BA40" s="28">
        <v>0.46143833333333301</v>
      </c>
      <c r="BB40" s="28">
        <v>0.43745133333333303</v>
      </c>
      <c r="BC40" s="28">
        <v>0.14112766666666701</v>
      </c>
      <c r="BD40" s="28">
        <v>0.245599333333333</v>
      </c>
      <c r="BE40" s="28">
        <v>0.450801333333333</v>
      </c>
      <c r="BF40" s="28">
        <v>9.6038333333333406E-2</v>
      </c>
      <c r="BG40" s="28">
        <v>0.25570999999999999</v>
      </c>
      <c r="BH40" s="28">
        <v>0.17214333333333301</v>
      </c>
      <c r="BI40" s="28">
        <v>0.200128</v>
      </c>
      <c r="BJ40" s="28">
        <v>0.39350366666666697</v>
      </c>
      <c r="BK40" s="28">
        <v>0.26916099999999998</v>
      </c>
      <c r="BL40" s="28">
        <v>0.26284999999999997</v>
      </c>
      <c r="BM40" s="28">
        <v>4.8000000000000001E-2</v>
      </c>
      <c r="BN40" s="28">
        <v>0.24731600000000001</v>
      </c>
      <c r="BO40" s="28">
        <v>0.16782920000000001</v>
      </c>
      <c r="BP40" s="28">
        <v>0.50159266666666702</v>
      </c>
      <c r="BQ40" s="28">
        <v>0.27678433333333302</v>
      </c>
      <c r="BR40" s="28">
        <v>0.437973</v>
      </c>
      <c r="BS40" s="28">
        <v>3.6970333333333301</v>
      </c>
      <c r="BT40" s="28">
        <v>0.25450800000000001</v>
      </c>
      <c r="BU40" s="28">
        <v>0.18794203333333301</v>
      </c>
      <c r="BV40" s="28">
        <v>0.32216333333333302</v>
      </c>
      <c r="BW40" s="28">
        <v>0.302258266666667</v>
      </c>
      <c r="BX40" s="28">
        <v>0.71286366666666701</v>
      </c>
      <c r="BY40" s="28">
        <v>0.14231666666666701</v>
      </c>
      <c r="BZ40" s="28">
        <v>1.6412086666666701</v>
      </c>
      <c r="CA40" s="28">
        <v>8.2816000000000001E-2</v>
      </c>
      <c r="CB40" s="28">
        <v>2.2385220000000001</v>
      </c>
      <c r="CC40" s="28">
        <v>0.69692600000000005</v>
      </c>
      <c r="CD40" s="28">
        <v>0.1198525</v>
      </c>
      <c r="CE40" s="28">
        <v>2.64465533333333</v>
      </c>
      <c r="CF40" s="28">
        <v>0.24366733333333301</v>
      </c>
      <c r="CG40" s="28">
        <v>0.130304</v>
      </c>
      <c r="CH40" s="28">
        <v>0.25631183333333302</v>
      </c>
      <c r="CI40" s="28">
        <v>1.59145933333333</v>
      </c>
      <c r="CJ40" s="28">
        <v>0.50368433333333296</v>
      </c>
      <c r="CK40" s="28">
        <v>0.190166</v>
      </c>
      <c r="CL40" s="28">
        <v>0.184116533333333</v>
      </c>
      <c r="CM40" s="28">
        <v>5.7211666666666702E-2</v>
      </c>
      <c r="CN40" s="28">
        <v>0.35659999999999997</v>
      </c>
      <c r="CO40" s="28">
        <v>0.29356533333333301</v>
      </c>
      <c r="CP40" s="28">
        <v>0.219378666666667</v>
      </c>
      <c r="CQ40" s="28">
        <v>0.23236066666666699</v>
      </c>
      <c r="CR40" s="28">
        <v>0.15603266666666701</v>
      </c>
      <c r="CS40" s="28">
        <v>0.184475466666667</v>
      </c>
      <c r="CT40" s="28">
        <v>0.43347688175438598</v>
      </c>
      <c r="CU40" s="34">
        <v>41.180303766666682</v>
      </c>
    </row>
    <row r="41" spans="1:99" x14ac:dyDescent="0.25">
      <c r="A41" s="24">
        <v>40</v>
      </c>
      <c r="B41" s="26">
        <v>19.5</v>
      </c>
      <c r="C41" s="28">
        <v>0.169544</v>
      </c>
      <c r="D41" s="28">
        <v>0.65409799999999996</v>
      </c>
      <c r="E41" s="28">
        <v>0.47093600000000002</v>
      </c>
      <c r="F41" s="28">
        <v>0.41708299999999998</v>
      </c>
      <c r="G41" s="28">
        <v>1.8906179999999999</v>
      </c>
      <c r="H41" s="28">
        <v>1.0318750000000001</v>
      </c>
      <c r="I41" s="28">
        <v>4.5999999999999999E-2</v>
      </c>
      <c r="J41" s="28">
        <v>0.41419866666666699</v>
      </c>
      <c r="K41" s="28">
        <v>2.0250733333333302</v>
      </c>
      <c r="L41" s="28">
        <v>0.31869666666666702</v>
      </c>
      <c r="M41" s="28">
        <v>0.32511600000000002</v>
      </c>
      <c r="N41" s="28">
        <v>0.307130666666667</v>
      </c>
      <c r="O41" s="28">
        <v>0.41743233333333302</v>
      </c>
      <c r="P41" s="28">
        <v>0.37320399999999998</v>
      </c>
      <c r="Q41" s="28">
        <v>0.27645766666666699</v>
      </c>
      <c r="R41" s="28">
        <v>0.45987533333333303</v>
      </c>
      <c r="S41" s="28">
        <v>0.16383413333333299</v>
      </c>
      <c r="T41" s="28">
        <v>0.43325666666666701</v>
      </c>
      <c r="U41" s="28">
        <v>5.6000000000000001E-2</v>
      </c>
      <c r="V41" s="28">
        <v>0.44711466666666699</v>
      </c>
      <c r="W41" s="28">
        <v>0.4225604</v>
      </c>
      <c r="X41" s="28">
        <v>3.9E-2</v>
      </c>
      <c r="Y41" s="28">
        <v>0.65873333333333295</v>
      </c>
      <c r="Z41" s="28">
        <v>5.8668666666666702E-2</v>
      </c>
      <c r="AA41" s="28">
        <v>0.19272466666666699</v>
      </c>
      <c r="AB41" s="28">
        <v>0.36263499999999999</v>
      </c>
      <c r="AC41" s="28">
        <v>0.757676666666667</v>
      </c>
      <c r="AD41" s="28">
        <v>0.32505166666666702</v>
      </c>
      <c r="AE41" s="28">
        <v>5.1999999999999998E-2</v>
      </c>
      <c r="AF41" s="28">
        <v>0.31280666666666701</v>
      </c>
      <c r="AG41" s="28">
        <v>0.25305466666666698</v>
      </c>
      <c r="AH41" s="28">
        <v>0.20429800000000001</v>
      </c>
      <c r="AI41" s="28">
        <v>0.118445333333333</v>
      </c>
      <c r="AJ41" s="28">
        <v>1.8632773333333299</v>
      </c>
      <c r="AK41" s="28">
        <v>1.428674</v>
      </c>
      <c r="AL41" s="28">
        <v>5.1999999999999998E-2</v>
      </c>
      <c r="AM41" s="28">
        <v>0.27163890000000002</v>
      </c>
      <c r="AN41" s="28">
        <v>4.5999999999999999E-2</v>
      </c>
      <c r="AO41" s="28">
        <v>0.49878466666666699</v>
      </c>
      <c r="AP41" s="28">
        <v>0.45383200000000001</v>
      </c>
      <c r="AQ41" s="28">
        <v>5.8000000000000003E-2</v>
      </c>
      <c r="AR41" s="28">
        <v>0.16023399999999999</v>
      </c>
      <c r="AS41" s="28">
        <v>0.78481833333333295</v>
      </c>
      <c r="AT41" s="28">
        <v>0.237920666666667</v>
      </c>
      <c r="AU41" s="28">
        <v>1.0316593333333299</v>
      </c>
      <c r="AV41" s="28">
        <v>0.518797333333333</v>
      </c>
      <c r="AW41" s="28">
        <v>0.45713433333333298</v>
      </c>
      <c r="AX41" s="28">
        <v>0.37961933333333397</v>
      </c>
      <c r="AY41" s="28">
        <v>1.43633066666667</v>
      </c>
      <c r="AZ41" s="28">
        <v>0.30555199999999999</v>
      </c>
      <c r="BA41" s="28">
        <v>0.26026033333333298</v>
      </c>
      <c r="BB41" s="28">
        <v>0.56458699999999995</v>
      </c>
      <c r="BC41" s="28">
        <v>0.43013233333333301</v>
      </c>
      <c r="BD41" s="28">
        <v>5.5E-2</v>
      </c>
      <c r="BE41" s="28">
        <v>0.43179099999999998</v>
      </c>
      <c r="BF41" s="28">
        <v>0.21008633333333299</v>
      </c>
      <c r="BG41" s="28">
        <v>0.40818333333333301</v>
      </c>
      <c r="BH41" s="28">
        <v>1.34402666666667</v>
      </c>
      <c r="BI41" s="28">
        <v>0.20539199999999999</v>
      </c>
      <c r="BJ41" s="28">
        <v>0.26950766666666698</v>
      </c>
      <c r="BK41" s="28">
        <v>0.53589833333333403</v>
      </c>
      <c r="BL41" s="28">
        <v>0.40075833333333299</v>
      </c>
      <c r="BM41" s="28">
        <v>1.17483633333333</v>
      </c>
      <c r="BN41" s="28">
        <v>0.21026</v>
      </c>
      <c r="BO41" s="28">
        <v>0.406968</v>
      </c>
      <c r="BP41" s="28">
        <v>0.82037133333333301</v>
      </c>
      <c r="BQ41" s="28">
        <v>0.25197866666666702</v>
      </c>
      <c r="BR41" s="28">
        <v>1.3968496666666701</v>
      </c>
      <c r="BS41" s="28">
        <v>1.0453779999999999</v>
      </c>
      <c r="BT41" s="28">
        <v>0.451633333333333</v>
      </c>
      <c r="BU41" s="28">
        <v>0.23548466666666701</v>
      </c>
      <c r="BV41" s="28">
        <v>0.56055233333333299</v>
      </c>
      <c r="BW41" s="28">
        <v>0.57352266666666696</v>
      </c>
      <c r="BX41" s="28">
        <v>0.366101333333333</v>
      </c>
      <c r="BY41" s="28">
        <v>0.13145399999999999</v>
      </c>
      <c r="BZ41" s="28">
        <v>0.49173460000000002</v>
      </c>
      <c r="CA41" s="28">
        <v>4.5999999999999999E-2</v>
      </c>
      <c r="CB41" s="28">
        <v>0.560869333333333</v>
      </c>
      <c r="CC41" s="28">
        <v>0.36920333333333399</v>
      </c>
      <c r="CD41" s="28">
        <v>0.43662833333333301</v>
      </c>
      <c r="CE41" s="28">
        <v>1.40619266666667</v>
      </c>
      <c r="CF41" s="28">
        <v>7.2361333333333305E-2</v>
      </c>
      <c r="CG41" s="28">
        <v>0.24628666666666699</v>
      </c>
      <c r="CH41" s="28">
        <v>0.46726000000000001</v>
      </c>
      <c r="CI41" s="28">
        <v>1.33686866666667</v>
      </c>
      <c r="CJ41" s="28">
        <v>5.8385666666666697E-2</v>
      </c>
      <c r="CK41" s="28">
        <v>0.123152</v>
      </c>
      <c r="CL41" s="28">
        <v>0.45864500000000002</v>
      </c>
      <c r="CM41" s="28">
        <v>0.17447333333333301</v>
      </c>
      <c r="CN41" s="28">
        <v>0.227182</v>
      </c>
      <c r="CO41" s="28">
        <v>0.72115533333333304</v>
      </c>
      <c r="CP41" s="28">
        <v>0.42237066666666701</v>
      </c>
      <c r="CQ41" s="28">
        <v>5.0999999999999997E-2</v>
      </c>
      <c r="CR41" s="28">
        <v>0.29819833333333301</v>
      </c>
      <c r="CS41" s="28">
        <v>0.71122233333333296</v>
      </c>
      <c r="CT41" s="28">
        <v>0.48273342491228061</v>
      </c>
      <c r="CU41" s="34">
        <v>45.859675366666657</v>
      </c>
    </row>
    <row r="42" spans="1:99" x14ac:dyDescent="0.25">
      <c r="A42" s="24">
        <v>41</v>
      </c>
      <c r="B42" s="26">
        <v>20</v>
      </c>
      <c r="C42" s="28">
        <v>5.5E-2</v>
      </c>
      <c r="D42" s="28">
        <v>1.07039366666667</v>
      </c>
      <c r="E42" s="28">
        <v>0.223346666666667</v>
      </c>
      <c r="F42" s="28">
        <v>0.25171233333333298</v>
      </c>
      <c r="G42" s="28">
        <v>0.18242133333333299</v>
      </c>
      <c r="H42" s="28">
        <v>0.30369866666666701</v>
      </c>
      <c r="I42" s="28">
        <v>4.5999999999999999E-2</v>
      </c>
      <c r="J42" s="28">
        <v>0.35334733333333301</v>
      </c>
      <c r="K42" s="28">
        <v>0.47563499999999997</v>
      </c>
      <c r="L42" s="28">
        <v>0.124885333333333</v>
      </c>
      <c r="M42" s="28">
        <v>0.41420499999999999</v>
      </c>
      <c r="N42" s="28">
        <v>0.49580466666666601</v>
      </c>
      <c r="O42" s="28">
        <v>0.42968966666666703</v>
      </c>
      <c r="P42" s="28">
        <v>0.53986999999999996</v>
      </c>
      <c r="Q42" s="28">
        <v>0.30853833333333303</v>
      </c>
      <c r="R42" s="28">
        <v>0.32669433333333298</v>
      </c>
      <c r="S42" s="28">
        <v>0.05</v>
      </c>
      <c r="T42" s="28">
        <v>0.50489200000000001</v>
      </c>
      <c r="U42" s="28">
        <v>5.6000000000000001E-2</v>
      </c>
      <c r="V42" s="28">
        <v>0.646000666666667</v>
      </c>
      <c r="W42" s="28">
        <v>0.75875866666666703</v>
      </c>
      <c r="X42" s="28">
        <v>0.24824940000000001</v>
      </c>
      <c r="Y42" s="28">
        <v>0.55633233333333298</v>
      </c>
      <c r="Z42" s="28">
        <v>0.28434933333333401</v>
      </c>
      <c r="AA42" s="28">
        <v>5.3999999999999999E-2</v>
      </c>
      <c r="AB42" s="28">
        <v>0.28338000000000002</v>
      </c>
      <c r="AC42" s="28">
        <v>1.1895233333333299</v>
      </c>
      <c r="AD42" s="28">
        <v>0.412476333333333</v>
      </c>
      <c r="AE42" s="28">
        <v>0.15774766666666701</v>
      </c>
      <c r="AF42" s="28">
        <v>5.3999999999999999E-2</v>
      </c>
      <c r="AG42" s="28">
        <v>0.28553533333333297</v>
      </c>
      <c r="AH42" s="28">
        <v>0.171598</v>
      </c>
      <c r="AI42" s="28">
        <v>0.13114666666666699</v>
      </c>
      <c r="AJ42" s="28">
        <v>0.54219666666666699</v>
      </c>
      <c r="AK42" s="28">
        <v>0.61833499999999997</v>
      </c>
      <c r="AL42" s="28">
        <v>5.1999999999999998E-2</v>
      </c>
      <c r="AM42" s="28">
        <v>8.0181266666666598E-2</v>
      </c>
      <c r="AN42" s="28">
        <v>0.21375733333333299</v>
      </c>
      <c r="AO42" s="28">
        <v>0.457828333333333</v>
      </c>
      <c r="AP42" s="28">
        <v>0.78062200000000004</v>
      </c>
      <c r="AQ42" s="28">
        <v>0.16072500000000001</v>
      </c>
      <c r="AR42" s="28">
        <v>6.13593333333333E-2</v>
      </c>
      <c r="AS42" s="28">
        <v>0.91732666666666696</v>
      </c>
      <c r="AT42" s="28">
        <v>0.11044266666666699</v>
      </c>
      <c r="AU42" s="28">
        <v>0.40942833333333301</v>
      </c>
      <c r="AV42" s="28">
        <v>0.73798333333333399</v>
      </c>
      <c r="AW42" s="28">
        <v>0.39103866666666698</v>
      </c>
      <c r="AX42" s="28">
        <v>0.50418466666666695</v>
      </c>
      <c r="AY42" s="28">
        <v>2.0407023333333298</v>
      </c>
      <c r="AZ42" s="28">
        <v>0.52184333333333299</v>
      </c>
      <c r="BA42" s="28">
        <v>0.43400433333333399</v>
      </c>
      <c r="BB42" s="28">
        <v>0.375462666666667</v>
      </c>
      <c r="BC42" s="28">
        <v>0.42152133333333303</v>
      </c>
      <c r="BD42" s="28">
        <v>0.28202533333333302</v>
      </c>
      <c r="BE42" s="28">
        <v>2.1679163333333298</v>
      </c>
      <c r="BF42" s="28">
        <v>0.30892666666666702</v>
      </c>
      <c r="BG42" s="28">
        <v>0.58860100000000004</v>
      </c>
      <c r="BH42" s="28">
        <v>0.50855499999999998</v>
      </c>
      <c r="BI42" s="28">
        <v>0.27731733333333303</v>
      </c>
      <c r="BJ42" s="28">
        <v>3.9E-2</v>
      </c>
      <c r="BK42" s="28">
        <v>0.521969666666667</v>
      </c>
      <c r="BL42" s="28">
        <v>0.38845000000000002</v>
      </c>
      <c r="BM42" s="28">
        <v>0.67489533333333296</v>
      </c>
      <c r="BN42" s="28">
        <v>4.9000000000000002E-2</v>
      </c>
      <c r="BO42" s="28">
        <v>0.58302100000000001</v>
      </c>
      <c r="BP42" s="28">
        <v>0.56784133333333398</v>
      </c>
      <c r="BQ42" s="28">
        <v>0.22266</v>
      </c>
      <c r="BR42" s="28">
        <v>0.63030466666666696</v>
      </c>
      <c r="BS42" s="28">
        <v>0.47305399999999997</v>
      </c>
      <c r="BT42" s="28">
        <v>0.43239333333333302</v>
      </c>
      <c r="BU42" s="28">
        <v>0.35610466666666701</v>
      </c>
      <c r="BV42" s="28">
        <v>0.45776299999999998</v>
      </c>
      <c r="BW42" s="28">
        <v>0.236688333333333</v>
      </c>
      <c r="BX42" s="28">
        <v>0.22406733333333401</v>
      </c>
      <c r="BY42" s="28">
        <v>7.2925000000000004E-2</v>
      </c>
      <c r="BZ42" s="28">
        <v>0.56264400000000003</v>
      </c>
      <c r="CA42" s="28">
        <v>0.237062666666667</v>
      </c>
      <c r="CB42" s="28">
        <v>0.40928033333333302</v>
      </c>
      <c r="CC42" s="28">
        <v>0.30024533333333298</v>
      </c>
      <c r="CD42" s="28">
        <v>0.53269833333333305</v>
      </c>
      <c r="CE42" s="28">
        <v>0.49963000000000002</v>
      </c>
      <c r="CF42" s="28">
        <v>0.17398666666666701</v>
      </c>
      <c r="CG42" s="28">
        <v>0.403021666666667</v>
      </c>
      <c r="CH42" s="28">
        <v>0.665916333333333</v>
      </c>
      <c r="CI42" s="28">
        <v>0.97183466666666696</v>
      </c>
      <c r="CJ42" s="28">
        <v>1.40342566666667</v>
      </c>
      <c r="CK42" s="28">
        <v>0.11501400000000001</v>
      </c>
      <c r="CL42" s="28">
        <v>0.79275099999999998</v>
      </c>
      <c r="CM42" s="28">
        <v>0.34244799999999997</v>
      </c>
      <c r="CN42" s="28">
        <v>0.63119633333333403</v>
      </c>
      <c r="CO42" s="28">
        <v>0.65627833333333296</v>
      </c>
      <c r="CP42" s="28">
        <v>0.424414666666667</v>
      </c>
      <c r="CQ42" s="28">
        <v>0.14168033333333299</v>
      </c>
      <c r="CR42" s="28">
        <v>0.11541356666666699</v>
      </c>
      <c r="CS42" s="28">
        <v>0.37847033333333302</v>
      </c>
      <c r="CT42" s="28">
        <v>0.43260070421052649</v>
      </c>
      <c r="CU42" s="34">
        <v>41.097066900000023</v>
      </c>
    </row>
    <row r="43" spans="1:99" x14ac:dyDescent="0.25">
      <c r="A43" s="24">
        <v>42</v>
      </c>
      <c r="B43" s="26">
        <v>20.5</v>
      </c>
      <c r="C43" s="28">
        <v>0.21249799999999999</v>
      </c>
      <c r="D43" s="28">
        <v>0.201272333333333</v>
      </c>
      <c r="E43" s="28">
        <v>0.44524799999999998</v>
      </c>
      <c r="F43" s="28">
        <v>0.187266666666667</v>
      </c>
      <c r="G43" s="28">
        <v>5.3999999999999999E-2</v>
      </c>
      <c r="H43" s="28">
        <v>0.52384866666666696</v>
      </c>
      <c r="I43" s="28">
        <v>4.5999999999999999E-2</v>
      </c>
      <c r="J43" s="28">
        <v>9.9700666666666798E-2</v>
      </c>
      <c r="K43" s="28">
        <v>1.4461660000000001</v>
      </c>
      <c r="L43" s="28">
        <v>0.29409166666666697</v>
      </c>
      <c r="M43" s="28">
        <v>0.63946999999999998</v>
      </c>
      <c r="N43" s="28">
        <v>0.46517799999999998</v>
      </c>
      <c r="O43" s="28">
        <v>0.28520499999999999</v>
      </c>
      <c r="P43" s="28">
        <v>0.47811666666666702</v>
      </c>
      <c r="Q43" s="28">
        <v>0.392038</v>
      </c>
      <c r="R43" s="28">
        <v>0.26409266666666698</v>
      </c>
      <c r="S43" s="28">
        <v>0.05</v>
      </c>
      <c r="T43" s="28">
        <v>0.48047166666666602</v>
      </c>
      <c r="U43" s="28">
        <v>5.6000000000000001E-2</v>
      </c>
      <c r="V43" s="28">
        <v>0.74403166666666598</v>
      </c>
      <c r="W43" s="28">
        <v>2.7296</v>
      </c>
      <c r="X43" s="28">
        <v>0.50812666666666695</v>
      </c>
      <c r="Y43" s="28">
        <v>0.73277099999999995</v>
      </c>
      <c r="Z43" s="28">
        <v>4.7E-2</v>
      </c>
      <c r="AA43" s="28">
        <v>5.3999999999999999E-2</v>
      </c>
      <c r="AB43" s="28">
        <v>0.35232833333333302</v>
      </c>
      <c r="AC43" s="28">
        <v>1.14997533333333</v>
      </c>
      <c r="AD43" s="28">
        <v>0.30530333333333298</v>
      </c>
      <c r="AE43" s="28">
        <v>6.8696999999999994E-2</v>
      </c>
      <c r="AF43" s="28">
        <v>5.3999999999999999E-2</v>
      </c>
      <c r="AG43" s="28">
        <v>0.36987466666666702</v>
      </c>
      <c r="AH43" s="28">
        <v>9.6227999999999994E-2</v>
      </c>
      <c r="AI43" s="28">
        <v>0.17924200000000001</v>
      </c>
      <c r="AJ43" s="28">
        <v>0.23092833333333301</v>
      </c>
      <c r="AK43" s="28">
        <v>0.93475699999999995</v>
      </c>
      <c r="AL43" s="28">
        <v>5.1999999999999998E-2</v>
      </c>
      <c r="AM43" s="28">
        <v>0.28852333333333302</v>
      </c>
      <c r="AN43" s="28">
        <v>4.5999999999999999E-2</v>
      </c>
      <c r="AO43" s="28">
        <v>0.53724566666666695</v>
      </c>
      <c r="AP43" s="28">
        <v>0.71694400000000003</v>
      </c>
      <c r="AQ43" s="28">
        <v>0.105938333333333</v>
      </c>
      <c r="AR43" s="28">
        <v>5.5179666666666703E-2</v>
      </c>
      <c r="AS43" s="28">
        <v>0.63498966666666701</v>
      </c>
      <c r="AT43" s="28">
        <v>0.40410233333333401</v>
      </c>
      <c r="AU43" s="28">
        <v>1.2764486666666699</v>
      </c>
      <c r="AV43" s="28">
        <v>0.78270066666666704</v>
      </c>
      <c r="AW43" s="28">
        <v>0.75370933333333301</v>
      </c>
      <c r="AX43" s="28">
        <v>0.53860333333333299</v>
      </c>
      <c r="AY43" s="28">
        <v>0.526953</v>
      </c>
      <c r="AZ43" s="28">
        <v>0.70912399999999998</v>
      </c>
      <c r="BA43" s="28">
        <v>0.355090666666666</v>
      </c>
      <c r="BB43" s="28">
        <v>0.24578166666666701</v>
      </c>
      <c r="BC43" s="28">
        <v>0.77088000000000001</v>
      </c>
      <c r="BD43" s="28">
        <v>7.0417333333333304E-2</v>
      </c>
      <c r="BE43" s="28">
        <v>2.46518666666667</v>
      </c>
      <c r="BF43" s="28">
        <v>0.18898906666666701</v>
      </c>
      <c r="BG43" s="28">
        <v>0.62531266666666696</v>
      </c>
      <c r="BH43" s="28">
        <v>0.566709666666667</v>
      </c>
      <c r="BI43" s="28">
        <v>0.19616</v>
      </c>
      <c r="BJ43" s="28">
        <v>0.14194200000000001</v>
      </c>
      <c r="BK43" s="28">
        <v>0.30782500000000002</v>
      </c>
      <c r="BL43" s="28">
        <v>0.208565</v>
      </c>
      <c r="BM43" s="28">
        <v>0.75964933333333295</v>
      </c>
      <c r="BN43" s="28">
        <v>0.27374399999999999</v>
      </c>
      <c r="BO43" s="28">
        <v>0.451367666666667</v>
      </c>
      <c r="BP43" s="28">
        <v>0.48288266666666702</v>
      </c>
      <c r="BQ43" s="28">
        <v>0.55973266666666699</v>
      </c>
      <c r="BR43" s="28">
        <v>0.29464633333333301</v>
      </c>
      <c r="BS43" s="28">
        <v>0.50479333333333298</v>
      </c>
      <c r="BT43" s="28">
        <v>0.53830766666666696</v>
      </c>
      <c r="BU43" s="28">
        <v>0.18608359999999999</v>
      </c>
      <c r="BV43" s="28">
        <v>1.39982466666667</v>
      </c>
      <c r="BW43" s="28">
        <v>0.40932499999999999</v>
      </c>
      <c r="BX43" s="28">
        <v>0.13530266666666699</v>
      </c>
      <c r="BY43" s="28">
        <v>0.20084833333333299</v>
      </c>
      <c r="BZ43" s="28">
        <v>0.65136033333333299</v>
      </c>
      <c r="CA43" s="28">
        <v>6.4408000000000007E-2</v>
      </c>
      <c r="CB43" s="28">
        <v>0.71593533333333303</v>
      </c>
      <c r="CC43" s="28">
        <v>0.59959433333333301</v>
      </c>
      <c r="CD43" s="28">
        <v>0.84074333333333395</v>
      </c>
      <c r="CE43" s="28">
        <v>0.60587899999999995</v>
      </c>
      <c r="CF43" s="28">
        <v>0.18648733333333301</v>
      </c>
      <c r="CG43" s="28">
        <v>0.72063200000000005</v>
      </c>
      <c r="CH43" s="28">
        <v>0.85237133333333404</v>
      </c>
      <c r="CI43" s="28">
        <v>0.38772066666666699</v>
      </c>
      <c r="CJ43" s="28">
        <v>0.61695966666666702</v>
      </c>
      <c r="CK43" s="28">
        <v>0.19830400000000001</v>
      </c>
      <c r="CL43" s="28">
        <v>0.419323</v>
      </c>
      <c r="CM43" s="28">
        <v>0.30840000000000001</v>
      </c>
      <c r="CN43" s="28">
        <v>0.54791800000000002</v>
      </c>
      <c r="CO43" s="28">
        <v>0.39256200000000002</v>
      </c>
      <c r="CP43" s="28">
        <v>0.63096600000000003</v>
      </c>
      <c r="CQ43" s="28">
        <v>0.14168033333333299</v>
      </c>
      <c r="CR43" s="28">
        <v>0.19462660000000001</v>
      </c>
      <c r="CS43" s="28">
        <v>0.35254866666666701</v>
      </c>
      <c r="CT43" s="28">
        <v>0.46709238877192999</v>
      </c>
      <c r="CU43" s="34">
        <v>44.373776933333353</v>
      </c>
    </row>
    <row r="44" spans="1:99" x14ac:dyDescent="0.25">
      <c r="A44" s="24">
        <v>43</v>
      </c>
      <c r="B44" s="26">
        <v>21</v>
      </c>
      <c r="C44" s="28">
        <v>5.5E-2</v>
      </c>
      <c r="D44" s="28">
        <v>0.34762733333333301</v>
      </c>
      <c r="E44" s="28">
        <v>0.506981666666667</v>
      </c>
      <c r="F44" s="28">
        <v>0.30234533333333302</v>
      </c>
      <c r="G44" s="28">
        <v>0.225447333333333</v>
      </c>
      <c r="H44" s="28">
        <v>1.496116</v>
      </c>
      <c r="I44" s="28">
        <v>4.5999999999999999E-2</v>
      </c>
      <c r="J44" s="28">
        <v>9.9700666666666701E-2</v>
      </c>
      <c r="K44" s="28">
        <v>9.5353333333333401E-2</v>
      </c>
      <c r="L44" s="28">
        <v>0.17480599999999999</v>
      </c>
      <c r="M44" s="28">
        <v>0.68205066666666703</v>
      </c>
      <c r="N44" s="28">
        <v>0.76122966666666703</v>
      </c>
      <c r="O44" s="28">
        <v>0.115130333333333</v>
      </c>
      <c r="P44" s="28">
        <v>0.26111633333333301</v>
      </c>
      <c r="Q44" s="28">
        <v>0.43500533333333302</v>
      </c>
      <c r="R44" s="28">
        <v>4.7E-2</v>
      </c>
      <c r="S44" s="28">
        <v>0.05</v>
      </c>
      <c r="T44" s="28">
        <v>0.60334866666666698</v>
      </c>
      <c r="U44" s="28">
        <v>5.6000000000000001E-2</v>
      </c>
      <c r="V44" s="28">
        <v>0.58533999999999997</v>
      </c>
      <c r="W44" s="28">
        <v>2.9558266666666699</v>
      </c>
      <c r="X44" s="28">
        <v>0.472314333333333</v>
      </c>
      <c r="Y44" s="28">
        <v>0.53134400000000004</v>
      </c>
      <c r="Z44" s="28">
        <v>0.19026499999999999</v>
      </c>
      <c r="AA44" s="28">
        <v>0.123362333333333</v>
      </c>
      <c r="AB44" s="28">
        <v>0.50089499999999998</v>
      </c>
      <c r="AC44" s="28">
        <v>0.66165133333333304</v>
      </c>
      <c r="AD44" s="28">
        <v>0.52101333333333399</v>
      </c>
      <c r="AE44" s="28">
        <v>5.1999999999999998E-2</v>
      </c>
      <c r="AF44" s="28">
        <v>0.218252</v>
      </c>
      <c r="AG44" s="28">
        <v>0.50274799999999997</v>
      </c>
      <c r="AH44" s="28">
        <v>0.16827466666666699</v>
      </c>
      <c r="AI44" s="28">
        <v>8.0276E-2</v>
      </c>
      <c r="AJ44" s="28">
        <v>0.32948499999999997</v>
      </c>
      <c r="AK44" s="28">
        <v>0.74340700000000004</v>
      </c>
      <c r="AL44" s="28">
        <v>5.1999999999999998E-2</v>
      </c>
      <c r="AM44" s="28">
        <v>0.248978</v>
      </c>
      <c r="AN44" s="28">
        <v>0.145129333333333</v>
      </c>
      <c r="AO44" s="28">
        <v>0.60222600000000004</v>
      </c>
      <c r="AP44" s="28">
        <v>0.51738099999999998</v>
      </c>
      <c r="AQ44" s="28">
        <v>1.0090625666666699</v>
      </c>
      <c r="AR44" s="28">
        <v>0.16641366666666699</v>
      </c>
      <c r="AS44" s="28">
        <v>0.878363</v>
      </c>
      <c r="AT44" s="28">
        <v>9.1084999999999999E-2</v>
      </c>
      <c r="AU44" s="28">
        <v>0.66434533333333301</v>
      </c>
      <c r="AV44" s="28">
        <v>0.58010499999999998</v>
      </c>
      <c r="AW44" s="28">
        <v>0.41452466666666699</v>
      </c>
      <c r="AX44" s="28">
        <v>0.73285933333333297</v>
      </c>
      <c r="AY44" s="28">
        <v>0.44555400000000001</v>
      </c>
      <c r="AZ44" s="28">
        <v>0.61315133333333305</v>
      </c>
      <c r="BA44" s="28">
        <v>0.55572699999999997</v>
      </c>
      <c r="BB44" s="28">
        <v>3.7999999999999999E-2</v>
      </c>
      <c r="BC44" s="28">
        <v>0.49048666666666701</v>
      </c>
      <c r="BD44" s="28">
        <v>0.14095333333333299</v>
      </c>
      <c r="BE44" s="28">
        <v>1.9230716666666701</v>
      </c>
      <c r="BF44" s="28">
        <v>0.24242366666666701</v>
      </c>
      <c r="BG44" s="28">
        <v>4.7E-2</v>
      </c>
      <c r="BH44" s="28">
        <v>0.59542333333333297</v>
      </c>
      <c r="BI44" s="28">
        <v>0.36911533333333302</v>
      </c>
      <c r="BJ44" s="28">
        <v>0.194305333333333</v>
      </c>
      <c r="BK44" s="28">
        <v>0.55693933333333301</v>
      </c>
      <c r="BL44" s="28">
        <v>0.26144666666666699</v>
      </c>
      <c r="BM44" s="28">
        <v>0.75756033333333295</v>
      </c>
      <c r="BN44" s="28">
        <v>0.183832</v>
      </c>
      <c r="BO44" s="28">
        <v>0.26761800000000002</v>
      </c>
      <c r="BP44" s="28">
        <v>0.53687399999999996</v>
      </c>
      <c r="BQ44" s="28">
        <v>0.51609133333333401</v>
      </c>
      <c r="BR44" s="28">
        <v>0.28426400000000002</v>
      </c>
      <c r="BS44" s="28">
        <v>1.6946383333333299</v>
      </c>
      <c r="BT44" s="28">
        <v>0.34707266666666697</v>
      </c>
      <c r="BU44" s="28">
        <v>0.2826168</v>
      </c>
      <c r="BV44" s="28">
        <v>0.49758166666666698</v>
      </c>
      <c r="BW44" s="28">
        <v>0.52275266666666698</v>
      </c>
      <c r="BX44" s="28">
        <v>0.28873133333333301</v>
      </c>
      <c r="BY44" s="28">
        <v>5.8303000000000001E-2</v>
      </c>
      <c r="BZ44" s="28">
        <v>0.49571266666666702</v>
      </c>
      <c r="CA44" s="28">
        <v>0.20241999999999999</v>
      </c>
      <c r="CB44" s="28">
        <v>0.83409733333333302</v>
      </c>
      <c r="CC44" s="28">
        <v>0.233304333333333</v>
      </c>
      <c r="CD44" s="28">
        <v>0.45405566666666702</v>
      </c>
      <c r="CE44" s="28">
        <v>2.2032750000000001</v>
      </c>
      <c r="CF44" s="28">
        <v>0.17398666666666701</v>
      </c>
      <c r="CG44" s="28">
        <v>1.49276766666667</v>
      </c>
      <c r="CH44" s="28">
        <v>0.55959433333333397</v>
      </c>
      <c r="CI44" s="28">
        <v>0.46363700000000002</v>
      </c>
      <c r="CJ44" s="28">
        <v>1.2444713333333299</v>
      </c>
      <c r="CK44" s="28">
        <v>0.15150233333333299</v>
      </c>
      <c r="CL44" s="28">
        <v>0.29061599999999999</v>
      </c>
      <c r="CM44" s="28">
        <v>0.33811000000000002</v>
      </c>
      <c r="CN44" s="28">
        <v>0.38478533333333298</v>
      </c>
      <c r="CO44" s="28">
        <v>0.57374400000000003</v>
      </c>
      <c r="CP44" s="28">
        <v>0.67984933333333297</v>
      </c>
      <c r="CQ44" s="28">
        <v>5.0999999999999997E-2</v>
      </c>
      <c r="CR44" s="28">
        <v>0.365748666666667</v>
      </c>
      <c r="CS44" s="28">
        <v>0.36597866666666701</v>
      </c>
      <c r="CT44" s="28">
        <v>0.47757238280701769</v>
      </c>
      <c r="CU44" s="34">
        <v>45.369376366666692</v>
      </c>
    </row>
    <row r="45" spans="1:99" x14ac:dyDescent="0.25">
      <c r="A45" s="24">
        <v>44</v>
      </c>
      <c r="B45" s="26">
        <v>21.5</v>
      </c>
      <c r="C45" s="28">
        <v>5.5E-2</v>
      </c>
      <c r="D45" s="28">
        <v>0.220323666666667</v>
      </c>
      <c r="E45" s="28">
        <v>0.40546266666666703</v>
      </c>
      <c r="F45" s="28">
        <v>0.344856</v>
      </c>
      <c r="G45" s="28">
        <v>0.159526</v>
      </c>
      <c r="H45" s="28">
        <v>0.19749466666666701</v>
      </c>
      <c r="I45" s="28">
        <v>0.100669333333333</v>
      </c>
      <c r="J45" s="28">
        <v>8.1991333333333402E-2</v>
      </c>
      <c r="K45" s="28">
        <v>0.208057666666667</v>
      </c>
      <c r="L45" s="28">
        <v>0.55447633333333302</v>
      </c>
      <c r="M45" s="28">
        <v>0.37208666666666701</v>
      </c>
      <c r="N45" s="28">
        <v>0.61374566666666697</v>
      </c>
      <c r="O45" s="28">
        <v>9.6321000000000004E-2</v>
      </c>
      <c r="P45" s="28">
        <v>4.7E-2</v>
      </c>
      <c r="Q45" s="28">
        <v>0.362008</v>
      </c>
      <c r="R45" s="28">
        <v>0.22379133333333301</v>
      </c>
      <c r="S45" s="28">
        <v>0.05</v>
      </c>
      <c r="T45" s="28">
        <v>0.57610533333333303</v>
      </c>
      <c r="U45" s="28">
        <v>5.6000000000000001E-2</v>
      </c>
      <c r="V45" s="28">
        <v>0.67420833333333297</v>
      </c>
      <c r="W45" s="28">
        <v>0.52078599999999997</v>
      </c>
      <c r="X45" s="28">
        <v>0.28126000000000001</v>
      </c>
      <c r="Y45" s="28">
        <v>0.62215799999999999</v>
      </c>
      <c r="Z45" s="28">
        <v>0.152751</v>
      </c>
      <c r="AA45" s="28">
        <v>0.123362333333333</v>
      </c>
      <c r="AB45" s="28">
        <v>0.58557599999999999</v>
      </c>
      <c r="AC45" s="28">
        <v>0.60735666666666599</v>
      </c>
      <c r="AD45" s="28">
        <v>0.73957566666666696</v>
      </c>
      <c r="AE45" s="28">
        <v>7.1640800000000004E-2</v>
      </c>
      <c r="AF45" s="28">
        <v>0.163486666666667</v>
      </c>
      <c r="AG45" s="28">
        <v>0.61143766666666699</v>
      </c>
      <c r="AH45" s="28">
        <v>5.2999999999999999E-2</v>
      </c>
      <c r="AI45" s="28">
        <v>0.77243666666666699</v>
      </c>
      <c r="AJ45" s="28">
        <v>0.28073599999999999</v>
      </c>
      <c r="AK45" s="28">
        <v>1.0701816666666699</v>
      </c>
      <c r="AL45" s="28">
        <v>0.222014666666667</v>
      </c>
      <c r="AM45" s="28">
        <v>0.433916366666667</v>
      </c>
      <c r="AN45" s="28">
        <v>0.11462799999999999</v>
      </c>
      <c r="AO45" s="28">
        <v>0.46479633333333398</v>
      </c>
      <c r="AP45" s="28">
        <v>0.61869700000000005</v>
      </c>
      <c r="AQ45" s="28">
        <v>1.06174793333333</v>
      </c>
      <c r="AR45" s="28">
        <v>5.5179666666666703E-2</v>
      </c>
      <c r="AS45" s="28">
        <v>0.63217366666666697</v>
      </c>
      <c r="AT45" s="28">
        <v>0.25898666666666698</v>
      </c>
      <c r="AU45" s="28">
        <v>0.685875666666666</v>
      </c>
      <c r="AV45" s="28">
        <v>1.0080769999999999</v>
      </c>
      <c r="AW45" s="28">
        <v>0.52410033333333295</v>
      </c>
      <c r="AX45" s="28">
        <v>0.36871999999999999</v>
      </c>
      <c r="AY45" s="28">
        <v>0.35036333333333303</v>
      </c>
      <c r="AZ45" s="28">
        <v>0.13663966666666699</v>
      </c>
      <c r="BA45" s="28">
        <v>0.75896166666666698</v>
      </c>
      <c r="BB45" s="28">
        <v>6.6645333333333404E-2</v>
      </c>
      <c r="BC45" s="28">
        <v>0.66841866666666705</v>
      </c>
      <c r="BD45" s="28">
        <v>0.211489333333333</v>
      </c>
      <c r="BE45" s="28">
        <v>1.6922533333333301</v>
      </c>
      <c r="BF45" s="28">
        <v>0.241442666666667</v>
      </c>
      <c r="BG45" s="28">
        <v>0.119464</v>
      </c>
      <c r="BH45" s="28">
        <v>0.470061333333333</v>
      </c>
      <c r="BI45" s="28">
        <v>0.36746166666666702</v>
      </c>
      <c r="BJ45" s="28">
        <v>8.3117999999999997E-2</v>
      </c>
      <c r="BK45" s="28">
        <v>0.61489766666666701</v>
      </c>
      <c r="BL45" s="28">
        <v>0.40063500000000002</v>
      </c>
      <c r="BM45" s="28">
        <v>0.46719366666666701</v>
      </c>
      <c r="BN45" s="28">
        <v>8.9315000000000005E-2</v>
      </c>
      <c r="BO45" s="28">
        <v>0.62071200000000004</v>
      </c>
      <c r="BP45" s="28">
        <v>0.85985966666666702</v>
      </c>
      <c r="BQ45" s="28">
        <v>0.35079100000000002</v>
      </c>
      <c r="BR45" s="28">
        <v>0.35944999999999999</v>
      </c>
      <c r="BS45" s="28">
        <v>0.88264866666666697</v>
      </c>
      <c r="BT45" s="28">
        <v>0.70728599999999997</v>
      </c>
      <c r="BU45" s="28">
        <v>0.31143599999999999</v>
      </c>
      <c r="BV45" s="28">
        <v>0.36278133333333301</v>
      </c>
      <c r="BW45" s="28">
        <v>1.2306586666666699</v>
      </c>
      <c r="BX45" s="28">
        <v>8.4927333333333396E-2</v>
      </c>
      <c r="BY45" s="28">
        <v>0.36038700000000001</v>
      </c>
      <c r="BZ45" s="28">
        <v>0.17</v>
      </c>
      <c r="CA45" s="28">
        <v>0.203362666666667</v>
      </c>
      <c r="CB45" s="28">
        <v>0.80492733333333299</v>
      </c>
      <c r="CC45" s="28">
        <v>9.1941000000000106E-2</v>
      </c>
      <c r="CD45" s="28">
        <v>0.388851</v>
      </c>
      <c r="CE45" s="28">
        <v>0.61479233333333305</v>
      </c>
      <c r="CF45" s="28">
        <v>0.129424333333333</v>
      </c>
      <c r="CG45" s="28">
        <v>0.492678</v>
      </c>
      <c r="CH45" s="28">
        <v>0.488188333333333</v>
      </c>
      <c r="CI45" s="28">
        <v>0.57599066666666698</v>
      </c>
      <c r="CJ45" s="28">
        <v>0.63361000000000001</v>
      </c>
      <c r="CK45" s="28">
        <v>0.30355799999999999</v>
      </c>
      <c r="CL45" s="28">
        <v>0.46342533333333302</v>
      </c>
      <c r="CM45" s="28">
        <v>0.10416</v>
      </c>
      <c r="CN45" s="28">
        <v>0.823475333333333</v>
      </c>
      <c r="CO45" s="28">
        <v>0.55768266666666699</v>
      </c>
      <c r="CP45" s="28">
        <v>0.49592033333333302</v>
      </c>
      <c r="CQ45" s="28">
        <v>0.191142333333333</v>
      </c>
      <c r="CR45" s="28">
        <v>0.99928600000000001</v>
      </c>
      <c r="CS45" s="28">
        <v>0.59347499999999997</v>
      </c>
      <c r="CT45" s="28">
        <v>0.42630495894736847</v>
      </c>
      <c r="CU45" s="34">
        <v>40.498971100000013</v>
      </c>
    </row>
    <row r="46" spans="1:99" x14ac:dyDescent="0.25">
      <c r="A46" s="24">
        <v>45</v>
      </c>
      <c r="B46" s="26">
        <v>22</v>
      </c>
      <c r="C46" s="28">
        <v>0.245608666666667</v>
      </c>
      <c r="D46" s="28">
        <v>0.42357566666666702</v>
      </c>
      <c r="E46" s="28">
        <v>0.54935900000000004</v>
      </c>
      <c r="F46" s="28">
        <v>0.299439333333333</v>
      </c>
      <c r="G46" s="28">
        <v>5.3999999999999999E-2</v>
      </c>
      <c r="H46" s="28">
        <v>0.193201333333333</v>
      </c>
      <c r="I46" s="28">
        <v>0.23417333333333301</v>
      </c>
      <c r="J46" s="28">
        <v>5.0999999999999997E-2</v>
      </c>
      <c r="K46" s="28">
        <v>0.117231</v>
      </c>
      <c r="L46" s="28">
        <v>0.24392666666666701</v>
      </c>
      <c r="M46" s="28">
        <v>0.58756799999999998</v>
      </c>
      <c r="N46" s="28">
        <v>0.40981099999999998</v>
      </c>
      <c r="O46" s="28">
        <v>9.6320999999999907E-2</v>
      </c>
      <c r="P46" s="28">
        <v>9.2593333333333305E-2</v>
      </c>
      <c r="Q46" s="28">
        <v>0.25557999999999997</v>
      </c>
      <c r="R46" s="28">
        <v>0.16638666666666699</v>
      </c>
      <c r="S46" s="28">
        <v>0.05</v>
      </c>
      <c r="T46" s="28">
        <v>0.494259333333333</v>
      </c>
      <c r="U46" s="28">
        <v>0.47768866666666698</v>
      </c>
      <c r="V46" s="28">
        <v>0.50304533333333301</v>
      </c>
      <c r="W46" s="28">
        <v>0.25866866666666699</v>
      </c>
      <c r="X46" s="28">
        <v>0.24605866666666601</v>
      </c>
      <c r="Y46" s="28">
        <v>0.43307200000000001</v>
      </c>
      <c r="Z46" s="28">
        <v>0.100244333333333</v>
      </c>
      <c r="AA46" s="28">
        <v>0.135717</v>
      </c>
      <c r="AB46" s="28">
        <v>0.69588633333333405</v>
      </c>
      <c r="AC46" s="28">
        <v>0.459853333333333</v>
      </c>
      <c r="AD46" s="28">
        <v>0.82415933333333402</v>
      </c>
      <c r="AE46" s="28">
        <v>0.36753999999999998</v>
      </c>
      <c r="AF46" s="28">
        <v>6.8931999999999993E-2</v>
      </c>
      <c r="AG46" s="28">
        <v>0.216296666666666</v>
      </c>
      <c r="AH46" s="28">
        <v>0.23378133333333301</v>
      </c>
      <c r="AI46" s="28">
        <v>0.29655799999999999</v>
      </c>
      <c r="AJ46" s="28">
        <v>0.30658933333333299</v>
      </c>
      <c r="AK46" s="28">
        <v>1.0687056666666701</v>
      </c>
      <c r="AL46" s="28">
        <v>0.42647400000000002</v>
      </c>
      <c r="AM46" s="28">
        <v>1.4475023333333299</v>
      </c>
      <c r="AN46" s="28">
        <v>4.5999999999999999E-2</v>
      </c>
      <c r="AO46" s="28">
        <v>5.9855999999999999E-2</v>
      </c>
      <c r="AP46" s="28">
        <v>0.81846533333333304</v>
      </c>
      <c r="AQ46" s="28">
        <v>5.8000000000000003E-2</v>
      </c>
      <c r="AR46" s="28">
        <v>0.16641366666666699</v>
      </c>
      <c r="AS46" s="28">
        <v>0.69299699999999997</v>
      </c>
      <c r="AT46" s="28">
        <v>0.237920666666667</v>
      </c>
      <c r="AU46" s="28">
        <v>0.63255799999999995</v>
      </c>
      <c r="AV46" s="28">
        <v>0.72938766666666699</v>
      </c>
      <c r="AW46" s="28">
        <v>0.69550366666666696</v>
      </c>
      <c r="AX46" s="28">
        <v>0.48834100000000003</v>
      </c>
      <c r="AY46" s="28">
        <v>0.12021</v>
      </c>
      <c r="AZ46" s="28">
        <v>0.10609</v>
      </c>
      <c r="BA46" s="28">
        <v>0.50089099999999998</v>
      </c>
      <c r="BB46" s="28">
        <v>0.240179</v>
      </c>
      <c r="BC46" s="28">
        <v>0.364103333333333</v>
      </c>
      <c r="BD46" s="28">
        <v>5.5E-2</v>
      </c>
      <c r="BE46" s="28">
        <v>1.1790273333333301</v>
      </c>
      <c r="BF46" s="28">
        <v>0.32100000000000001</v>
      </c>
      <c r="BG46" s="28">
        <v>8.8408E-2</v>
      </c>
      <c r="BH46" s="28">
        <v>0.38290666666666701</v>
      </c>
      <c r="BI46" s="28">
        <v>0.44893</v>
      </c>
      <c r="BJ46" s="28">
        <v>0.119002</v>
      </c>
      <c r="BK46" s="28">
        <v>0.59283399999999997</v>
      </c>
      <c r="BL46" s="28">
        <v>0.303501666666667</v>
      </c>
      <c r="BM46" s="28">
        <v>0.62055866666666704</v>
      </c>
      <c r="BN46" s="28">
        <v>0.36826100000000001</v>
      </c>
      <c r="BO46" s="28">
        <v>0.37411133333333302</v>
      </c>
      <c r="BP46" s="28">
        <v>1.1468700000000001</v>
      </c>
      <c r="BQ46" s="28">
        <v>0.98636500000000005</v>
      </c>
      <c r="BR46" s="28">
        <v>0.30606533333333402</v>
      </c>
      <c r="BS46" s="28">
        <v>0.87443666666666697</v>
      </c>
      <c r="BT46" s="28">
        <v>0.13140499999999999</v>
      </c>
      <c r="BU46" s="28">
        <v>0.31991399999999998</v>
      </c>
      <c r="BV46" s="28">
        <v>0.53372600000000003</v>
      </c>
      <c r="BW46" s="28">
        <v>0.68057566666666602</v>
      </c>
      <c r="BX46" s="28">
        <v>0.20958399999999999</v>
      </c>
      <c r="BY46" s="28">
        <v>0.49945566666666702</v>
      </c>
      <c r="BZ46" s="28">
        <v>5.8000000000000003E-2</v>
      </c>
      <c r="CA46" s="28">
        <v>0.150312</v>
      </c>
      <c r="CB46" s="28">
        <v>1.0649153333333301</v>
      </c>
      <c r="CC46" s="28">
        <v>0.13792399999999999</v>
      </c>
      <c r="CD46" s="28">
        <v>0.39579766666666699</v>
      </c>
      <c r="CE46" s="28">
        <v>0.70525633333333304</v>
      </c>
      <c r="CF46" s="28">
        <v>0.13580966666666699</v>
      </c>
      <c r="CG46" s="28">
        <v>0.301348</v>
      </c>
      <c r="CH46" s="28">
        <v>0.47295266666666702</v>
      </c>
      <c r="CI46" s="28">
        <v>0.45381066666666697</v>
      </c>
      <c r="CJ46" s="28">
        <v>1.0957440000000001</v>
      </c>
      <c r="CK46" s="28">
        <v>0.697183</v>
      </c>
      <c r="CL46" s="28">
        <v>0.53299733333333299</v>
      </c>
      <c r="CM46" s="28">
        <v>4.8000000000000001E-2</v>
      </c>
      <c r="CN46" s="28">
        <v>0.41591733333333297</v>
      </c>
      <c r="CO46" s="28">
        <v>0.601484666666667</v>
      </c>
      <c r="CP46" s="28">
        <v>0.49678533333333302</v>
      </c>
      <c r="CQ46" s="28">
        <v>9.2218333333333402E-2</v>
      </c>
      <c r="CR46" s="28">
        <v>0.39148333333333302</v>
      </c>
      <c r="CS46" s="28">
        <v>0.39083966666666697</v>
      </c>
      <c r="CT46" s="28">
        <v>0.40282569473684199</v>
      </c>
      <c r="CU46" s="34">
        <v>38.268441000000003</v>
      </c>
    </row>
    <row r="47" spans="1:99" x14ac:dyDescent="0.25">
      <c r="A47" s="24">
        <v>46</v>
      </c>
      <c r="B47" s="26">
        <v>22.5</v>
      </c>
      <c r="C47" s="28">
        <v>0.41196733333333302</v>
      </c>
      <c r="D47" s="28">
        <v>0.262984</v>
      </c>
      <c r="E47" s="28">
        <v>0.27066533333333298</v>
      </c>
      <c r="F47" s="28">
        <v>0.32107666666666701</v>
      </c>
      <c r="G47" s="28">
        <v>0.30228933333333302</v>
      </c>
      <c r="H47" s="28">
        <v>0.15567666666666699</v>
      </c>
      <c r="I47" s="28">
        <v>0.35162700000000002</v>
      </c>
      <c r="J47" s="28">
        <v>0.20503299999999999</v>
      </c>
      <c r="K47" s="28">
        <v>0.106624</v>
      </c>
      <c r="L47" s="28">
        <v>0.52915000000000001</v>
      </c>
      <c r="M47" s="28">
        <v>0.53553333333333297</v>
      </c>
      <c r="N47" s="28">
        <v>0.66788866666666702</v>
      </c>
      <c r="O47" s="28">
        <v>0.21212666666666699</v>
      </c>
      <c r="P47" s="28">
        <v>0.1447</v>
      </c>
      <c r="Q47" s="28">
        <v>0.35727799999999998</v>
      </c>
      <c r="R47" s="28">
        <v>4.7E-2</v>
      </c>
      <c r="S47" s="28">
        <v>0.05</v>
      </c>
      <c r="T47" s="28">
        <v>0.58638933333333298</v>
      </c>
      <c r="U47" s="28">
        <v>0.39021866666666699</v>
      </c>
      <c r="V47" s="28">
        <v>1.8848703333333301</v>
      </c>
      <c r="W47" s="28">
        <v>0.231713</v>
      </c>
      <c r="X47" s="28">
        <v>0.14288933333333301</v>
      </c>
      <c r="Y47" s="28">
        <v>0.14404</v>
      </c>
      <c r="Z47" s="28">
        <v>0.196101</v>
      </c>
      <c r="AA47" s="28">
        <v>0.50165733333333395</v>
      </c>
      <c r="AB47" s="28">
        <v>0.46088499999999999</v>
      </c>
      <c r="AC47" s="28">
        <v>5.6000000000000001E-2</v>
      </c>
      <c r="AD47" s="28">
        <v>0.49907233333333301</v>
      </c>
      <c r="AE47" s="28">
        <v>0.37385800000000002</v>
      </c>
      <c r="AF47" s="28">
        <v>0.31280666666666701</v>
      </c>
      <c r="AG47" s="28">
        <v>0.152686666666667</v>
      </c>
      <c r="AH47" s="28">
        <v>0.142114666666667</v>
      </c>
      <c r="AI47" s="28">
        <v>5.6946666666666701E-2</v>
      </c>
      <c r="AJ47" s="28">
        <v>0.42267700000000002</v>
      </c>
      <c r="AK47" s="28">
        <v>1.0089366666666699</v>
      </c>
      <c r="AL47" s="28">
        <v>0.56059999999999999</v>
      </c>
      <c r="AM47" s="28">
        <v>0.59286133333333402</v>
      </c>
      <c r="AN47" s="28">
        <v>4.5999999999999999E-2</v>
      </c>
      <c r="AO47" s="28">
        <v>0.110837333333333</v>
      </c>
      <c r="AP47" s="28">
        <v>0.73734866666666699</v>
      </c>
      <c r="AQ47" s="28">
        <v>0.188118333333333</v>
      </c>
      <c r="AR47" s="28">
        <v>4.9000000000000002E-2</v>
      </c>
      <c r="AS47" s="28">
        <v>0.84284300000000001</v>
      </c>
      <c r="AT47" s="28">
        <v>0.208569333333333</v>
      </c>
      <c r="AU47" s="28">
        <v>0.61160999999999999</v>
      </c>
      <c r="AV47" s="28">
        <v>0.85342533333333404</v>
      </c>
      <c r="AW47" s="28">
        <v>0.33016766666666703</v>
      </c>
      <c r="AX47" s="28">
        <v>0.59799999999999998</v>
      </c>
      <c r="AY47" s="28">
        <v>4.9000000000000002E-2</v>
      </c>
      <c r="AZ47" s="28">
        <v>0.190039333333333</v>
      </c>
      <c r="BA47" s="28">
        <v>0.37142766666666699</v>
      </c>
      <c r="BB47" s="28">
        <v>7.6401666666666701E-2</v>
      </c>
      <c r="BC47" s="28">
        <v>5.4784666666666697E-2</v>
      </c>
      <c r="BD47" s="28">
        <v>0.26101666666666701</v>
      </c>
      <c r="BE47" s="28">
        <v>0.39536666666666698</v>
      </c>
      <c r="BF47" s="28">
        <v>0.84658699999999998</v>
      </c>
      <c r="BG47" s="28">
        <v>6.1922999999999999E-2</v>
      </c>
      <c r="BH47" s="28">
        <v>0.461818333333333</v>
      </c>
      <c r="BI47" s="28">
        <v>0.439406666666667</v>
      </c>
      <c r="BJ47" s="28">
        <v>0.17312733333333299</v>
      </c>
      <c r="BK47" s="28">
        <v>0.54488599999999998</v>
      </c>
      <c r="BL47" s="28">
        <v>0.16543333333333299</v>
      </c>
      <c r="BM47" s="28">
        <v>1.6600316666666699</v>
      </c>
      <c r="BN47" s="28">
        <v>4.9000000000000002E-2</v>
      </c>
      <c r="BO47" s="28">
        <v>0.31312633333333301</v>
      </c>
      <c r="BP47" s="28">
        <v>0.67395966666666696</v>
      </c>
      <c r="BQ47" s="28">
        <v>0.420485</v>
      </c>
      <c r="BR47" s="28">
        <v>0.38595933333333299</v>
      </c>
      <c r="BS47" s="28">
        <v>0.170231666666666</v>
      </c>
      <c r="BT47" s="28">
        <v>3.7999999999999999E-2</v>
      </c>
      <c r="BU47" s="28">
        <v>0.39609166666666601</v>
      </c>
      <c r="BV47" s="28">
        <v>0.28399000000000002</v>
      </c>
      <c r="BW47" s="28">
        <v>0.74985133333333298</v>
      </c>
      <c r="BX47" s="28">
        <v>5.3999999999999999E-2</v>
      </c>
      <c r="BY47" s="28">
        <v>0.43597399999999997</v>
      </c>
      <c r="BZ47" s="28">
        <v>0.27256399999999997</v>
      </c>
      <c r="CA47" s="28">
        <v>7.2054000000000007E-2</v>
      </c>
      <c r="CB47" s="28">
        <v>0.93361666666666598</v>
      </c>
      <c r="CC47" s="28">
        <v>0.17052300000000001</v>
      </c>
      <c r="CD47" s="28">
        <v>0.46171499999999999</v>
      </c>
      <c r="CE47" s="28">
        <v>0.81346399999999996</v>
      </c>
      <c r="CF47" s="28">
        <v>0.14224000000000001</v>
      </c>
      <c r="CG47" s="28">
        <v>8.5082000000000005E-2</v>
      </c>
      <c r="CH47" s="28">
        <v>7.3502999999999999E-2</v>
      </c>
      <c r="CI47" s="28">
        <v>0.17383499999999999</v>
      </c>
      <c r="CJ47" s="28">
        <v>0.78822499999999995</v>
      </c>
      <c r="CK47" s="28">
        <v>0.56855999999999995</v>
      </c>
      <c r="CL47" s="28">
        <v>0.59345366666666699</v>
      </c>
      <c r="CM47" s="28">
        <v>6.5280000000000005E-2</v>
      </c>
      <c r="CN47" s="28">
        <v>0.78794900000000001</v>
      </c>
      <c r="CO47" s="28">
        <v>0.53037800000000002</v>
      </c>
      <c r="CP47" s="28">
        <v>0.60689233333333303</v>
      </c>
      <c r="CQ47" s="28">
        <v>5.0999999999999997E-2</v>
      </c>
      <c r="CR47" s="28">
        <v>0.30858666666666701</v>
      </c>
      <c r="CS47" s="28">
        <v>0.16797833333333301</v>
      </c>
      <c r="CT47" s="28">
        <v>0.37488086666666659</v>
      </c>
      <c r="CU47" s="34">
        <v>35.61368233333333</v>
      </c>
    </row>
    <row r="48" spans="1:99" x14ac:dyDescent="0.25">
      <c r="A48" s="24">
        <v>47</v>
      </c>
      <c r="B48" s="26">
        <v>23</v>
      </c>
      <c r="C48" s="28">
        <v>0.24084666666666699</v>
      </c>
      <c r="D48" s="28">
        <v>0.31655066666666698</v>
      </c>
      <c r="E48" s="28">
        <v>0.172736</v>
      </c>
      <c r="F48" s="28">
        <v>5.7000000000000002E-2</v>
      </c>
      <c r="G48" s="28">
        <v>8.2683999999999994E-2</v>
      </c>
      <c r="H48" s="28">
        <v>4.98273333333333E-2</v>
      </c>
      <c r="I48" s="28">
        <v>0.13123000000000001</v>
      </c>
      <c r="J48" s="28">
        <v>0.103225333333333</v>
      </c>
      <c r="K48" s="28">
        <v>0.2243</v>
      </c>
      <c r="L48" s="28">
        <v>0.32583800000000002</v>
      </c>
      <c r="M48" s="28">
        <v>0.34114866666666699</v>
      </c>
      <c r="N48" s="28">
        <v>0.38598500000000002</v>
      </c>
      <c r="O48" s="28">
        <v>0.365842</v>
      </c>
      <c r="P48" s="28">
        <v>4.7E-2</v>
      </c>
      <c r="Q48" s="28">
        <v>0.21658133333333299</v>
      </c>
      <c r="R48" s="28">
        <v>4.7E-2</v>
      </c>
      <c r="S48" s="28">
        <v>0.05</v>
      </c>
      <c r="T48" s="28">
        <v>0.49533700000000003</v>
      </c>
      <c r="U48" s="28">
        <v>2.0329333333333302</v>
      </c>
      <c r="V48" s="28">
        <v>0.18393999999999999</v>
      </c>
      <c r="W48" s="28">
        <v>0.52397333333333296</v>
      </c>
      <c r="X48" s="28">
        <v>0.15248400000000001</v>
      </c>
      <c r="Y48" s="28">
        <v>0.21669333333333299</v>
      </c>
      <c r="Z48" s="28">
        <v>0.37622100000000003</v>
      </c>
      <c r="AA48" s="28">
        <v>5.3999999999999999E-2</v>
      </c>
      <c r="AB48" s="28">
        <v>0.37022699999999997</v>
      </c>
      <c r="AC48" s="28">
        <v>5.6000000000000001E-2</v>
      </c>
      <c r="AD48" s="28">
        <v>0.43492599999999998</v>
      </c>
      <c r="AE48" s="28">
        <v>0.43035600000000002</v>
      </c>
      <c r="AF48" s="28">
        <v>5.3999999999999999E-2</v>
      </c>
      <c r="AG48" s="28">
        <v>3.5999999999999997E-2</v>
      </c>
      <c r="AH48" s="28">
        <v>0.19709333333333301</v>
      </c>
      <c r="AI48" s="28">
        <v>0.192645333333333</v>
      </c>
      <c r="AJ48" s="28">
        <v>0.85711333333333295</v>
      </c>
      <c r="AK48" s="28">
        <v>0.92588066666666702</v>
      </c>
      <c r="AL48" s="28">
        <v>0.51596366666666704</v>
      </c>
      <c r="AM48" s="28">
        <v>0.22334899999999999</v>
      </c>
      <c r="AN48" s="28">
        <v>0.19236420000000001</v>
      </c>
      <c r="AO48" s="28">
        <v>0.267038</v>
      </c>
      <c r="AP48" s="28">
        <v>0.702193333333333</v>
      </c>
      <c r="AQ48" s="28">
        <v>7.8545000000000004E-2</v>
      </c>
      <c r="AR48" s="28">
        <v>4.9000000000000002E-2</v>
      </c>
      <c r="AS48" s="28">
        <v>0.70148100000000002</v>
      </c>
      <c r="AT48" s="28">
        <v>0.264857333333333</v>
      </c>
      <c r="AU48" s="28">
        <v>0.33025933333333302</v>
      </c>
      <c r="AV48" s="28">
        <v>0.67639233333333304</v>
      </c>
      <c r="AW48" s="28">
        <v>0.26076133333333301</v>
      </c>
      <c r="AX48" s="28">
        <v>0.55483333333333296</v>
      </c>
      <c r="AY48" s="28">
        <v>0.143946666666667</v>
      </c>
      <c r="AZ48" s="28">
        <v>0.13337333333333301</v>
      </c>
      <c r="BA48" s="28">
        <v>0.38933133333333297</v>
      </c>
      <c r="BB48" s="28">
        <v>0.138258666666667</v>
      </c>
      <c r="BC48" s="28">
        <v>0.30282500000000001</v>
      </c>
      <c r="BD48" s="28">
        <v>9.1426000000000104E-2</v>
      </c>
      <c r="BE48" s="28">
        <v>0.12631400000000001</v>
      </c>
      <c r="BF48" s="28">
        <v>0.289486666666667</v>
      </c>
      <c r="BG48" s="28">
        <v>0.235487</v>
      </c>
      <c r="BH48" s="28">
        <v>0.184793333333333</v>
      </c>
      <c r="BI48" s="28">
        <v>0.44</v>
      </c>
      <c r="BJ48" s="28">
        <v>0.14194200000000001</v>
      </c>
      <c r="BK48" s="28">
        <v>3.7999999999999999E-2</v>
      </c>
      <c r="BL48" s="28">
        <v>0.182166666666667</v>
      </c>
      <c r="BM48" s="28">
        <v>0.67976599999999998</v>
      </c>
      <c r="BN48" s="28">
        <v>0.11670533333333299</v>
      </c>
      <c r="BO48" s="28">
        <v>0.13239300000000001</v>
      </c>
      <c r="BP48" s="28">
        <v>1.001843</v>
      </c>
      <c r="BQ48" s="28">
        <v>0.379714</v>
      </c>
      <c r="BR48" s="28">
        <v>0.27684700000000001</v>
      </c>
      <c r="BS48" s="28">
        <v>5.1999999999999998E-2</v>
      </c>
      <c r="BT48" s="28">
        <v>0.13858999999999999</v>
      </c>
      <c r="BU48" s="28">
        <v>0.35828066666666702</v>
      </c>
      <c r="BV48" s="28">
        <v>0.48441566666666702</v>
      </c>
      <c r="BW48" s="28">
        <v>0.56747766666666699</v>
      </c>
      <c r="BX48" s="28">
        <v>0.405893</v>
      </c>
      <c r="BY48" s="28">
        <v>0.59562099999999996</v>
      </c>
      <c r="BZ48" s="28">
        <v>0.14798266666666701</v>
      </c>
      <c r="CA48" s="28">
        <v>0.33372866666666601</v>
      </c>
      <c r="CB48" s="28">
        <v>0.22395200000000001</v>
      </c>
      <c r="CC48" s="28">
        <v>0.205599</v>
      </c>
      <c r="CD48" s="28">
        <v>5.2999999999999999E-2</v>
      </c>
      <c r="CE48" s="28">
        <v>0.55689866666666699</v>
      </c>
      <c r="CF48" s="28">
        <v>0.14210500000000001</v>
      </c>
      <c r="CG48" s="28">
        <v>7.9424666666666699E-2</v>
      </c>
      <c r="CH48" s="28">
        <v>0.19885233333333299</v>
      </c>
      <c r="CI48" s="28">
        <v>0.32333266666666699</v>
      </c>
      <c r="CJ48" s="28">
        <v>0.81100933333333403</v>
      </c>
      <c r="CK48" s="28">
        <v>0.50993266666666703</v>
      </c>
      <c r="CL48" s="28">
        <v>0.54553933333333304</v>
      </c>
      <c r="CM48" s="28">
        <v>0.10847999999999999</v>
      </c>
      <c r="CN48" s="28">
        <v>0.27352599999999999</v>
      </c>
      <c r="CO48" s="28">
        <v>0.05</v>
      </c>
      <c r="CP48" s="28">
        <v>0.26549666666666699</v>
      </c>
      <c r="CQ48" s="28">
        <v>0.16641133333333299</v>
      </c>
      <c r="CR48" s="28">
        <v>0.1681445</v>
      </c>
      <c r="CS48" s="28">
        <v>0.16316800000000001</v>
      </c>
      <c r="CT48" s="28">
        <v>0.30440144245614031</v>
      </c>
      <c r="CU48" s="34">
        <v>28.918137033333331</v>
      </c>
    </row>
    <row r="49" spans="1:99" x14ac:dyDescent="0.25">
      <c r="A49" s="25">
        <v>48</v>
      </c>
      <c r="B49" s="27">
        <v>23.5</v>
      </c>
      <c r="C49" s="29">
        <v>0.44744299999999998</v>
      </c>
      <c r="D49" s="29">
        <v>4.2999999999999997E-2</v>
      </c>
      <c r="E49" s="29">
        <v>0.345820666666667</v>
      </c>
      <c r="F49" s="29">
        <v>5.7000000000000002E-2</v>
      </c>
      <c r="G49" s="29">
        <v>5.3999999999999999E-2</v>
      </c>
      <c r="H49" s="29">
        <v>0.194422333333333</v>
      </c>
      <c r="I49" s="29">
        <v>8.08796666666666E-2</v>
      </c>
      <c r="J49" s="29">
        <v>5.5427333333333301E-2</v>
      </c>
      <c r="K49" s="29">
        <v>0.112259333333333</v>
      </c>
      <c r="L49" s="29">
        <v>4.1000000000000002E-2</v>
      </c>
      <c r="M49" s="29">
        <v>0.11694</v>
      </c>
      <c r="N49" s="29">
        <v>5.5E-2</v>
      </c>
      <c r="O49" s="29">
        <v>0.42389266666666697</v>
      </c>
      <c r="P49" s="29">
        <v>4.7E-2</v>
      </c>
      <c r="Q49" s="29">
        <v>5.3999999999999999E-2</v>
      </c>
      <c r="R49" s="29">
        <v>0.34317799999999998</v>
      </c>
      <c r="S49" s="29">
        <v>0.05</v>
      </c>
      <c r="T49" s="29">
        <v>0.32815733333333302</v>
      </c>
      <c r="U49" s="29">
        <v>0.48597733333333298</v>
      </c>
      <c r="V49" s="29">
        <v>4.1000000000000002E-2</v>
      </c>
      <c r="W49" s="29">
        <v>0.3624</v>
      </c>
      <c r="X49" s="29">
        <v>8.7636000000000103E-2</v>
      </c>
      <c r="Y49" s="29">
        <v>5.8000000000000003E-2</v>
      </c>
      <c r="Z49" s="29">
        <v>0.47811166666666699</v>
      </c>
      <c r="AA49" s="29">
        <v>0.173807666666667</v>
      </c>
      <c r="AB49" s="29">
        <v>0.19189800000000001</v>
      </c>
      <c r="AC49" s="29">
        <v>0.12912000000000001</v>
      </c>
      <c r="AD49" s="29">
        <v>0.54793999999999998</v>
      </c>
      <c r="AE49" s="29">
        <v>0.40925666666666599</v>
      </c>
      <c r="AF49" s="29">
        <v>0.32027266666666698</v>
      </c>
      <c r="AG49" s="29">
        <v>4.7668666666666699E-2</v>
      </c>
      <c r="AH49" s="29">
        <v>0.178802666666667</v>
      </c>
      <c r="AI49" s="29">
        <v>0.15096599999999999</v>
      </c>
      <c r="AJ49" s="29">
        <v>0.74342799999999998</v>
      </c>
      <c r="AK49" s="29">
        <v>0.93216066666666697</v>
      </c>
      <c r="AL49" s="29">
        <v>0.15925300000000001</v>
      </c>
      <c r="AM49" s="29">
        <v>0.16203000000000001</v>
      </c>
      <c r="AN49" s="29">
        <v>0.725223333333333</v>
      </c>
      <c r="AO49" s="29">
        <v>6.3070000000000001E-2</v>
      </c>
      <c r="AP49" s="29">
        <v>0.32139466666666699</v>
      </c>
      <c r="AQ49" s="29">
        <v>5.8000000000000003E-2</v>
      </c>
      <c r="AR49" s="29">
        <v>6.7539000000000002E-2</v>
      </c>
      <c r="AS49" s="29">
        <v>0.685066333333333</v>
      </c>
      <c r="AT49" s="29">
        <v>0.21279400000000001</v>
      </c>
      <c r="AU49" s="29">
        <v>0.70146533333333405</v>
      </c>
      <c r="AV49" s="29">
        <v>0.60894666666666597</v>
      </c>
      <c r="AW49" s="29">
        <v>0.164163</v>
      </c>
      <c r="AX49" s="29">
        <v>0.62299066666666703</v>
      </c>
      <c r="AY49" s="29">
        <v>4.9000000000000002E-2</v>
      </c>
      <c r="AZ49" s="29">
        <v>0.112722</v>
      </c>
      <c r="BA49" s="29">
        <v>0.33706166666666698</v>
      </c>
      <c r="BB49" s="29">
        <v>0.206967333333333</v>
      </c>
      <c r="BC49" s="29">
        <v>0.39373599999999997</v>
      </c>
      <c r="BD49" s="29">
        <v>0.22013133333333301</v>
      </c>
      <c r="BE49" s="29">
        <v>0.17909600000000001</v>
      </c>
      <c r="BF49" s="29">
        <v>4.8000000000000001E-2</v>
      </c>
      <c r="BG49" s="29">
        <v>4.7E-2</v>
      </c>
      <c r="BH49" s="29">
        <v>2.9000000000000001E-2</v>
      </c>
      <c r="BI49" s="29">
        <v>0.25321466666666698</v>
      </c>
      <c r="BJ49" s="29">
        <v>0.14488999999999999</v>
      </c>
      <c r="BK49" s="29">
        <v>0.15347666666666701</v>
      </c>
      <c r="BL49" s="29">
        <v>0.34678666666666702</v>
      </c>
      <c r="BM49" s="29">
        <v>0.76375533333333301</v>
      </c>
      <c r="BN49" s="29">
        <v>0.230368666666667</v>
      </c>
      <c r="BO49" s="29">
        <v>4.7E-2</v>
      </c>
      <c r="BP49" s="29">
        <v>6.3349333333333299E-2</v>
      </c>
      <c r="BQ49" s="29">
        <v>5.52633333333334E-2</v>
      </c>
      <c r="BR49" s="29">
        <v>9.0284666666666694E-2</v>
      </c>
      <c r="BS49" s="29">
        <v>0.205750666666667</v>
      </c>
      <c r="BT49" s="29">
        <v>3.7999999999999999E-2</v>
      </c>
      <c r="BU49" s="29">
        <v>0.17064333333333301</v>
      </c>
      <c r="BV49" s="29">
        <v>0.15147133333333301</v>
      </c>
      <c r="BW49" s="29">
        <v>0.50052700000000006</v>
      </c>
      <c r="BX49" s="29">
        <v>6.5952999999999998E-2</v>
      </c>
      <c r="BY49" s="29">
        <v>0.74271166666666699</v>
      </c>
      <c r="BZ49" s="29">
        <v>5.8000000000000003E-2</v>
      </c>
      <c r="CA49" s="29">
        <v>4.5999999999999999E-2</v>
      </c>
      <c r="CB49" s="29">
        <v>0.29528866666666698</v>
      </c>
      <c r="CC49" s="29">
        <v>0.19280966666666699</v>
      </c>
      <c r="CD49" s="29">
        <v>5.2999999999999999E-2</v>
      </c>
      <c r="CE49" s="29">
        <v>5.6000000000000001E-2</v>
      </c>
      <c r="CF49" s="29">
        <v>0.21836900000000001</v>
      </c>
      <c r="CG49" s="29">
        <v>0.13654466666666701</v>
      </c>
      <c r="CH49" s="29">
        <v>0.05</v>
      </c>
      <c r="CI49" s="29">
        <v>4.9000000000000002E-2</v>
      </c>
      <c r="CJ49" s="29">
        <v>0.22821533333333299</v>
      </c>
      <c r="CK49" s="29">
        <v>7.5328000000000006E-2</v>
      </c>
      <c r="CL49" s="29">
        <v>0.23543866666666699</v>
      </c>
      <c r="CM49" s="29">
        <v>7.8240000000000004E-2</v>
      </c>
      <c r="CN49" s="29">
        <v>7.2015999999999997E-2</v>
      </c>
      <c r="CO49" s="29">
        <v>8.7599333333333307E-2</v>
      </c>
      <c r="CP49" s="29">
        <v>0.14204133333333299</v>
      </c>
      <c r="CQ49" s="29">
        <v>0.116949333333333</v>
      </c>
      <c r="CR49" s="29">
        <v>0.224564666666667</v>
      </c>
      <c r="CS49" s="29">
        <v>0.21808866666666701</v>
      </c>
      <c r="CT49" s="29">
        <v>0.22125743508771931</v>
      </c>
      <c r="CU49" s="35">
        <v>21.019456333333331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U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99" width="15" customWidth="1"/>
  </cols>
  <sheetData>
    <row r="1" spans="1:99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9" t="s">
        <v>133</v>
      </c>
    </row>
    <row r="2" spans="1:99" x14ac:dyDescent="0.25">
      <c r="A2" s="24">
        <v>1</v>
      </c>
      <c r="B2" s="26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28">
        <v>0</v>
      </c>
      <c r="BB2" s="28">
        <v>0</v>
      </c>
      <c r="BC2" s="28">
        <v>0</v>
      </c>
      <c r="BD2" s="28">
        <v>0</v>
      </c>
      <c r="BE2" s="28">
        <v>0</v>
      </c>
      <c r="BF2" s="28">
        <v>0</v>
      </c>
      <c r="BG2" s="28">
        <v>0</v>
      </c>
      <c r="BH2" s="28">
        <v>0</v>
      </c>
      <c r="BI2" s="28">
        <v>0</v>
      </c>
      <c r="BJ2" s="28">
        <v>0</v>
      </c>
      <c r="BK2" s="28">
        <v>0</v>
      </c>
      <c r="BL2" s="28">
        <v>0</v>
      </c>
      <c r="BM2" s="28">
        <v>0</v>
      </c>
      <c r="BN2" s="28">
        <v>0</v>
      </c>
      <c r="BO2" s="28">
        <v>0</v>
      </c>
      <c r="BP2" s="28">
        <v>0</v>
      </c>
      <c r="BQ2" s="28">
        <v>0</v>
      </c>
      <c r="BR2" s="28">
        <v>0</v>
      </c>
      <c r="BS2" s="28">
        <v>0</v>
      </c>
      <c r="BT2" s="28">
        <v>0</v>
      </c>
      <c r="BU2" s="28">
        <v>0</v>
      </c>
      <c r="BV2" s="28">
        <v>0</v>
      </c>
      <c r="BW2" s="28">
        <v>0</v>
      </c>
      <c r="BX2" s="28">
        <v>0</v>
      </c>
      <c r="BY2" s="28">
        <v>0</v>
      </c>
      <c r="BZ2" s="28">
        <v>0</v>
      </c>
      <c r="CA2" s="28">
        <v>0</v>
      </c>
      <c r="CB2" s="28">
        <v>0</v>
      </c>
      <c r="CC2" s="28">
        <v>0</v>
      </c>
      <c r="CD2" s="28">
        <v>0</v>
      </c>
      <c r="CE2" s="28">
        <v>0</v>
      </c>
      <c r="CF2" s="28">
        <v>0</v>
      </c>
      <c r="CG2" s="28">
        <v>0</v>
      </c>
      <c r="CH2" s="28">
        <v>0</v>
      </c>
      <c r="CI2" s="28">
        <v>0</v>
      </c>
      <c r="CJ2" s="28">
        <v>0</v>
      </c>
      <c r="CK2" s="28">
        <v>0</v>
      </c>
      <c r="CL2" s="28">
        <v>0</v>
      </c>
      <c r="CM2" s="28">
        <v>0</v>
      </c>
      <c r="CN2" s="28">
        <v>0</v>
      </c>
      <c r="CO2" s="28">
        <v>0</v>
      </c>
      <c r="CP2" s="28">
        <v>0</v>
      </c>
      <c r="CQ2" s="28">
        <v>0</v>
      </c>
      <c r="CR2" s="28">
        <v>0</v>
      </c>
      <c r="CS2" s="28">
        <v>0</v>
      </c>
      <c r="CT2" s="28">
        <v>0</v>
      </c>
      <c r="CU2" s="34">
        <v>0</v>
      </c>
    </row>
    <row r="3" spans="1:99" x14ac:dyDescent="0.25">
      <c r="A3" s="24">
        <v>2</v>
      </c>
      <c r="B3" s="26">
        <v>0.5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0</v>
      </c>
      <c r="CE3" s="28">
        <v>0</v>
      </c>
      <c r="CF3" s="28">
        <v>0</v>
      </c>
      <c r="CG3" s="28">
        <v>0</v>
      </c>
      <c r="CH3" s="28">
        <v>0</v>
      </c>
      <c r="CI3" s="28">
        <v>0</v>
      </c>
      <c r="CJ3" s="28">
        <v>0</v>
      </c>
      <c r="CK3" s="28">
        <v>0</v>
      </c>
      <c r="CL3" s="28">
        <v>0</v>
      </c>
      <c r="CM3" s="28">
        <v>0</v>
      </c>
      <c r="CN3" s="28">
        <v>0</v>
      </c>
      <c r="CO3" s="28">
        <v>0</v>
      </c>
      <c r="CP3" s="28">
        <v>0</v>
      </c>
      <c r="CQ3" s="28">
        <v>0</v>
      </c>
      <c r="CR3" s="28">
        <v>0</v>
      </c>
      <c r="CS3" s="28">
        <v>0</v>
      </c>
      <c r="CT3" s="28">
        <v>0</v>
      </c>
      <c r="CU3" s="34">
        <v>0</v>
      </c>
    </row>
    <row r="4" spans="1:99" x14ac:dyDescent="0.25">
      <c r="A4" s="24">
        <v>3</v>
      </c>
      <c r="B4" s="26">
        <v>1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8">
        <v>0</v>
      </c>
      <c r="BI4" s="28">
        <v>0</v>
      </c>
      <c r="BJ4" s="28">
        <v>0</v>
      </c>
      <c r="BK4" s="28">
        <v>0</v>
      </c>
      <c r="BL4" s="28">
        <v>0</v>
      </c>
      <c r="BM4" s="28">
        <v>0</v>
      </c>
      <c r="BN4" s="28">
        <v>0</v>
      </c>
      <c r="BO4" s="28">
        <v>0</v>
      </c>
      <c r="BP4" s="28">
        <v>0</v>
      </c>
      <c r="BQ4" s="28">
        <v>0</v>
      </c>
      <c r="BR4" s="28">
        <v>0</v>
      </c>
      <c r="BS4" s="28">
        <v>0</v>
      </c>
      <c r="BT4" s="28">
        <v>0</v>
      </c>
      <c r="BU4" s="28">
        <v>0</v>
      </c>
      <c r="BV4" s="28">
        <v>0</v>
      </c>
      <c r="BW4" s="28">
        <v>0</v>
      </c>
      <c r="BX4" s="28">
        <v>0</v>
      </c>
      <c r="BY4" s="28">
        <v>0</v>
      </c>
      <c r="BZ4" s="28">
        <v>0</v>
      </c>
      <c r="CA4" s="28">
        <v>0</v>
      </c>
      <c r="CB4" s="28">
        <v>0</v>
      </c>
      <c r="CC4" s="28">
        <v>0</v>
      </c>
      <c r="CD4" s="28">
        <v>0</v>
      </c>
      <c r="CE4" s="28">
        <v>0</v>
      </c>
      <c r="CF4" s="28">
        <v>0</v>
      </c>
      <c r="CG4" s="28">
        <v>0</v>
      </c>
      <c r="CH4" s="28">
        <v>0</v>
      </c>
      <c r="CI4" s="28">
        <v>0</v>
      </c>
      <c r="CJ4" s="28">
        <v>0</v>
      </c>
      <c r="CK4" s="28">
        <v>0</v>
      </c>
      <c r="CL4" s="28">
        <v>0</v>
      </c>
      <c r="CM4" s="28">
        <v>0</v>
      </c>
      <c r="CN4" s="28">
        <v>0</v>
      </c>
      <c r="CO4" s="28">
        <v>0</v>
      </c>
      <c r="CP4" s="28">
        <v>0</v>
      </c>
      <c r="CQ4" s="28">
        <v>0</v>
      </c>
      <c r="CR4" s="28">
        <v>0</v>
      </c>
      <c r="CS4" s="28">
        <v>0</v>
      </c>
      <c r="CT4" s="28">
        <v>0</v>
      </c>
      <c r="CU4" s="34">
        <v>0</v>
      </c>
    </row>
    <row r="5" spans="1:99" x14ac:dyDescent="0.25">
      <c r="A5" s="24">
        <v>4</v>
      </c>
      <c r="B5" s="26">
        <v>1.5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28">
        <v>0</v>
      </c>
      <c r="CB5" s="28">
        <v>0</v>
      </c>
      <c r="CC5" s="28">
        <v>0</v>
      </c>
      <c r="CD5" s="28">
        <v>0</v>
      </c>
      <c r="CE5" s="28">
        <v>0</v>
      </c>
      <c r="CF5" s="28">
        <v>0</v>
      </c>
      <c r="CG5" s="28">
        <v>0</v>
      </c>
      <c r="CH5" s="28">
        <v>0</v>
      </c>
      <c r="CI5" s="28">
        <v>0</v>
      </c>
      <c r="CJ5" s="28">
        <v>0</v>
      </c>
      <c r="CK5" s="28">
        <v>0</v>
      </c>
      <c r="CL5" s="28">
        <v>0</v>
      </c>
      <c r="CM5" s="28">
        <v>0</v>
      </c>
      <c r="CN5" s="28">
        <v>0</v>
      </c>
      <c r="CO5" s="28">
        <v>0</v>
      </c>
      <c r="CP5" s="28">
        <v>0</v>
      </c>
      <c r="CQ5" s="28">
        <v>0</v>
      </c>
      <c r="CR5" s="28">
        <v>0</v>
      </c>
      <c r="CS5" s="28">
        <v>0</v>
      </c>
      <c r="CT5" s="28">
        <v>0</v>
      </c>
      <c r="CU5" s="34">
        <v>0</v>
      </c>
    </row>
    <row r="6" spans="1:99" x14ac:dyDescent="0.25">
      <c r="A6" s="24">
        <v>5</v>
      </c>
      <c r="B6" s="26">
        <v>2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34">
        <v>0</v>
      </c>
    </row>
    <row r="7" spans="1:99" x14ac:dyDescent="0.25">
      <c r="A7" s="24">
        <v>6</v>
      </c>
      <c r="B7" s="26">
        <v>2.5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34">
        <v>0</v>
      </c>
    </row>
    <row r="8" spans="1:99" x14ac:dyDescent="0.25">
      <c r="A8" s="24">
        <v>7</v>
      </c>
      <c r="B8" s="26">
        <v>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34">
        <v>0</v>
      </c>
    </row>
    <row r="9" spans="1:99" x14ac:dyDescent="0.25">
      <c r="A9" s="24">
        <v>8</v>
      </c>
      <c r="B9" s="26">
        <v>3.5</v>
      </c>
      <c r="C9" s="28">
        <v>2.5806026000000011E-3</v>
      </c>
      <c r="D9" s="28">
        <v>3.4408034666666681E-3</v>
      </c>
      <c r="E9" s="28">
        <v>1.720401733333334E-3</v>
      </c>
      <c r="F9" s="28">
        <v>3.4408034666666681E-3</v>
      </c>
      <c r="G9" s="28">
        <v>3.4408034666666681E-3</v>
      </c>
      <c r="H9" s="28">
        <v>2.5806026000000011E-3</v>
      </c>
      <c r="I9" s="28">
        <v>3.4408034666666681E-3</v>
      </c>
      <c r="J9" s="28">
        <v>2.5806026000000011E-3</v>
      </c>
      <c r="K9" s="28">
        <v>3.4408034666666681E-3</v>
      </c>
      <c r="L9" s="28">
        <v>3.4408034666666681E-3</v>
      </c>
      <c r="M9" s="28">
        <v>3.4408034666666681E-3</v>
      </c>
      <c r="N9" s="28">
        <v>3.4408034666666681E-3</v>
      </c>
      <c r="O9" s="28">
        <v>1.720401733333334E-3</v>
      </c>
      <c r="P9" s="28">
        <v>2.5806026000000011E-3</v>
      </c>
      <c r="Q9" s="28">
        <v>1.290301300000001E-3</v>
      </c>
      <c r="R9" s="28">
        <v>3.4408034666666681E-3</v>
      </c>
      <c r="S9" s="28">
        <v>3.4408034666666681E-3</v>
      </c>
      <c r="T9" s="28">
        <v>1.720401733333334E-3</v>
      </c>
      <c r="U9" s="28">
        <v>3.4408034666666681E-3</v>
      </c>
      <c r="V9" s="28">
        <v>3.4408034666666681E-3</v>
      </c>
      <c r="W9" s="28">
        <v>3.4408034666666681E-3</v>
      </c>
      <c r="X9" s="28">
        <v>2.5806026000000011E-3</v>
      </c>
      <c r="Y9" s="28">
        <v>3.0107030333333339E-3</v>
      </c>
      <c r="Z9" s="28">
        <v>2.1505021666666682E-3</v>
      </c>
      <c r="AA9" s="28">
        <v>1.290301300000001E-3</v>
      </c>
      <c r="AB9" s="28">
        <v>1.290301300000001E-3</v>
      </c>
      <c r="AC9" s="28">
        <v>1.720401733333334E-3</v>
      </c>
      <c r="AD9" s="28">
        <v>1.290301300000001E-3</v>
      </c>
      <c r="AE9" s="28">
        <v>3.4408034666666681E-3</v>
      </c>
      <c r="AF9" s="28">
        <v>2.1505021666666682E-3</v>
      </c>
      <c r="AG9" s="28">
        <v>3.4408034666666681E-3</v>
      </c>
      <c r="AH9" s="28">
        <v>1.290301300000001E-3</v>
      </c>
      <c r="AI9" s="28">
        <v>3.4408034666666681E-3</v>
      </c>
      <c r="AJ9" s="28">
        <v>3.4408034666666681E-3</v>
      </c>
      <c r="AK9" s="28">
        <v>2.5806026000000011E-3</v>
      </c>
      <c r="AL9" s="28">
        <v>1.720401733333334E-3</v>
      </c>
      <c r="AM9" s="28">
        <v>3.4408034666666681E-3</v>
      </c>
      <c r="AN9" s="28">
        <v>3.4408034666666681E-3</v>
      </c>
      <c r="AO9" s="28">
        <v>3.4408034666666681E-3</v>
      </c>
      <c r="AP9" s="28">
        <v>3.4408034666666681E-3</v>
      </c>
      <c r="AQ9" s="28">
        <v>2.1505021666666682E-3</v>
      </c>
      <c r="AR9" s="28">
        <v>1.720401733333334E-3</v>
      </c>
      <c r="AS9" s="28">
        <v>3.4408034666666681E-3</v>
      </c>
      <c r="AT9" s="28">
        <v>2.5806026000000011E-3</v>
      </c>
      <c r="AU9" s="28">
        <v>1.720401733333334E-3</v>
      </c>
      <c r="AV9" s="28">
        <v>3.4408034666666681E-3</v>
      </c>
      <c r="AW9" s="28">
        <v>3.4408034666666681E-3</v>
      </c>
      <c r="AX9" s="28">
        <v>2.5806026000000011E-3</v>
      </c>
      <c r="AY9" s="28">
        <v>2.5806026000000011E-3</v>
      </c>
      <c r="AZ9" s="28">
        <v>2.1505021666666682E-3</v>
      </c>
      <c r="BA9" s="28">
        <v>3.0107030333333339E-3</v>
      </c>
      <c r="BB9" s="28">
        <v>2.5806026000000011E-3</v>
      </c>
      <c r="BC9" s="28">
        <v>3.4408034666666681E-3</v>
      </c>
      <c r="BD9" s="28">
        <v>3.0107030333333339E-3</v>
      </c>
      <c r="BE9" s="28">
        <v>3.0107030333333339E-3</v>
      </c>
      <c r="BF9" s="28">
        <v>3.4408034666666681E-3</v>
      </c>
      <c r="BG9" s="28">
        <v>3.0107030333333339E-3</v>
      </c>
      <c r="BH9" s="28">
        <v>3.4408034666666681E-3</v>
      </c>
      <c r="BI9" s="28">
        <v>2.1505021666666682E-3</v>
      </c>
      <c r="BJ9" s="28">
        <v>1.720401733333334E-3</v>
      </c>
      <c r="BK9" s="28">
        <v>2.5806026000000011E-3</v>
      </c>
      <c r="BL9" s="28">
        <v>1.290301300000001E-3</v>
      </c>
      <c r="BM9" s="28">
        <v>3.4408034666666681E-3</v>
      </c>
      <c r="BN9" s="28">
        <v>2.5806026000000011E-3</v>
      </c>
      <c r="BO9" s="28">
        <v>2.1505021666666682E-3</v>
      </c>
      <c r="BP9" s="28">
        <v>3.4408034666666681E-3</v>
      </c>
      <c r="BQ9" s="28">
        <v>3.0107030333333339E-3</v>
      </c>
      <c r="BR9" s="28">
        <v>3.4408034666666681E-3</v>
      </c>
      <c r="BS9" s="28">
        <v>3.4408034666666681E-3</v>
      </c>
      <c r="BT9" s="28">
        <v>2.1505021666666682E-3</v>
      </c>
      <c r="BU9" s="28">
        <v>3.4408034666666681E-3</v>
      </c>
      <c r="BV9" s="28">
        <v>1.720401733333334E-3</v>
      </c>
      <c r="BW9" s="28">
        <v>1.720401733333334E-3</v>
      </c>
      <c r="BX9" s="28">
        <v>2.5806026000000011E-3</v>
      </c>
      <c r="BY9" s="28">
        <v>3.0107030333333339E-3</v>
      </c>
      <c r="BZ9" s="28">
        <v>2.5806026000000011E-3</v>
      </c>
      <c r="CA9" s="28">
        <v>3.0107030333333339E-3</v>
      </c>
      <c r="CB9" s="28">
        <v>2.1505021666666682E-3</v>
      </c>
      <c r="CC9" s="28">
        <v>3.4408034666666681E-3</v>
      </c>
      <c r="CD9" s="28">
        <v>3.4408034666666681E-3</v>
      </c>
      <c r="CE9" s="28">
        <v>2.1505021666666682E-3</v>
      </c>
      <c r="CF9" s="28">
        <v>1.720401733333334E-3</v>
      </c>
      <c r="CG9" s="28">
        <v>3.0107030333333339E-3</v>
      </c>
      <c r="CH9" s="28">
        <v>2.1505021666666682E-3</v>
      </c>
      <c r="CI9" s="28">
        <v>1.720401733333334E-3</v>
      </c>
      <c r="CJ9" s="28">
        <v>1.720401733333334E-3</v>
      </c>
      <c r="CK9" s="28">
        <v>3.0107030333333339E-3</v>
      </c>
      <c r="CL9" s="28">
        <v>3.0107030333333339E-3</v>
      </c>
      <c r="CM9" s="28">
        <v>1.290301300000001E-3</v>
      </c>
      <c r="CN9" s="28">
        <v>1.290301300000001E-3</v>
      </c>
      <c r="CO9" s="28">
        <v>3.0107030333333339E-3</v>
      </c>
      <c r="CP9" s="28">
        <v>1.290301300000001E-3</v>
      </c>
      <c r="CQ9" s="28">
        <v>3.4408034666666681E-3</v>
      </c>
      <c r="CR9" s="28">
        <v>2.5806026000000011E-3</v>
      </c>
      <c r="CS9" s="28">
        <v>1.720401733333334E-3</v>
      </c>
      <c r="CT9" s="28">
        <v>2.6575679407017569E-3</v>
      </c>
      <c r="CU9" s="34">
        <v>0.25246895436666689</v>
      </c>
    </row>
    <row r="10" spans="1:99" x14ac:dyDescent="0.25">
      <c r="A10" s="24">
        <v>9</v>
      </c>
      <c r="B10" s="26">
        <v>4</v>
      </c>
      <c r="C10" s="28">
        <v>3.7300869399999902E-2</v>
      </c>
      <c r="D10" s="28">
        <v>4.9734492533333202E-2</v>
      </c>
      <c r="E10" s="28">
        <v>2.4867246266666601E-2</v>
      </c>
      <c r="F10" s="28">
        <v>4.9734492533333202E-2</v>
      </c>
      <c r="G10" s="28">
        <v>4.9734492533333202E-2</v>
      </c>
      <c r="H10" s="28">
        <v>3.7300869399999902E-2</v>
      </c>
      <c r="I10" s="28">
        <v>4.9734492533333202E-2</v>
      </c>
      <c r="J10" s="28">
        <v>3.7300869399999902E-2</v>
      </c>
      <c r="K10" s="28">
        <v>4.9734492533333202E-2</v>
      </c>
      <c r="L10" s="28">
        <v>4.9734492533333202E-2</v>
      </c>
      <c r="M10" s="28">
        <v>4.9734492533333202E-2</v>
      </c>
      <c r="N10" s="28">
        <v>4.9734492533333202E-2</v>
      </c>
      <c r="O10" s="28">
        <v>2.4867246266666601E-2</v>
      </c>
      <c r="P10" s="28">
        <v>3.7300869399999902E-2</v>
      </c>
      <c r="Q10" s="28">
        <v>1.8650434699999951E-2</v>
      </c>
      <c r="R10" s="28">
        <v>4.9734492533333202E-2</v>
      </c>
      <c r="S10" s="28">
        <v>4.9734492533333202E-2</v>
      </c>
      <c r="T10" s="28">
        <v>2.4867246266666601E-2</v>
      </c>
      <c r="U10" s="28">
        <v>4.9734492533333202E-2</v>
      </c>
      <c r="V10" s="28">
        <v>4.9734492533333202E-2</v>
      </c>
      <c r="W10" s="28">
        <v>4.9734492533333202E-2</v>
      </c>
      <c r="X10" s="28">
        <v>3.7300869399999902E-2</v>
      </c>
      <c r="Y10" s="28">
        <v>4.3517680966666562E-2</v>
      </c>
      <c r="Z10" s="28">
        <v>3.1084057833333251E-2</v>
      </c>
      <c r="AA10" s="28">
        <v>1.8650434699999951E-2</v>
      </c>
      <c r="AB10" s="28">
        <v>1.8650434699999951E-2</v>
      </c>
      <c r="AC10" s="28">
        <v>2.4867246266666601E-2</v>
      </c>
      <c r="AD10" s="28">
        <v>1.8650434699999951E-2</v>
      </c>
      <c r="AE10" s="28">
        <v>4.9734492533333202E-2</v>
      </c>
      <c r="AF10" s="28">
        <v>3.1084057833333251E-2</v>
      </c>
      <c r="AG10" s="28">
        <v>4.9734492533333202E-2</v>
      </c>
      <c r="AH10" s="28">
        <v>1.8650434699999951E-2</v>
      </c>
      <c r="AI10" s="28">
        <v>4.9734492533333202E-2</v>
      </c>
      <c r="AJ10" s="28">
        <v>4.9734492533333202E-2</v>
      </c>
      <c r="AK10" s="28">
        <v>3.7300869399999902E-2</v>
      </c>
      <c r="AL10" s="28">
        <v>2.4867246266666601E-2</v>
      </c>
      <c r="AM10" s="28">
        <v>4.9734492533333202E-2</v>
      </c>
      <c r="AN10" s="28">
        <v>4.9734492533333202E-2</v>
      </c>
      <c r="AO10" s="28">
        <v>4.9734492533333202E-2</v>
      </c>
      <c r="AP10" s="28">
        <v>4.9734492533333202E-2</v>
      </c>
      <c r="AQ10" s="28">
        <v>3.1084057833333251E-2</v>
      </c>
      <c r="AR10" s="28">
        <v>2.4867246266666601E-2</v>
      </c>
      <c r="AS10" s="28">
        <v>4.9734492533333202E-2</v>
      </c>
      <c r="AT10" s="28">
        <v>3.7300869399999902E-2</v>
      </c>
      <c r="AU10" s="28">
        <v>2.4867246266666601E-2</v>
      </c>
      <c r="AV10" s="28">
        <v>4.9734492533333202E-2</v>
      </c>
      <c r="AW10" s="28">
        <v>4.9734492533333202E-2</v>
      </c>
      <c r="AX10" s="28">
        <v>3.7300869399999902E-2</v>
      </c>
      <c r="AY10" s="28">
        <v>3.7300869399999902E-2</v>
      </c>
      <c r="AZ10" s="28">
        <v>3.1084057833333251E-2</v>
      </c>
      <c r="BA10" s="28">
        <v>4.3517680966666562E-2</v>
      </c>
      <c r="BB10" s="28">
        <v>3.7300869399999902E-2</v>
      </c>
      <c r="BC10" s="28">
        <v>4.9734492533333202E-2</v>
      </c>
      <c r="BD10" s="28">
        <v>4.3517680966666562E-2</v>
      </c>
      <c r="BE10" s="28">
        <v>4.3517680966666562E-2</v>
      </c>
      <c r="BF10" s="28">
        <v>4.9734492533333202E-2</v>
      </c>
      <c r="BG10" s="28">
        <v>4.3517680966666562E-2</v>
      </c>
      <c r="BH10" s="28">
        <v>4.9734492533333202E-2</v>
      </c>
      <c r="BI10" s="28">
        <v>3.1084057833333251E-2</v>
      </c>
      <c r="BJ10" s="28">
        <v>2.4867246266666601E-2</v>
      </c>
      <c r="BK10" s="28">
        <v>3.7300869399999902E-2</v>
      </c>
      <c r="BL10" s="28">
        <v>1.8650434699999951E-2</v>
      </c>
      <c r="BM10" s="28">
        <v>4.9734492533333202E-2</v>
      </c>
      <c r="BN10" s="28">
        <v>3.7300869399999902E-2</v>
      </c>
      <c r="BO10" s="28">
        <v>3.1084057833333251E-2</v>
      </c>
      <c r="BP10" s="28">
        <v>4.9734492533333202E-2</v>
      </c>
      <c r="BQ10" s="28">
        <v>4.3517680966666562E-2</v>
      </c>
      <c r="BR10" s="28">
        <v>4.9734492533333202E-2</v>
      </c>
      <c r="BS10" s="28">
        <v>4.9734492533333202E-2</v>
      </c>
      <c r="BT10" s="28">
        <v>3.1084057833333251E-2</v>
      </c>
      <c r="BU10" s="28">
        <v>4.9734492533333202E-2</v>
      </c>
      <c r="BV10" s="28">
        <v>2.4867246266666601E-2</v>
      </c>
      <c r="BW10" s="28">
        <v>2.4867246266666601E-2</v>
      </c>
      <c r="BX10" s="28">
        <v>3.7300869399999902E-2</v>
      </c>
      <c r="BY10" s="28">
        <v>4.3517680966666562E-2</v>
      </c>
      <c r="BZ10" s="28">
        <v>3.7300869399999902E-2</v>
      </c>
      <c r="CA10" s="28">
        <v>4.3517680966666562E-2</v>
      </c>
      <c r="CB10" s="28">
        <v>3.1084057833333251E-2</v>
      </c>
      <c r="CC10" s="28">
        <v>4.9734492533333202E-2</v>
      </c>
      <c r="CD10" s="28">
        <v>4.9734492533333202E-2</v>
      </c>
      <c r="CE10" s="28">
        <v>3.1084057833333251E-2</v>
      </c>
      <c r="CF10" s="28">
        <v>2.4867246266666601E-2</v>
      </c>
      <c r="CG10" s="28">
        <v>4.3517680966666562E-2</v>
      </c>
      <c r="CH10" s="28">
        <v>3.1084057833333251E-2</v>
      </c>
      <c r="CI10" s="28">
        <v>2.4867246266666601E-2</v>
      </c>
      <c r="CJ10" s="28">
        <v>2.4867246266666601E-2</v>
      </c>
      <c r="CK10" s="28">
        <v>4.3517680966666562E-2</v>
      </c>
      <c r="CL10" s="28">
        <v>4.3517680966666562E-2</v>
      </c>
      <c r="CM10" s="28">
        <v>1.8650434699999951E-2</v>
      </c>
      <c r="CN10" s="28">
        <v>1.8650434699999951E-2</v>
      </c>
      <c r="CO10" s="28">
        <v>4.3517680966666562E-2</v>
      </c>
      <c r="CP10" s="28">
        <v>1.8650434699999951E-2</v>
      </c>
      <c r="CQ10" s="28">
        <v>4.9734492533333202E-2</v>
      </c>
      <c r="CR10" s="28">
        <v>3.7300869399999902E-2</v>
      </c>
      <c r="CS10" s="28">
        <v>2.4867246266666601E-2</v>
      </c>
      <c r="CT10" s="28">
        <v>3.8413351469824469E-2</v>
      </c>
      <c r="CU10" s="34">
        <v>3.6492683896333249</v>
      </c>
    </row>
    <row r="11" spans="1:99" x14ac:dyDescent="0.25">
      <c r="A11" s="24">
        <v>10</v>
      </c>
      <c r="B11" s="26">
        <v>4.5</v>
      </c>
      <c r="C11" s="28">
        <v>0.17443016789999999</v>
      </c>
      <c r="D11" s="28">
        <v>0.2325735572</v>
      </c>
      <c r="E11" s="28">
        <v>0.1162867786</v>
      </c>
      <c r="F11" s="28">
        <v>0.2325735572</v>
      </c>
      <c r="G11" s="28">
        <v>0.2325735572</v>
      </c>
      <c r="H11" s="28">
        <v>0.17443016789999999</v>
      </c>
      <c r="I11" s="28">
        <v>0.2325735572</v>
      </c>
      <c r="J11" s="28">
        <v>0.17443016789999999</v>
      </c>
      <c r="K11" s="28">
        <v>0.2325735572</v>
      </c>
      <c r="L11" s="28">
        <v>0.2325735572</v>
      </c>
      <c r="M11" s="28">
        <v>0.2325735572</v>
      </c>
      <c r="N11" s="28">
        <v>0.2325735572</v>
      </c>
      <c r="O11" s="28">
        <v>0.1162867786</v>
      </c>
      <c r="P11" s="28">
        <v>0.17443016789999999</v>
      </c>
      <c r="Q11" s="28">
        <v>8.7215083949999994E-2</v>
      </c>
      <c r="R11" s="28">
        <v>0.2325735572</v>
      </c>
      <c r="S11" s="28">
        <v>0.2325735572</v>
      </c>
      <c r="T11" s="28">
        <v>0.1162867786</v>
      </c>
      <c r="U11" s="28">
        <v>0.2325735572</v>
      </c>
      <c r="V11" s="28">
        <v>0.2325735572</v>
      </c>
      <c r="W11" s="28">
        <v>0.2325735572</v>
      </c>
      <c r="X11" s="28">
        <v>0.17443016789999999</v>
      </c>
      <c r="Y11" s="28">
        <v>0.20350186255</v>
      </c>
      <c r="Z11" s="28">
        <v>0.14535847325000001</v>
      </c>
      <c r="AA11" s="28">
        <v>8.7215083949999994E-2</v>
      </c>
      <c r="AB11" s="28">
        <v>8.7215083949999994E-2</v>
      </c>
      <c r="AC11" s="28">
        <v>0.1162867786</v>
      </c>
      <c r="AD11" s="28">
        <v>8.7215083949999994E-2</v>
      </c>
      <c r="AE11" s="28">
        <v>0.2325735572</v>
      </c>
      <c r="AF11" s="28">
        <v>0.14535847325000001</v>
      </c>
      <c r="AG11" s="28">
        <v>0.2325735572</v>
      </c>
      <c r="AH11" s="28">
        <v>8.7215083949999994E-2</v>
      </c>
      <c r="AI11" s="28">
        <v>0.2325735572</v>
      </c>
      <c r="AJ11" s="28">
        <v>0.2325735572</v>
      </c>
      <c r="AK11" s="28">
        <v>0.17443016789999999</v>
      </c>
      <c r="AL11" s="28">
        <v>0.1162867786</v>
      </c>
      <c r="AM11" s="28">
        <v>0.2325735572</v>
      </c>
      <c r="AN11" s="28">
        <v>0.2325735572</v>
      </c>
      <c r="AO11" s="28">
        <v>0.2325735572</v>
      </c>
      <c r="AP11" s="28">
        <v>0.2325735572</v>
      </c>
      <c r="AQ11" s="28">
        <v>0.14535847325000001</v>
      </c>
      <c r="AR11" s="28">
        <v>0.1162867786</v>
      </c>
      <c r="AS11" s="28">
        <v>0.2325735572</v>
      </c>
      <c r="AT11" s="28">
        <v>0.17443016789999999</v>
      </c>
      <c r="AU11" s="28">
        <v>0.1162867786</v>
      </c>
      <c r="AV11" s="28">
        <v>0.2325735572</v>
      </c>
      <c r="AW11" s="28">
        <v>0.2325735572</v>
      </c>
      <c r="AX11" s="28">
        <v>0.17443016789999999</v>
      </c>
      <c r="AY11" s="28">
        <v>0.17443016789999999</v>
      </c>
      <c r="AZ11" s="28">
        <v>0.14535847325000001</v>
      </c>
      <c r="BA11" s="28">
        <v>0.20350186255</v>
      </c>
      <c r="BB11" s="28">
        <v>0.17443016789999999</v>
      </c>
      <c r="BC11" s="28">
        <v>0.2325735572</v>
      </c>
      <c r="BD11" s="28">
        <v>0.20350186255</v>
      </c>
      <c r="BE11" s="28">
        <v>0.20350186255</v>
      </c>
      <c r="BF11" s="28">
        <v>0.2325735572</v>
      </c>
      <c r="BG11" s="28">
        <v>0.20350186255</v>
      </c>
      <c r="BH11" s="28">
        <v>0.2325735572</v>
      </c>
      <c r="BI11" s="28">
        <v>0.14535847325000001</v>
      </c>
      <c r="BJ11" s="28">
        <v>0.1162867786</v>
      </c>
      <c r="BK11" s="28">
        <v>0.17443016789999999</v>
      </c>
      <c r="BL11" s="28">
        <v>8.7215083949999994E-2</v>
      </c>
      <c r="BM11" s="28">
        <v>0.2325735572</v>
      </c>
      <c r="BN11" s="28">
        <v>0.17443016789999999</v>
      </c>
      <c r="BO11" s="28">
        <v>0.14535847325000001</v>
      </c>
      <c r="BP11" s="28">
        <v>0.2325735572</v>
      </c>
      <c r="BQ11" s="28">
        <v>0.20350186255</v>
      </c>
      <c r="BR11" s="28">
        <v>0.2325735572</v>
      </c>
      <c r="BS11" s="28">
        <v>0.2325735572</v>
      </c>
      <c r="BT11" s="28">
        <v>0.14535847325000001</v>
      </c>
      <c r="BU11" s="28">
        <v>0.2325735572</v>
      </c>
      <c r="BV11" s="28">
        <v>0.1162867786</v>
      </c>
      <c r="BW11" s="28">
        <v>0.1162867786</v>
      </c>
      <c r="BX11" s="28">
        <v>0.17443016789999999</v>
      </c>
      <c r="BY11" s="28">
        <v>0.20350186255</v>
      </c>
      <c r="BZ11" s="28">
        <v>0.17443016789999999</v>
      </c>
      <c r="CA11" s="28">
        <v>0.20350186255</v>
      </c>
      <c r="CB11" s="28">
        <v>0.14535847325000001</v>
      </c>
      <c r="CC11" s="28">
        <v>0.2325735572</v>
      </c>
      <c r="CD11" s="28">
        <v>0.2325735572</v>
      </c>
      <c r="CE11" s="28">
        <v>0.14535847325000001</v>
      </c>
      <c r="CF11" s="28">
        <v>0.1162867786</v>
      </c>
      <c r="CG11" s="28">
        <v>0.20350186255</v>
      </c>
      <c r="CH11" s="28">
        <v>0.14535847325000001</v>
      </c>
      <c r="CI11" s="28">
        <v>0.1162867786</v>
      </c>
      <c r="CJ11" s="28">
        <v>0.1162867786</v>
      </c>
      <c r="CK11" s="28">
        <v>0.20350186255</v>
      </c>
      <c r="CL11" s="28">
        <v>0.20350186255</v>
      </c>
      <c r="CM11" s="28">
        <v>8.7215083949999994E-2</v>
      </c>
      <c r="CN11" s="28">
        <v>8.7215083949999994E-2</v>
      </c>
      <c r="CO11" s="28">
        <v>0.20350186255</v>
      </c>
      <c r="CP11" s="28">
        <v>8.7215083949999994E-2</v>
      </c>
      <c r="CQ11" s="28">
        <v>0.2325735572</v>
      </c>
      <c r="CR11" s="28">
        <v>0.17443016789999999</v>
      </c>
      <c r="CS11" s="28">
        <v>0.1162867786</v>
      </c>
      <c r="CT11" s="28">
        <v>0.179632471153158</v>
      </c>
      <c r="CU11" s="34">
        <v>17.065084759550011</v>
      </c>
    </row>
    <row r="12" spans="1:99" x14ac:dyDescent="0.25">
      <c r="A12" s="24">
        <v>11</v>
      </c>
      <c r="B12" s="26">
        <v>5</v>
      </c>
      <c r="C12" s="28">
        <v>0.34600521620000102</v>
      </c>
      <c r="D12" s="28">
        <v>0.46134028826666801</v>
      </c>
      <c r="E12" s="28">
        <v>0.230670144133334</v>
      </c>
      <c r="F12" s="28">
        <v>0.46134028826666801</v>
      </c>
      <c r="G12" s="28">
        <v>0.46134028826666801</v>
      </c>
      <c r="H12" s="28">
        <v>0.34600521620000102</v>
      </c>
      <c r="I12" s="28">
        <v>0.46134028826666801</v>
      </c>
      <c r="J12" s="28">
        <v>0.34600521620000102</v>
      </c>
      <c r="K12" s="28">
        <v>0.46134028826666801</v>
      </c>
      <c r="L12" s="28">
        <v>0.46134028826666801</v>
      </c>
      <c r="M12" s="28">
        <v>0.46134028826666801</v>
      </c>
      <c r="N12" s="28">
        <v>0.46134028826666801</v>
      </c>
      <c r="O12" s="28">
        <v>0.230670144133334</v>
      </c>
      <c r="P12" s="28">
        <v>0.34600521620000102</v>
      </c>
      <c r="Q12" s="28">
        <v>0.17300260810000051</v>
      </c>
      <c r="R12" s="28">
        <v>0.46134028826666801</v>
      </c>
      <c r="S12" s="28">
        <v>0.46134028826666801</v>
      </c>
      <c r="T12" s="28">
        <v>0.230670144133334</v>
      </c>
      <c r="U12" s="28">
        <v>0.46134028826666801</v>
      </c>
      <c r="V12" s="28">
        <v>0.46134028826666801</v>
      </c>
      <c r="W12" s="28">
        <v>0.46134028826666801</v>
      </c>
      <c r="X12" s="28">
        <v>0.34600521620000102</v>
      </c>
      <c r="Y12" s="28">
        <v>0.40367275223333449</v>
      </c>
      <c r="Z12" s="28">
        <v>0.2883376801666675</v>
      </c>
      <c r="AA12" s="28">
        <v>0.17300260810000051</v>
      </c>
      <c r="AB12" s="28">
        <v>0.17300260810000051</v>
      </c>
      <c r="AC12" s="28">
        <v>0.230670144133334</v>
      </c>
      <c r="AD12" s="28">
        <v>0.17300260810000051</v>
      </c>
      <c r="AE12" s="28">
        <v>0.46134028826666801</v>
      </c>
      <c r="AF12" s="28">
        <v>0.2883376801666675</v>
      </c>
      <c r="AG12" s="28">
        <v>0.46134028826666801</v>
      </c>
      <c r="AH12" s="28">
        <v>0.17300260810000051</v>
      </c>
      <c r="AI12" s="28">
        <v>0.46134028826666801</v>
      </c>
      <c r="AJ12" s="28">
        <v>0.46134028826666801</v>
      </c>
      <c r="AK12" s="28">
        <v>0.34600521620000102</v>
      </c>
      <c r="AL12" s="28">
        <v>0.230670144133334</v>
      </c>
      <c r="AM12" s="28">
        <v>0.46134028826666801</v>
      </c>
      <c r="AN12" s="28">
        <v>0.46134028826666801</v>
      </c>
      <c r="AO12" s="28">
        <v>0.46134028826666801</v>
      </c>
      <c r="AP12" s="28">
        <v>0.46134028826666801</v>
      </c>
      <c r="AQ12" s="28">
        <v>0.2883376801666675</v>
      </c>
      <c r="AR12" s="28">
        <v>0.230670144133334</v>
      </c>
      <c r="AS12" s="28">
        <v>0.46134028826666801</v>
      </c>
      <c r="AT12" s="28">
        <v>0.34600521620000102</v>
      </c>
      <c r="AU12" s="28">
        <v>0.230670144133334</v>
      </c>
      <c r="AV12" s="28">
        <v>0.46134028826666801</v>
      </c>
      <c r="AW12" s="28">
        <v>0.46134028826666801</v>
      </c>
      <c r="AX12" s="28">
        <v>0.34600521620000102</v>
      </c>
      <c r="AY12" s="28">
        <v>0.34600521620000102</v>
      </c>
      <c r="AZ12" s="28">
        <v>0.2883376801666675</v>
      </c>
      <c r="BA12" s="28">
        <v>0.40367275223333449</v>
      </c>
      <c r="BB12" s="28">
        <v>0.34600521620000102</v>
      </c>
      <c r="BC12" s="28">
        <v>0.46134028826666801</v>
      </c>
      <c r="BD12" s="28">
        <v>0.40367275223333449</v>
      </c>
      <c r="BE12" s="28">
        <v>0.40367275223333449</v>
      </c>
      <c r="BF12" s="28">
        <v>0.46134028826666801</v>
      </c>
      <c r="BG12" s="28">
        <v>0.40367275223333449</v>
      </c>
      <c r="BH12" s="28">
        <v>0.46134028826666801</v>
      </c>
      <c r="BI12" s="28">
        <v>0.2883376801666675</v>
      </c>
      <c r="BJ12" s="28">
        <v>0.230670144133334</v>
      </c>
      <c r="BK12" s="28">
        <v>0.34600521620000102</v>
      </c>
      <c r="BL12" s="28">
        <v>0.17300260810000051</v>
      </c>
      <c r="BM12" s="28">
        <v>0.46134028826666801</v>
      </c>
      <c r="BN12" s="28">
        <v>0.34600521620000102</v>
      </c>
      <c r="BO12" s="28">
        <v>0.2883376801666675</v>
      </c>
      <c r="BP12" s="28">
        <v>0.46134028826666801</v>
      </c>
      <c r="BQ12" s="28">
        <v>0.40367275223333449</v>
      </c>
      <c r="BR12" s="28">
        <v>0.46134028826666801</v>
      </c>
      <c r="BS12" s="28">
        <v>0.46134028826666801</v>
      </c>
      <c r="BT12" s="28">
        <v>0.2883376801666675</v>
      </c>
      <c r="BU12" s="28">
        <v>0.46134028826666801</v>
      </c>
      <c r="BV12" s="28">
        <v>0.230670144133334</v>
      </c>
      <c r="BW12" s="28">
        <v>0.230670144133334</v>
      </c>
      <c r="BX12" s="28">
        <v>0.34600521620000102</v>
      </c>
      <c r="BY12" s="28">
        <v>0.40367275223333449</v>
      </c>
      <c r="BZ12" s="28">
        <v>0.34600521620000102</v>
      </c>
      <c r="CA12" s="28">
        <v>0.40367275223333449</v>
      </c>
      <c r="CB12" s="28">
        <v>0.2883376801666675</v>
      </c>
      <c r="CC12" s="28">
        <v>0.46134028826666801</v>
      </c>
      <c r="CD12" s="28">
        <v>0.46134028826666801</v>
      </c>
      <c r="CE12" s="28">
        <v>0.2883376801666675</v>
      </c>
      <c r="CF12" s="28">
        <v>0.230670144133334</v>
      </c>
      <c r="CG12" s="28">
        <v>0.40367275223333449</v>
      </c>
      <c r="CH12" s="28">
        <v>0.2883376801666675</v>
      </c>
      <c r="CI12" s="28">
        <v>0.230670144133334</v>
      </c>
      <c r="CJ12" s="28">
        <v>0.230670144133334</v>
      </c>
      <c r="CK12" s="28">
        <v>0.40367275223333449</v>
      </c>
      <c r="CL12" s="28">
        <v>0.40367275223333449</v>
      </c>
      <c r="CM12" s="28">
        <v>0.17300260810000051</v>
      </c>
      <c r="CN12" s="28">
        <v>0.17300260810000051</v>
      </c>
      <c r="CO12" s="28">
        <v>0.40367275223333449</v>
      </c>
      <c r="CP12" s="28">
        <v>0.17300260810000051</v>
      </c>
      <c r="CQ12" s="28">
        <v>0.46134028826666801</v>
      </c>
      <c r="CR12" s="28">
        <v>0.34600521620000102</v>
      </c>
      <c r="CS12" s="28">
        <v>0.230670144133334</v>
      </c>
      <c r="CT12" s="28">
        <v>0.35632467001649232</v>
      </c>
      <c r="CU12" s="34">
        <v>33.850843651566763</v>
      </c>
    </row>
    <row r="13" spans="1:99" x14ac:dyDescent="0.25">
      <c r="A13" s="24">
        <v>12</v>
      </c>
      <c r="B13" s="26">
        <v>5.5</v>
      </c>
      <c r="C13" s="28">
        <v>0.55639348239999897</v>
      </c>
      <c r="D13" s="28">
        <v>0.74185797653333196</v>
      </c>
      <c r="E13" s="28">
        <v>0.37092898826666598</v>
      </c>
      <c r="F13" s="28">
        <v>0.74185797653333196</v>
      </c>
      <c r="G13" s="28">
        <v>0.74185797653333196</v>
      </c>
      <c r="H13" s="28">
        <v>0.55639348239999897</v>
      </c>
      <c r="I13" s="28">
        <v>0.74185797653333196</v>
      </c>
      <c r="J13" s="28">
        <v>0.55639348239999897</v>
      </c>
      <c r="K13" s="28">
        <v>0.74185797653333196</v>
      </c>
      <c r="L13" s="28">
        <v>0.74185797653333196</v>
      </c>
      <c r="M13" s="28">
        <v>0.74185797653333196</v>
      </c>
      <c r="N13" s="28">
        <v>0.74185797653333196</v>
      </c>
      <c r="O13" s="28">
        <v>0.37092898826666598</v>
      </c>
      <c r="P13" s="28">
        <v>0.55639348239999897</v>
      </c>
      <c r="Q13" s="28">
        <v>0.27819674119999949</v>
      </c>
      <c r="R13" s="28">
        <v>0.74185797653333196</v>
      </c>
      <c r="S13" s="28">
        <v>0.74185797653333196</v>
      </c>
      <c r="T13" s="28">
        <v>0.37092898826666598</v>
      </c>
      <c r="U13" s="28">
        <v>0.74185797653333196</v>
      </c>
      <c r="V13" s="28">
        <v>0.74185797653333196</v>
      </c>
      <c r="W13" s="28">
        <v>0.74185797653333196</v>
      </c>
      <c r="X13" s="28">
        <v>0.55639348239999897</v>
      </c>
      <c r="Y13" s="28">
        <v>0.64912572946666547</v>
      </c>
      <c r="Z13" s="28">
        <v>0.46366123533333248</v>
      </c>
      <c r="AA13" s="28">
        <v>0.27819674119999949</v>
      </c>
      <c r="AB13" s="28">
        <v>0.27819674119999949</v>
      </c>
      <c r="AC13" s="28">
        <v>0.37092898826666598</v>
      </c>
      <c r="AD13" s="28">
        <v>0.27819674119999949</v>
      </c>
      <c r="AE13" s="28">
        <v>0.74185797653333196</v>
      </c>
      <c r="AF13" s="28">
        <v>0.46366123533333248</v>
      </c>
      <c r="AG13" s="28">
        <v>0.74185797653333196</v>
      </c>
      <c r="AH13" s="28">
        <v>0.27819674119999949</v>
      </c>
      <c r="AI13" s="28">
        <v>0.74185797653333196</v>
      </c>
      <c r="AJ13" s="28">
        <v>0.74185797653333196</v>
      </c>
      <c r="AK13" s="28">
        <v>0.55639348239999897</v>
      </c>
      <c r="AL13" s="28">
        <v>0.37092898826666598</v>
      </c>
      <c r="AM13" s="28">
        <v>0.74185797653333196</v>
      </c>
      <c r="AN13" s="28">
        <v>0.74185797653333196</v>
      </c>
      <c r="AO13" s="28">
        <v>0.74185797653333196</v>
      </c>
      <c r="AP13" s="28">
        <v>0.74185797653333196</v>
      </c>
      <c r="AQ13" s="28">
        <v>0.46366123533333248</v>
      </c>
      <c r="AR13" s="28">
        <v>0.37092898826666598</v>
      </c>
      <c r="AS13" s="28">
        <v>0.74185797653333196</v>
      </c>
      <c r="AT13" s="28">
        <v>0.55639348239999897</v>
      </c>
      <c r="AU13" s="28">
        <v>0.37092898826666598</v>
      </c>
      <c r="AV13" s="28">
        <v>0.74185797653333196</v>
      </c>
      <c r="AW13" s="28">
        <v>0.74185797653333196</v>
      </c>
      <c r="AX13" s="28">
        <v>0.55639348239999897</v>
      </c>
      <c r="AY13" s="28">
        <v>0.55639348239999897</v>
      </c>
      <c r="AZ13" s="28">
        <v>0.46366123533333248</v>
      </c>
      <c r="BA13" s="28">
        <v>0.64912572946666547</v>
      </c>
      <c r="BB13" s="28">
        <v>0.55639348239999897</v>
      </c>
      <c r="BC13" s="28">
        <v>0.74185797653333196</v>
      </c>
      <c r="BD13" s="28">
        <v>0.64912572946666547</v>
      </c>
      <c r="BE13" s="28">
        <v>0.64912572946666547</v>
      </c>
      <c r="BF13" s="28">
        <v>0.74185797653333196</v>
      </c>
      <c r="BG13" s="28">
        <v>0.64912572946666547</v>
      </c>
      <c r="BH13" s="28">
        <v>0.74185797653333196</v>
      </c>
      <c r="BI13" s="28">
        <v>0.46366123533333248</v>
      </c>
      <c r="BJ13" s="28">
        <v>0.37092898826666598</v>
      </c>
      <c r="BK13" s="28">
        <v>0.55639348239999897</v>
      </c>
      <c r="BL13" s="28">
        <v>0.27819674119999949</v>
      </c>
      <c r="BM13" s="28">
        <v>0.74185797653333196</v>
      </c>
      <c r="BN13" s="28">
        <v>0.55639348239999897</v>
      </c>
      <c r="BO13" s="28">
        <v>0.46366123533333248</v>
      </c>
      <c r="BP13" s="28">
        <v>0.74185797653333196</v>
      </c>
      <c r="BQ13" s="28">
        <v>0.64912572946666547</v>
      </c>
      <c r="BR13" s="28">
        <v>0.74185797653333196</v>
      </c>
      <c r="BS13" s="28">
        <v>0.74185797653333196</v>
      </c>
      <c r="BT13" s="28">
        <v>0.46366123533333248</v>
      </c>
      <c r="BU13" s="28">
        <v>0.74185797653333196</v>
      </c>
      <c r="BV13" s="28">
        <v>0.37092898826666598</v>
      </c>
      <c r="BW13" s="28">
        <v>0.37092898826666598</v>
      </c>
      <c r="BX13" s="28">
        <v>0.55639348239999897</v>
      </c>
      <c r="BY13" s="28">
        <v>0.64912572946666547</v>
      </c>
      <c r="BZ13" s="28">
        <v>0.55639348239999897</v>
      </c>
      <c r="CA13" s="28">
        <v>0.64912572946666547</v>
      </c>
      <c r="CB13" s="28">
        <v>0.46366123533333248</v>
      </c>
      <c r="CC13" s="28">
        <v>0.74185797653333196</v>
      </c>
      <c r="CD13" s="28">
        <v>0.74185797653333196</v>
      </c>
      <c r="CE13" s="28">
        <v>0.46366123533333248</v>
      </c>
      <c r="CF13" s="28">
        <v>0.37092898826666598</v>
      </c>
      <c r="CG13" s="28">
        <v>0.64912572946666547</v>
      </c>
      <c r="CH13" s="28">
        <v>0.46366123533333248</v>
      </c>
      <c r="CI13" s="28">
        <v>0.37092898826666598</v>
      </c>
      <c r="CJ13" s="28">
        <v>0.37092898826666598</v>
      </c>
      <c r="CK13" s="28">
        <v>0.64912572946666547</v>
      </c>
      <c r="CL13" s="28">
        <v>0.64912572946666547</v>
      </c>
      <c r="CM13" s="28">
        <v>0.27819674119999949</v>
      </c>
      <c r="CN13" s="28">
        <v>0.27819674119999949</v>
      </c>
      <c r="CO13" s="28">
        <v>0.64912572946666547</v>
      </c>
      <c r="CP13" s="28">
        <v>0.27819674119999949</v>
      </c>
      <c r="CQ13" s="28">
        <v>0.74185797653333196</v>
      </c>
      <c r="CR13" s="28">
        <v>0.55639348239999897</v>
      </c>
      <c r="CS13" s="28">
        <v>0.37092898826666598</v>
      </c>
      <c r="CT13" s="28">
        <v>0.57298767398035</v>
      </c>
      <c r="CU13" s="34">
        <v>54.433829028133253</v>
      </c>
    </row>
    <row r="14" spans="1:99" x14ac:dyDescent="0.25">
      <c r="A14" s="24">
        <v>13</v>
      </c>
      <c r="B14" s="26">
        <v>6</v>
      </c>
      <c r="C14" s="28">
        <v>0.78593894450000112</v>
      </c>
      <c r="D14" s="28">
        <v>1.0479185926666681</v>
      </c>
      <c r="E14" s="28">
        <v>0.52395929633333405</v>
      </c>
      <c r="F14" s="28">
        <v>1.0479185926666681</v>
      </c>
      <c r="G14" s="28">
        <v>1.0479185926666681</v>
      </c>
      <c r="H14" s="28">
        <v>0.78593894450000112</v>
      </c>
      <c r="I14" s="28">
        <v>1.0479185926666681</v>
      </c>
      <c r="J14" s="28">
        <v>0.78593894450000112</v>
      </c>
      <c r="K14" s="28">
        <v>1.0479185926666681</v>
      </c>
      <c r="L14" s="28">
        <v>1.0479185926666681</v>
      </c>
      <c r="M14" s="28">
        <v>1.0479185926666681</v>
      </c>
      <c r="N14" s="28">
        <v>1.0479185926666681</v>
      </c>
      <c r="O14" s="28">
        <v>0.52395929633333405</v>
      </c>
      <c r="P14" s="28">
        <v>0.78593894450000112</v>
      </c>
      <c r="Q14" s="28">
        <v>0.39296947225000062</v>
      </c>
      <c r="R14" s="28">
        <v>1.0479185926666681</v>
      </c>
      <c r="S14" s="28">
        <v>1.0479185926666681</v>
      </c>
      <c r="T14" s="28">
        <v>0.52395929633333405</v>
      </c>
      <c r="U14" s="28">
        <v>1.0479185926666681</v>
      </c>
      <c r="V14" s="28">
        <v>1.0479185926666681</v>
      </c>
      <c r="W14" s="28">
        <v>1.0479185926666681</v>
      </c>
      <c r="X14" s="28">
        <v>0.78593894450000112</v>
      </c>
      <c r="Y14" s="28">
        <v>0.91692876858333461</v>
      </c>
      <c r="Z14" s="28">
        <v>0.65494912041666753</v>
      </c>
      <c r="AA14" s="28">
        <v>0.39296947225000062</v>
      </c>
      <c r="AB14" s="28">
        <v>0.39296947225000062</v>
      </c>
      <c r="AC14" s="28">
        <v>0.52395929633333405</v>
      </c>
      <c r="AD14" s="28">
        <v>0.39296947225000062</v>
      </c>
      <c r="AE14" s="28">
        <v>1.0479185926666681</v>
      </c>
      <c r="AF14" s="28">
        <v>0.65494912041666753</v>
      </c>
      <c r="AG14" s="28">
        <v>1.0479185926666681</v>
      </c>
      <c r="AH14" s="28">
        <v>0.39296947225000062</v>
      </c>
      <c r="AI14" s="28">
        <v>1.0479185926666681</v>
      </c>
      <c r="AJ14" s="28">
        <v>1.0479185926666681</v>
      </c>
      <c r="AK14" s="28">
        <v>0.78593894450000112</v>
      </c>
      <c r="AL14" s="28">
        <v>0.52395929633333405</v>
      </c>
      <c r="AM14" s="28">
        <v>1.0479185926666681</v>
      </c>
      <c r="AN14" s="28">
        <v>1.0479185926666681</v>
      </c>
      <c r="AO14" s="28">
        <v>1.0479185926666681</v>
      </c>
      <c r="AP14" s="28">
        <v>1.0479185926666681</v>
      </c>
      <c r="AQ14" s="28">
        <v>0.65494912041666753</v>
      </c>
      <c r="AR14" s="28">
        <v>0.52395929633333405</v>
      </c>
      <c r="AS14" s="28">
        <v>1.0479185926666681</v>
      </c>
      <c r="AT14" s="28">
        <v>0.78593894450000112</v>
      </c>
      <c r="AU14" s="28">
        <v>0.52395929633333405</v>
      </c>
      <c r="AV14" s="28">
        <v>1.0479185926666681</v>
      </c>
      <c r="AW14" s="28">
        <v>1.0479185926666681</v>
      </c>
      <c r="AX14" s="28">
        <v>0.78593894450000112</v>
      </c>
      <c r="AY14" s="28">
        <v>0.78593894450000112</v>
      </c>
      <c r="AZ14" s="28">
        <v>0.65494912041666753</v>
      </c>
      <c r="BA14" s="28">
        <v>0.91692876858333461</v>
      </c>
      <c r="BB14" s="28">
        <v>0.78593894450000112</v>
      </c>
      <c r="BC14" s="28">
        <v>1.0479185926666681</v>
      </c>
      <c r="BD14" s="28">
        <v>0.91692876858333461</v>
      </c>
      <c r="BE14" s="28">
        <v>0.91692876858333461</v>
      </c>
      <c r="BF14" s="28">
        <v>1.0479185926666681</v>
      </c>
      <c r="BG14" s="28">
        <v>0.91692876858333461</v>
      </c>
      <c r="BH14" s="28">
        <v>1.0479185926666681</v>
      </c>
      <c r="BI14" s="28">
        <v>0.65494912041666753</v>
      </c>
      <c r="BJ14" s="28">
        <v>0.52395929633333405</v>
      </c>
      <c r="BK14" s="28">
        <v>0.78593894450000112</v>
      </c>
      <c r="BL14" s="28">
        <v>0.39296947225000062</v>
      </c>
      <c r="BM14" s="28">
        <v>1.0479185926666681</v>
      </c>
      <c r="BN14" s="28">
        <v>0.78593894450000112</v>
      </c>
      <c r="BO14" s="28">
        <v>0.65494912041666753</v>
      </c>
      <c r="BP14" s="28">
        <v>1.0479185926666681</v>
      </c>
      <c r="BQ14" s="28">
        <v>0.91692876858333461</v>
      </c>
      <c r="BR14" s="28">
        <v>1.0479185926666681</v>
      </c>
      <c r="BS14" s="28">
        <v>1.0479185926666681</v>
      </c>
      <c r="BT14" s="28">
        <v>0.65494912041666753</v>
      </c>
      <c r="BU14" s="28">
        <v>1.0479185926666681</v>
      </c>
      <c r="BV14" s="28">
        <v>0.52395929633333405</v>
      </c>
      <c r="BW14" s="28">
        <v>0.52395929633333405</v>
      </c>
      <c r="BX14" s="28">
        <v>0.78593894450000112</v>
      </c>
      <c r="BY14" s="28">
        <v>0.91692876858333461</v>
      </c>
      <c r="BZ14" s="28">
        <v>0.78593894450000112</v>
      </c>
      <c r="CA14" s="28">
        <v>0.91692876858333461</v>
      </c>
      <c r="CB14" s="28">
        <v>0.65494912041666753</v>
      </c>
      <c r="CC14" s="28">
        <v>1.0479185926666681</v>
      </c>
      <c r="CD14" s="28">
        <v>1.0479185926666681</v>
      </c>
      <c r="CE14" s="28">
        <v>0.65494912041666753</v>
      </c>
      <c r="CF14" s="28">
        <v>0.52395929633333405</v>
      </c>
      <c r="CG14" s="28">
        <v>0.91692876858333461</v>
      </c>
      <c r="CH14" s="28">
        <v>0.65494912041666753</v>
      </c>
      <c r="CI14" s="28">
        <v>0.52395929633333405</v>
      </c>
      <c r="CJ14" s="28">
        <v>0.52395929633333405</v>
      </c>
      <c r="CK14" s="28">
        <v>0.91692876858333461</v>
      </c>
      <c r="CL14" s="28">
        <v>0.91692876858333461</v>
      </c>
      <c r="CM14" s="28">
        <v>0.39296947225000062</v>
      </c>
      <c r="CN14" s="28">
        <v>0.39296947225000062</v>
      </c>
      <c r="CO14" s="28">
        <v>0.91692876858333461</v>
      </c>
      <c r="CP14" s="28">
        <v>0.39296947225000062</v>
      </c>
      <c r="CQ14" s="28">
        <v>1.0479185926666681</v>
      </c>
      <c r="CR14" s="28">
        <v>0.78593894450000112</v>
      </c>
      <c r="CS14" s="28">
        <v>0.52395929633333405</v>
      </c>
      <c r="CT14" s="28">
        <v>0.80937922880965019</v>
      </c>
      <c r="CU14" s="34">
        <v>76.891026736916771</v>
      </c>
    </row>
    <row r="15" spans="1:99" x14ac:dyDescent="0.25">
      <c r="A15" s="24">
        <v>14</v>
      </c>
      <c r="B15" s="26">
        <v>6.5</v>
      </c>
      <c r="C15" s="28">
        <v>1.018305875799999</v>
      </c>
      <c r="D15" s="28">
        <v>1.357741167733332</v>
      </c>
      <c r="E15" s="28">
        <v>0.67887058386666599</v>
      </c>
      <c r="F15" s="28">
        <v>1.357741167733332</v>
      </c>
      <c r="G15" s="28">
        <v>1.357741167733332</v>
      </c>
      <c r="H15" s="28">
        <v>1.018305875799999</v>
      </c>
      <c r="I15" s="28">
        <v>1.357741167733332</v>
      </c>
      <c r="J15" s="28">
        <v>1.018305875799999</v>
      </c>
      <c r="K15" s="28">
        <v>1.357741167733332</v>
      </c>
      <c r="L15" s="28">
        <v>1.357741167733332</v>
      </c>
      <c r="M15" s="28">
        <v>1.357741167733332</v>
      </c>
      <c r="N15" s="28">
        <v>1.357741167733332</v>
      </c>
      <c r="O15" s="28">
        <v>0.67887058386666599</v>
      </c>
      <c r="P15" s="28">
        <v>1.018305875799999</v>
      </c>
      <c r="Q15" s="28">
        <v>0.50915293789999949</v>
      </c>
      <c r="R15" s="28">
        <v>1.357741167733332</v>
      </c>
      <c r="S15" s="28">
        <v>1.357741167733332</v>
      </c>
      <c r="T15" s="28">
        <v>0.67887058386666599</v>
      </c>
      <c r="U15" s="28">
        <v>1.357741167733332</v>
      </c>
      <c r="V15" s="28">
        <v>1.357741167733332</v>
      </c>
      <c r="W15" s="28">
        <v>1.357741167733332</v>
      </c>
      <c r="X15" s="28">
        <v>1.018305875799999</v>
      </c>
      <c r="Y15" s="28">
        <v>1.188023521766665</v>
      </c>
      <c r="Z15" s="28">
        <v>0.84858822983333249</v>
      </c>
      <c r="AA15" s="28">
        <v>0.50915293789999949</v>
      </c>
      <c r="AB15" s="28">
        <v>0.50915293789999949</v>
      </c>
      <c r="AC15" s="28">
        <v>0.67887058386666599</v>
      </c>
      <c r="AD15" s="28">
        <v>0.50915293789999949</v>
      </c>
      <c r="AE15" s="28">
        <v>1.357741167733332</v>
      </c>
      <c r="AF15" s="28">
        <v>0.84858822983333249</v>
      </c>
      <c r="AG15" s="28">
        <v>1.357741167733332</v>
      </c>
      <c r="AH15" s="28">
        <v>0.50915293789999949</v>
      </c>
      <c r="AI15" s="28">
        <v>1.357741167733332</v>
      </c>
      <c r="AJ15" s="28">
        <v>1.357741167733332</v>
      </c>
      <c r="AK15" s="28">
        <v>1.018305875799999</v>
      </c>
      <c r="AL15" s="28">
        <v>0.67887058386666599</v>
      </c>
      <c r="AM15" s="28">
        <v>1.357741167733332</v>
      </c>
      <c r="AN15" s="28">
        <v>1.357741167733332</v>
      </c>
      <c r="AO15" s="28">
        <v>1.357741167733332</v>
      </c>
      <c r="AP15" s="28">
        <v>1.357741167733332</v>
      </c>
      <c r="AQ15" s="28">
        <v>0.84858822983333249</v>
      </c>
      <c r="AR15" s="28">
        <v>0.67887058386666599</v>
      </c>
      <c r="AS15" s="28">
        <v>1.357741167733332</v>
      </c>
      <c r="AT15" s="28">
        <v>1.018305875799999</v>
      </c>
      <c r="AU15" s="28">
        <v>0.67887058386666599</v>
      </c>
      <c r="AV15" s="28">
        <v>1.357741167733332</v>
      </c>
      <c r="AW15" s="28">
        <v>1.357741167733332</v>
      </c>
      <c r="AX15" s="28">
        <v>1.018305875799999</v>
      </c>
      <c r="AY15" s="28">
        <v>1.018305875799999</v>
      </c>
      <c r="AZ15" s="28">
        <v>0.84858822983333249</v>
      </c>
      <c r="BA15" s="28">
        <v>1.188023521766665</v>
      </c>
      <c r="BB15" s="28">
        <v>1.018305875799999</v>
      </c>
      <c r="BC15" s="28">
        <v>1.357741167733332</v>
      </c>
      <c r="BD15" s="28">
        <v>1.188023521766665</v>
      </c>
      <c r="BE15" s="28">
        <v>1.188023521766665</v>
      </c>
      <c r="BF15" s="28">
        <v>1.357741167733332</v>
      </c>
      <c r="BG15" s="28">
        <v>1.188023521766665</v>
      </c>
      <c r="BH15" s="28">
        <v>1.357741167733332</v>
      </c>
      <c r="BI15" s="28">
        <v>0.84858822983333249</v>
      </c>
      <c r="BJ15" s="28">
        <v>0.67887058386666599</v>
      </c>
      <c r="BK15" s="28">
        <v>1.018305875799999</v>
      </c>
      <c r="BL15" s="28">
        <v>0.50915293789999949</v>
      </c>
      <c r="BM15" s="28">
        <v>1.357741167733332</v>
      </c>
      <c r="BN15" s="28">
        <v>1.018305875799999</v>
      </c>
      <c r="BO15" s="28">
        <v>0.84858822983333249</v>
      </c>
      <c r="BP15" s="28">
        <v>1.357741167733332</v>
      </c>
      <c r="BQ15" s="28">
        <v>1.188023521766665</v>
      </c>
      <c r="BR15" s="28">
        <v>1.357741167733332</v>
      </c>
      <c r="BS15" s="28">
        <v>1.357741167733332</v>
      </c>
      <c r="BT15" s="28">
        <v>0.84858822983333249</v>
      </c>
      <c r="BU15" s="28">
        <v>1.357741167733332</v>
      </c>
      <c r="BV15" s="28">
        <v>0.67887058386666599</v>
      </c>
      <c r="BW15" s="28">
        <v>0.67887058386666599</v>
      </c>
      <c r="BX15" s="28">
        <v>1.018305875799999</v>
      </c>
      <c r="BY15" s="28">
        <v>1.188023521766665</v>
      </c>
      <c r="BZ15" s="28">
        <v>1.018305875799999</v>
      </c>
      <c r="CA15" s="28">
        <v>1.188023521766665</v>
      </c>
      <c r="CB15" s="28">
        <v>0.84858822983333249</v>
      </c>
      <c r="CC15" s="28">
        <v>1.357741167733332</v>
      </c>
      <c r="CD15" s="28">
        <v>1.357741167733332</v>
      </c>
      <c r="CE15" s="28">
        <v>0.84858822983333249</v>
      </c>
      <c r="CF15" s="28">
        <v>0.67887058386666599</v>
      </c>
      <c r="CG15" s="28">
        <v>1.188023521766665</v>
      </c>
      <c r="CH15" s="28">
        <v>0.84858822983333249</v>
      </c>
      <c r="CI15" s="28">
        <v>0.67887058386666599</v>
      </c>
      <c r="CJ15" s="28">
        <v>0.67887058386666599</v>
      </c>
      <c r="CK15" s="28">
        <v>1.188023521766665</v>
      </c>
      <c r="CL15" s="28">
        <v>1.188023521766665</v>
      </c>
      <c r="CM15" s="28">
        <v>0.50915293789999949</v>
      </c>
      <c r="CN15" s="28">
        <v>0.50915293789999949</v>
      </c>
      <c r="CO15" s="28">
        <v>1.188023521766665</v>
      </c>
      <c r="CP15" s="28">
        <v>0.50915293789999949</v>
      </c>
      <c r="CQ15" s="28">
        <v>1.357741167733332</v>
      </c>
      <c r="CR15" s="28">
        <v>1.018305875799999</v>
      </c>
      <c r="CS15" s="28">
        <v>0.67887058386666599</v>
      </c>
      <c r="CT15" s="28">
        <v>1.0486764019203501</v>
      </c>
      <c r="CU15" s="34">
        <v>99.62425818243328</v>
      </c>
    </row>
    <row r="16" spans="1:99" x14ac:dyDescent="0.25">
      <c r="A16" s="24">
        <v>15</v>
      </c>
      <c r="B16" s="26">
        <v>7</v>
      </c>
      <c r="C16" s="28">
        <v>1.2494695911</v>
      </c>
      <c r="D16" s="28">
        <v>1.6659594548000001</v>
      </c>
      <c r="E16" s="28">
        <v>0.83297972740000004</v>
      </c>
      <c r="F16" s="28">
        <v>1.6659594548000001</v>
      </c>
      <c r="G16" s="28">
        <v>1.6659594548000001</v>
      </c>
      <c r="H16" s="28">
        <v>1.2494695911</v>
      </c>
      <c r="I16" s="28">
        <v>1.6659594548000001</v>
      </c>
      <c r="J16" s="28">
        <v>1.2494695911</v>
      </c>
      <c r="K16" s="28">
        <v>1.6659594548000001</v>
      </c>
      <c r="L16" s="28">
        <v>1.6659594548000001</v>
      </c>
      <c r="M16" s="28">
        <v>1.6659594548000001</v>
      </c>
      <c r="N16" s="28">
        <v>1.6659594548000001</v>
      </c>
      <c r="O16" s="28">
        <v>0.83297972740000004</v>
      </c>
      <c r="P16" s="28">
        <v>1.2494695911</v>
      </c>
      <c r="Q16" s="28">
        <v>0.62473479555</v>
      </c>
      <c r="R16" s="28">
        <v>1.6659594548000001</v>
      </c>
      <c r="S16" s="28">
        <v>1.6659594548000001</v>
      </c>
      <c r="T16" s="28">
        <v>0.83297972740000004</v>
      </c>
      <c r="U16" s="28">
        <v>1.6659594548000001</v>
      </c>
      <c r="V16" s="28">
        <v>1.6659594548000001</v>
      </c>
      <c r="W16" s="28">
        <v>1.6659594548000001</v>
      </c>
      <c r="X16" s="28">
        <v>1.2494695911</v>
      </c>
      <c r="Y16" s="28">
        <v>1.4577145229499999</v>
      </c>
      <c r="Z16" s="28">
        <v>1.0412246592500001</v>
      </c>
      <c r="AA16" s="28">
        <v>0.62473479555</v>
      </c>
      <c r="AB16" s="28">
        <v>0.62473479555</v>
      </c>
      <c r="AC16" s="28">
        <v>0.83297972740000004</v>
      </c>
      <c r="AD16" s="28">
        <v>0.62473479555</v>
      </c>
      <c r="AE16" s="28">
        <v>1.6659594548000001</v>
      </c>
      <c r="AF16" s="28">
        <v>1.0412246592500001</v>
      </c>
      <c r="AG16" s="28">
        <v>1.6659594548000001</v>
      </c>
      <c r="AH16" s="28">
        <v>0.62473479555</v>
      </c>
      <c r="AI16" s="28">
        <v>1.6659594548000001</v>
      </c>
      <c r="AJ16" s="28">
        <v>1.6659594548000001</v>
      </c>
      <c r="AK16" s="28">
        <v>1.2494695911</v>
      </c>
      <c r="AL16" s="28">
        <v>0.83297972740000004</v>
      </c>
      <c r="AM16" s="28">
        <v>1.6659594548000001</v>
      </c>
      <c r="AN16" s="28">
        <v>1.6659594548000001</v>
      </c>
      <c r="AO16" s="28">
        <v>1.6659594548000001</v>
      </c>
      <c r="AP16" s="28">
        <v>1.6659594548000001</v>
      </c>
      <c r="AQ16" s="28">
        <v>1.0412246592500001</v>
      </c>
      <c r="AR16" s="28">
        <v>0.83297972740000004</v>
      </c>
      <c r="AS16" s="28">
        <v>1.6659594548000001</v>
      </c>
      <c r="AT16" s="28">
        <v>1.2494695911</v>
      </c>
      <c r="AU16" s="28">
        <v>0.83297972740000004</v>
      </c>
      <c r="AV16" s="28">
        <v>1.6659594548000001</v>
      </c>
      <c r="AW16" s="28">
        <v>1.6659594548000001</v>
      </c>
      <c r="AX16" s="28">
        <v>1.2494695911</v>
      </c>
      <c r="AY16" s="28">
        <v>1.2494695911</v>
      </c>
      <c r="AZ16" s="28">
        <v>1.0412246592500001</v>
      </c>
      <c r="BA16" s="28">
        <v>1.4577145229499999</v>
      </c>
      <c r="BB16" s="28">
        <v>1.2494695911</v>
      </c>
      <c r="BC16" s="28">
        <v>1.6659594548000001</v>
      </c>
      <c r="BD16" s="28">
        <v>1.4577145229499999</v>
      </c>
      <c r="BE16" s="28">
        <v>1.4577145229499999</v>
      </c>
      <c r="BF16" s="28">
        <v>1.6659594548000001</v>
      </c>
      <c r="BG16" s="28">
        <v>1.4577145229499999</v>
      </c>
      <c r="BH16" s="28">
        <v>1.6659594548000001</v>
      </c>
      <c r="BI16" s="28">
        <v>1.0412246592500001</v>
      </c>
      <c r="BJ16" s="28">
        <v>0.83297972740000004</v>
      </c>
      <c r="BK16" s="28">
        <v>1.2494695911</v>
      </c>
      <c r="BL16" s="28">
        <v>0.62473479555</v>
      </c>
      <c r="BM16" s="28">
        <v>1.6659594548000001</v>
      </c>
      <c r="BN16" s="28">
        <v>1.2494695911</v>
      </c>
      <c r="BO16" s="28">
        <v>1.0412246592500001</v>
      </c>
      <c r="BP16" s="28">
        <v>1.6659594548000001</v>
      </c>
      <c r="BQ16" s="28">
        <v>1.4577145229499999</v>
      </c>
      <c r="BR16" s="28">
        <v>1.6659594548000001</v>
      </c>
      <c r="BS16" s="28">
        <v>1.6659594548000001</v>
      </c>
      <c r="BT16" s="28">
        <v>1.0412246592500001</v>
      </c>
      <c r="BU16" s="28">
        <v>1.6659594548000001</v>
      </c>
      <c r="BV16" s="28">
        <v>0.83297972740000004</v>
      </c>
      <c r="BW16" s="28">
        <v>0.83297972740000004</v>
      </c>
      <c r="BX16" s="28">
        <v>1.2494695911</v>
      </c>
      <c r="BY16" s="28">
        <v>1.4577145229499999</v>
      </c>
      <c r="BZ16" s="28">
        <v>1.2494695911</v>
      </c>
      <c r="CA16" s="28">
        <v>1.4577145229499999</v>
      </c>
      <c r="CB16" s="28">
        <v>1.0412246592500001</v>
      </c>
      <c r="CC16" s="28">
        <v>1.6659594548000001</v>
      </c>
      <c r="CD16" s="28">
        <v>1.6659594548000001</v>
      </c>
      <c r="CE16" s="28">
        <v>1.0412246592500001</v>
      </c>
      <c r="CF16" s="28">
        <v>0.83297972740000004</v>
      </c>
      <c r="CG16" s="28">
        <v>1.4577145229499999</v>
      </c>
      <c r="CH16" s="28">
        <v>1.0412246592500001</v>
      </c>
      <c r="CI16" s="28">
        <v>0.83297972740000004</v>
      </c>
      <c r="CJ16" s="28">
        <v>0.83297972740000004</v>
      </c>
      <c r="CK16" s="28">
        <v>1.4577145229499999</v>
      </c>
      <c r="CL16" s="28">
        <v>1.4577145229499999</v>
      </c>
      <c r="CM16" s="28">
        <v>0.62473479555</v>
      </c>
      <c r="CN16" s="28">
        <v>0.62473479555</v>
      </c>
      <c r="CO16" s="28">
        <v>1.4577145229499999</v>
      </c>
      <c r="CP16" s="28">
        <v>0.62473479555</v>
      </c>
      <c r="CQ16" s="28">
        <v>1.6659594548000001</v>
      </c>
      <c r="CR16" s="28">
        <v>1.2494695911</v>
      </c>
      <c r="CS16" s="28">
        <v>0.83297972740000004</v>
      </c>
      <c r="CT16" s="28">
        <v>1.28673447364158</v>
      </c>
      <c r="CU16" s="34">
        <v>122.2397749959501</v>
      </c>
    </row>
    <row r="17" spans="1:99" x14ac:dyDescent="0.25">
      <c r="A17" s="24">
        <v>16</v>
      </c>
      <c r="B17" s="26">
        <v>7.5</v>
      </c>
      <c r="C17" s="28">
        <v>1.4809695675000001</v>
      </c>
      <c r="D17" s="28">
        <v>1.9746260899999999</v>
      </c>
      <c r="E17" s="28">
        <v>0.98731304499999994</v>
      </c>
      <c r="F17" s="28">
        <v>1.9746260899999999</v>
      </c>
      <c r="G17" s="28">
        <v>1.9746260899999999</v>
      </c>
      <c r="H17" s="28">
        <v>1.4809695675000001</v>
      </c>
      <c r="I17" s="28">
        <v>1.9746260899999999</v>
      </c>
      <c r="J17" s="28">
        <v>1.4809695675000001</v>
      </c>
      <c r="K17" s="28">
        <v>1.9746260899999999</v>
      </c>
      <c r="L17" s="28">
        <v>1.9746260899999999</v>
      </c>
      <c r="M17" s="28">
        <v>1.9746260899999999</v>
      </c>
      <c r="N17" s="28">
        <v>1.9746260899999999</v>
      </c>
      <c r="O17" s="28">
        <v>0.98731304499999994</v>
      </c>
      <c r="P17" s="28">
        <v>1.4809695675000001</v>
      </c>
      <c r="Q17" s="28">
        <v>0.74048478374999993</v>
      </c>
      <c r="R17" s="28">
        <v>1.9746260899999999</v>
      </c>
      <c r="S17" s="28">
        <v>1.9746260899999999</v>
      </c>
      <c r="T17" s="28">
        <v>0.98731304499999994</v>
      </c>
      <c r="U17" s="28">
        <v>1.9746260899999999</v>
      </c>
      <c r="V17" s="28">
        <v>1.9746260899999999</v>
      </c>
      <c r="W17" s="28">
        <v>1.9746260899999999</v>
      </c>
      <c r="X17" s="28">
        <v>1.4809695675000001</v>
      </c>
      <c r="Y17" s="28">
        <v>1.72779782875</v>
      </c>
      <c r="Z17" s="28">
        <v>1.23414130625</v>
      </c>
      <c r="AA17" s="28">
        <v>0.74048478374999993</v>
      </c>
      <c r="AB17" s="28">
        <v>0.74048478374999993</v>
      </c>
      <c r="AC17" s="28">
        <v>0.98731304499999994</v>
      </c>
      <c r="AD17" s="28">
        <v>0.74048478374999993</v>
      </c>
      <c r="AE17" s="28">
        <v>1.9746260899999999</v>
      </c>
      <c r="AF17" s="28">
        <v>1.23414130625</v>
      </c>
      <c r="AG17" s="28">
        <v>1.9746260899999999</v>
      </c>
      <c r="AH17" s="28">
        <v>0.74048478374999993</v>
      </c>
      <c r="AI17" s="28">
        <v>1.9746260899999999</v>
      </c>
      <c r="AJ17" s="28">
        <v>1.9746260899999999</v>
      </c>
      <c r="AK17" s="28">
        <v>1.4809695675000001</v>
      </c>
      <c r="AL17" s="28">
        <v>0.98731304499999994</v>
      </c>
      <c r="AM17" s="28">
        <v>1.9746260899999999</v>
      </c>
      <c r="AN17" s="28">
        <v>1.9746260899999999</v>
      </c>
      <c r="AO17" s="28">
        <v>1.9746260899999999</v>
      </c>
      <c r="AP17" s="28">
        <v>1.9746260899999999</v>
      </c>
      <c r="AQ17" s="28">
        <v>1.23414130625</v>
      </c>
      <c r="AR17" s="28">
        <v>0.98731304499999994</v>
      </c>
      <c r="AS17" s="28">
        <v>1.9746260899999999</v>
      </c>
      <c r="AT17" s="28">
        <v>1.4809695675000001</v>
      </c>
      <c r="AU17" s="28">
        <v>0.98731304499999994</v>
      </c>
      <c r="AV17" s="28">
        <v>1.9746260899999999</v>
      </c>
      <c r="AW17" s="28">
        <v>1.9746260899999999</v>
      </c>
      <c r="AX17" s="28">
        <v>1.4809695675000001</v>
      </c>
      <c r="AY17" s="28">
        <v>1.4809695675000001</v>
      </c>
      <c r="AZ17" s="28">
        <v>1.23414130625</v>
      </c>
      <c r="BA17" s="28">
        <v>1.72779782875</v>
      </c>
      <c r="BB17" s="28">
        <v>1.4809695675000001</v>
      </c>
      <c r="BC17" s="28">
        <v>1.9746260899999999</v>
      </c>
      <c r="BD17" s="28">
        <v>1.72779782875</v>
      </c>
      <c r="BE17" s="28">
        <v>1.72779782875</v>
      </c>
      <c r="BF17" s="28">
        <v>1.9746260899999999</v>
      </c>
      <c r="BG17" s="28">
        <v>1.72779782875</v>
      </c>
      <c r="BH17" s="28">
        <v>1.9746260899999999</v>
      </c>
      <c r="BI17" s="28">
        <v>1.23414130625</v>
      </c>
      <c r="BJ17" s="28">
        <v>0.98731304499999994</v>
      </c>
      <c r="BK17" s="28">
        <v>1.4809695675000001</v>
      </c>
      <c r="BL17" s="28">
        <v>0.74048478374999993</v>
      </c>
      <c r="BM17" s="28">
        <v>1.9746260899999999</v>
      </c>
      <c r="BN17" s="28">
        <v>1.4809695675000001</v>
      </c>
      <c r="BO17" s="28">
        <v>1.23414130625</v>
      </c>
      <c r="BP17" s="28">
        <v>1.9746260899999999</v>
      </c>
      <c r="BQ17" s="28">
        <v>1.72779782875</v>
      </c>
      <c r="BR17" s="28">
        <v>1.9746260899999999</v>
      </c>
      <c r="BS17" s="28">
        <v>1.9746260899999999</v>
      </c>
      <c r="BT17" s="28">
        <v>1.23414130625</v>
      </c>
      <c r="BU17" s="28">
        <v>1.9746260899999999</v>
      </c>
      <c r="BV17" s="28">
        <v>0.98731304499999994</v>
      </c>
      <c r="BW17" s="28">
        <v>0.98731304499999994</v>
      </c>
      <c r="BX17" s="28">
        <v>1.4809695675000001</v>
      </c>
      <c r="BY17" s="28">
        <v>1.72779782875</v>
      </c>
      <c r="BZ17" s="28">
        <v>1.4809695675000001</v>
      </c>
      <c r="CA17" s="28">
        <v>1.72779782875</v>
      </c>
      <c r="CB17" s="28">
        <v>1.23414130625</v>
      </c>
      <c r="CC17" s="28">
        <v>1.9746260899999999</v>
      </c>
      <c r="CD17" s="28">
        <v>1.9746260899999999</v>
      </c>
      <c r="CE17" s="28">
        <v>1.23414130625</v>
      </c>
      <c r="CF17" s="28">
        <v>0.98731304499999994</v>
      </c>
      <c r="CG17" s="28">
        <v>1.72779782875</v>
      </c>
      <c r="CH17" s="28">
        <v>1.23414130625</v>
      </c>
      <c r="CI17" s="28">
        <v>0.98731304499999994</v>
      </c>
      <c r="CJ17" s="28">
        <v>0.98731304499999994</v>
      </c>
      <c r="CK17" s="28">
        <v>1.72779782875</v>
      </c>
      <c r="CL17" s="28">
        <v>1.72779782875</v>
      </c>
      <c r="CM17" s="28">
        <v>0.74048478374999993</v>
      </c>
      <c r="CN17" s="28">
        <v>0.74048478374999993</v>
      </c>
      <c r="CO17" s="28">
        <v>1.72779782875</v>
      </c>
      <c r="CP17" s="28">
        <v>0.74048478374999993</v>
      </c>
      <c r="CQ17" s="28">
        <v>1.9746260899999999</v>
      </c>
      <c r="CR17" s="28">
        <v>1.4809695675000001</v>
      </c>
      <c r="CS17" s="28">
        <v>0.98731304499999994</v>
      </c>
      <c r="CT17" s="28">
        <v>1.5251388353026309</v>
      </c>
      <c r="CU17" s="34">
        <v>144.88818935374991</v>
      </c>
    </row>
    <row r="18" spans="1:99" x14ac:dyDescent="0.25">
      <c r="A18" s="24">
        <v>17</v>
      </c>
      <c r="B18" s="26">
        <v>8</v>
      </c>
      <c r="C18" s="28">
        <v>1.698247048700001</v>
      </c>
      <c r="D18" s="28">
        <v>2.2643293982666681</v>
      </c>
      <c r="E18" s="28">
        <v>1.1321646991333341</v>
      </c>
      <c r="F18" s="28">
        <v>2.2643293982666681</v>
      </c>
      <c r="G18" s="28">
        <v>2.2643293982666681</v>
      </c>
      <c r="H18" s="28">
        <v>1.698247048700001</v>
      </c>
      <c r="I18" s="28">
        <v>2.2643293982666681</v>
      </c>
      <c r="J18" s="28">
        <v>1.698247048700001</v>
      </c>
      <c r="K18" s="28">
        <v>2.2643293982666681</v>
      </c>
      <c r="L18" s="28">
        <v>2.2643293982666681</v>
      </c>
      <c r="M18" s="28">
        <v>2.2643293982666681</v>
      </c>
      <c r="N18" s="28">
        <v>2.2643293982666681</v>
      </c>
      <c r="O18" s="28">
        <v>1.1321646991333341</v>
      </c>
      <c r="P18" s="28">
        <v>1.698247048700001</v>
      </c>
      <c r="Q18" s="28">
        <v>0.8491235243500006</v>
      </c>
      <c r="R18" s="28">
        <v>2.2643293982666681</v>
      </c>
      <c r="S18" s="28">
        <v>2.2643293982666681</v>
      </c>
      <c r="T18" s="28">
        <v>1.1321646991333341</v>
      </c>
      <c r="U18" s="28">
        <v>2.2643293982666681</v>
      </c>
      <c r="V18" s="28">
        <v>2.2643293982666681</v>
      </c>
      <c r="W18" s="28">
        <v>2.2643293982666681</v>
      </c>
      <c r="X18" s="28">
        <v>1.698247048700001</v>
      </c>
      <c r="Y18" s="28">
        <v>1.9812882234833351</v>
      </c>
      <c r="Z18" s="28">
        <v>1.415205873916668</v>
      </c>
      <c r="AA18" s="28">
        <v>0.8491235243500006</v>
      </c>
      <c r="AB18" s="28">
        <v>0.8491235243500006</v>
      </c>
      <c r="AC18" s="28">
        <v>1.1321646991333341</v>
      </c>
      <c r="AD18" s="28">
        <v>0.8491235243500006</v>
      </c>
      <c r="AE18" s="28">
        <v>2.2643293982666681</v>
      </c>
      <c r="AF18" s="28">
        <v>1.415205873916668</v>
      </c>
      <c r="AG18" s="28">
        <v>2.2643293982666681</v>
      </c>
      <c r="AH18" s="28">
        <v>0.8491235243500006</v>
      </c>
      <c r="AI18" s="28">
        <v>2.2643293982666681</v>
      </c>
      <c r="AJ18" s="28">
        <v>2.2643293982666681</v>
      </c>
      <c r="AK18" s="28">
        <v>1.698247048700001</v>
      </c>
      <c r="AL18" s="28">
        <v>1.1321646991333341</v>
      </c>
      <c r="AM18" s="28">
        <v>2.2643293982666681</v>
      </c>
      <c r="AN18" s="28">
        <v>2.2643293982666681</v>
      </c>
      <c r="AO18" s="28">
        <v>2.2643293982666681</v>
      </c>
      <c r="AP18" s="28">
        <v>2.2643293982666681</v>
      </c>
      <c r="AQ18" s="28">
        <v>1.415205873916668</v>
      </c>
      <c r="AR18" s="28">
        <v>1.1321646991333341</v>
      </c>
      <c r="AS18" s="28">
        <v>2.2643293982666681</v>
      </c>
      <c r="AT18" s="28">
        <v>1.698247048700001</v>
      </c>
      <c r="AU18" s="28">
        <v>1.1321646991333341</v>
      </c>
      <c r="AV18" s="28">
        <v>2.2643293982666681</v>
      </c>
      <c r="AW18" s="28">
        <v>2.2643293982666681</v>
      </c>
      <c r="AX18" s="28">
        <v>1.698247048700001</v>
      </c>
      <c r="AY18" s="28">
        <v>1.698247048700001</v>
      </c>
      <c r="AZ18" s="28">
        <v>1.415205873916668</v>
      </c>
      <c r="BA18" s="28">
        <v>1.9812882234833351</v>
      </c>
      <c r="BB18" s="28">
        <v>1.698247048700001</v>
      </c>
      <c r="BC18" s="28">
        <v>2.2643293982666681</v>
      </c>
      <c r="BD18" s="28">
        <v>1.9812882234833351</v>
      </c>
      <c r="BE18" s="28">
        <v>1.9812882234833351</v>
      </c>
      <c r="BF18" s="28">
        <v>2.2643293982666681</v>
      </c>
      <c r="BG18" s="28">
        <v>1.9812882234833351</v>
      </c>
      <c r="BH18" s="28">
        <v>2.2643293982666681</v>
      </c>
      <c r="BI18" s="28">
        <v>1.415205873916668</v>
      </c>
      <c r="BJ18" s="28">
        <v>1.1321646991333341</v>
      </c>
      <c r="BK18" s="28">
        <v>1.698247048700001</v>
      </c>
      <c r="BL18" s="28">
        <v>0.8491235243500006</v>
      </c>
      <c r="BM18" s="28">
        <v>2.2643293982666681</v>
      </c>
      <c r="BN18" s="28">
        <v>1.698247048700001</v>
      </c>
      <c r="BO18" s="28">
        <v>1.415205873916668</v>
      </c>
      <c r="BP18" s="28">
        <v>2.2643293982666681</v>
      </c>
      <c r="BQ18" s="28">
        <v>1.9812882234833351</v>
      </c>
      <c r="BR18" s="28">
        <v>2.2643293982666681</v>
      </c>
      <c r="BS18" s="28">
        <v>2.2643293982666681</v>
      </c>
      <c r="BT18" s="28">
        <v>1.415205873916668</v>
      </c>
      <c r="BU18" s="28">
        <v>2.2643293982666681</v>
      </c>
      <c r="BV18" s="28">
        <v>1.1321646991333341</v>
      </c>
      <c r="BW18" s="28">
        <v>1.1321646991333341</v>
      </c>
      <c r="BX18" s="28">
        <v>1.698247048700001</v>
      </c>
      <c r="BY18" s="28">
        <v>1.9812882234833351</v>
      </c>
      <c r="BZ18" s="28">
        <v>1.698247048700001</v>
      </c>
      <c r="CA18" s="28">
        <v>1.9812882234833351</v>
      </c>
      <c r="CB18" s="28">
        <v>1.415205873916668</v>
      </c>
      <c r="CC18" s="28">
        <v>2.2643293982666681</v>
      </c>
      <c r="CD18" s="28">
        <v>2.2643293982666681</v>
      </c>
      <c r="CE18" s="28">
        <v>1.415205873916668</v>
      </c>
      <c r="CF18" s="28">
        <v>1.1321646991333341</v>
      </c>
      <c r="CG18" s="28">
        <v>1.9812882234833351</v>
      </c>
      <c r="CH18" s="28">
        <v>1.415205873916668</v>
      </c>
      <c r="CI18" s="28">
        <v>1.1321646991333341</v>
      </c>
      <c r="CJ18" s="28">
        <v>1.1321646991333341</v>
      </c>
      <c r="CK18" s="28">
        <v>1.9812882234833351</v>
      </c>
      <c r="CL18" s="28">
        <v>1.9812882234833351</v>
      </c>
      <c r="CM18" s="28">
        <v>0.8491235243500006</v>
      </c>
      <c r="CN18" s="28">
        <v>0.8491235243500006</v>
      </c>
      <c r="CO18" s="28">
        <v>1.9812882234833351</v>
      </c>
      <c r="CP18" s="28">
        <v>0.8491235243500006</v>
      </c>
      <c r="CQ18" s="28">
        <v>2.2643293982666681</v>
      </c>
      <c r="CR18" s="28">
        <v>1.698247048700001</v>
      </c>
      <c r="CS18" s="28">
        <v>1.1321646991333341</v>
      </c>
      <c r="CT18" s="28">
        <v>1.7488965220822841</v>
      </c>
      <c r="CU18" s="34">
        <v>166.14516959781699</v>
      </c>
    </row>
    <row r="19" spans="1:99" x14ac:dyDescent="0.25">
      <c r="A19" s="24">
        <v>18</v>
      </c>
      <c r="B19" s="26">
        <v>8.5</v>
      </c>
      <c r="C19" s="28">
        <v>1.9024882002000001</v>
      </c>
      <c r="D19" s="28">
        <v>2.5366509335999998</v>
      </c>
      <c r="E19" s="28">
        <v>1.2683254667999999</v>
      </c>
      <c r="F19" s="28">
        <v>2.5366509335999998</v>
      </c>
      <c r="G19" s="28">
        <v>2.5366509335999998</v>
      </c>
      <c r="H19" s="28">
        <v>1.9024882002000001</v>
      </c>
      <c r="I19" s="28">
        <v>2.5366509335999998</v>
      </c>
      <c r="J19" s="28">
        <v>1.9024882002000001</v>
      </c>
      <c r="K19" s="28">
        <v>2.5366509335999998</v>
      </c>
      <c r="L19" s="28">
        <v>2.5366509335999998</v>
      </c>
      <c r="M19" s="28">
        <v>2.5366509335999998</v>
      </c>
      <c r="N19" s="28">
        <v>2.5366509335999998</v>
      </c>
      <c r="O19" s="28">
        <v>1.2683254667999999</v>
      </c>
      <c r="P19" s="28">
        <v>1.9024882002000001</v>
      </c>
      <c r="Q19" s="28">
        <v>0.95124410009999993</v>
      </c>
      <c r="R19" s="28">
        <v>2.5366509335999998</v>
      </c>
      <c r="S19" s="28">
        <v>2.5366509335999998</v>
      </c>
      <c r="T19" s="28">
        <v>1.2683254667999999</v>
      </c>
      <c r="U19" s="28">
        <v>2.5366509335999998</v>
      </c>
      <c r="V19" s="28">
        <v>2.5366509335999998</v>
      </c>
      <c r="W19" s="28">
        <v>2.5366509335999998</v>
      </c>
      <c r="X19" s="28">
        <v>1.9024882002000001</v>
      </c>
      <c r="Y19" s="28">
        <v>2.2195695669000002</v>
      </c>
      <c r="Z19" s="28">
        <v>1.5854068335</v>
      </c>
      <c r="AA19" s="28">
        <v>0.95124410009999993</v>
      </c>
      <c r="AB19" s="28">
        <v>0.95124410009999993</v>
      </c>
      <c r="AC19" s="28">
        <v>1.2683254667999999</v>
      </c>
      <c r="AD19" s="28">
        <v>0.95124410009999993</v>
      </c>
      <c r="AE19" s="28">
        <v>2.5366509335999998</v>
      </c>
      <c r="AF19" s="28">
        <v>1.5854068335</v>
      </c>
      <c r="AG19" s="28">
        <v>2.5366509335999998</v>
      </c>
      <c r="AH19" s="28">
        <v>0.95124410009999993</v>
      </c>
      <c r="AI19" s="28">
        <v>2.5366509335999998</v>
      </c>
      <c r="AJ19" s="28">
        <v>2.5366509335999998</v>
      </c>
      <c r="AK19" s="28">
        <v>1.9024882002000001</v>
      </c>
      <c r="AL19" s="28">
        <v>1.2683254667999999</v>
      </c>
      <c r="AM19" s="28">
        <v>2.5366509335999998</v>
      </c>
      <c r="AN19" s="28">
        <v>2.5366509335999998</v>
      </c>
      <c r="AO19" s="28">
        <v>2.5366509335999998</v>
      </c>
      <c r="AP19" s="28">
        <v>2.5366509335999998</v>
      </c>
      <c r="AQ19" s="28">
        <v>1.5854068335</v>
      </c>
      <c r="AR19" s="28">
        <v>1.2683254667999999</v>
      </c>
      <c r="AS19" s="28">
        <v>2.5366509335999998</v>
      </c>
      <c r="AT19" s="28">
        <v>1.9024882002000001</v>
      </c>
      <c r="AU19" s="28">
        <v>1.2683254667999999</v>
      </c>
      <c r="AV19" s="28">
        <v>2.5366509335999998</v>
      </c>
      <c r="AW19" s="28">
        <v>2.5366509335999998</v>
      </c>
      <c r="AX19" s="28">
        <v>1.9024882002000001</v>
      </c>
      <c r="AY19" s="28">
        <v>1.9024882002000001</v>
      </c>
      <c r="AZ19" s="28">
        <v>1.5854068335</v>
      </c>
      <c r="BA19" s="28">
        <v>2.2195695669000002</v>
      </c>
      <c r="BB19" s="28">
        <v>1.9024882002000001</v>
      </c>
      <c r="BC19" s="28">
        <v>2.5366509335999998</v>
      </c>
      <c r="BD19" s="28">
        <v>2.2195695669000002</v>
      </c>
      <c r="BE19" s="28">
        <v>2.2195695669000002</v>
      </c>
      <c r="BF19" s="28">
        <v>2.5366509335999998</v>
      </c>
      <c r="BG19" s="28">
        <v>2.2195695669000002</v>
      </c>
      <c r="BH19" s="28">
        <v>2.5366509335999998</v>
      </c>
      <c r="BI19" s="28">
        <v>1.5854068335</v>
      </c>
      <c r="BJ19" s="28">
        <v>1.2683254667999999</v>
      </c>
      <c r="BK19" s="28">
        <v>1.9024882002000001</v>
      </c>
      <c r="BL19" s="28">
        <v>0.95124410009999993</v>
      </c>
      <c r="BM19" s="28">
        <v>2.5366509335999998</v>
      </c>
      <c r="BN19" s="28">
        <v>1.9024882002000001</v>
      </c>
      <c r="BO19" s="28">
        <v>1.5854068335</v>
      </c>
      <c r="BP19" s="28">
        <v>2.5366509335999998</v>
      </c>
      <c r="BQ19" s="28">
        <v>2.2195695669000002</v>
      </c>
      <c r="BR19" s="28">
        <v>2.5366509335999998</v>
      </c>
      <c r="BS19" s="28">
        <v>2.5366509335999998</v>
      </c>
      <c r="BT19" s="28">
        <v>1.5854068335</v>
      </c>
      <c r="BU19" s="28">
        <v>2.5366509335999998</v>
      </c>
      <c r="BV19" s="28">
        <v>1.2683254667999999</v>
      </c>
      <c r="BW19" s="28">
        <v>1.2683254667999999</v>
      </c>
      <c r="BX19" s="28">
        <v>1.9024882002000001</v>
      </c>
      <c r="BY19" s="28">
        <v>2.2195695669000002</v>
      </c>
      <c r="BZ19" s="28">
        <v>1.9024882002000001</v>
      </c>
      <c r="CA19" s="28">
        <v>2.2195695669000002</v>
      </c>
      <c r="CB19" s="28">
        <v>1.5854068335</v>
      </c>
      <c r="CC19" s="28">
        <v>2.5366509335999998</v>
      </c>
      <c r="CD19" s="28">
        <v>2.5366509335999998</v>
      </c>
      <c r="CE19" s="28">
        <v>1.5854068335</v>
      </c>
      <c r="CF19" s="28">
        <v>1.2683254667999999</v>
      </c>
      <c r="CG19" s="28">
        <v>2.2195695669000002</v>
      </c>
      <c r="CH19" s="28">
        <v>1.5854068335</v>
      </c>
      <c r="CI19" s="28">
        <v>1.2683254667999999</v>
      </c>
      <c r="CJ19" s="28">
        <v>1.2683254667999999</v>
      </c>
      <c r="CK19" s="28">
        <v>2.2195695669000002</v>
      </c>
      <c r="CL19" s="28">
        <v>2.2195695669000002</v>
      </c>
      <c r="CM19" s="28">
        <v>0.95124410009999993</v>
      </c>
      <c r="CN19" s="28">
        <v>0.95124410009999993</v>
      </c>
      <c r="CO19" s="28">
        <v>2.2195695669000002</v>
      </c>
      <c r="CP19" s="28">
        <v>0.95124410009999993</v>
      </c>
      <c r="CQ19" s="28">
        <v>2.5366509335999998</v>
      </c>
      <c r="CR19" s="28">
        <v>1.9024882002000001</v>
      </c>
      <c r="CS19" s="28">
        <v>1.2683254667999999</v>
      </c>
      <c r="CT19" s="28">
        <v>1.9592290763463149</v>
      </c>
      <c r="CU19" s="34">
        <v>186.12676225289991</v>
      </c>
    </row>
    <row r="20" spans="1:99" x14ac:dyDescent="0.25">
      <c r="A20" s="24">
        <v>19</v>
      </c>
      <c r="B20" s="26">
        <v>9</v>
      </c>
      <c r="C20" s="28">
        <v>2.0764315220000009</v>
      </c>
      <c r="D20" s="28">
        <v>2.768575362666668</v>
      </c>
      <c r="E20" s="28">
        <v>1.384287681333334</v>
      </c>
      <c r="F20" s="28">
        <v>2.768575362666668</v>
      </c>
      <c r="G20" s="28">
        <v>2.768575362666668</v>
      </c>
      <c r="H20" s="28">
        <v>2.0764315220000009</v>
      </c>
      <c r="I20" s="28">
        <v>2.768575362666668</v>
      </c>
      <c r="J20" s="28">
        <v>2.0764315220000009</v>
      </c>
      <c r="K20" s="28">
        <v>2.768575362666668</v>
      </c>
      <c r="L20" s="28">
        <v>2.768575362666668</v>
      </c>
      <c r="M20" s="28">
        <v>2.768575362666668</v>
      </c>
      <c r="N20" s="28">
        <v>2.768575362666668</v>
      </c>
      <c r="O20" s="28">
        <v>1.384287681333334</v>
      </c>
      <c r="P20" s="28">
        <v>2.0764315220000009</v>
      </c>
      <c r="Q20" s="28">
        <v>1.038215761</v>
      </c>
      <c r="R20" s="28">
        <v>2.768575362666668</v>
      </c>
      <c r="S20" s="28">
        <v>2.768575362666668</v>
      </c>
      <c r="T20" s="28">
        <v>1.384287681333334</v>
      </c>
      <c r="U20" s="28">
        <v>2.768575362666668</v>
      </c>
      <c r="V20" s="28">
        <v>2.768575362666668</v>
      </c>
      <c r="W20" s="28">
        <v>2.768575362666668</v>
      </c>
      <c r="X20" s="28">
        <v>2.0764315220000009</v>
      </c>
      <c r="Y20" s="28">
        <v>2.4225034423333351</v>
      </c>
      <c r="Z20" s="28">
        <v>1.730359601666668</v>
      </c>
      <c r="AA20" s="28">
        <v>1.038215761</v>
      </c>
      <c r="AB20" s="28">
        <v>1.038215761</v>
      </c>
      <c r="AC20" s="28">
        <v>1.384287681333334</v>
      </c>
      <c r="AD20" s="28">
        <v>1.038215761</v>
      </c>
      <c r="AE20" s="28">
        <v>2.768575362666668</v>
      </c>
      <c r="AF20" s="28">
        <v>1.730359601666668</v>
      </c>
      <c r="AG20" s="28">
        <v>2.768575362666668</v>
      </c>
      <c r="AH20" s="28">
        <v>1.038215761</v>
      </c>
      <c r="AI20" s="28">
        <v>2.768575362666668</v>
      </c>
      <c r="AJ20" s="28">
        <v>2.768575362666668</v>
      </c>
      <c r="AK20" s="28">
        <v>2.0764315220000009</v>
      </c>
      <c r="AL20" s="28">
        <v>1.384287681333334</v>
      </c>
      <c r="AM20" s="28">
        <v>2.768575362666668</v>
      </c>
      <c r="AN20" s="28">
        <v>2.768575362666668</v>
      </c>
      <c r="AO20" s="28">
        <v>2.768575362666668</v>
      </c>
      <c r="AP20" s="28">
        <v>2.768575362666668</v>
      </c>
      <c r="AQ20" s="28">
        <v>1.730359601666668</v>
      </c>
      <c r="AR20" s="28">
        <v>1.384287681333334</v>
      </c>
      <c r="AS20" s="28">
        <v>2.768575362666668</v>
      </c>
      <c r="AT20" s="28">
        <v>2.0764315220000009</v>
      </c>
      <c r="AU20" s="28">
        <v>1.384287681333334</v>
      </c>
      <c r="AV20" s="28">
        <v>2.768575362666668</v>
      </c>
      <c r="AW20" s="28">
        <v>2.768575362666668</v>
      </c>
      <c r="AX20" s="28">
        <v>2.0764315220000009</v>
      </c>
      <c r="AY20" s="28">
        <v>2.0764315220000009</v>
      </c>
      <c r="AZ20" s="28">
        <v>1.730359601666668</v>
      </c>
      <c r="BA20" s="28">
        <v>2.4225034423333351</v>
      </c>
      <c r="BB20" s="28">
        <v>2.0764315220000009</v>
      </c>
      <c r="BC20" s="28">
        <v>2.768575362666668</v>
      </c>
      <c r="BD20" s="28">
        <v>2.4225034423333351</v>
      </c>
      <c r="BE20" s="28">
        <v>2.4225034423333351</v>
      </c>
      <c r="BF20" s="28">
        <v>2.768575362666668</v>
      </c>
      <c r="BG20" s="28">
        <v>2.4225034423333351</v>
      </c>
      <c r="BH20" s="28">
        <v>2.768575362666668</v>
      </c>
      <c r="BI20" s="28">
        <v>1.730359601666668</v>
      </c>
      <c r="BJ20" s="28">
        <v>1.384287681333334</v>
      </c>
      <c r="BK20" s="28">
        <v>2.0764315220000009</v>
      </c>
      <c r="BL20" s="28">
        <v>1.038215761</v>
      </c>
      <c r="BM20" s="28">
        <v>2.768575362666668</v>
      </c>
      <c r="BN20" s="28">
        <v>2.0764315220000009</v>
      </c>
      <c r="BO20" s="28">
        <v>1.730359601666668</v>
      </c>
      <c r="BP20" s="28">
        <v>2.768575362666668</v>
      </c>
      <c r="BQ20" s="28">
        <v>2.4225034423333351</v>
      </c>
      <c r="BR20" s="28">
        <v>2.768575362666668</v>
      </c>
      <c r="BS20" s="28">
        <v>2.768575362666668</v>
      </c>
      <c r="BT20" s="28">
        <v>1.730359601666668</v>
      </c>
      <c r="BU20" s="28">
        <v>2.768575362666668</v>
      </c>
      <c r="BV20" s="28">
        <v>1.384287681333334</v>
      </c>
      <c r="BW20" s="28">
        <v>1.384287681333334</v>
      </c>
      <c r="BX20" s="28">
        <v>2.0764315220000009</v>
      </c>
      <c r="BY20" s="28">
        <v>2.4225034423333351</v>
      </c>
      <c r="BZ20" s="28">
        <v>2.0764315220000009</v>
      </c>
      <c r="CA20" s="28">
        <v>2.4225034423333351</v>
      </c>
      <c r="CB20" s="28">
        <v>1.730359601666668</v>
      </c>
      <c r="CC20" s="28">
        <v>2.768575362666668</v>
      </c>
      <c r="CD20" s="28">
        <v>2.768575362666668</v>
      </c>
      <c r="CE20" s="28">
        <v>1.730359601666668</v>
      </c>
      <c r="CF20" s="28">
        <v>1.384287681333334</v>
      </c>
      <c r="CG20" s="28">
        <v>2.4225034423333351</v>
      </c>
      <c r="CH20" s="28">
        <v>1.730359601666668</v>
      </c>
      <c r="CI20" s="28">
        <v>1.384287681333334</v>
      </c>
      <c r="CJ20" s="28">
        <v>1.384287681333334</v>
      </c>
      <c r="CK20" s="28">
        <v>2.4225034423333351</v>
      </c>
      <c r="CL20" s="28">
        <v>2.4225034423333351</v>
      </c>
      <c r="CM20" s="28">
        <v>1.038215761</v>
      </c>
      <c r="CN20" s="28">
        <v>1.038215761</v>
      </c>
      <c r="CO20" s="28">
        <v>2.4225034423333351</v>
      </c>
      <c r="CP20" s="28">
        <v>1.038215761</v>
      </c>
      <c r="CQ20" s="28">
        <v>2.768575362666668</v>
      </c>
      <c r="CR20" s="28">
        <v>2.0764315220000009</v>
      </c>
      <c r="CS20" s="28">
        <v>1.384287681333334</v>
      </c>
      <c r="CT20" s="28">
        <v>2.1383601814280708</v>
      </c>
      <c r="CU20" s="34">
        <v>203.14421723566679</v>
      </c>
    </row>
    <row r="21" spans="1:99" x14ac:dyDescent="0.25">
      <c r="A21" s="24">
        <v>20</v>
      </c>
      <c r="B21" s="26">
        <v>9.5</v>
      </c>
      <c r="C21" s="28">
        <v>2.2247875545999989</v>
      </c>
      <c r="D21" s="28">
        <v>2.9663834061333318</v>
      </c>
      <c r="E21" s="28">
        <v>1.4831917030666659</v>
      </c>
      <c r="F21" s="28">
        <v>2.9663834061333318</v>
      </c>
      <c r="G21" s="28">
        <v>2.9663834061333318</v>
      </c>
      <c r="H21" s="28">
        <v>2.2247875545999989</v>
      </c>
      <c r="I21" s="28">
        <v>2.9663834061333318</v>
      </c>
      <c r="J21" s="28">
        <v>2.2247875545999989</v>
      </c>
      <c r="K21" s="28">
        <v>2.9663834061333318</v>
      </c>
      <c r="L21" s="28">
        <v>2.9663834061333318</v>
      </c>
      <c r="M21" s="28">
        <v>2.9663834061333318</v>
      </c>
      <c r="N21" s="28">
        <v>2.9663834061333318</v>
      </c>
      <c r="O21" s="28">
        <v>1.4831917030666659</v>
      </c>
      <c r="P21" s="28">
        <v>2.2247875545999989</v>
      </c>
      <c r="Q21" s="28">
        <v>1.112393777299999</v>
      </c>
      <c r="R21" s="28">
        <v>2.9663834061333318</v>
      </c>
      <c r="S21" s="28">
        <v>2.9663834061333318</v>
      </c>
      <c r="T21" s="28">
        <v>1.4831917030666659</v>
      </c>
      <c r="U21" s="28">
        <v>2.9663834061333318</v>
      </c>
      <c r="V21" s="28">
        <v>2.9663834061333318</v>
      </c>
      <c r="W21" s="28">
        <v>2.9663834061333318</v>
      </c>
      <c r="X21" s="28">
        <v>2.2247875545999989</v>
      </c>
      <c r="Y21" s="28">
        <v>2.5955854803666649</v>
      </c>
      <c r="Z21" s="28">
        <v>1.853989628833332</v>
      </c>
      <c r="AA21" s="28">
        <v>1.112393777299999</v>
      </c>
      <c r="AB21" s="28">
        <v>1.112393777299999</v>
      </c>
      <c r="AC21" s="28">
        <v>1.4831917030666659</v>
      </c>
      <c r="AD21" s="28">
        <v>1.112393777299999</v>
      </c>
      <c r="AE21" s="28">
        <v>2.9663834061333318</v>
      </c>
      <c r="AF21" s="28">
        <v>1.853989628833332</v>
      </c>
      <c r="AG21" s="28">
        <v>2.9663834061333318</v>
      </c>
      <c r="AH21" s="28">
        <v>1.112393777299999</v>
      </c>
      <c r="AI21" s="28">
        <v>2.9663834061333318</v>
      </c>
      <c r="AJ21" s="28">
        <v>2.9663834061333318</v>
      </c>
      <c r="AK21" s="28">
        <v>2.2247875545999989</v>
      </c>
      <c r="AL21" s="28">
        <v>1.4831917030666659</v>
      </c>
      <c r="AM21" s="28">
        <v>2.9663834061333318</v>
      </c>
      <c r="AN21" s="28">
        <v>2.9663834061333318</v>
      </c>
      <c r="AO21" s="28">
        <v>2.9663834061333318</v>
      </c>
      <c r="AP21" s="28">
        <v>2.9663834061333318</v>
      </c>
      <c r="AQ21" s="28">
        <v>1.853989628833332</v>
      </c>
      <c r="AR21" s="28">
        <v>1.4831917030666659</v>
      </c>
      <c r="AS21" s="28">
        <v>2.9663834061333318</v>
      </c>
      <c r="AT21" s="28">
        <v>2.2247875545999989</v>
      </c>
      <c r="AU21" s="28">
        <v>1.4831917030666659</v>
      </c>
      <c r="AV21" s="28">
        <v>2.9663834061333318</v>
      </c>
      <c r="AW21" s="28">
        <v>2.9663834061333318</v>
      </c>
      <c r="AX21" s="28">
        <v>2.2247875545999989</v>
      </c>
      <c r="AY21" s="28">
        <v>2.2247875545999989</v>
      </c>
      <c r="AZ21" s="28">
        <v>1.853989628833332</v>
      </c>
      <c r="BA21" s="28">
        <v>2.5955854803666649</v>
      </c>
      <c r="BB21" s="28">
        <v>2.2247875545999989</v>
      </c>
      <c r="BC21" s="28">
        <v>2.9663834061333318</v>
      </c>
      <c r="BD21" s="28">
        <v>2.5955854803666649</v>
      </c>
      <c r="BE21" s="28">
        <v>2.5955854803666649</v>
      </c>
      <c r="BF21" s="28">
        <v>2.9663834061333318</v>
      </c>
      <c r="BG21" s="28">
        <v>2.5955854803666649</v>
      </c>
      <c r="BH21" s="28">
        <v>2.9663834061333318</v>
      </c>
      <c r="BI21" s="28">
        <v>1.853989628833332</v>
      </c>
      <c r="BJ21" s="28">
        <v>1.4831917030666659</v>
      </c>
      <c r="BK21" s="28">
        <v>2.2247875545999989</v>
      </c>
      <c r="BL21" s="28">
        <v>1.112393777299999</v>
      </c>
      <c r="BM21" s="28">
        <v>2.9663834061333318</v>
      </c>
      <c r="BN21" s="28">
        <v>2.2247875545999989</v>
      </c>
      <c r="BO21" s="28">
        <v>1.853989628833332</v>
      </c>
      <c r="BP21" s="28">
        <v>2.9663834061333318</v>
      </c>
      <c r="BQ21" s="28">
        <v>2.5955854803666649</v>
      </c>
      <c r="BR21" s="28">
        <v>2.9663834061333318</v>
      </c>
      <c r="BS21" s="28">
        <v>2.9663834061333318</v>
      </c>
      <c r="BT21" s="28">
        <v>1.853989628833332</v>
      </c>
      <c r="BU21" s="28">
        <v>2.9663834061333318</v>
      </c>
      <c r="BV21" s="28">
        <v>1.4831917030666659</v>
      </c>
      <c r="BW21" s="28">
        <v>1.4831917030666659</v>
      </c>
      <c r="BX21" s="28">
        <v>2.2247875545999989</v>
      </c>
      <c r="BY21" s="28">
        <v>2.5955854803666649</v>
      </c>
      <c r="BZ21" s="28">
        <v>2.2247875545999989</v>
      </c>
      <c r="CA21" s="28">
        <v>2.5955854803666649</v>
      </c>
      <c r="CB21" s="28">
        <v>1.853989628833332</v>
      </c>
      <c r="CC21" s="28">
        <v>2.9663834061333318</v>
      </c>
      <c r="CD21" s="28">
        <v>2.9663834061333318</v>
      </c>
      <c r="CE21" s="28">
        <v>1.853989628833332</v>
      </c>
      <c r="CF21" s="28">
        <v>1.4831917030666659</v>
      </c>
      <c r="CG21" s="28">
        <v>2.5955854803666649</v>
      </c>
      <c r="CH21" s="28">
        <v>1.853989628833332</v>
      </c>
      <c r="CI21" s="28">
        <v>1.4831917030666659</v>
      </c>
      <c r="CJ21" s="28">
        <v>1.4831917030666659</v>
      </c>
      <c r="CK21" s="28">
        <v>2.5955854803666649</v>
      </c>
      <c r="CL21" s="28">
        <v>2.5955854803666649</v>
      </c>
      <c r="CM21" s="28">
        <v>1.112393777299999</v>
      </c>
      <c r="CN21" s="28">
        <v>1.112393777299999</v>
      </c>
      <c r="CO21" s="28">
        <v>2.5955854803666649</v>
      </c>
      <c r="CP21" s="28">
        <v>1.112393777299999</v>
      </c>
      <c r="CQ21" s="28">
        <v>2.9663834061333318</v>
      </c>
      <c r="CR21" s="28">
        <v>2.2247875545999989</v>
      </c>
      <c r="CS21" s="28">
        <v>1.4831917030666659</v>
      </c>
      <c r="CT21" s="28">
        <v>2.2911408676319258</v>
      </c>
      <c r="CU21" s="34">
        <v>217.65838242503301</v>
      </c>
    </row>
    <row r="22" spans="1:99" x14ac:dyDescent="0.25">
      <c r="A22" s="24">
        <v>21</v>
      </c>
      <c r="B22" s="26">
        <v>10</v>
      </c>
      <c r="C22" s="28">
        <v>2.3550067073000012</v>
      </c>
      <c r="D22" s="28">
        <v>3.1400089430666678</v>
      </c>
      <c r="E22" s="28">
        <v>1.5700044715333339</v>
      </c>
      <c r="F22" s="28">
        <v>3.1400089430666678</v>
      </c>
      <c r="G22" s="28">
        <v>3.1400089430666678</v>
      </c>
      <c r="H22" s="28">
        <v>2.3550067073000012</v>
      </c>
      <c r="I22" s="28">
        <v>3.1400089430666678</v>
      </c>
      <c r="J22" s="28">
        <v>2.3550067073000012</v>
      </c>
      <c r="K22" s="28">
        <v>3.1400089430666678</v>
      </c>
      <c r="L22" s="28">
        <v>3.1400089430666678</v>
      </c>
      <c r="M22" s="28">
        <v>3.1400089430666678</v>
      </c>
      <c r="N22" s="28">
        <v>3.1400089430666678</v>
      </c>
      <c r="O22" s="28">
        <v>1.5700044715333339</v>
      </c>
      <c r="P22" s="28">
        <v>2.3550067073000012</v>
      </c>
      <c r="Q22" s="28">
        <v>1.1775033536499999</v>
      </c>
      <c r="R22" s="28">
        <v>3.1400089430666678</v>
      </c>
      <c r="S22" s="28">
        <v>3.1400089430666678</v>
      </c>
      <c r="T22" s="28">
        <v>1.5700044715333339</v>
      </c>
      <c r="U22" s="28">
        <v>3.1400089430666678</v>
      </c>
      <c r="V22" s="28">
        <v>3.1400089430666678</v>
      </c>
      <c r="W22" s="28">
        <v>3.1400089430666678</v>
      </c>
      <c r="X22" s="28">
        <v>2.3550067073000012</v>
      </c>
      <c r="Y22" s="28">
        <v>2.7475078251833338</v>
      </c>
      <c r="Z22" s="28">
        <v>1.962505589416667</v>
      </c>
      <c r="AA22" s="28">
        <v>1.1775033536499999</v>
      </c>
      <c r="AB22" s="28">
        <v>1.1775033536499999</v>
      </c>
      <c r="AC22" s="28">
        <v>1.5700044715333339</v>
      </c>
      <c r="AD22" s="28">
        <v>1.1775033536499999</v>
      </c>
      <c r="AE22" s="28">
        <v>3.1400089430666678</v>
      </c>
      <c r="AF22" s="28">
        <v>1.962505589416667</v>
      </c>
      <c r="AG22" s="28">
        <v>3.1400089430666678</v>
      </c>
      <c r="AH22" s="28">
        <v>1.1775033536499999</v>
      </c>
      <c r="AI22" s="28">
        <v>3.1400089430666678</v>
      </c>
      <c r="AJ22" s="28">
        <v>3.1400089430666678</v>
      </c>
      <c r="AK22" s="28">
        <v>2.3550067073000012</v>
      </c>
      <c r="AL22" s="28">
        <v>1.5700044715333339</v>
      </c>
      <c r="AM22" s="28">
        <v>3.1400089430666678</v>
      </c>
      <c r="AN22" s="28">
        <v>3.1400089430666678</v>
      </c>
      <c r="AO22" s="28">
        <v>3.1400089430666678</v>
      </c>
      <c r="AP22" s="28">
        <v>3.1400089430666678</v>
      </c>
      <c r="AQ22" s="28">
        <v>1.962505589416667</v>
      </c>
      <c r="AR22" s="28">
        <v>1.5700044715333339</v>
      </c>
      <c r="AS22" s="28">
        <v>3.1400089430666678</v>
      </c>
      <c r="AT22" s="28">
        <v>2.3550067073000012</v>
      </c>
      <c r="AU22" s="28">
        <v>1.5700044715333339</v>
      </c>
      <c r="AV22" s="28">
        <v>3.1400089430666678</v>
      </c>
      <c r="AW22" s="28">
        <v>3.1400089430666678</v>
      </c>
      <c r="AX22" s="28">
        <v>2.3550067073000012</v>
      </c>
      <c r="AY22" s="28">
        <v>2.3550067073000012</v>
      </c>
      <c r="AZ22" s="28">
        <v>1.962505589416667</v>
      </c>
      <c r="BA22" s="28">
        <v>2.7475078251833338</v>
      </c>
      <c r="BB22" s="28">
        <v>2.3550067073000012</v>
      </c>
      <c r="BC22" s="28">
        <v>3.1400089430666678</v>
      </c>
      <c r="BD22" s="28">
        <v>2.7475078251833338</v>
      </c>
      <c r="BE22" s="28">
        <v>2.7475078251833338</v>
      </c>
      <c r="BF22" s="28">
        <v>3.1400089430666678</v>
      </c>
      <c r="BG22" s="28">
        <v>2.7475078251833338</v>
      </c>
      <c r="BH22" s="28">
        <v>3.1400089430666678</v>
      </c>
      <c r="BI22" s="28">
        <v>1.962505589416667</v>
      </c>
      <c r="BJ22" s="28">
        <v>1.5700044715333339</v>
      </c>
      <c r="BK22" s="28">
        <v>2.3550067073000012</v>
      </c>
      <c r="BL22" s="28">
        <v>1.1775033536499999</v>
      </c>
      <c r="BM22" s="28">
        <v>3.1400089430666678</v>
      </c>
      <c r="BN22" s="28">
        <v>2.3550067073000012</v>
      </c>
      <c r="BO22" s="28">
        <v>1.962505589416667</v>
      </c>
      <c r="BP22" s="28">
        <v>3.1400089430666678</v>
      </c>
      <c r="BQ22" s="28">
        <v>2.7475078251833338</v>
      </c>
      <c r="BR22" s="28">
        <v>3.1400089430666678</v>
      </c>
      <c r="BS22" s="28">
        <v>3.1400089430666678</v>
      </c>
      <c r="BT22" s="28">
        <v>1.962505589416667</v>
      </c>
      <c r="BU22" s="28">
        <v>3.1400089430666678</v>
      </c>
      <c r="BV22" s="28">
        <v>1.5700044715333339</v>
      </c>
      <c r="BW22" s="28">
        <v>1.5700044715333339</v>
      </c>
      <c r="BX22" s="28">
        <v>2.3550067073000012</v>
      </c>
      <c r="BY22" s="28">
        <v>2.7475078251833338</v>
      </c>
      <c r="BZ22" s="28">
        <v>2.3550067073000012</v>
      </c>
      <c r="CA22" s="28">
        <v>2.7475078251833338</v>
      </c>
      <c r="CB22" s="28">
        <v>1.962505589416667</v>
      </c>
      <c r="CC22" s="28">
        <v>3.1400089430666678</v>
      </c>
      <c r="CD22" s="28">
        <v>3.1400089430666678</v>
      </c>
      <c r="CE22" s="28">
        <v>1.962505589416667</v>
      </c>
      <c r="CF22" s="28">
        <v>1.5700044715333339</v>
      </c>
      <c r="CG22" s="28">
        <v>2.7475078251833338</v>
      </c>
      <c r="CH22" s="28">
        <v>1.962505589416667</v>
      </c>
      <c r="CI22" s="28">
        <v>1.5700044715333339</v>
      </c>
      <c r="CJ22" s="28">
        <v>1.5700044715333339</v>
      </c>
      <c r="CK22" s="28">
        <v>2.7475078251833338</v>
      </c>
      <c r="CL22" s="28">
        <v>2.7475078251833338</v>
      </c>
      <c r="CM22" s="28">
        <v>1.1775033536499999</v>
      </c>
      <c r="CN22" s="28">
        <v>1.1775033536499999</v>
      </c>
      <c r="CO22" s="28">
        <v>2.7475078251833338</v>
      </c>
      <c r="CP22" s="28">
        <v>1.1775033536499999</v>
      </c>
      <c r="CQ22" s="28">
        <v>3.1400089430666678</v>
      </c>
      <c r="CR22" s="28">
        <v>2.3550067073000012</v>
      </c>
      <c r="CS22" s="28">
        <v>1.5700044715333339</v>
      </c>
      <c r="CT22" s="28">
        <v>2.4252437494475449</v>
      </c>
      <c r="CU22" s="34">
        <v>230.39815619751681</v>
      </c>
    </row>
    <row r="23" spans="1:99" x14ac:dyDescent="0.25">
      <c r="A23" s="24">
        <v>22</v>
      </c>
      <c r="B23" s="26">
        <v>10.5</v>
      </c>
      <c r="C23" s="28">
        <v>2.4624788408999998</v>
      </c>
      <c r="D23" s="28">
        <v>3.2833051212000002</v>
      </c>
      <c r="E23" s="28">
        <v>1.6416525606000001</v>
      </c>
      <c r="F23" s="28">
        <v>3.2833051212000002</v>
      </c>
      <c r="G23" s="28">
        <v>3.2833051212000002</v>
      </c>
      <c r="H23" s="28">
        <v>2.4624788408999998</v>
      </c>
      <c r="I23" s="28">
        <v>3.2833051212000002</v>
      </c>
      <c r="J23" s="28">
        <v>2.4624788408999998</v>
      </c>
      <c r="K23" s="28">
        <v>3.2833051212000002</v>
      </c>
      <c r="L23" s="28">
        <v>3.2833051212000002</v>
      </c>
      <c r="M23" s="28">
        <v>3.2833051212000002</v>
      </c>
      <c r="N23" s="28">
        <v>3.2833051212000002</v>
      </c>
      <c r="O23" s="28">
        <v>1.6416525606000001</v>
      </c>
      <c r="P23" s="28">
        <v>2.4624788408999998</v>
      </c>
      <c r="Q23" s="28">
        <v>1.2312394204499999</v>
      </c>
      <c r="R23" s="28">
        <v>3.2833051212000002</v>
      </c>
      <c r="S23" s="28">
        <v>3.2833051212000002</v>
      </c>
      <c r="T23" s="28">
        <v>1.6416525606000001</v>
      </c>
      <c r="U23" s="28">
        <v>3.2833051212000002</v>
      </c>
      <c r="V23" s="28">
        <v>3.2833051212000002</v>
      </c>
      <c r="W23" s="28">
        <v>3.2833051212000002</v>
      </c>
      <c r="X23" s="28">
        <v>2.4624788408999998</v>
      </c>
      <c r="Y23" s="28">
        <v>2.87289198105</v>
      </c>
      <c r="Z23" s="28">
        <v>2.0520657007500001</v>
      </c>
      <c r="AA23" s="28">
        <v>1.2312394204499999</v>
      </c>
      <c r="AB23" s="28">
        <v>1.2312394204499999</v>
      </c>
      <c r="AC23" s="28">
        <v>1.6416525606000001</v>
      </c>
      <c r="AD23" s="28">
        <v>1.2312394204499999</v>
      </c>
      <c r="AE23" s="28">
        <v>3.2833051212000002</v>
      </c>
      <c r="AF23" s="28">
        <v>2.0520657007500001</v>
      </c>
      <c r="AG23" s="28">
        <v>3.2833051212000002</v>
      </c>
      <c r="AH23" s="28">
        <v>1.2312394204499999</v>
      </c>
      <c r="AI23" s="28">
        <v>3.2833051212000002</v>
      </c>
      <c r="AJ23" s="28">
        <v>3.2833051212000002</v>
      </c>
      <c r="AK23" s="28">
        <v>2.4624788408999998</v>
      </c>
      <c r="AL23" s="28">
        <v>1.6416525606000001</v>
      </c>
      <c r="AM23" s="28">
        <v>3.2833051212000002</v>
      </c>
      <c r="AN23" s="28">
        <v>3.2833051212000002</v>
      </c>
      <c r="AO23" s="28">
        <v>3.2833051212000002</v>
      </c>
      <c r="AP23" s="28">
        <v>3.2833051212000002</v>
      </c>
      <c r="AQ23" s="28">
        <v>2.0520657007500001</v>
      </c>
      <c r="AR23" s="28">
        <v>1.6416525606000001</v>
      </c>
      <c r="AS23" s="28">
        <v>3.2833051212000002</v>
      </c>
      <c r="AT23" s="28">
        <v>2.4624788408999998</v>
      </c>
      <c r="AU23" s="28">
        <v>1.6416525606000001</v>
      </c>
      <c r="AV23" s="28">
        <v>3.2833051212000002</v>
      </c>
      <c r="AW23" s="28">
        <v>3.2833051212000002</v>
      </c>
      <c r="AX23" s="28">
        <v>2.4624788408999998</v>
      </c>
      <c r="AY23" s="28">
        <v>2.4624788408999998</v>
      </c>
      <c r="AZ23" s="28">
        <v>2.0520657007500001</v>
      </c>
      <c r="BA23" s="28">
        <v>2.87289198105</v>
      </c>
      <c r="BB23" s="28">
        <v>2.4624788408999998</v>
      </c>
      <c r="BC23" s="28">
        <v>3.2833051212000002</v>
      </c>
      <c r="BD23" s="28">
        <v>2.87289198105</v>
      </c>
      <c r="BE23" s="28">
        <v>2.87289198105</v>
      </c>
      <c r="BF23" s="28">
        <v>3.2833051212000002</v>
      </c>
      <c r="BG23" s="28">
        <v>2.87289198105</v>
      </c>
      <c r="BH23" s="28">
        <v>3.2833051212000002</v>
      </c>
      <c r="BI23" s="28">
        <v>2.0520657007500001</v>
      </c>
      <c r="BJ23" s="28">
        <v>1.6416525606000001</v>
      </c>
      <c r="BK23" s="28">
        <v>2.4624788408999998</v>
      </c>
      <c r="BL23" s="28">
        <v>1.2312394204499999</v>
      </c>
      <c r="BM23" s="28">
        <v>3.2833051212000002</v>
      </c>
      <c r="BN23" s="28">
        <v>2.4624788408999998</v>
      </c>
      <c r="BO23" s="28">
        <v>2.0520657007500001</v>
      </c>
      <c r="BP23" s="28">
        <v>3.2833051212000002</v>
      </c>
      <c r="BQ23" s="28">
        <v>2.87289198105</v>
      </c>
      <c r="BR23" s="28">
        <v>3.2833051212000002</v>
      </c>
      <c r="BS23" s="28">
        <v>3.2833051212000002</v>
      </c>
      <c r="BT23" s="28">
        <v>2.0520657007500001</v>
      </c>
      <c r="BU23" s="28">
        <v>3.2833051212000002</v>
      </c>
      <c r="BV23" s="28">
        <v>1.6416525606000001</v>
      </c>
      <c r="BW23" s="28">
        <v>1.6416525606000001</v>
      </c>
      <c r="BX23" s="28">
        <v>2.4624788408999998</v>
      </c>
      <c r="BY23" s="28">
        <v>2.87289198105</v>
      </c>
      <c r="BZ23" s="28">
        <v>2.4624788408999998</v>
      </c>
      <c r="CA23" s="28">
        <v>2.87289198105</v>
      </c>
      <c r="CB23" s="28">
        <v>2.0520657007500001</v>
      </c>
      <c r="CC23" s="28">
        <v>3.2833051212000002</v>
      </c>
      <c r="CD23" s="28">
        <v>3.2833051212000002</v>
      </c>
      <c r="CE23" s="28">
        <v>2.0520657007500001</v>
      </c>
      <c r="CF23" s="28">
        <v>1.6416525606000001</v>
      </c>
      <c r="CG23" s="28">
        <v>2.87289198105</v>
      </c>
      <c r="CH23" s="28">
        <v>2.0520657007500001</v>
      </c>
      <c r="CI23" s="28">
        <v>1.6416525606000001</v>
      </c>
      <c r="CJ23" s="28">
        <v>1.6416525606000001</v>
      </c>
      <c r="CK23" s="28">
        <v>2.87289198105</v>
      </c>
      <c r="CL23" s="28">
        <v>2.87289198105</v>
      </c>
      <c r="CM23" s="28">
        <v>1.2312394204499999</v>
      </c>
      <c r="CN23" s="28">
        <v>1.2312394204499999</v>
      </c>
      <c r="CO23" s="28">
        <v>2.87289198105</v>
      </c>
      <c r="CP23" s="28">
        <v>1.2312394204499999</v>
      </c>
      <c r="CQ23" s="28">
        <v>3.2833051212000002</v>
      </c>
      <c r="CR23" s="28">
        <v>2.4624788408999998</v>
      </c>
      <c r="CS23" s="28">
        <v>1.6416525606000001</v>
      </c>
      <c r="CT23" s="28">
        <v>2.535921192295262</v>
      </c>
      <c r="CU23" s="34">
        <v>240.91251326804991</v>
      </c>
    </row>
    <row r="24" spans="1:99" x14ac:dyDescent="0.25">
      <c r="A24" s="24">
        <v>23</v>
      </c>
      <c r="B24" s="26">
        <v>11</v>
      </c>
      <c r="C24" s="28">
        <v>2.5387334435000009</v>
      </c>
      <c r="D24" s="28">
        <v>3.3849779246666678</v>
      </c>
      <c r="E24" s="28">
        <v>1.6924889623333339</v>
      </c>
      <c r="F24" s="28">
        <v>3.3849779246666678</v>
      </c>
      <c r="G24" s="28">
        <v>3.3849779246666678</v>
      </c>
      <c r="H24" s="28">
        <v>2.5387334435000009</v>
      </c>
      <c r="I24" s="28">
        <v>3.3849779246666678</v>
      </c>
      <c r="J24" s="28">
        <v>2.5387334435000009</v>
      </c>
      <c r="K24" s="28">
        <v>3.3849779246666678</v>
      </c>
      <c r="L24" s="28">
        <v>3.3849779246666678</v>
      </c>
      <c r="M24" s="28">
        <v>3.3849779246666678</v>
      </c>
      <c r="N24" s="28">
        <v>3.3849779246666678</v>
      </c>
      <c r="O24" s="28">
        <v>1.6924889623333339</v>
      </c>
      <c r="P24" s="28">
        <v>2.5387334435000009</v>
      </c>
      <c r="Q24" s="28">
        <v>1.26936672175</v>
      </c>
      <c r="R24" s="28">
        <v>3.3849779246666678</v>
      </c>
      <c r="S24" s="28">
        <v>3.3849779246666678</v>
      </c>
      <c r="T24" s="28">
        <v>1.6924889623333339</v>
      </c>
      <c r="U24" s="28">
        <v>3.3849779246666678</v>
      </c>
      <c r="V24" s="28">
        <v>3.3849779246666678</v>
      </c>
      <c r="W24" s="28">
        <v>3.3849779246666678</v>
      </c>
      <c r="X24" s="28">
        <v>2.5387334435000009</v>
      </c>
      <c r="Y24" s="28">
        <v>2.9618556840833339</v>
      </c>
      <c r="Z24" s="28">
        <v>2.1156112029166669</v>
      </c>
      <c r="AA24" s="28">
        <v>1.26936672175</v>
      </c>
      <c r="AB24" s="28">
        <v>1.26936672175</v>
      </c>
      <c r="AC24" s="28">
        <v>1.6924889623333339</v>
      </c>
      <c r="AD24" s="28">
        <v>1.26936672175</v>
      </c>
      <c r="AE24" s="28">
        <v>3.3849779246666678</v>
      </c>
      <c r="AF24" s="28">
        <v>2.1156112029166669</v>
      </c>
      <c r="AG24" s="28">
        <v>3.3849779246666678</v>
      </c>
      <c r="AH24" s="28">
        <v>1.26936672175</v>
      </c>
      <c r="AI24" s="28">
        <v>3.3849779246666678</v>
      </c>
      <c r="AJ24" s="28">
        <v>3.3849779246666678</v>
      </c>
      <c r="AK24" s="28">
        <v>2.5387334435000009</v>
      </c>
      <c r="AL24" s="28">
        <v>1.6924889623333339</v>
      </c>
      <c r="AM24" s="28">
        <v>3.3849779246666678</v>
      </c>
      <c r="AN24" s="28">
        <v>3.3849779246666678</v>
      </c>
      <c r="AO24" s="28">
        <v>3.3849779246666678</v>
      </c>
      <c r="AP24" s="28">
        <v>3.3849779246666678</v>
      </c>
      <c r="AQ24" s="28">
        <v>2.1156112029166669</v>
      </c>
      <c r="AR24" s="28">
        <v>1.6924889623333339</v>
      </c>
      <c r="AS24" s="28">
        <v>3.3849779246666678</v>
      </c>
      <c r="AT24" s="28">
        <v>2.5387334435000009</v>
      </c>
      <c r="AU24" s="28">
        <v>1.6924889623333339</v>
      </c>
      <c r="AV24" s="28">
        <v>3.3849779246666678</v>
      </c>
      <c r="AW24" s="28">
        <v>3.3849779246666678</v>
      </c>
      <c r="AX24" s="28">
        <v>2.5387334435000009</v>
      </c>
      <c r="AY24" s="28">
        <v>2.5387334435000009</v>
      </c>
      <c r="AZ24" s="28">
        <v>2.1156112029166669</v>
      </c>
      <c r="BA24" s="28">
        <v>2.9618556840833339</v>
      </c>
      <c r="BB24" s="28">
        <v>2.5387334435000009</v>
      </c>
      <c r="BC24" s="28">
        <v>3.3849779246666678</v>
      </c>
      <c r="BD24" s="28">
        <v>2.9618556840833339</v>
      </c>
      <c r="BE24" s="28">
        <v>2.9618556840833339</v>
      </c>
      <c r="BF24" s="28">
        <v>3.3849779246666678</v>
      </c>
      <c r="BG24" s="28">
        <v>2.9618556840833339</v>
      </c>
      <c r="BH24" s="28">
        <v>3.3849779246666678</v>
      </c>
      <c r="BI24" s="28">
        <v>2.1156112029166669</v>
      </c>
      <c r="BJ24" s="28">
        <v>1.6924889623333339</v>
      </c>
      <c r="BK24" s="28">
        <v>2.5387334435000009</v>
      </c>
      <c r="BL24" s="28">
        <v>1.26936672175</v>
      </c>
      <c r="BM24" s="28">
        <v>3.3849779246666678</v>
      </c>
      <c r="BN24" s="28">
        <v>2.5387334435000009</v>
      </c>
      <c r="BO24" s="28">
        <v>2.1156112029166669</v>
      </c>
      <c r="BP24" s="28">
        <v>3.3849779246666678</v>
      </c>
      <c r="BQ24" s="28">
        <v>2.9618556840833339</v>
      </c>
      <c r="BR24" s="28">
        <v>3.3849779246666678</v>
      </c>
      <c r="BS24" s="28">
        <v>3.3849779246666678</v>
      </c>
      <c r="BT24" s="28">
        <v>2.1156112029166669</v>
      </c>
      <c r="BU24" s="28">
        <v>3.3849779246666678</v>
      </c>
      <c r="BV24" s="28">
        <v>1.6924889623333339</v>
      </c>
      <c r="BW24" s="28">
        <v>1.6924889623333339</v>
      </c>
      <c r="BX24" s="28">
        <v>2.5387334435000009</v>
      </c>
      <c r="BY24" s="28">
        <v>2.9618556840833339</v>
      </c>
      <c r="BZ24" s="28">
        <v>2.5387334435000009</v>
      </c>
      <c r="CA24" s="28">
        <v>2.9618556840833339</v>
      </c>
      <c r="CB24" s="28">
        <v>2.1156112029166669</v>
      </c>
      <c r="CC24" s="28">
        <v>3.3849779246666678</v>
      </c>
      <c r="CD24" s="28">
        <v>3.3849779246666678</v>
      </c>
      <c r="CE24" s="28">
        <v>2.1156112029166669</v>
      </c>
      <c r="CF24" s="28">
        <v>1.6924889623333339</v>
      </c>
      <c r="CG24" s="28">
        <v>2.9618556840833339</v>
      </c>
      <c r="CH24" s="28">
        <v>2.1156112029166669</v>
      </c>
      <c r="CI24" s="28">
        <v>1.6924889623333339</v>
      </c>
      <c r="CJ24" s="28">
        <v>1.6924889623333339</v>
      </c>
      <c r="CK24" s="28">
        <v>2.9618556840833339</v>
      </c>
      <c r="CL24" s="28">
        <v>2.9618556840833339</v>
      </c>
      <c r="CM24" s="28">
        <v>1.26936672175</v>
      </c>
      <c r="CN24" s="28">
        <v>1.26936672175</v>
      </c>
      <c r="CO24" s="28">
        <v>2.9618556840833339</v>
      </c>
      <c r="CP24" s="28">
        <v>1.26936672175</v>
      </c>
      <c r="CQ24" s="28">
        <v>3.3849779246666678</v>
      </c>
      <c r="CR24" s="28">
        <v>2.5387334435000009</v>
      </c>
      <c r="CS24" s="28">
        <v>1.6924889623333339</v>
      </c>
      <c r="CT24" s="28">
        <v>2.614450054972806</v>
      </c>
      <c r="CU24" s="34">
        <v>248.3727552224166</v>
      </c>
    </row>
    <row r="25" spans="1:99" x14ac:dyDescent="0.25">
      <c r="A25" s="24">
        <v>24</v>
      </c>
      <c r="B25" s="26">
        <v>11.5</v>
      </c>
      <c r="C25" s="28">
        <v>2.5721750316000001</v>
      </c>
      <c r="D25" s="28">
        <v>3.4295667087999999</v>
      </c>
      <c r="E25" s="28">
        <v>1.7147833544</v>
      </c>
      <c r="F25" s="28">
        <v>3.4295667087999999</v>
      </c>
      <c r="G25" s="28">
        <v>3.4295667087999999</v>
      </c>
      <c r="H25" s="28">
        <v>2.5721750316000001</v>
      </c>
      <c r="I25" s="28">
        <v>3.4295667087999999</v>
      </c>
      <c r="J25" s="28">
        <v>2.5721750316000001</v>
      </c>
      <c r="K25" s="28">
        <v>3.4295667087999999</v>
      </c>
      <c r="L25" s="28">
        <v>3.4295667087999999</v>
      </c>
      <c r="M25" s="28">
        <v>3.4295667087999999</v>
      </c>
      <c r="N25" s="28">
        <v>3.4295667087999999</v>
      </c>
      <c r="O25" s="28">
        <v>1.7147833544</v>
      </c>
      <c r="P25" s="28">
        <v>2.5721750316000001</v>
      </c>
      <c r="Q25" s="28">
        <v>1.2860875158</v>
      </c>
      <c r="R25" s="28">
        <v>3.4295667087999999</v>
      </c>
      <c r="S25" s="28">
        <v>3.4295667087999999</v>
      </c>
      <c r="T25" s="28">
        <v>1.7147833544</v>
      </c>
      <c r="U25" s="28">
        <v>3.4295667087999999</v>
      </c>
      <c r="V25" s="28">
        <v>3.4295667087999999</v>
      </c>
      <c r="W25" s="28">
        <v>3.4295667087999999</v>
      </c>
      <c r="X25" s="28">
        <v>2.5721750316000001</v>
      </c>
      <c r="Y25" s="28">
        <v>3.0008708702</v>
      </c>
      <c r="Z25" s="28">
        <v>2.1434791930000001</v>
      </c>
      <c r="AA25" s="28">
        <v>1.2860875158</v>
      </c>
      <c r="AB25" s="28">
        <v>1.2860875158</v>
      </c>
      <c r="AC25" s="28">
        <v>1.7147833544</v>
      </c>
      <c r="AD25" s="28">
        <v>1.2860875158</v>
      </c>
      <c r="AE25" s="28">
        <v>3.4295667087999999</v>
      </c>
      <c r="AF25" s="28">
        <v>2.1434791930000001</v>
      </c>
      <c r="AG25" s="28">
        <v>3.4295667087999999</v>
      </c>
      <c r="AH25" s="28">
        <v>1.2860875158</v>
      </c>
      <c r="AI25" s="28">
        <v>3.4295667087999999</v>
      </c>
      <c r="AJ25" s="28">
        <v>3.4295667087999999</v>
      </c>
      <c r="AK25" s="28">
        <v>2.5721750316000001</v>
      </c>
      <c r="AL25" s="28">
        <v>1.7147833544</v>
      </c>
      <c r="AM25" s="28">
        <v>3.4295667087999999</v>
      </c>
      <c r="AN25" s="28">
        <v>3.4295667087999999</v>
      </c>
      <c r="AO25" s="28">
        <v>3.4295667087999999</v>
      </c>
      <c r="AP25" s="28">
        <v>3.4295667087999999</v>
      </c>
      <c r="AQ25" s="28">
        <v>2.1434791930000001</v>
      </c>
      <c r="AR25" s="28">
        <v>1.7147833544</v>
      </c>
      <c r="AS25" s="28">
        <v>3.4295667087999999</v>
      </c>
      <c r="AT25" s="28">
        <v>2.5721750316000001</v>
      </c>
      <c r="AU25" s="28">
        <v>1.7147833544</v>
      </c>
      <c r="AV25" s="28">
        <v>3.4295667087999999</v>
      </c>
      <c r="AW25" s="28">
        <v>3.4295667087999999</v>
      </c>
      <c r="AX25" s="28">
        <v>2.5721750316000001</v>
      </c>
      <c r="AY25" s="28">
        <v>2.5721750316000001</v>
      </c>
      <c r="AZ25" s="28">
        <v>2.1434791930000001</v>
      </c>
      <c r="BA25" s="28">
        <v>3.0008708702</v>
      </c>
      <c r="BB25" s="28">
        <v>2.5721750316000001</v>
      </c>
      <c r="BC25" s="28">
        <v>3.4295667087999999</v>
      </c>
      <c r="BD25" s="28">
        <v>3.0008708702</v>
      </c>
      <c r="BE25" s="28">
        <v>3.0008708702</v>
      </c>
      <c r="BF25" s="28">
        <v>3.4295667087999999</v>
      </c>
      <c r="BG25" s="28">
        <v>3.0008708702</v>
      </c>
      <c r="BH25" s="28">
        <v>3.4295667087999999</v>
      </c>
      <c r="BI25" s="28">
        <v>2.1434791930000001</v>
      </c>
      <c r="BJ25" s="28">
        <v>1.7147833544</v>
      </c>
      <c r="BK25" s="28">
        <v>2.5721750316000001</v>
      </c>
      <c r="BL25" s="28">
        <v>1.2860875158</v>
      </c>
      <c r="BM25" s="28">
        <v>3.4295667087999999</v>
      </c>
      <c r="BN25" s="28">
        <v>2.5721750316000001</v>
      </c>
      <c r="BO25" s="28">
        <v>2.1434791930000001</v>
      </c>
      <c r="BP25" s="28">
        <v>3.4295667087999999</v>
      </c>
      <c r="BQ25" s="28">
        <v>3.0008708702</v>
      </c>
      <c r="BR25" s="28">
        <v>3.4295667087999999</v>
      </c>
      <c r="BS25" s="28">
        <v>3.4295667087999999</v>
      </c>
      <c r="BT25" s="28">
        <v>2.1434791930000001</v>
      </c>
      <c r="BU25" s="28">
        <v>3.4295667087999999</v>
      </c>
      <c r="BV25" s="28">
        <v>1.7147833544</v>
      </c>
      <c r="BW25" s="28">
        <v>1.7147833544</v>
      </c>
      <c r="BX25" s="28">
        <v>2.5721750316000001</v>
      </c>
      <c r="BY25" s="28">
        <v>3.0008708702</v>
      </c>
      <c r="BZ25" s="28">
        <v>2.5721750316000001</v>
      </c>
      <c r="CA25" s="28">
        <v>3.0008708702</v>
      </c>
      <c r="CB25" s="28">
        <v>2.1434791930000001</v>
      </c>
      <c r="CC25" s="28">
        <v>3.4295667087999999</v>
      </c>
      <c r="CD25" s="28">
        <v>3.4295667087999999</v>
      </c>
      <c r="CE25" s="28">
        <v>2.1434791930000001</v>
      </c>
      <c r="CF25" s="28">
        <v>1.7147833544</v>
      </c>
      <c r="CG25" s="28">
        <v>3.0008708702</v>
      </c>
      <c r="CH25" s="28">
        <v>2.1434791930000001</v>
      </c>
      <c r="CI25" s="28">
        <v>1.7147833544</v>
      </c>
      <c r="CJ25" s="28">
        <v>1.7147833544</v>
      </c>
      <c r="CK25" s="28">
        <v>3.0008708702</v>
      </c>
      <c r="CL25" s="28">
        <v>3.0008708702</v>
      </c>
      <c r="CM25" s="28">
        <v>1.2860875158</v>
      </c>
      <c r="CN25" s="28">
        <v>1.2860875158</v>
      </c>
      <c r="CO25" s="28">
        <v>3.0008708702</v>
      </c>
      <c r="CP25" s="28">
        <v>1.2860875158</v>
      </c>
      <c r="CQ25" s="28">
        <v>3.4295667087999999</v>
      </c>
      <c r="CR25" s="28">
        <v>2.5721750316000001</v>
      </c>
      <c r="CS25" s="28">
        <v>1.7147833544</v>
      </c>
      <c r="CT25" s="28">
        <v>2.648889023770526</v>
      </c>
      <c r="CU25" s="34">
        <v>251.64445725819999</v>
      </c>
    </row>
    <row r="26" spans="1:99" x14ac:dyDescent="0.25">
      <c r="A26" s="24">
        <v>25</v>
      </c>
      <c r="B26" s="26">
        <v>12</v>
      </c>
      <c r="C26" s="28">
        <v>2.581860996800001</v>
      </c>
      <c r="D26" s="28">
        <v>3.442481329066668</v>
      </c>
      <c r="E26" s="28">
        <v>1.721240664533334</v>
      </c>
      <c r="F26" s="28">
        <v>3.442481329066668</v>
      </c>
      <c r="G26" s="28">
        <v>3.442481329066668</v>
      </c>
      <c r="H26" s="28">
        <v>2.581860996800001</v>
      </c>
      <c r="I26" s="28">
        <v>3.442481329066668</v>
      </c>
      <c r="J26" s="28">
        <v>2.581860996800001</v>
      </c>
      <c r="K26" s="28">
        <v>3.442481329066668</v>
      </c>
      <c r="L26" s="28">
        <v>3.442481329066668</v>
      </c>
      <c r="M26" s="28">
        <v>3.442481329066668</v>
      </c>
      <c r="N26" s="28">
        <v>3.442481329066668</v>
      </c>
      <c r="O26" s="28">
        <v>1.721240664533334</v>
      </c>
      <c r="P26" s="28">
        <v>2.581860996800001</v>
      </c>
      <c r="Q26" s="28">
        <v>1.290930498400001</v>
      </c>
      <c r="R26" s="28">
        <v>3.442481329066668</v>
      </c>
      <c r="S26" s="28">
        <v>3.442481329066668</v>
      </c>
      <c r="T26" s="28">
        <v>1.721240664533334</v>
      </c>
      <c r="U26" s="28">
        <v>3.442481329066668</v>
      </c>
      <c r="V26" s="28">
        <v>3.442481329066668</v>
      </c>
      <c r="W26" s="28">
        <v>3.442481329066668</v>
      </c>
      <c r="X26" s="28">
        <v>2.581860996800001</v>
      </c>
      <c r="Y26" s="28">
        <v>3.0121711629333352</v>
      </c>
      <c r="Z26" s="28">
        <v>2.1515508306666669</v>
      </c>
      <c r="AA26" s="28">
        <v>1.290930498400001</v>
      </c>
      <c r="AB26" s="28">
        <v>1.290930498400001</v>
      </c>
      <c r="AC26" s="28">
        <v>1.721240664533334</v>
      </c>
      <c r="AD26" s="28">
        <v>1.290930498400001</v>
      </c>
      <c r="AE26" s="28">
        <v>3.442481329066668</v>
      </c>
      <c r="AF26" s="28">
        <v>2.1515508306666669</v>
      </c>
      <c r="AG26" s="28">
        <v>3.442481329066668</v>
      </c>
      <c r="AH26" s="28">
        <v>1.290930498400001</v>
      </c>
      <c r="AI26" s="28">
        <v>3.442481329066668</v>
      </c>
      <c r="AJ26" s="28">
        <v>3.442481329066668</v>
      </c>
      <c r="AK26" s="28">
        <v>2.581860996800001</v>
      </c>
      <c r="AL26" s="28">
        <v>1.721240664533334</v>
      </c>
      <c r="AM26" s="28">
        <v>3.442481329066668</v>
      </c>
      <c r="AN26" s="28">
        <v>3.442481329066668</v>
      </c>
      <c r="AO26" s="28">
        <v>3.442481329066668</v>
      </c>
      <c r="AP26" s="28">
        <v>3.442481329066668</v>
      </c>
      <c r="AQ26" s="28">
        <v>2.1515508306666669</v>
      </c>
      <c r="AR26" s="28">
        <v>1.721240664533334</v>
      </c>
      <c r="AS26" s="28">
        <v>3.442481329066668</v>
      </c>
      <c r="AT26" s="28">
        <v>2.581860996800001</v>
      </c>
      <c r="AU26" s="28">
        <v>1.721240664533334</v>
      </c>
      <c r="AV26" s="28">
        <v>3.442481329066668</v>
      </c>
      <c r="AW26" s="28">
        <v>3.442481329066668</v>
      </c>
      <c r="AX26" s="28">
        <v>2.581860996800001</v>
      </c>
      <c r="AY26" s="28">
        <v>2.581860996800001</v>
      </c>
      <c r="AZ26" s="28">
        <v>2.1515508306666669</v>
      </c>
      <c r="BA26" s="28">
        <v>3.0121711629333352</v>
      </c>
      <c r="BB26" s="28">
        <v>2.581860996800001</v>
      </c>
      <c r="BC26" s="28">
        <v>3.442481329066668</v>
      </c>
      <c r="BD26" s="28">
        <v>3.0121711629333352</v>
      </c>
      <c r="BE26" s="28">
        <v>3.0121711629333352</v>
      </c>
      <c r="BF26" s="28">
        <v>3.442481329066668</v>
      </c>
      <c r="BG26" s="28">
        <v>3.0121711629333352</v>
      </c>
      <c r="BH26" s="28">
        <v>3.442481329066668</v>
      </c>
      <c r="BI26" s="28">
        <v>2.1515508306666669</v>
      </c>
      <c r="BJ26" s="28">
        <v>1.721240664533334</v>
      </c>
      <c r="BK26" s="28">
        <v>2.581860996800001</v>
      </c>
      <c r="BL26" s="28">
        <v>1.290930498400001</v>
      </c>
      <c r="BM26" s="28">
        <v>3.442481329066668</v>
      </c>
      <c r="BN26" s="28">
        <v>2.581860996800001</v>
      </c>
      <c r="BO26" s="28">
        <v>2.1515508306666669</v>
      </c>
      <c r="BP26" s="28">
        <v>3.442481329066668</v>
      </c>
      <c r="BQ26" s="28">
        <v>3.0121711629333352</v>
      </c>
      <c r="BR26" s="28">
        <v>3.442481329066668</v>
      </c>
      <c r="BS26" s="28">
        <v>3.442481329066668</v>
      </c>
      <c r="BT26" s="28">
        <v>2.1515508306666669</v>
      </c>
      <c r="BU26" s="28">
        <v>3.442481329066668</v>
      </c>
      <c r="BV26" s="28">
        <v>1.721240664533334</v>
      </c>
      <c r="BW26" s="28">
        <v>1.721240664533334</v>
      </c>
      <c r="BX26" s="28">
        <v>2.581860996800001</v>
      </c>
      <c r="BY26" s="28">
        <v>3.0121711629333352</v>
      </c>
      <c r="BZ26" s="28">
        <v>2.581860996800001</v>
      </c>
      <c r="CA26" s="28">
        <v>3.0121711629333352</v>
      </c>
      <c r="CB26" s="28">
        <v>2.1515508306666669</v>
      </c>
      <c r="CC26" s="28">
        <v>3.442481329066668</v>
      </c>
      <c r="CD26" s="28">
        <v>3.442481329066668</v>
      </c>
      <c r="CE26" s="28">
        <v>2.1515508306666669</v>
      </c>
      <c r="CF26" s="28">
        <v>1.721240664533334</v>
      </c>
      <c r="CG26" s="28">
        <v>3.0121711629333352</v>
      </c>
      <c r="CH26" s="28">
        <v>2.1515508306666669</v>
      </c>
      <c r="CI26" s="28">
        <v>1.721240664533334</v>
      </c>
      <c r="CJ26" s="28">
        <v>1.721240664533334</v>
      </c>
      <c r="CK26" s="28">
        <v>3.0121711629333352</v>
      </c>
      <c r="CL26" s="28">
        <v>3.0121711629333352</v>
      </c>
      <c r="CM26" s="28">
        <v>1.290930498400001</v>
      </c>
      <c r="CN26" s="28">
        <v>1.290930498400001</v>
      </c>
      <c r="CO26" s="28">
        <v>3.0121711629333352</v>
      </c>
      <c r="CP26" s="28">
        <v>1.290930498400001</v>
      </c>
      <c r="CQ26" s="28">
        <v>3.442481329066668</v>
      </c>
      <c r="CR26" s="28">
        <v>2.581860996800001</v>
      </c>
      <c r="CS26" s="28">
        <v>1.721240664533334</v>
      </c>
      <c r="CT26" s="28">
        <v>2.6588638686343882</v>
      </c>
      <c r="CU26" s="34">
        <v>252.59206752026691</v>
      </c>
    </row>
    <row r="27" spans="1:99" x14ac:dyDescent="0.25">
      <c r="A27" s="24">
        <v>26</v>
      </c>
      <c r="B27" s="26">
        <v>12.5</v>
      </c>
      <c r="C27" s="28">
        <v>2.563741254</v>
      </c>
      <c r="D27" s="28">
        <v>3.4183216719999998</v>
      </c>
      <c r="E27" s="28">
        <v>1.7091608359999999</v>
      </c>
      <c r="F27" s="28">
        <v>3.4183216719999998</v>
      </c>
      <c r="G27" s="28">
        <v>3.4183216719999998</v>
      </c>
      <c r="H27" s="28">
        <v>2.563741254</v>
      </c>
      <c r="I27" s="28">
        <v>3.4183216719999998</v>
      </c>
      <c r="J27" s="28">
        <v>2.563741254</v>
      </c>
      <c r="K27" s="28">
        <v>3.4183216719999998</v>
      </c>
      <c r="L27" s="28">
        <v>3.4183216719999998</v>
      </c>
      <c r="M27" s="28">
        <v>3.4183216719999998</v>
      </c>
      <c r="N27" s="28">
        <v>3.4183216719999998</v>
      </c>
      <c r="O27" s="28">
        <v>1.7091608359999999</v>
      </c>
      <c r="P27" s="28">
        <v>2.563741254</v>
      </c>
      <c r="Q27" s="28">
        <v>1.281870627</v>
      </c>
      <c r="R27" s="28">
        <v>3.4183216719999998</v>
      </c>
      <c r="S27" s="28">
        <v>3.4183216719999998</v>
      </c>
      <c r="T27" s="28">
        <v>1.7091608359999999</v>
      </c>
      <c r="U27" s="28">
        <v>3.4183216719999998</v>
      </c>
      <c r="V27" s="28">
        <v>3.4183216719999998</v>
      </c>
      <c r="W27" s="28">
        <v>3.4183216719999998</v>
      </c>
      <c r="X27" s="28">
        <v>2.563741254</v>
      </c>
      <c r="Y27" s="28">
        <v>2.9910314630000001</v>
      </c>
      <c r="Z27" s="28">
        <v>2.1364510449999998</v>
      </c>
      <c r="AA27" s="28">
        <v>1.281870627</v>
      </c>
      <c r="AB27" s="28">
        <v>1.281870627</v>
      </c>
      <c r="AC27" s="28">
        <v>1.7091608359999999</v>
      </c>
      <c r="AD27" s="28">
        <v>1.281870627</v>
      </c>
      <c r="AE27" s="28">
        <v>3.4183216719999998</v>
      </c>
      <c r="AF27" s="28">
        <v>2.1364510449999998</v>
      </c>
      <c r="AG27" s="28">
        <v>3.4183216719999998</v>
      </c>
      <c r="AH27" s="28">
        <v>1.281870627</v>
      </c>
      <c r="AI27" s="28">
        <v>3.4183216719999998</v>
      </c>
      <c r="AJ27" s="28">
        <v>3.4183216719999998</v>
      </c>
      <c r="AK27" s="28">
        <v>2.563741254</v>
      </c>
      <c r="AL27" s="28">
        <v>1.7091608359999999</v>
      </c>
      <c r="AM27" s="28">
        <v>3.4183216719999998</v>
      </c>
      <c r="AN27" s="28">
        <v>3.4183216719999998</v>
      </c>
      <c r="AO27" s="28">
        <v>3.4183216719999998</v>
      </c>
      <c r="AP27" s="28">
        <v>3.4183216719999998</v>
      </c>
      <c r="AQ27" s="28">
        <v>2.1364510449999998</v>
      </c>
      <c r="AR27" s="28">
        <v>1.7091608359999999</v>
      </c>
      <c r="AS27" s="28">
        <v>3.4183216719999998</v>
      </c>
      <c r="AT27" s="28">
        <v>2.563741254</v>
      </c>
      <c r="AU27" s="28">
        <v>1.7091608359999999</v>
      </c>
      <c r="AV27" s="28">
        <v>3.4183216719999998</v>
      </c>
      <c r="AW27" s="28">
        <v>3.4183216719999998</v>
      </c>
      <c r="AX27" s="28">
        <v>2.563741254</v>
      </c>
      <c r="AY27" s="28">
        <v>2.563741254</v>
      </c>
      <c r="AZ27" s="28">
        <v>2.1364510449999998</v>
      </c>
      <c r="BA27" s="28">
        <v>2.9910314630000001</v>
      </c>
      <c r="BB27" s="28">
        <v>2.563741254</v>
      </c>
      <c r="BC27" s="28">
        <v>3.4183216719999998</v>
      </c>
      <c r="BD27" s="28">
        <v>2.9910314630000001</v>
      </c>
      <c r="BE27" s="28">
        <v>2.9910314630000001</v>
      </c>
      <c r="BF27" s="28">
        <v>3.4183216719999998</v>
      </c>
      <c r="BG27" s="28">
        <v>2.9910314630000001</v>
      </c>
      <c r="BH27" s="28">
        <v>3.4183216719999998</v>
      </c>
      <c r="BI27" s="28">
        <v>2.1364510449999998</v>
      </c>
      <c r="BJ27" s="28">
        <v>1.7091608359999999</v>
      </c>
      <c r="BK27" s="28">
        <v>2.563741254</v>
      </c>
      <c r="BL27" s="28">
        <v>1.281870627</v>
      </c>
      <c r="BM27" s="28">
        <v>3.4183216719999998</v>
      </c>
      <c r="BN27" s="28">
        <v>2.563741254</v>
      </c>
      <c r="BO27" s="28">
        <v>2.1364510449999998</v>
      </c>
      <c r="BP27" s="28">
        <v>3.4183216719999998</v>
      </c>
      <c r="BQ27" s="28">
        <v>2.9910314630000001</v>
      </c>
      <c r="BR27" s="28">
        <v>3.4183216719999998</v>
      </c>
      <c r="BS27" s="28">
        <v>3.4183216719999998</v>
      </c>
      <c r="BT27" s="28">
        <v>2.1364510449999998</v>
      </c>
      <c r="BU27" s="28">
        <v>3.4183216719999998</v>
      </c>
      <c r="BV27" s="28">
        <v>1.7091608359999999</v>
      </c>
      <c r="BW27" s="28">
        <v>1.7091608359999999</v>
      </c>
      <c r="BX27" s="28">
        <v>2.563741254</v>
      </c>
      <c r="BY27" s="28">
        <v>2.9910314630000001</v>
      </c>
      <c r="BZ27" s="28">
        <v>2.563741254</v>
      </c>
      <c r="CA27" s="28">
        <v>2.9910314630000001</v>
      </c>
      <c r="CB27" s="28">
        <v>2.1364510449999998</v>
      </c>
      <c r="CC27" s="28">
        <v>3.4183216719999998</v>
      </c>
      <c r="CD27" s="28">
        <v>3.4183216719999998</v>
      </c>
      <c r="CE27" s="28">
        <v>2.1364510449999998</v>
      </c>
      <c r="CF27" s="28">
        <v>1.7091608359999999</v>
      </c>
      <c r="CG27" s="28">
        <v>2.9910314630000001</v>
      </c>
      <c r="CH27" s="28">
        <v>2.1364510449999998</v>
      </c>
      <c r="CI27" s="28">
        <v>1.7091608359999999</v>
      </c>
      <c r="CJ27" s="28">
        <v>1.7091608359999999</v>
      </c>
      <c r="CK27" s="28">
        <v>2.9910314630000001</v>
      </c>
      <c r="CL27" s="28">
        <v>2.9910314630000001</v>
      </c>
      <c r="CM27" s="28">
        <v>1.281870627</v>
      </c>
      <c r="CN27" s="28">
        <v>1.281870627</v>
      </c>
      <c r="CO27" s="28">
        <v>2.9910314630000001</v>
      </c>
      <c r="CP27" s="28">
        <v>1.281870627</v>
      </c>
      <c r="CQ27" s="28">
        <v>3.4183216719999998</v>
      </c>
      <c r="CR27" s="28">
        <v>2.563741254</v>
      </c>
      <c r="CS27" s="28">
        <v>1.7091608359999999</v>
      </c>
      <c r="CT27" s="28">
        <v>2.6402037124526321</v>
      </c>
      <c r="CU27" s="34">
        <v>250.81935268300009</v>
      </c>
    </row>
    <row r="28" spans="1:99" x14ac:dyDescent="0.25">
      <c r="A28" s="24">
        <v>27</v>
      </c>
      <c r="B28" s="26">
        <v>13</v>
      </c>
      <c r="C28" s="28">
        <v>2.5028688615000001</v>
      </c>
      <c r="D28" s="28">
        <v>3.337158482</v>
      </c>
      <c r="E28" s="28">
        <v>1.668579241</v>
      </c>
      <c r="F28" s="28">
        <v>3.337158482</v>
      </c>
      <c r="G28" s="28">
        <v>3.337158482</v>
      </c>
      <c r="H28" s="28">
        <v>2.5028688615000001</v>
      </c>
      <c r="I28" s="28">
        <v>3.337158482</v>
      </c>
      <c r="J28" s="28">
        <v>2.5028688615000001</v>
      </c>
      <c r="K28" s="28">
        <v>3.337158482</v>
      </c>
      <c r="L28" s="28">
        <v>3.337158482</v>
      </c>
      <c r="M28" s="28">
        <v>3.337158482</v>
      </c>
      <c r="N28" s="28">
        <v>3.337158482</v>
      </c>
      <c r="O28" s="28">
        <v>1.668579241</v>
      </c>
      <c r="P28" s="28">
        <v>2.5028688615000001</v>
      </c>
      <c r="Q28" s="28">
        <v>1.25143443075</v>
      </c>
      <c r="R28" s="28">
        <v>3.337158482</v>
      </c>
      <c r="S28" s="28">
        <v>3.337158482</v>
      </c>
      <c r="T28" s="28">
        <v>1.668579241</v>
      </c>
      <c r="U28" s="28">
        <v>3.337158482</v>
      </c>
      <c r="V28" s="28">
        <v>3.337158482</v>
      </c>
      <c r="W28" s="28">
        <v>3.337158482</v>
      </c>
      <c r="X28" s="28">
        <v>2.5028688615000001</v>
      </c>
      <c r="Y28" s="28">
        <v>2.92001367175</v>
      </c>
      <c r="Z28" s="28">
        <v>2.0857240512500002</v>
      </c>
      <c r="AA28" s="28">
        <v>1.25143443075</v>
      </c>
      <c r="AB28" s="28">
        <v>1.25143443075</v>
      </c>
      <c r="AC28" s="28">
        <v>1.668579241</v>
      </c>
      <c r="AD28" s="28">
        <v>1.25143443075</v>
      </c>
      <c r="AE28" s="28">
        <v>3.337158482</v>
      </c>
      <c r="AF28" s="28">
        <v>2.0857240512500002</v>
      </c>
      <c r="AG28" s="28">
        <v>3.337158482</v>
      </c>
      <c r="AH28" s="28">
        <v>1.25143443075</v>
      </c>
      <c r="AI28" s="28">
        <v>3.337158482</v>
      </c>
      <c r="AJ28" s="28">
        <v>3.337158482</v>
      </c>
      <c r="AK28" s="28">
        <v>2.5028688615000001</v>
      </c>
      <c r="AL28" s="28">
        <v>1.668579241</v>
      </c>
      <c r="AM28" s="28">
        <v>3.337158482</v>
      </c>
      <c r="AN28" s="28">
        <v>3.337158482</v>
      </c>
      <c r="AO28" s="28">
        <v>3.337158482</v>
      </c>
      <c r="AP28" s="28">
        <v>3.337158482</v>
      </c>
      <c r="AQ28" s="28">
        <v>2.0857240512500002</v>
      </c>
      <c r="AR28" s="28">
        <v>1.668579241</v>
      </c>
      <c r="AS28" s="28">
        <v>3.337158482</v>
      </c>
      <c r="AT28" s="28">
        <v>2.5028688615000001</v>
      </c>
      <c r="AU28" s="28">
        <v>1.668579241</v>
      </c>
      <c r="AV28" s="28">
        <v>3.337158482</v>
      </c>
      <c r="AW28" s="28">
        <v>3.337158482</v>
      </c>
      <c r="AX28" s="28">
        <v>2.5028688615000001</v>
      </c>
      <c r="AY28" s="28">
        <v>2.5028688615000001</v>
      </c>
      <c r="AZ28" s="28">
        <v>2.0857240512500002</v>
      </c>
      <c r="BA28" s="28">
        <v>2.92001367175</v>
      </c>
      <c r="BB28" s="28">
        <v>2.5028688615000001</v>
      </c>
      <c r="BC28" s="28">
        <v>3.337158482</v>
      </c>
      <c r="BD28" s="28">
        <v>2.92001367175</v>
      </c>
      <c r="BE28" s="28">
        <v>2.92001367175</v>
      </c>
      <c r="BF28" s="28">
        <v>3.337158482</v>
      </c>
      <c r="BG28" s="28">
        <v>2.92001367175</v>
      </c>
      <c r="BH28" s="28">
        <v>3.337158482</v>
      </c>
      <c r="BI28" s="28">
        <v>2.0857240512500002</v>
      </c>
      <c r="BJ28" s="28">
        <v>1.668579241</v>
      </c>
      <c r="BK28" s="28">
        <v>2.5028688615000001</v>
      </c>
      <c r="BL28" s="28">
        <v>1.25143443075</v>
      </c>
      <c r="BM28" s="28">
        <v>3.337158482</v>
      </c>
      <c r="BN28" s="28">
        <v>2.5028688615000001</v>
      </c>
      <c r="BO28" s="28">
        <v>2.0857240512500002</v>
      </c>
      <c r="BP28" s="28">
        <v>3.337158482</v>
      </c>
      <c r="BQ28" s="28">
        <v>2.92001367175</v>
      </c>
      <c r="BR28" s="28">
        <v>3.337158482</v>
      </c>
      <c r="BS28" s="28">
        <v>3.337158482</v>
      </c>
      <c r="BT28" s="28">
        <v>2.0857240512500002</v>
      </c>
      <c r="BU28" s="28">
        <v>3.337158482</v>
      </c>
      <c r="BV28" s="28">
        <v>1.668579241</v>
      </c>
      <c r="BW28" s="28">
        <v>1.668579241</v>
      </c>
      <c r="BX28" s="28">
        <v>2.5028688615000001</v>
      </c>
      <c r="BY28" s="28">
        <v>2.92001367175</v>
      </c>
      <c r="BZ28" s="28">
        <v>2.5028688615000001</v>
      </c>
      <c r="CA28" s="28">
        <v>2.92001367175</v>
      </c>
      <c r="CB28" s="28">
        <v>2.0857240512500002</v>
      </c>
      <c r="CC28" s="28">
        <v>3.337158482</v>
      </c>
      <c r="CD28" s="28">
        <v>3.337158482</v>
      </c>
      <c r="CE28" s="28">
        <v>2.0857240512500002</v>
      </c>
      <c r="CF28" s="28">
        <v>1.668579241</v>
      </c>
      <c r="CG28" s="28">
        <v>2.92001367175</v>
      </c>
      <c r="CH28" s="28">
        <v>2.0857240512500002</v>
      </c>
      <c r="CI28" s="28">
        <v>1.668579241</v>
      </c>
      <c r="CJ28" s="28">
        <v>1.668579241</v>
      </c>
      <c r="CK28" s="28">
        <v>2.92001367175</v>
      </c>
      <c r="CL28" s="28">
        <v>2.92001367175</v>
      </c>
      <c r="CM28" s="28">
        <v>1.25143443075</v>
      </c>
      <c r="CN28" s="28">
        <v>1.25143443075</v>
      </c>
      <c r="CO28" s="28">
        <v>2.92001367175</v>
      </c>
      <c r="CP28" s="28">
        <v>1.25143443075</v>
      </c>
      <c r="CQ28" s="28">
        <v>3.337158482</v>
      </c>
      <c r="CR28" s="28">
        <v>2.5028688615000001</v>
      </c>
      <c r="CS28" s="28">
        <v>1.668579241</v>
      </c>
      <c r="CT28" s="28">
        <v>2.5775158275447398</v>
      </c>
      <c r="CU28" s="34">
        <v>244.8640036167503</v>
      </c>
    </row>
    <row r="29" spans="1:99" x14ac:dyDescent="0.25">
      <c r="A29" s="24">
        <v>28</v>
      </c>
      <c r="B29" s="26">
        <v>13.5</v>
      </c>
      <c r="C29" s="28">
        <v>2.410000745600001</v>
      </c>
      <c r="D29" s="28">
        <v>3.2133343274666681</v>
      </c>
      <c r="E29" s="28">
        <v>1.6066671637333341</v>
      </c>
      <c r="F29" s="28">
        <v>3.2133343274666681</v>
      </c>
      <c r="G29" s="28">
        <v>3.2133343274666681</v>
      </c>
      <c r="H29" s="28">
        <v>2.410000745600001</v>
      </c>
      <c r="I29" s="28">
        <v>3.2133343274666681</v>
      </c>
      <c r="J29" s="28">
        <v>2.410000745600001</v>
      </c>
      <c r="K29" s="28">
        <v>3.2133343274666681</v>
      </c>
      <c r="L29" s="28">
        <v>3.2133343274666681</v>
      </c>
      <c r="M29" s="28">
        <v>3.2133343274666681</v>
      </c>
      <c r="N29" s="28">
        <v>3.2133343274666681</v>
      </c>
      <c r="O29" s="28">
        <v>1.6066671637333341</v>
      </c>
      <c r="P29" s="28">
        <v>2.410000745600001</v>
      </c>
      <c r="Q29" s="28">
        <v>1.2050003728000001</v>
      </c>
      <c r="R29" s="28">
        <v>3.2133343274666681</v>
      </c>
      <c r="S29" s="28">
        <v>3.2133343274666681</v>
      </c>
      <c r="T29" s="28">
        <v>1.6066671637333341</v>
      </c>
      <c r="U29" s="28">
        <v>3.2133343274666681</v>
      </c>
      <c r="V29" s="28">
        <v>3.2133343274666681</v>
      </c>
      <c r="W29" s="28">
        <v>3.2133343274666681</v>
      </c>
      <c r="X29" s="28">
        <v>2.410000745600001</v>
      </c>
      <c r="Y29" s="28">
        <v>2.811667536533335</v>
      </c>
      <c r="Z29" s="28">
        <v>2.008333954666667</v>
      </c>
      <c r="AA29" s="28">
        <v>1.2050003728000001</v>
      </c>
      <c r="AB29" s="28">
        <v>1.2050003728000001</v>
      </c>
      <c r="AC29" s="28">
        <v>1.6066671637333341</v>
      </c>
      <c r="AD29" s="28">
        <v>1.2050003728000001</v>
      </c>
      <c r="AE29" s="28">
        <v>3.2133343274666681</v>
      </c>
      <c r="AF29" s="28">
        <v>2.008333954666667</v>
      </c>
      <c r="AG29" s="28">
        <v>3.2133343274666681</v>
      </c>
      <c r="AH29" s="28">
        <v>1.2050003728000001</v>
      </c>
      <c r="AI29" s="28">
        <v>3.2133343274666681</v>
      </c>
      <c r="AJ29" s="28">
        <v>3.2133343274666681</v>
      </c>
      <c r="AK29" s="28">
        <v>2.410000745600001</v>
      </c>
      <c r="AL29" s="28">
        <v>1.6066671637333341</v>
      </c>
      <c r="AM29" s="28">
        <v>3.2133343274666681</v>
      </c>
      <c r="AN29" s="28">
        <v>3.2133343274666681</v>
      </c>
      <c r="AO29" s="28">
        <v>3.2133343274666681</v>
      </c>
      <c r="AP29" s="28">
        <v>3.2133343274666681</v>
      </c>
      <c r="AQ29" s="28">
        <v>2.008333954666667</v>
      </c>
      <c r="AR29" s="28">
        <v>1.6066671637333341</v>
      </c>
      <c r="AS29" s="28">
        <v>3.2133343274666681</v>
      </c>
      <c r="AT29" s="28">
        <v>2.410000745600001</v>
      </c>
      <c r="AU29" s="28">
        <v>1.6066671637333341</v>
      </c>
      <c r="AV29" s="28">
        <v>3.2133343274666681</v>
      </c>
      <c r="AW29" s="28">
        <v>3.2133343274666681</v>
      </c>
      <c r="AX29" s="28">
        <v>2.410000745600001</v>
      </c>
      <c r="AY29" s="28">
        <v>2.410000745600001</v>
      </c>
      <c r="AZ29" s="28">
        <v>2.008333954666667</v>
      </c>
      <c r="BA29" s="28">
        <v>2.811667536533335</v>
      </c>
      <c r="BB29" s="28">
        <v>2.410000745600001</v>
      </c>
      <c r="BC29" s="28">
        <v>3.2133343274666681</v>
      </c>
      <c r="BD29" s="28">
        <v>2.811667536533335</v>
      </c>
      <c r="BE29" s="28">
        <v>2.811667536533335</v>
      </c>
      <c r="BF29" s="28">
        <v>3.2133343274666681</v>
      </c>
      <c r="BG29" s="28">
        <v>2.811667536533335</v>
      </c>
      <c r="BH29" s="28">
        <v>3.2133343274666681</v>
      </c>
      <c r="BI29" s="28">
        <v>2.008333954666667</v>
      </c>
      <c r="BJ29" s="28">
        <v>1.6066671637333341</v>
      </c>
      <c r="BK29" s="28">
        <v>2.410000745600001</v>
      </c>
      <c r="BL29" s="28">
        <v>1.2050003728000001</v>
      </c>
      <c r="BM29" s="28">
        <v>3.2133343274666681</v>
      </c>
      <c r="BN29" s="28">
        <v>2.410000745600001</v>
      </c>
      <c r="BO29" s="28">
        <v>2.008333954666667</v>
      </c>
      <c r="BP29" s="28">
        <v>3.2133343274666681</v>
      </c>
      <c r="BQ29" s="28">
        <v>2.811667536533335</v>
      </c>
      <c r="BR29" s="28">
        <v>3.2133343274666681</v>
      </c>
      <c r="BS29" s="28">
        <v>3.2133343274666681</v>
      </c>
      <c r="BT29" s="28">
        <v>2.008333954666667</v>
      </c>
      <c r="BU29" s="28">
        <v>3.2133343274666681</v>
      </c>
      <c r="BV29" s="28">
        <v>1.6066671637333341</v>
      </c>
      <c r="BW29" s="28">
        <v>1.6066671637333341</v>
      </c>
      <c r="BX29" s="28">
        <v>2.410000745600001</v>
      </c>
      <c r="BY29" s="28">
        <v>2.811667536533335</v>
      </c>
      <c r="BZ29" s="28">
        <v>2.410000745600001</v>
      </c>
      <c r="CA29" s="28">
        <v>2.811667536533335</v>
      </c>
      <c r="CB29" s="28">
        <v>2.008333954666667</v>
      </c>
      <c r="CC29" s="28">
        <v>3.2133343274666681</v>
      </c>
      <c r="CD29" s="28">
        <v>3.2133343274666681</v>
      </c>
      <c r="CE29" s="28">
        <v>2.008333954666667</v>
      </c>
      <c r="CF29" s="28">
        <v>1.6066671637333341</v>
      </c>
      <c r="CG29" s="28">
        <v>2.811667536533335</v>
      </c>
      <c r="CH29" s="28">
        <v>2.008333954666667</v>
      </c>
      <c r="CI29" s="28">
        <v>1.6066671637333341</v>
      </c>
      <c r="CJ29" s="28">
        <v>1.6066671637333341</v>
      </c>
      <c r="CK29" s="28">
        <v>2.811667536533335</v>
      </c>
      <c r="CL29" s="28">
        <v>2.811667536533335</v>
      </c>
      <c r="CM29" s="28">
        <v>1.2050003728000001</v>
      </c>
      <c r="CN29" s="28">
        <v>1.2050003728000001</v>
      </c>
      <c r="CO29" s="28">
        <v>2.811667536533335</v>
      </c>
      <c r="CP29" s="28">
        <v>1.2050003728000001</v>
      </c>
      <c r="CQ29" s="28">
        <v>3.2133343274666681</v>
      </c>
      <c r="CR29" s="28">
        <v>2.410000745600001</v>
      </c>
      <c r="CS29" s="28">
        <v>1.6066671637333341</v>
      </c>
      <c r="CT29" s="28">
        <v>2.4818779608196482</v>
      </c>
      <c r="CU29" s="34">
        <v>235.77840627786659</v>
      </c>
    </row>
    <row r="30" spans="1:99" x14ac:dyDescent="0.25">
      <c r="A30" s="24">
        <v>29</v>
      </c>
      <c r="B30" s="26">
        <v>14</v>
      </c>
      <c r="C30" s="28">
        <v>2.2991309199000001</v>
      </c>
      <c r="D30" s="28">
        <v>3.0655078931999999</v>
      </c>
      <c r="E30" s="28">
        <v>1.5327539466</v>
      </c>
      <c r="F30" s="28">
        <v>3.0655078931999999</v>
      </c>
      <c r="G30" s="28">
        <v>3.0655078931999999</v>
      </c>
      <c r="H30" s="28">
        <v>2.2991309199000001</v>
      </c>
      <c r="I30" s="28">
        <v>3.0655078931999999</v>
      </c>
      <c r="J30" s="28">
        <v>2.2991309199000001</v>
      </c>
      <c r="K30" s="28">
        <v>3.0655078931999999</v>
      </c>
      <c r="L30" s="28">
        <v>3.0655078931999999</v>
      </c>
      <c r="M30" s="28">
        <v>3.0655078931999999</v>
      </c>
      <c r="N30" s="28">
        <v>3.0655078931999999</v>
      </c>
      <c r="O30" s="28">
        <v>1.5327539466</v>
      </c>
      <c r="P30" s="28">
        <v>2.2991309199000001</v>
      </c>
      <c r="Q30" s="28">
        <v>1.14956545995</v>
      </c>
      <c r="R30" s="28">
        <v>3.0655078931999999</v>
      </c>
      <c r="S30" s="28">
        <v>3.0655078931999999</v>
      </c>
      <c r="T30" s="28">
        <v>1.5327539466</v>
      </c>
      <c r="U30" s="28">
        <v>3.0655078931999999</v>
      </c>
      <c r="V30" s="28">
        <v>3.0655078931999999</v>
      </c>
      <c r="W30" s="28">
        <v>3.0655078931999999</v>
      </c>
      <c r="X30" s="28">
        <v>2.2991309199000001</v>
      </c>
      <c r="Y30" s="28">
        <v>2.68231940655</v>
      </c>
      <c r="Z30" s="28">
        <v>1.9159424332499999</v>
      </c>
      <c r="AA30" s="28">
        <v>1.14956545995</v>
      </c>
      <c r="AB30" s="28">
        <v>1.14956545995</v>
      </c>
      <c r="AC30" s="28">
        <v>1.5327539466</v>
      </c>
      <c r="AD30" s="28">
        <v>1.14956545995</v>
      </c>
      <c r="AE30" s="28">
        <v>3.0655078931999999</v>
      </c>
      <c r="AF30" s="28">
        <v>1.9159424332499999</v>
      </c>
      <c r="AG30" s="28">
        <v>3.0655078931999999</v>
      </c>
      <c r="AH30" s="28">
        <v>1.14956545995</v>
      </c>
      <c r="AI30" s="28">
        <v>3.0655078931999999</v>
      </c>
      <c r="AJ30" s="28">
        <v>3.0655078931999999</v>
      </c>
      <c r="AK30" s="28">
        <v>2.2991309199000001</v>
      </c>
      <c r="AL30" s="28">
        <v>1.5327539466</v>
      </c>
      <c r="AM30" s="28">
        <v>3.0655078931999999</v>
      </c>
      <c r="AN30" s="28">
        <v>3.0655078931999999</v>
      </c>
      <c r="AO30" s="28">
        <v>3.0655078931999999</v>
      </c>
      <c r="AP30" s="28">
        <v>3.0655078931999999</v>
      </c>
      <c r="AQ30" s="28">
        <v>1.9159424332499999</v>
      </c>
      <c r="AR30" s="28">
        <v>1.5327539466</v>
      </c>
      <c r="AS30" s="28">
        <v>3.0655078931999999</v>
      </c>
      <c r="AT30" s="28">
        <v>2.2991309199000001</v>
      </c>
      <c r="AU30" s="28">
        <v>1.5327539466</v>
      </c>
      <c r="AV30" s="28">
        <v>3.0655078931999999</v>
      </c>
      <c r="AW30" s="28">
        <v>3.0655078931999999</v>
      </c>
      <c r="AX30" s="28">
        <v>2.2991309199000001</v>
      </c>
      <c r="AY30" s="28">
        <v>2.2991309199000001</v>
      </c>
      <c r="AZ30" s="28">
        <v>1.9159424332499999</v>
      </c>
      <c r="BA30" s="28">
        <v>2.68231940655</v>
      </c>
      <c r="BB30" s="28">
        <v>2.2991309199000001</v>
      </c>
      <c r="BC30" s="28">
        <v>3.0655078931999999</v>
      </c>
      <c r="BD30" s="28">
        <v>2.68231940655</v>
      </c>
      <c r="BE30" s="28">
        <v>2.68231940655</v>
      </c>
      <c r="BF30" s="28">
        <v>3.0655078931999999</v>
      </c>
      <c r="BG30" s="28">
        <v>2.68231940655</v>
      </c>
      <c r="BH30" s="28">
        <v>3.0655078931999999</v>
      </c>
      <c r="BI30" s="28">
        <v>1.9159424332499999</v>
      </c>
      <c r="BJ30" s="28">
        <v>1.5327539466</v>
      </c>
      <c r="BK30" s="28">
        <v>2.2991309199000001</v>
      </c>
      <c r="BL30" s="28">
        <v>1.14956545995</v>
      </c>
      <c r="BM30" s="28">
        <v>3.0655078931999999</v>
      </c>
      <c r="BN30" s="28">
        <v>2.2991309199000001</v>
      </c>
      <c r="BO30" s="28">
        <v>1.9159424332499999</v>
      </c>
      <c r="BP30" s="28">
        <v>3.0655078931999999</v>
      </c>
      <c r="BQ30" s="28">
        <v>2.68231940655</v>
      </c>
      <c r="BR30" s="28">
        <v>3.0655078931999999</v>
      </c>
      <c r="BS30" s="28">
        <v>3.0655078931999999</v>
      </c>
      <c r="BT30" s="28">
        <v>1.9159424332499999</v>
      </c>
      <c r="BU30" s="28">
        <v>3.0655078931999999</v>
      </c>
      <c r="BV30" s="28">
        <v>1.5327539466</v>
      </c>
      <c r="BW30" s="28">
        <v>1.5327539466</v>
      </c>
      <c r="BX30" s="28">
        <v>2.2991309199000001</v>
      </c>
      <c r="BY30" s="28">
        <v>2.68231940655</v>
      </c>
      <c r="BZ30" s="28">
        <v>2.2991309199000001</v>
      </c>
      <c r="CA30" s="28">
        <v>2.68231940655</v>
      </c>
      <c r="CB30" s="28">
        <v>1.9159424332499999</v>
      </c>
      <c r="CC30" s="28">
        <v>3.0655078931999999</v>
      </c>
      <c r="CD30" s="28">
        <v>3.0655078931999999</v>
      </c>
      <c r="CE30" s="28">
        <v>1.9159424332499999</v>
      </c>
      <c r="CF30" s="28">
        <v>1.5327539466</v>
      </c>
      <c r="CG30" s="28">
        <v>2.68231940655</v>
      </c>
      <c r="CH30" s="28">
        <v>1.9159424332499999</v>
      </c>
      <c r="CI30" s="28">
        <v>1.5327539466</v>
      </c>
      <c r="CJ30" s="28">
        <v>1.5327539466</v>
      </c>
      <c r="CK30" s="28">
        <v>2.68231940655</v>
      </c>
      <c r="CL30" s="28">
        <v>2.68231940655</v>
      </c>
      <c r="CM30" s="28">
        <v>1.14956545995</v>
      </c>
      <c r="CN30" s="28">
        <v>1.14956545995</v>
      </c>
      <c r="CO30" s="28">
        <v>2.68231940655</v>
      </c>
      <c r="CP30" s="28">
        <v>1.14956545995</v>
      </c>
      <c r="CQ30" s="28">
        <v>3.0655078931999999</v>
      </c>
      <c r="CR30" s="28">
        <v>2.2991309199000001</v>
      </c>
      <c r="CS30" s="28">
        <v>1.5327539466</v>
      </c>
      <c r="CT30" s="28">
        <v>2.3677014911952612</v>
      </c>
      <c r="CU30" s="34">
        <v>224.93164166354981</v>
      </c>
    </row>
    <row r="31" spans="1:99" x14ac:dyDescent="0.25">
      <c r="A31" s="24">
        <v>30</v>
      </c>
      <c r="B31" s="26">
        <v>14.5</v>
      </c>
      <c r="C31" s="28">
        <v>2.158642629800001</v>
      </c>
      <c r="D31" s="28">
        <v>2.8781901730666681</v>
      </c>
      <c r="E31" s="28">
        <v>1.4390950865333341</v>
      </c>
      <c r="F31" s="28">
        <v>2.8781901730666681</v>
      </c>
      <c r="G31" s="28">
        <v>2.8781901730666681</v>
      </c>
      <c r="H31" s="28">
        <v>2.158642629800001</v>
      </c>
      <c r="I31" s="28">
        <v>2.8781901730666681</v>
      </c>
      <c r="J31" s="28">
        <v>2.158642629800001</v>
      </c>
      <c r="K31" s="28">
        <v>2.8781901730666681</v>
      </c>
      <c r="L31" s="28">
        <v>2.8781901730666681</v>
      </c>
      <c r="M31" s="28">
        <v>2.8781901730666681</v>
      </c>
      <c r="N31" s="28">
        <v>2.8781901730666681</v>
      </c>
      <c r="O31" s="28">
        <v>1.4390950865333341</v>
      </c>
      <c r="P31" s="28">
        <v>2.158642629800001</v>
      </c>
      <c r="Q31" s="28">
        <v>1.0793213149000001</v>
      </c>
      <c r="R31" s="28">
        <v>2.8781901730666681</v>
      </c>
      <c r="S31" s="28">
        <v>2.8781901730666681</v>
      </c>
      <c r="T31" s="28">
        <v>1.4390950865333341</v>
      </c>
      <c r="U31" s="28">
        <v>2.8781901730666681</v>
      </c>
      <c r="V31" s="28">
        <v>2.8781901730666681</v>
      </c>
      <c r="W31" s="28">
        <v>2.8781901730666681</v>
      </c>
      <c r="X31" s="28">
        <v>2.158642629800001</v>
      </c>
      <c r="Y31" s="28">
        <v>2.5184164014333348</v>
      </c>
      <c r="Z31" s="28">
        <v>1.7988688581666681</v>
      </c>
      <c r="AA31" s="28">
        <v>1.0793213149000001</v>
      </c>
      <c r="AB31" s="28">
        <v>1.0793213149000001</v>
      </c>
      <c r="AC31" s="28">
        <v>1.4390950865333341</v>
      </c>
      <c r="AD31" s="28">
        <v>1.0793213149000001</v>
      </c>
      <c r="AE31" s="28">
        <v>2.8781901730666681</v>
      </c>
      <c r="AF31" s="28">
        <v>1.7988688581666681</v>
      </c>
      <c r="AG31" s="28">
        <v>2.8781901730666681</v>
      </c>
      <c r="AH31" s="28">
        <v>1.0793213149000001</v>
      </c>
      <c r="AI31" s="28">
        <v>2.8781901730666681</v>
      </c>
      <c r="AJ31" s="28">
        <v>2.8781901730666681</v>
      </c>
      <c r="AK31" s="28">
        <v>2.158642629800001</v>
      </c>
      <c r="AL31" s="28">
        <v>1.4390950865333341</v>
      </c>
      <c r="AM31" s="28">
        <v>2.8781901730666681</v>
      </c>
      <c r="AN31" s="28">
        <v>2.8781901730666681</v>
      </c>
      <c r="AO31" s="28">
        <v>2.8781901730666681</v>
      </c>
      <c r="AP31" s="28">
        <v>2.8781901730666681</v>
      </c>
      <c r="AQ31" s="28">
        <v>1.7988688581666681</v>
      </c>
      <c r="AR31" s="28">
        <v>1.4390950865333341</v>
      </c>
      <c r="AS31" s="28">
        <v>2.8781901730666681</v>
      </c>
      <c r="AT31" s="28">
        <v>2.158642629800001</v>
      </c>
      <c r="AU31" s="28">
        <v>1.4390950865333341</v>
      </c>
      <c r="AV31" s="28">
        <v>2.8781901730666681</v>
      </c>
      <c r="AW31" s="28">
        <v>2.8781901730666681</v>
      </c>
      <c r="AX31" s="28">
        <v>2.158642629800001</v>
      </c>
      <c r="AY31" s="28">
        <v>2.158642629800001</v>
      </c>
      <c r="AZ31" s="28">
        <v>1.7988688581666681</v>
      </c>
      <c r="BA31" s="28">
        <v>2.5184164014333348</v>
      </c>
      <c r="BB31" s="28">
        <v>2.158642629800001</v>
      </c>
      <c r="BC31" s="28">
        <v>2.8781901730666681</v>
      </c>
      <c r="BD31" s="28">
        <v>2.5184164014333348</v>
      </c>
      <c r="BE31" s="28">
        <v>2.5184164014333348</v>
      </c>
      <c r="BF31" s="28">
        <v>2.8781901730666681</v>
      </c>
      <c r="BG31" s="28">
        <v>2.5184164014333348</v>
      </c>
      <c r="BH31" s="28">
        <v>2.8781901730666681</v>
      </c>
      <c r="BI31" s="28">
        <v>1.7988688581666681</v>
      </c>
      <c r="BJ31" s="28">
        <v>1.4390950865333341</v>
      </c>
      <c r="BK31" s="28">
        <v>2.158642629800001</v>
      </c>
      <c r="BL31" s="28">
        <v>1.0793213149000001</v>
      </c>
      <c r="BM31" s="28">
        <v>2.8781901730666681</v>
      </c>
      <c r="BN31" s="28">
        <v>2.158642629800001</v>
      </c>
      <c r="BO31" s="28">
        <v>1.7988688581666681</v>
      </c>
      <c r="BP31" s="28">
        <v>2.8781901730666681</v>
      </c>
      <c r="BQ31" s="28">
        <v>2.5184164014333348</v>
      </c>
      <c r="BR31" s="28">
        <v>2.8781901730666681</v>
      </c>
      <c r="BS31" s="28">
        <v>2.8781901730666681</v>
      </c>
      <c r="BT31" s="28">
        <v>1.7988688581666681</v>
      </c>
      <c r="BU31" s="28">
        <v>2.8781901730666681</v>
      </c>
      <c r="BV31" s="28">
        <v>1.4390950865333341</v>
      </c>
      <c r="BW31" s="28">
        <v>1.4390950865333341</v>
      </c>
      <c r="BX31" s="28">
        <v>2.158642629800001</v>
      </c>
      <c r="BY31" s="28">
        <v>2.5184164014333348</v>
      </c>
      <c r="BZ31" s="28">
        <v>2.158642629800001</v>
      </c>
      <c r="CA31" s="28">
        <v>2.5184164014333348</v>
      </c>
      <c r="CB31" s="28">
        <v>1.7988688581666681</v>
      </c>
      <c r="CC31" s="28">
        <v>2.8781901730666681</v>
      </c>
      <c r="CD31" s="28">
        <v>2.8781901730666681</v>
      </c>
      <c r="CE31" s="28">
        <v>1.7988688581666681</v>
      </c>
      <c r="CF31" s="28">
        <v>1.4390950865333341</v>
      </c>
      <c r="CG31" s="28">
        <v>2.5184164014333348</v>
      </c>
      <c r="CH31" s="28">
        <v>1.7988688581666681</v>
      </c>
      <c r="CI31" s="28">
        <v>1.4390950865333341</v>
      </c>
      <c r="CJ31" s="28">
        <v>1.4390950865333341</v>
      </c>
      <c r="CK31" s="28">
        <v>2.5184164014333348</v>
      </c>
      <c r="CL31" s="28">
        <v>2.5184164014333348</v>
      </c>
      <c r="CM31" s="28">
        <v>1.0793213149000001</v>
      </c>
      <c r="CN31" s="28">
        <v>1.0793213149000001</v>
      </c>
      <c r="CO31" s="28">
        <v>2.5184164014333348</v>
      </c>
      <c r="CP31" s="28">
        <v>1.0793213149000001</v>
      </c>
      <c r="CQ31" s="28">
        <v>2.8781901730666681</v>
      </c>
      <c r="CR31" s="28">
        <v>2.158642629800001</v>
      </c>
      <c r="CS31" s="28">
        <v>1.4390950865333341</v>
      </c>
      <c r="CT31" s="28">
        <v>2.2230231994607021</v>
      </c>
      <c r="CU31" s="34">
        <v>211.18720394876669</v>
      </c>
    </row>
    <row r="32" spans="1:99" x14ac:dyDescent="0.25">
      <c r="A32" s="24">
        <v>31</v>
      </c>
      <c r="B32" s="26">
        <v>15</v>
      </c>
      <c r="C32" s="28">
        <v>2.0093463710999999</v>
      </c>
      <c r="D32" s="28">
        <v>2.6791284948</v>
      </c>
      <c r="E32" s="28">
        <v>1.3395642474</v>
      </c>
      <c r="F32" s="28">
        <v>2.6791284948</v>
      </c>
      <c r="G32" s="28">
        <v>2.6791284948</v>
      </c>
      <c r="H32" s="28">
        <v>2.0093463710999999</v>
      </c>
      <c r="I32" s="28">
        <v>2.6791284948</v>
      </c>
      <c r="J32" s="28">
        <v>2.0093463710999999</v>
      </c>
      <c r="K32" s="28">
        <v>2.6791284948</v>
      </c>
      <c r="L32" s="28">
        <v>2.6791284948</v>
      </c>
      <c r="M32" s="28">
        <v>2.6791284948</v>
      </c>
      <c r="N32" s="28">
        <v>2.6791284948</v>
      </c>
      <c r="O32" s="28">
        <v>1.3395642474</v>
      </c>
      <c r="P32" s="28">
        <v>2.0093463710999999</v>
      </c>
      <c r="Q32" s="28">
        <v>1.00467318555</v>
      </c>
      <c r="R32" s="28">
        <v>2.6791284948</v>
      </c>
      <c r="S32" s="28">
        <v>2.6791284948</v>
      </c>
      <c r="T32" s="28">
        <v>1.3395642474</v>
      </c>
      <c r="U32" s="28">
        <v>2.6791284948</v>
      </c>
      <c r="V32" s="28">
        <v>2.6791284948</v>
      </c>
      <c r="W32" s="28">
        <v>2.6791284948</v>
      </c>
      <c r="X32" s="28">
        <v>2.0093463710999999</v>
      </c>
      <c r="Y32" s="28">
        <v>2.34423743295</v>
      </c>
      <c r="Z32" s="28">
        <v>1.6744553092500001</v>
      </c>
      <c r="AA32" s="28">
        <v>1.00467318555</v>
      </c>
      <c r="AB32" s="28">
        <v>1.00467318555</v>
      </c>
      <c r="AC32" s="28">
        <v>1.3395642474</v>
      </c>
      <c r="AD32" s="28">
        <v>1.00467318555</v>
      </c>
      <c r="AE32" s="28">
        <v>2.6791284948</v>
      </c>
      <c r="AF32" s="28">
        <v>1.6744553092500001</v>
      </c>
      <c r="AG32" s="28">
        <v>2.6791284948</v>
      </c>
      <c r="AH32" s="28">
        <v>1.00467318555</v>
      </c>
      <c r="AI32" s="28">
        <v>2.6791284948</v>
      </c>
      <c r="AJ32" s="28">
        <v>2.6791284948</v>
      </c>
      <c r="AK32" s="28">
        <v>2.0093463710999999</v>
      </c>
      <c r="AL32" s="28">
        <v>1.3395642474</v>
      </c>
      <c r="AM32" s="28">
        <v>2.6791284948</v>
      </c>
      <c r="AN32" s="28">
        <v>2.6791284948</v>
      </c>
      <c r="AO32" s="28">
        <v>2.6791284948</v>
      </c>
      <c r="AP32" s="28">
        <v>2.6791284948</v>
      </c>
      <c r="AQ32" s="28">
        <v>1.6744553092500001</v>
      </c>
      <c r="AR32" s="28">
        <v>1.3395642474</v>
      </c>
      <c r="AS32" s="28">
        <v>2.6791284948</v>
      </c>
      <c r="AT32" s="28">
        <v>2.0093463710999999</v>
      </c>
      <c r="AU32" s="28">
        <v>1.3395642474</v>
      </c>
      <c r="AV32" s="28">
        <v>2.6791284948</v>
      </c>
      <c r="AW32" s="28">
        <v>2.6791284948</v>
      </c>
      <c r="AX32" s="28">
        <v>2.0093463710999999</v>
      </c>
      <c r="AY32" s="28">
        <v>2.0093463710999999</v>
      </c>
      <c r="AZ32" s="28">
        <v>1.6744553092500001</v>
      </c>
      <c r="BA32" s="28">
        <v>2.34423743295</v>
      </c>
      <c r="BB32" s="28">
        <v>2.0093463710999999</v>
      </c>
      <c r="BC32" s="28">
        <v>2.6791284948</v>
      </c>
      <c r="BD32" s="28">
        <v>2.34423743295</v>
      </c>
      <c r="BE32" s="28">
        <v>2.34423743295</v>
      </c>
      <c r="BF32" s="28">
        <v>2.6791284948</v>
      </c>
      <c r="BG32" s="28">
        <v>2.34423743295</v>
      </c>
      <c r="BH32" s="28">
        <v>2.6791284948</v>
      </c>
      <c r="BI32" s="28">
        <v>1.6744553092500001</v>
      </c>
      <c r="BJ32" s="28">
        <v>1.3395642474</v>
      </c>
      <c r="BK32" s="28">
        <v>2.0093463710999999</v>
      </c>
      <c r="BL32" s="28">
        <v>1.00467318555</v>
      </c>
      <c r="BM32" s="28">
        <v>2.6791284948</v>
      </c>
      <c r="BN32" s="28">
        <v>2.0093463710999999</v>
      </c>
      <c r="BO32" s="28">
        <v>1.6744553092500001</v>
      </c>
      <c r="BP32" s="28">
        <v>2.6791284948</v>
      </c>
      <c r="BQ32" s="28">
        <v>2.34423743295</v>
      </c>
      <c r="BR32" s="28">
        <v>2.6791284948</v>
      </c>
      <c r="BS32" s="28">
        <v>2.6791284948</v>
      </c>
      <c r="BT32" s="28">
        <v>1.6744553092500001</v>
      </c>
      <c r="BU32" s="28">
        <v>2.6791284948</v>
      </c>
      <c r="BV32" s="28">
        <v>1.3395642474</v>
      </c>
      <c r="BW32" s="28">
        <v>1.3395642474</v>
      </c>
      <c r="BX32" s="28">
        <v>2.0093463710999999</v>
      </c>
      <c r="BY32" s="28">
        <v>2.34423743295</v>
      </c>
      <c r="BZ32" s="28">
        <v>2.0093463710999999</v>
      </c>
      <c r="CA32" s="28">
        <v>2.34423743295</v>
      </c>
      <c r="CB32" s="28">
        <v>1.6744553092500001</v>
      </c>
      <c r="CC32" s="28">
        <v>2.6791284948</v>
      </c>
      <c r="CD32" s="28">
        <v>2.6791284948</v>
      </c>
      <c r="CE32" s="28">
        <v>1.6744553092500001</v>
      </c>
      <c r="CF32" s="28">
        <v>1.3395642474</v>
      </c>
      <c r="CG32" s="28">
        <v>2.34423743295</v>
      </c>
      <c r="CH32" s="28">
        <v>1.6744553092500001</v>
      </c>
      <c r="CI32" s="28">
        <v>1.3395642474</v>
      </c>
      <c r="CJ32" s="28">
        <v>1.3395642474</v>
      </c>
      <c r="CK32" s="28">
        <v>2.34423743295</v>
      </c>
      <c r="CL32" s="28">
        <v>2.34423743295</v>
      </c>
      <c r="CM32" s="28">
        <v>1.00467318555</v>
      </c>
      <c r="CN32" s="28">
        <v>1.00467318555</v>
      </c>
      <c r="CO32" s="28">
        <v>2.34423743295</v>
      </c>
      <c r="CP32" s="28">
        <v>1.00467318555</v>
      </c>
      <c r="CQ32" s="28">
        <v>2.6791284948</v>
      </c>
      <c r="CR32" s="28">
        <v>2.0093463710999999</v>
      </c>
      <c r="CS32" s="28">
        <v>1.3395642474</v>
      </c>
      <c r="CT32" s="28">
        <v>2.0692742453257891</v>
      </c>
      <c r="CU32" s="34">
        <v>196.58105330595001</v>
      </c>
    </row>
    <row r="33" spans="1:99" x14ac:dyDescent="0.25">
      <c r="A33" s="24">
        <v>32</v>
      </c>
      <c r="B33" s="26">
        <v>15.5</v>
      </c>
      <c r="C33" s="28">
        <v>1.8296878904000009</v>
      </c>
      <c r="D33" s="28">
        <v>2.4395838538666679</v>
      </c>
      <c r="E33" s="28">
        <v>1.2197919269333339</v>
      </c>
      <c r="F33" s="28">
        <v>2.4395838538666679</v>
      </c>
      <c r="G33" s="28">
        <v>2.4395838538666679</v>
      </c>
      <c r="H33" s="28">
        <v>1.8296878904000009</v>
      </c>
      <c r="I33" s="28">
        <v>2.4395838538666679</v>
      </c>
      <c r="J33" s="28">
        <v>1.8296878904000009</v>
      </c>
      <c r="K33" s="28">
        <v>2.4395838538666679</v>
      </c>
      <c r="L33" s="28">
        <v>2.4395838538666679</v>
      </c>
      <c r="M33" s="28">
        <v>2.4395838538666679</v>
      </c>
      <c r="N33" s="28">
        <v>2.4395838538666679</v>
      </c>
      <c r="O33" s="28">
        <v>1.2197919269333339</v>
      </c>
      <c r="P33" s="28">
        <v>1.8296878904000009</v>
      </c>
      <c r="Q33" s="28">
        <v>0.91484394520000045</v>
      </c>
      <c r="R33" s="28">
        <v>2.4395838538666679</v>
      </c>
      <c r="S33" s="28">
        <v>2.4395838538666679</v>
      </c>
      <c r="T33" s="28">
        <v>1.2197919269333339</v>
      </c>
      <c r="U33" s="28">
        <v>2.4395838538666679</v>
      </c>
      <c r="V33" s="28">
        <v>2.4395838538666679</v>
      </c>
      <c r="W33" s="28">
        <v>2.4395838538666679</v>
      </c>
      <c r="X33" s="28">
        <v>1.8296878904000009</v>
      </c>
      <c r="Y33" s="28">
        <v>2.1346358721333338</v>
      </c>
      <c r="Z33" s="28">
        <v>1.524739908666668</v>
      </c>
      <c r="AA33" s="28">
        <v>0.91484394520000045</v>
      </c>
      <c r="AB33" s="28">
        <v>0.91484394520000045</v>
      </c>
      <c r="AC33" s="28">
        <v>1.2197919269333339</v>
      </c>
      <c r="AD33" s="28">
        <v>0.91484394520000045</v>
      </c>
      <c r="AE33" s="28">
        <v>2.4395838538666679</v>
      </c>
      <c r="AF33" s="28">
        <v>1.524739908666668</v>
      </c>
      <c r="AG33" s="28">
        <v>2.4395838538666679</v>
      </c>
      <c r="AH33" s="28">
        <v>0.91484394520000045</v>
      </c>
      <c r="AI33" s="28">
        <v>2.4395838538666679</v>
      </c>
      <c r="AJ33" s="28">
        <v>2.4395838538666679</v>
      </c>
      <c r="AK33" s="28">
        <v>1.8296878904000009</v>
      </c>
      <c r="AL33" s="28">
        <v>1.2197919269333339</v>
      </c>
      <c r="AM33" s="28">
        <v>2.4395838538666679</v>
      </c>
      <c r="AN33" s="28">
        <v>2.4395838538666679</v>
      </c>
      <c r="AO33" s="28">
        <v>2.4395838538666679</v>
      </c>
      <c r="AP33" s="28">
        <v>2.4395838538666679</v>
      </c>
      <c r="AQ33" s="28">
        <v>1.524739908666668</v>
      </c>
      <c r="AR33" s="28">
        <v>1.2197919269333339</v>
      </c>
      <c r="AS33" s="28">
        <v>2.4395838538666679</v>
      </c>
      <c r="AT33" s="28">
        <v>1.8296878904000009</v>
      </c>
      <c r="AU33" s="28">
        <v>1.2197919269333339</v>
      </c>
      <c r="AV33" s="28">
        <v>2.4395838538666679</v>
      </c>
      <c r="AW33" s="28">
        <v>2.4395838538666679</v>
      </c>
      <c r="AX33" s="28">
        <v>1.8296878904000009</v>
      </c>
      <c r="AY33" s="28">
        <v>1.8296878904000009</v>
      </c>
      <c r="AZ33" s="28">
        <v>1.524739908666668</v>
      </c>
      <c r="BA33" s="28">
        <v>2.1346358721333338</v>
      </c>
      <c r="BB33" s="28">
        <v>1.8296878904000009</v>
      </c>
      <c r="BC33" s="28">
        <v>2.4395838538666679</v>
      </c>
      <c r="BD33" s="28">
        <v>2.1346358721333338</v>
      </c>
      <c r="BE33" s="28">
        <v>2.1346358721333338</v>
      </c>
      <c r="BF33" s="28">
        <v>2.4395838538666679</v>
      </c>
      <c r="BG33" s="28">
        <v>2.1346358721333338</v>
      </c>
      <c r="BH33" s="28">
        <v>2.4395838538666679</v>
      </c>
      <c r="BI33" s="28">
        <v>1.524739908666668</v>
      </c>
      <c r="BJ33" s="28">
        <v>1.2197919269333339</v>
      </c>
      <c r="BK33" s="28">
        <v>1.8296878904000009</v>
      </c>
      <c r="BL33" s="28">
        <v>0.91484394520000045</v>
      </c>
      <c r="BM33" s="28">
        <v>2.4395838538666679</v>
      </c>
      <c r="BN33" s="28">
        <v>1.8296878904000009</v>
      </c>
      <c r="BO33" s="28">
        <v>1.524739908666668</v>
      </c>
      <c r="BP33" s="28">
        <v>2.4395838538666679</v>
      </c>
      <c r="BQ33" s="28">
        <v>2.1346358721333338</v>
      </c>
      <c r="BR33" s="28">
        <v>2.4395838538666679</v>
      </c>
      <c r="BS33" s="28">
        <v>2.4395838538666679</v>
      </c>
      <c r="BT33" s="28">
        <v>1.524739908666668</v>
      </c>
      <c r="BU33" s="28">
        <v>2.4395838538666679</v>
      </c>
      <c r="BV33" s="28">
        <v>1.2197919269333339</v>
      </c>
      <c r="BW33" s="28">
        <v>1.2197919269333339</v>
      </c>
      <c r="BX33" s="28">
        <v>1.8296878904000009</v>
      </c>
      <c r="BY33" s="28">
        <v>2.1346358721333338</v>
      </c>
      <c r="BZ33" s="28">
        <v>1.8296878904000009</v>
      </c>
      <c r="CA33" s="28">
        <v>2.1346358721333338</v>
      </c>
      <c r="CB33" s="28">
        <v>1.524739908666668</v>
      </c>
      <c r="CC33" s="28">
        <v>2.4395838538666679</v>
      </c>
      <c r="CD33" s="28">
        <v>2.4395838538666679</v>
      </c>
      <c r="CE33" s="28">
        <v>1.524739908666668</v>
      </c>
      <c r="CF33" s="28">
        <v>1.2197919269333339</v>
      </c>
      <c r="CG33" s="28">
        <v>2.1346358721333338</v>
      </c>
      <c r="CH33" s="28">
        <v>1.524739908666668</v>
      </c>
      <c r="CI33" s="28">
        <v>1.2197919269333339</v>
      </c>
      <c r="CJ33" s="28">
        <v>1.2197919269333339</v>
      </c>
      <c r="CK33" s="28">
        <v>2.1346358721333338</v>
      </c>
      <c r="CL33" s="28">
        <v>2.1346358721333338</v>
      </c>
      <c r="CM33" s="28">
        <v>0.91484394520000045</v>
      </c>
      <c r="CN33" s="28">
        <v>0.91484394520000045</v>
      </c>
      <c r="CO33" s="28">
        <v>2.1346358721333338</v>
      </c>
      <c r="CP33" s="28">
        <v>0.91484394520000045</v>
      </c>
      <c r="CQ33" s="28">
        <v>2.4395838538666679</v>
      </c>
      <c r="CR33" s="28">
        <v>1.8296878904000009</v>
      </c>
      <c r="CS33" s="28">
        <v>1.2197919269333339</v>
      </c>
      <c r="CT33" s="28">
        <v>1.884257529236494</v>
      </c>
      <c r="CU33" s="34">
        <v>179.00446527746689</v>
      </c>
    </row>
    <row r="34" spans="1:99" x14ac:dyDescent="0.25">
      <c r="A34" s="24">
        <v>33</v>
      </c>
      <c r="B34" s="26">
        <v>16</v>
      </c>
      <c r="C34" s="28">
        <v>1.627350042999999</v>
      </c>
      <c r="D34" s="28">
        <v>2.1698000573333318</v>
      </c>
      <c r="E34" s="28">
        <v>1.0849000286666659</v>
      </c>
      <c r="F34" s="28">
        <v>2.1698000573333318</v>
      </c>
      <c r="G34" s="28">
        <v>2.1698000573333318</v>
      </c>
      <c r="H34" s="28">
        <v>1.627350042999999</v>
      </c>
      <c r="I34" s="28">
        <v>2.1698000573333318</v>
      </c>
      <c r="J34" s="28">
        <v>1.627350042999999</v>
      </c>
      <c r="K34" s="28">
        <v>2.1698000573333318</v>
      </c>
      <c r="L34" s="28">
        <v>2.1698000573333318</v>
      </c>
      <c r="M34" s="28">
        <v>2.1698000573333318</v>
      </c>
      <c r="N34" s="28">
        <v>2.1698000573333318</v>
      </c>
      <c r="O34" s="28">
        <v>1.0849000286666659</v>
      </c>
      <c r="P34" s="28">
        <v>1.627350042999999</v>
      </c>
      <c r="Q34" s="28">
        <v>0.81367502149999948</v>
      </c>
      <c r="R34" s="28">
        <v>2.1698000573333318</v>
      </c>
      <c r="S34" s="28">
        <v>2.1698000573333318</v>
      </c>
      <c r="T34" s="28">
        <v>1.0849000286666659</v>
      </c>
      <c r="U34" s="28">
        <v>2.1698000573333318</v>
      </c>
      <c r="V34" s="28">
        <v>2.1698000573333318</v>
      </c>
      <c r="W34" s="28">
        <v>2.1698000573333318</v>
      </c>
      <c r="X34" s="28">
        <v>1.627350042999999</v>
      </c>
      <c r="Y34" s="28">
        <v>1.8985750501666649</v>
      </c>
      <c r="Z34" s="28">
        <v>1.3561250358333321</v>
      </c>
      <c r="AA34" s="28">
        <v>0.81367502149999948</v>
      </c>
      <c r="AB34" s="28">
        <v>0.81367502149999948</v>
      </c>
      <c r="AC34" s="28">
        <v>1.0849000286666659</v>
      </c>
      <c r="AD34" s="28">
        <v>0.81367502149999948</v>
      </c>
      <c r="AE34" s="28">
        <v>2.1698000573333318</v>
      </c>
      <c r="AF34" s="28">
        <v>1.3561250358333321</v>
      </c>
      <c r="AG34" s="28">
        <v>2.1698000573333318</v>
      </c>
      <c r="AH34" s="28">
        <v>0.81367502149999948</v>
      </c>
      <c r="AI34" s="28">
        <v>2.1698000573333318</v>
      </c>
      <c r="AJ34" s="28">
        <v>2.1698000573333318</v>
      </c>
      <c r="AK34" s="28">
        <v>1.627350042999999</v>
      </c>
      <c r="AL34" s="28">
        <v>1.0849000286666659</v>
      </c>
      <c r="AM34" s="28">
        <v>2.1698000573333318</v>
      </c>
      <c r="AN34" s="28">
        <v>2.1698000573333318</v>
      </c>
      <c r="AO34" s="28">
        <v>2.1698000573333318</v>
      </c>
      <c r="AP34" s="28">
        <v>2.1698000573333318</v>
      </c>
      <c r="AQ34" s="28">
        <v>1.3561250358333321</v>
      </c>
      <c r="AR34" s="28">
        <v>1.0849000286666659</v>
      </c>
      <c r="AS34" s="28">
        <v>2.1698000573333318</v>
      </c>
      <c r="AT34" s="28">
        <v>1.627350042999999</v>
      </c>
      <c r="AU34" s="28">
        <v>1.0849000286666659</v>
      </c>
      <c r="AV34" s="28">
        <v>2.1698000573333318</v>
      </c>
      <c r="AW34" s="28">
        <v>2.1698000573333318</v>
      </c>
      <c r="AX34" s="28">
        <v>1.627350042999999</v>
      </c>
      <c r="AY34" s="28">
        <v>1.627350042999999</v>
      </c>
      <c r="AZ34" s="28">
        <v>1.3561250358333321</v>
      </c>
      <c r="BA34" s="28">
        <v>1.8985750501666649</v>
      </c>
      <c r="BB34" s="28">
        <v>1.627350042999999</v>
      </c>
      <c r="BC34" s="28">
        <v>2.1698000573333318</v>
      </c>
      <c r="BD34" s="28">
        <v>1.8985750501666649</v>
      </c>
      <c r="BE34" s="28">
        <v>1.8985750501666649</v>
      </c>
      <c r="BF34" s="28">
        <v>2.1698000573333318</v>
      </c>
      <c r="BG34" s="28">
        <v>1.8985750501666649</v>
      </c>
      <c r="BH34" s="28">
        <v>2.1698000573333318</v>
      </c>
      <c r="BI34" s="28">
        <v>1.3561250358333321</v>
      </c>
      <c r="BJ34" s="28">
        <v>1.0849000286666659</v>
      </c>
      <c r="BK34" s="28">
        <v>1.627350042999999</v>
      </c>
      <c r="BL34" s="28">
        <v>0.81367502149999948</v>
      </c>
      <c r="BM34" s="28">
        <v>2.1698000573333318</v>
      </c>
      <c r="BN34" s="28">
        <v>1.627350042999999</v>
      </c>
      <c r="BO34" s="28">
        <v>1.3561250358333321</v>
      </c>
      <c r="BP34" s="28">
        <v>2.1698000573333318</v>
      </c>
      <c r="BQ34" s="28">
        <v>1.8985750501666649</v>
      </c>
      <c r="BR34" s="28">
        <v>2.1698000573333318</v>
      </c>
      <c r="BS34" s="28">
        <v>2.1698000573333318</v>
      </c>
      <c r="BT34" s="28">
        <v>1.3561250358333321</v>
      </c>
      <c r="BU34" s="28">
        <v>2.1698000573333318</v>
      </c>
      <c r="BV34" s="28">
        <v>1.0849000286666659</v>
      </c>
      <c r="BW34" s="28">
        <v>1.0849000286666659</v>
      </c>
      <c r="BX34" s="28">
        <v>1.627350042999999</v>
      </c>
      <c r="BY34" s="28">
        <v>1.8985750501666649</v>
      </c>
      <c r="BZ34" s="28">
        <v>1.627350042999999</v>
      </c>
      <c r="CA34" s="28">
        <v>1.8985750501666649</v>
      </c>
      <c r="CB34" s="28">
        <v>1.3561250358333321</v>
      </c>
      <c r="CC34" s="28">
        <v>2.1698000573333318</v>
      </c>
      <c r="CD34" s="28">
        <v>2.1698000573333318</v>
      </c>
      <c r="CE34" s="28">
        <v>1.3561250358333321</v>
      </c>
      <c r="CF34" s="28">
        <v>1.0849000286666659</v>
      </c>
      <c r="CG34" s="28">
        <v>1.8985750501666649</v>
      </c>
      <c r="CH34" s="28">
        <v>1.3561250358333321</v>
      </c>
      <c r="CI34" s="28">
        <v>1.0849000286666659</v>
      </c>
      <c r="CJ34" s="28">
        <v>1.0849000286666659</v>
      </c>
      <c r="CK34" s="28">
        <v>1.8985750501666649</v>
      </c>
      <c r="CL34" s="28">
        <v>1.8985750501666649</v>
      </c>
      <c r="CM34" s="28">
        <v>0.81367502149999948</v>
      </c>
      <c r="CN34" s="28">
        <v>0.81367502149999948</v>
      </c>
      <c r="CO34" s="28">
        <v>1.8985750501666649</v>
      </c>
      <c r="CP34" s="28">
        <v>0.81367502149999948</v>
      </c>
      <c r="CQ34" s="28">
        <v>2.1698000573333318</v>
      </c>
      <c r="CR34" s="28">
        <v>1.627350042999999</v>
      </c>
      <c r="CS34" s="28">
        <v>1.0849000286666659</v>
      </c>
      <c r="CT34" s="28">
        <v>1.6758850442824551</v>
      </c>
      <c r="CU34" s="34">
        <v>159.2090792068332</v>
      </c>
    </row>
    <row r="35" spans="1:99" x14ac:dyDescent="0.25">
      <c r="A35" s="24">
        <v>34</v>
      </c>
      <c r="B35" s="26">
        <v>16.5</v>
      </c>
      <c r="C35" s="28">
        <v>1.3830534546999991</v>
      </c>
      <c r="D35" s="28">
        <v>1.844071272933332</v>
      </c>
      <c r="E35" s="28">
        <v>0.92203563646666598</v>
      </c>
      <c r="F35" s="28">
        <v>1.844071272933332</v>
      </c>
      <c r="G35" s="28">
        <v>1.844071272933332</v>
      </c>
      <c r="H35" s="28">
        <v>1.3830534546999991</v>
      </c>
      <c r="I35" s="28">
        <v>1.844071272933332</v>
      </c>
      <c r="J35" s="28">
        <v>1.3830534546999991</v>
      </c>
      <c r="K35" s="28">
        <v>1.844071272933332</v>
      </c>
      <c r="L35" s="28">
        <v>1.844071272933332</v>
      </c>
      <c r="M35" s="28">
        <v>1.844071272933332</v>
      </c>
      <c r="N35" s="28">
        <v>1.844071272933332</v>
      </c>
      <c r="O35" s="28">
        <v>0.92203563646666598</v>
      </c>
      <c r="P35" s="28">
        <v>1.3830534546999991</v>
      </c>
      <c r="Q35" s="28">
        <v>0.69152672734999943</v>
      </c>
      <c r="R35" s="28">
        <v>1.844071272933332</v>
      </c>
      <c r="S35" s="28">
        <v>1.844071272933332</v>
      </c>
      <c r="T35" s="28">
        <v>0.92203563646666598</v>
      </c>
      <c r="U35" s="28">
        <v>1.844071272933332</v>
      </c>
      <c r="V35" s="28">
        <v>1.844071272933332</v>
      </c>
      <c r="W35" s="28">
        <v>1.844071272933332</v>
      </c>
      <c r="X35" s="28">
        <v>1.3830534546999991</v>
      </c>
      <c r="Y35" s="28">
        <v>1.613562363816665</v>
      </c>
      <c r="Z35" s="28">
        <v>1.152544545583333</v>
      </c>
      <c r="AA35" s="28">
        <v>0.69152672734999943</v>
      </c>
      <c r="AB35" s="28">
        <v>0.69152672734999943</v>
      </c>
      <c r="AC35" s="28">
        <v>0.92203563646666598</v>
      </c>
      <c r="AD35" s="28">
        <v>0.69152672734999943</v>
      </c>
      <c r="AE35" s="28">
        <v>1.844071272933332</v>
      </c>
      <c r="AF35" s="28">
        <v>1.152544545583333</v>
      </c>
      <c r="AG35" s="28">
        <v>1.844071272933332</v>
      </c>
      <c r="AH35" s="28">
        <v>0.69152672734999943</v>
      </c>
      <c r="AI35" s="28">
        <v>1.844071272933332</v>
      </c>
      <c r="AJ35" s="28">
        <v>1.844071272933332</v>
      </c>
      <c r="AK35" s="28">
        <v>1.3830534546999991</v>
      </c>
      <c r="AL35" s="28">
        <v>0.92203563646666598</v>
      </c>
      <c r="AM35" s="28">
        <v>1.844071272933332</v>
      </c>
      <c r="AN35" s="28">
        <v>1.844071272933332</v>
      </c>
      <c r="AO35" s="28">
        <v>1.844071272933332</v>
      </c>
      <c r="AP35" s="28">
        <v>1.844071272933332</v>
      </c>
      <c r="AQ35" s="28">
        <v>1.152544545583333</v>
      </c>
      <c r="AR35" s="28">
        <v>0.92203563646666598</v>
      </c>
      <c r="AS35" s="28">
        <v>1.844071272933332</v>
      </c>
      <c r="AT35" s="28">
        <v>1.3830534546999991</v>
      </c>
      <c r="AU35" s="28">
        <v>0.92203563646666598</v>
      </c>
      <c r="AV35" s="28">
        <v>1.844071272933332</v>
      </c>
      <c r="AW35" s="28">
        <v>1.844071272933332</v>
      </c>
      <c r="AX35" s="28">
        <v>1.3830534546999991</v>
      </c>
      <c r="AY35" s="28">
        <v>1.3830534546999991</v>
      </c>
      <c r="AZ35" s="28">
        <v>1.152544545583333</v>
      </c>
      <c r="BA35" s="28">
        <v>1.613562363816665</v>
      </c>
      <c r="BB35" s="28">
        <v>1.3830534546999991</v>
      </c>
      <c r="BC35" s="28">
        <v>1.844071272933332</v>
      </c>
      <c r="BD35" s="28">
        <v>1.613562363816665</v>
      </c>
      <c r="BE35" s="28">
        <v>1.613562363816665</v>
      </c>
      <c r="BF35" s="28">
        <v>1.844071272933332</v>
      </c>
      <c r="BG35" s="28">
        <v>1.613562363816665</v>
      </c>
      <c r="BH35" s="28">
        <v>1.844071272933332</v>
      </c>
      <c r="BI35" s="28">
        <v>1.152544545583333</v>
      </c>
      <c r="BJ35" s="28">
        <v>0.92203563646666598</v>
      </c>
      <c r="BK35" s="28">
        <v>1.3830534546999991</v>
      </c>
      <c r="BL35" s="28">
        <v>0.69152672734999943</v>
      </c>
      <c r="BM35" s="28">
        <v>1.844071272933332</v>
      </c>
      <c r="BN35" s="28">
        <v>1.3830534546999991</v>
      </c>
      <c r="BO35" s="28">
        <v>1.152544545583333</v>
      </c>
      <c r="BP35" s="28">
        <v>1.844071272933332</v>
      </c>
      <c r="BQ35" s="28">
        <v>1.613562363816665</v>
      </c>
      <c r="BR35" s="28">
        <v>1.844071272933332</v>
      </c>
      <c r="BS35" s="28">
        <v>1.844071272933332</v>
      </c>
      <c r="BT35" s="28">
        <v>1.152544545583333</v>
      </c>
      <c r="BU35" s="28">
        <v>1.844071272933332</v>
      </c>
      <c r="BV35" s="28">
        <v>0.92203563646666598</v>
      </c>
      <c r="BW35" s="28">
        <v>0.92203563646666598</v>
      </c>
      <c r="BX35" s="28">
        <v>1.3830534546999991</v>
      </c>
      <c r="BY35" s="28">
        <v>1.613562363816665</v>
      </c>
      <c r="BZ35" s="28">
        <v>1.3830534546999991</v>
      </c>
      <c r="CA35" s="28">
        <v>1.613562363816665</v>
      </c>
      <c r="CB35" s="28">
        <v>1.152544545583333</v>
      </c>
      <c r="CC35" s="28">
        <v>1.844071272933332</v>
      </c>
      <c r="CD35" s="28">
        <v>1.844071272933332</v>
      </c>
      <c r="CE35" s="28">
        <v>1.152544545583333</v>
      </c>
      <c r="CF35" s="28">
        <v>0.92203563646666598</v>
      </c>
      <c r="CG35" s="28">
        <v>1.613562363816665</v>
      </c>
      <c r="CH35" s="28">
        <v>1.152544545583333</v>
      </c>
      <c r="CI35" s="28">
        <v>0.92203563646666598</v>
      </c>
      <c r="CJ35" s="28">
        <v>0.92203563646666598</v>
      </c>
      <c r="CK35" s="28">
        <v>1.613562363816665</v>
      </c>
      <c r="CL35" s="28">
        <v>1.613562363816665</v>
      </c>
      <c r="CM35" s="28">
        <v>0.69152672734999943</v>
      </c>
      <c r="CN35" s="28">
        <v>0.69152672734999943</v>
      </c>
      <c r="CO35" s="28">
        <v>1.613562363816665</v>
      </c>
      <c r="CP35" s="28">
        <v>0.69152672734999943</v>
      </c>
      <c r="CQ35" s="28">
        <v>1.844071272933332</v>
      </c>
      <c r="CR35" s="28">
        <v>1.3830534546999991</v>
      </c>
      <c r="CS35" s="28">
        <v>0.92203563646666598</v>
      </c>
      <c r="CT35" s="28">
        <v>1.4243024173840351</v>
      </c>
      <c r="CU35" s="34">
        <v>135.30872965148339</v>
      </c>
    </row>
    <row r="36" spans="1:99" x14ac:dyDescent="0.25">
      <c r="A36" s="24">
        <v>35</v>
      </c>
      <c r="B36" s="26">
        <v>17</v>
      </c>
      <c r="C36" s="28">
        <v>1.1544087954999991</v>
      </c>
      <c r="D36" s="28">
        <v>1.5392117273333319</v>
      </c>
      <c r="E36" s="28">
        <v>0.76960586366666595</v>
      </c>
      <c r="F36" s="28">
        <v>1.5392117273333319</v>
      </c>
      <c r="G36" s="28">
        <v>1.5392117273333319</v>
      </c>
      <c r="H36" s="28">
        <v>1.1544087954999991</v>
      </c>
      <c r="I36" s="28">
        <v>1.5392117273333319</v>
      </c>
      <c r="J36" s="28">
        <v>1.1544087954999991</v>
      </c>
      <c r="K36" s="28">
        <v>1.5392117273333319</v>
      </c>
      <c r="L36" s="28">
        <v>1.5392117273333319</v>
      </c>
      <c r="M36" s="28">
        <v>1.5392117273333319</v>
      </c>
      <c r="N36" s="28">
        <v>1.5392117273333319</v>
      </c>
      <c r="O36" s="28">
        <v>0.76960586366666595</v>
      </c>
      <c r="P36" s="28">
        <v>1.1544087954999991</v>
      </c>
      <c r="Q36" s="28">
        <v>0.57720439774999943</v>
      </c>
      <c r="R36" s="28">
        <v>1.5392117273333319</v>
      </c>
      <c r="S36" s="28">
        <v>1.5392117273333319</v>
      </c>
      <c r="T36" s="28">
        <v>0.76960586366666595</v>
      </c>
      <c r="U36" s="28">
        <v>1.5392117273333319</v>
      </c>
      <c r="V36" s="28">
        <v>1.5392117273333319</v>
      </c>
      <c r="W36" s="28">
        <v>1.5392117273333319</v>
      </c>
      <c r="X36" s="28">
        <v>1.1544087954999991</v>
      </c>
      <c r="Y36" s="28">
        <v>1.346810261416665</v>
      </c>
      <c r="Z36" s="28">
        <v>0.96200732958333246</v>
      </c>
      <c r="AA36" s="28">
        <v>0.57720439774999943</v>
      </c>
      <c r="AB36" s="28">
        <v>0.57720439774999943</v>
      </c>
      <c r="AC36" s="28">
        <v>0.76960586366666595</v>
      </c>
      <c r="AD36" s="28">
        <v>0.57720439774999943</v>
      </c>
      <c r="AE36" s="28">
        <v>1.5392117273333319</v>
      </c>
      <c r="AF36" s="28">
        <v>0.96200732958333246</v>
      </c>
      <c r="AG36" s="28">
        <v>1.5392117273333319</v>
      </c>
      <c r="AH36" s="28">
        <v>0.57720439774999943</v>
      </c>
      <c r="AI36" s="28">
        <v>1.5392117273333319</v>
      </c>
      <c r="AJ36" s="28">
        <v>1.5392117273333319</v>
      </c>
      <c r="AK36" s="28">
        <v>1.1544087954999991</v>
      </c>
      <c r="AL36" s="28">
        <v>0.76960586366666595</v>
      </c>
      <c r="AM36" s="28">
        <v>1.5392117273333319</v>
      </c>
      <c r="AN36" s="28">
        <v>1.5392117273333319</v>
      </c>
      <c r="AO36" s="28">
        <v>1.5392117273333319</v>
      </c>
      <c r="AP36" s="28">
        <v>1.5392117273333319</v>
      </c>
      <c r="AQ36" s="28">
        <v>0.96200732958333246</v>
      </c>
      <c r="AR36" s="28">
        <v>0.76960586366666595</v>
      </c>
      <c r="AS36" s="28">
        <v>1.5392117273333319</v>
      </c>
      <c r="AT36" s="28">
        <v>1.1544087954999991</v>
      </c>
      <c r="AU36" s="28">
        <v>0.76960586366666595</v>
      </c>
      <c r="AV36" s="28">
        <v>1.5392117273333319</v>
      </c>
      <c r="AW36" s="28">
        <v>1.5392117273333319</v>
      </c>
      <c r="AX36" s="28">
        <v>1.1544087954999991</v>
      </c>
      <c r="AY36" s="28">
        <v>1.1544087954999991</v>
      </c>
      <c r="AZ36" s="28">
        <v>0.96200732958333246</v>
      </c>
      <c r="BA36" s="28">
        <v>1.346810261416665</v>
      </c>
      <c r="BB36" s="28">
        <v>1.1544087954999991</v>
      </c>
      <c r="BC36" s="28">
        <v>1.5392117273333319</v>
      </c>
      <c r="BD36" s="28">
        <v>1.346810261416665</v>
      </c>
      <c r="BE36" s="28">
        <v>1.346810261416665</v>
      </c>
      <c r="BF36" s="28">
        <v>1.5392117273333319</v>
      </c>
      <c r="BG36" s="28">
        <v>1.346810261416665</v>
      </c>
      <c r="BH36" s="28">
        <v>1.5392117273333319</v>
      </c>
      <c r="BI36" s="28">
        <v>0.96200732958333246</v>
      </c>
      <c r="BJ36" s="28">
        <v>0.76960586366666595</v>
      </c>
      <c r="BK36" s="28">
        <v>1.1544087954999991</v>
      </c>
      <c r="BL36" s="28">
        <v>0.57720439774999943</v>
      </c>
      <c r="BM36" s="28">
        <v>1.5392117273333319</v>
      </c>
      <c r="BN36" s="28">
        <v>1.1544087954999991</v>
      </c>
      <c r="BO36" s="28">
        <v>0.96200732958333246</v>
      </c>
      <c r="BP36" s="28">
        <v>1.5392117273333319</v>
      </c>
      <c r="BQ36" s="28">
        <v>1.346810261416665</v>
      </c>
      <c r="BR36" s="28">
        <v>1.5392117273333319</v>
      </c>
      <c r="BS36" s="28">
        <v>1.5392117273333319</v>
      </c>
      <c r="BT36" s="28">
        <v>0.96200732958333246</v>
      </c>
      <c r="BU36" s="28">
        <v>1.5392117273333319</v>
      </c>
      <c r="BV36" s="28">
        <v>0.76960586366666595</v>
      </c>
      <c r="BW36" s="28">
        <v>0.76960586366666595</v>
      </c>
      <c r="BX36" s="28">
        <v>1.1544087954999991</v>
      </c>
      <c r="BY36" s="28">
        <v>1.346810261416665</v>
      </c>
      <c r="BZ36" s="28">
        <v>1.1544087954999991</v>
      </c>
      <c r="CA36" s="28">
        <v>1.346810261416665</v>
      </c>
      <c r="CB36" s="28">
        <v>0.96200732958333246</v>
      </c>
      <c r="CC36" s="28">
        <v>1.5392117273333319</v>
      </c>
      <c r="CD36" s="28">
        <v>1.5392117273333319</v>
      </c>
      <c r="CE36" s="28">
        <v>0.96200732958333246</v>
      </c>
      <c r="CF36" s="28">
        <v>0.76960586366666595</v>
      </c>
      <c r="CG36" s="28">
        <v>1.346810261416665</v>
      </c>
      <c r="CH36" s="28">
        <v>0.96200732958333246</v>
      </c>
      <c r="CI36" s="28">
        <v>0.76960586366666595</v>
      </c>
      <c r="CJ36" s="28">
        <v>0.76960586366666595</v>
      </c>
      <c r="CK36" s="28">
        <v>1.346810261416665</v>
      </c>
      <c r="CL36" s="28">
        <v>1.346810261416665</v>
      </c>
      <c r="CM36" s="28">
        <v>0.57720439774999943</v>
      </c>
      <c r="CN36" s="28">
        <v>0.57720439774999943</v>
      </c>
      <c r="CO36" s="28">
        <v>1.346810261416665</v>
      </c>
      <c r="CP36" s="28">
        <v>0.57720439774999943</v>
      </c>
      <c r="CQ36" s="28">
        <v>1.5392117273333319</v>
      </c>
      <c r="CR36" s="28">
        <v>1.1544087954999991</v>
      </c>
      <c r="CS36" s="28">
        <v>0.76960586366666595</v>
      </c>
      <c r="CT36" s="28">
        <v>1.1888385315061401</v>
      </c>
      <c r="CU36" s="34">
        <v>112.9396604930833</v>
      </c>
    </row>
    <row r="37" spans="1:99" x14ac:dyDescent="0.25">
      <c r="A37" s="24">
        <v>36</v>
      </c>
      <c r="B37" s="26">
        <v>17.5</v>
      </c>
      <c r="C37" s="28">
        <v>0.9194622159000001</v>
      </c>
      <c r="D37" s="28">
        <v>1.2259496212000001</v>
      </c>
      <c r="E37" s="28">
        <v>0.61297481060000003</v>
      </c>
      <c r="F37" s="28">
        <v>1.2259496212000001</v>
      </c>
      <c r="G37" s="28">
        <v>1.2259496212000001</v>
      </c>
      <c r="H37" s="28">
        <v>0.9194622159000001</v>
      </c>
      <c r="I37" s="28">
        <v>1.2259496212000001</v>
      </c>
      <c r="J37" s="28">
        <v>0.9194622159000001</v>
      </c>
      <c r="K37" s="28">
        <v>1.2259496212000001</v>
      </c>
      <c r="L37" s="28">
        <v>1.2259496212000001</v>
      </c>
      <c r="M37" s="28">
        <v>1.2259496212000001</v>
      </c>
      <c r="N37" s="28">
        <v>1.2259496212000001</v>
      </c>
      <c r="O37" s="28">
        <v>0.61297481060000003</v>
      </c>
      <c r="P37" s="28">
        <v>0.9194622159000001</v>
      </c>
      <c r="Q37" s="28">
        <v>0.45973110795000011</v>
      </c>
      <c r="R37" s="28">
        <v>1.2259496212000001</v>
      </c>
      <c r="S37" s="28">
        <v>1.2259496212000001</v>
      </c>
      <c r="T37" s="28">
        <v>0.61297481060000003</v>
      </c>
      <c r="U37" s="28">
        <v>1.2259496212000001</v>
      </c>
      <c r="V37" s="28">
        <v>1.2259496212000001</v>
      </c>
      <c r="W37" s="28">
        <v>1.2259496212000001</v>
      </c>
      <c r="X37" s="28">
        <v>0.9194622159000001</v>
      </c>
      <c r="Y37" s="28">
        <v>1.0727059185500001</v>
      </c>
      <c r="Z37" s="28">
        <v>0.76621851325000001</v>
      </c>
      <c r="AA37" s="28">
        <v>0.45973110795000011</v>
      </c>
      <c r="AB37" s="28">
        <v>0.45973110795000011</v>
      </c>
      <c r="AC37" s="28">
        <v>0.61297481060000003</v>
      </c>
      <c r="AD37" s="28">
        <v>0.45973110795000011</v>
      </c>
      <c r="AE37" s="28">
        <v>1.2259496212000001</v>
      </c>
      <c r="AF37" s="28">
        <v>0.76621851325000001</v>
      </c>
      <c r="AG37" s="28">
        <v>1.2259496212000001</v>
      </c>
      <c r="AH37" s="28">
        <v>0.45973110795000011</v>
      </c>
      <c r="AI37" s="28">
        <v>1.2259496212000001</v>
      </c>
      <c r="AJ37" s="28">
        <v>1.2259496212000001</v>
      </c>
      <c r="AK37" s="28">
        <v>0.9194622159000001</v>
      </c>
      <c r="AL37" s="28">
        <v>0.61297481060000003</v>
      </c>
      <c r="AM37" s="28">
        <v>1.2259496212000001</v>
      </c>
      <c r="AN37" s="28">
        <v>1.2259496212000001</v>
      </c>
      <c r="AO37" s="28">
        <v>1.2259496212000001</v>
      </c>
      <c r="AP37" s="28">
        <v>1.2259496212000001</v>
      </c>
      <c r="AQ37" s="28">
        <v>0.76621851325000001</v>
      </c>
      <c r="AR37" s="28">
        <v>0.61297481060000003</v>
      </c>
      <c r="AS37" s="28">
        <v>1.2259496212000001</v>
      </c>
      <c r="AT37" s="28">
        <v>0.9194622159000001</v>
      </c>
      <c r="AU37" s="28">
        <v>0.61297481060000003</v>
      </c>
      <c r="AV37" s="28">
        <v>1.2259496212000001</v>
      </c>
      <c r="AW37" s="28">
        <v>1.2259496212000001</v>
      </c>
      <c r="AX37" s="28">
        <v>0.9194622159000001</v>
      </c>
      <c r="AY37" s="28">
        <v>0.9194622159000001</v>
      </c>
      <c r="AZ37" s="28">
        <v>0.76621851325000001</v>
      </c>
      <c r="BA37" s="28">
        <v>1.0727059185500001</v>
      </c>
      <c r="BB37" s="28">
        <v>0.9194622159000001</v>
      </c>
      <c r="BC37" s="28">
        <v>1.2259496212000001</v>
      </c>
      <c r="BD37" s="28">
        <v>1.0727059185500001</v>
      </c>
      <c r="BE37" s="28">
        <v>1.0727059185500001</v>
      </c>
      <c r="BF37" s="28">
        <v>1.2259496212000001</v>
      </c>
      <c r="BG37" s="28">
        <v>1.0727059185500001</v>
      </c>
      <c r="BH37" s="28">
        <v>1.2259496212000001</v>
      </c>
      <c r="BI37" s="28">
        <v>0.76621851325000001</v>
      </c>
      <c r="BJ37" s="28">
        <v>0.61297481060000003</v>
      </c>
      <c r="BK37" s="28">
        <v>0.9194622159000001</v>
      </c>
      <c r="BL37" s="28">
        <v>0.45973110795000011</v>
      </c>
      <c r="BM37" s="28">
        <v>1.2259496212000001</v>
      </c>
      <c r="BN37" s="28">
        <v>0.9194622159000001</v>
      </c>
      <c r="BO37" s="28">
        <v>0.76621851325000001</v>
      </c>
      <c r="BP37" s="28">
        <v>1.2259496212000001</v>
      </c>
      <c r="BQ37" s="28">
        <v>1.0727059185500001</v>
      </c>
      <c r="BR37" s="28">
        <v>1.2259496212000001</v>
      </c>
      <c r="BS37" s="28">
        <v>1.2259496212000001</v>
      </c>
      <c r="BT37" s="28">
        <v>0.76621851325000001</v>
      </c>
      <c r="BU37" s="28">
        <v>1.2259496212000001</v>
      </c>
      <c r="BV37" s="28">
        <v>0.61297481060000003</v>
      </c>
      <c r="BW37" s="28">
        <v>0.61297481060000003</v>
      </c>
      <c r="BX37" s="28">
        <v>0.9194622159000001</v>
      </c>
      <c r="BY37" s="28">
        <v>1.0727059185500001</v>
      </c>
      <c r="BZ37" s="28">
        <v>0.9194622159000001</v>
      </c>
      <c r="CA37" s="28">
        <v>1.0727059185500001</v>
      </c>
      <c r="CB37" s="28">
        <v>0.76621851325000001</v>
      </c>
      <c r="CC37" s="28">
        <v>1.2259496212000001</v>
      </c>
      <c r="CD37" s="28">
        <v>1.2259496212000001</v>
      </c>
      <c r="CE37" s="28">
        <v>0.76621851325000001</v>
      </c>
      <c r="CF37" s="28">
        <v>0.61297481060000003</v>
      </c>
      <c r="CG37" s="28">
        <v>1.0727059185500001</v>
      </c>
      <c r="CH37" s="28">
        <v>0.76621851325000001</v>
      </c>
      <c r="CI37" s="28">
        <v>0.61297481060000003</v>
      </c>
      <c r="CJ37" s="28">
        <v>0.61297481060000003</v>
      </c>
      <c r="CK37" s="28">
        <v>1.0727059185500001</v>
      </c>
      <c r="CL37" s="28">
        <v>1.0727059185500001</v>
      </c>
      <c r="CM37" s="28">
        <v>0.45973110795000011</v>
      </c>
      <c r="CN37" s="28">
        <v>0.45973110795000011</v>
      </c>
      <c r="CO37" s="28">
        <v>1.0727059185500001</v>
      </c>
      <c r="CP37" s="28">
        <v>0.45973110795000011</v>
      </c>
      <c r="CQ37" s="28">
        <v>1.2259496212000001</v>
      </c>
      <c r="CR37" s="28">
        <v>0.9194622159000001</v>
      </c>
      <c r="CS37" s="28">
        <v>0.61297481060000003</v>
      </c>
      <c r="CT37" s="28">
        <v>0.94688477321631559</v>
      </c>
      <c r="CU37" s="34">
        <v>89.954053455549982</v>
      </c>
    </row>
    <row r="38" spans="1:99" x14ac:dyDescent="0.25">
      <c r="A38" s="24">
        <v>37</v>
      </c>
      <c r="B38" s="26">
        <v>18</v>
      </c>
      <c r="C38" s="28">
        <v>0.69218770100000104</v>
      </c>
      <c r="D38" s="28">
        <v>0.92291693466666802</v>
      </c>
      <c r="E38" s="28">
        <v>0.46145846733333401</v>
      </c>
      <c r="F38" s="28">
        <v>0.92291693466666802</v>
      </c>
      <c r="G38" s="28">
        <v>0.92291693466666802</v>
      </c>
      <c r="H38" s="28">
        <v>0.69218770100000104</v>
      </c>
      <c r="I38" s="28">
        <v>0.92291693466666802</v>
      </c>
      <c r="J38" s="28">
        <v>0.69218770100000104</v>
      </c>
      <c r="K38" s="28">
        <v>0.92291693466666802</v>
      </c>
      <c r="L38" s="28">
        <v>0.92291693466666802</v>
      </c>
      <c r="M38" s="28">
        <v>0.92291693466666802</v>
      </c>
      <c r="N38" s="28">
        <v>0.92291693466666802</v>
      </c>
      <c r="O38" s="28">
        <v>0.46145846733333401</v>
      </c>
      <c r="P38" s="28">
        <v>0.69218770100000104</v>
      </c>
      <c r="Q38" s="28">
        <v>0.34609385050000052</v>
      </c>
      <c r="R38" s="28">
        <v>0.92291693466666802</v>
      </c>
      <c r="S38" s="28">
        <v>0.92291693466666802</v>
      </c>
      <c r="T38" s="28">
        <v>0.46145846733333401</v>
      </c>
      <c r="U38" s="28">
        <v>0.92291693466666802</v>
      </c>
      <c r="V38" s="28">
        <v>0.92291693466666802</v>
      </c>
      <c r="W38" s="28">
        <v>0.92291693466666802</v>
      </c>
      <c r="X38" s="28">
        <v>0.69218770100000104</v>
      </c>
      <c r="Y38" s="28">
        <v>0.80755231783333448</v>
      </c>
      <c r="Z38" s="28">
        <v>0.5768230841666675</v>
      </c>
      <c r="AA38" s="28">
        <v>0.34609385050000052</v>
      </c>
      <c r="AB38" s="28">
        <v>0.34609385050000052</v>
      </c>
      <c r="AC38" s="28">
        <v>0.46145846733333401</v>
      </c>
      <c r="AD38" s="28">
        <v>0.34609385050000052</v>
      </c>
      <c r="AE38" s="28">
        <v>0.92291693466666802</v>
      </c>
      <c r="AF38" s="28">
        <v>0.5768230841666675</v>
      </c>
      <c r="AG38" s="28">
        <v>0.92291693466666802</v>
      </c>
      <c r="AH38" s="28">
        <v>0.34609385050000052</v>
      </c>
      <c r="AI38" s="28">
        <v>0.92291693466666802</v>
      </c>
      <c r="AJ38" s="28">
        <v>0.92291693466666802</v>
      </c>
      <c r="AK38" s="28">
        <v>0.69218770100000104</v>
      </c>
      <c r="AL38" s="28">
        <v>0.46145846733333401</v>
      </c>
      <c r="AM38" s="28">
        <v>0.92291693466666802</v>
      </c>
      <c r="AN38" s="28">
        <v>0.92291693466666802</v>
      </c>
      <c r="AO38" s="28">
        <v>0.92291693466666802</v>
      </c>
      <c r="AP38" s="28">
        <v>0.92291693466666802</v>
      </c>
      <c r="AQ38" s="28">
        <v>0.5768230841666675</v>
      </c>
      <c r="AR38" s="28">
        <v>0.46145846733333401</v>
      </c>
      <c r="AS38" s="28">
        <v>0.92291693466666802</v>
      </c>
      <c r="AT38" s="28">
        <v>0.69218770100000104</v>
      </c>
      <c r="AU38" s="28">
        <v>0.46145846733333401</v>
      </c>
      <c r="AV38" s="28">
        <v>0.92291693466666802</v>
      </c>
      <c r="AW38" s="28">
        <v>0.92291693466666802</v>
      </c>
      <c r="AX38" s="28">
        <v>0.69218770100000104</v>
      </c>
      <c r="AY38" s="28">
        <v>0.69218770100000104</v>
      </c>
      <c r="AZ38" s="28">
        <v>0.5768230841666675</v>
      </c>
      <c r="BA38" s="28">
        <v>0.80755231783333448</v>
      </c>
      <c r="BB38" s="28">
        <v>0.69218770100000104</v>
      </c>
      <c r="BC38" s="28">
        <v>0.92291693466666802</v>
      </c>
      <c r="BD38" s="28">
        <v>0.80755231783333448</v>
      </c>
      <c r="BE38" s="28">
        <v>0.80755231783333448</v>
      </c>
      <c r="BF38" s="28">
        <v>0.92291693466666802</v>
      </c>
      <c r="BG38" s="28">
        <v>0.80755231783333448</v>
      </c>
      <c r="BH38" s="28">
        <v>0.92291693466666802</v>
      </c>
      <c r="BI38" s="28">
        <v>0.5768230841666675</v>
      </c>
      <c r="BJ38" s="28">
        <v>0.46145846733333401</v>
      </c>
      <c r="BK38" s="28">
        <v>0.69218770100000104</v>
      </c>
      <c r="BL38" s="28">
        <v>0.34609385050000052</v>
      </c>
      <c r="BM38" s="28">
        <v>0.92291693466666802</v>
      </c>
      <c r="BN38" s="28">
        <v>0.69218770100000104</v>
      </c>
      <c r="BO38" s="28">
        <v>0.5768230841666675</v>
      </c>
      <c r="BP38" s="28">
        <v>0.92291693466666802</v>
      </c>
      <c r="BQ38" s="28">
        <v>0.80755231783333448</v>
      </c>
      <c r="BR38" s="28">
        <v>0.92291693466666802</v>
      </c>
      <c r="BS38" s="28">
        <v>0.92291693466666802</v>
      </c>
      <c r="BT38" s="28">
        <v>0.5768230841666675</v>
      </c>
      <c r="BU38" s="28">
        <v>0.92291693466666802</v>
      </c>
      <c r="BV38" s="28">
        <v>0.46145846733333401</v>
      </c>
      <c r="BW38" s="28">
        <v>0.46145846733333401</v>
      </c>
      <c r="BX38" s="28">
        <v>0.69218770100000104</v>
      </c>
      <c r="BY38" s="28">
        <v>0.80755231783333448</v>
      </c>
      <c r="BZ38" s="28">
        <v>0.69218770100000104</v>
      </c>
      <c r="CA38" s="28">
        <v>0.80755231783333448</v>
      </c>
      <c r="CB38" s="28">
        <v>0.5768230841666675</v>
      </c>
      <c r="CC38" s="28">
        <v>0.92291693466666802</v>
      </c>
      <c r="CD38" s="28">
        <v>0.92291693466666802</v>
      </c>
      <c r="CE38" s="28">
        <v>0.5768230841666675</v>
      </c>
      <c r="CF38" s="28">
        <v>0.46145846733333401</v>
      </c>
      <c r="CG38" s="28">
        <v>0.80755231783333448</v>
      </c>
      <c r="CH38" s="28">
        <v>0.5768230841666675</v>
      </c>
      <c r="CI38" s="28">
        <v>0.46145846733333401</v>
      </c>
      <c r="CJ38" s="28">
        <v>0.46145846733333401</v>
      </c>
      <c r="CK38" s="28">
        <v>0.80755231783333448</v>
      </c>
      <c r="CL38" s="28">
        <v>0.80755231783333448</v>
      </c>
      <c r="CM38" s="28">
        <v>0.34609385050000052</v>
      </c>
      <c r="CN38" s="28">
        <v>0.34609385050000052</v>
      </c>
      <c r="CO38" s="28">
        <v>0.80755231783333448</v>
      </c>
      <c r="CP38" s="28">
        <v>0.34609385050000052</v>
      </c>
      <c r="CQ38" s="28">
        <v>0.92291693466666802</v>
      </c>
      <c r="CR38" s="28">
        <v>0.69218770100000104</v>
      </c>
      <c r="CS38" s="28">
        <v>0.46145846733333401</v>
      </c>
      <c r="CT38" s="28">
        <v>0.71283189559122906</v>
      </c>
      <c r="CU38" s="34">
        <v>67.719030081166764</v>
      </c>
    </row>
    <row r="39" spans="1:99" x14ac:dyDescent="0.25">
      <c r="A39" s="24">
        <v>38</v>
      </c>
      <c r="B39" s="26">
        <v>18.5</v>
      </c>
      <c r="C39" s="28">
        <v>0.47306304449999997</v>
      </c>
      <c r="D39" s="28">
        <v>0.63075072600000004</v>
      </c>
      <c r="E39" s="28">
        <v>0.31537536300000002</v>
      </c>
      <c r="F39" s="28">
        <v>0.63075072600000004</v>
      </c>
      <c r="G39" s="28">
        <v>0.63075072600000004</v>
      </c>
      <c r="H39" s="28">
        <v>0.47306304449999997</v>
      </c>
      <c r="I39" s="28">
        <v>0.63075072600000004</v>
      </c>
      <c r="J39" s="28">
        <v>0.47306304449999997</v>
      </c>
      <c r="K39" s="28">
        <v>0.63075072600000004</v>
      </c>
      <c r="L39" s="28">
        <v>0.63075072600000004</v>
      </c>
      <c r="M39" s="28">
        <v>0.63075072600000004</v>
      </c>
      <c r="N39" s="28">
        <v>0.63075072600000004</v>
      </c>
      <c r="O39" s="28">
        <v>0.31537536300000002</v>
      </c>
      <c r="P39" s="28">
        <v>0.47306304449999997</v>
      </c>
      <c r="Q39" s="28">
        <v>0.23653152224999999</v>
      </c>
      <c r="R39" s="28">
        <v>0.63075072600000004</v>
      </c>
      <c r="S39" s="28">
        <v>0.63075072600000004</v>
      </c>
      <c r="T39" s="28">
        <v>0.31537536300000002</v>
      </c>
      <c r="U39" s="28">
        <v>0.63075072600000004</v>
      </c>
      <c r="V39" s="28">
        <v>0.63075072600000004</v>
      </c>
      <c r="W39" s="28">
        <v>0.63075072600000004</v>
      </c>
      <c r="X39" s="28">
        <v>0.47306304449999997</v>
      </c>
      <c r="Y39" s="28">
        <v>0.55190688524999998</v>
      </c>
      <c r="Z39" s="28">
        <v>0.39421920375000002</v>
      </c>
      <c r="AA39" s="28">
        <v>0.23653152224999999</v>
      </c>
      <c r="AB39" s="28">
        <v>0.23653152224999999</v>
      </c>
      <c r="AC39" s="28">
        <v>0.31537536300000002</v>
      </c>
      <c r="AD39" s="28">
        <v>0.23653152224999999</v>
      </c>
      <c r="AE39" s="28">
        <v>0.63075072600000004</v>
      </c>
      <c r="AF39" s="28">
        <v>0.39421920375000002</v>
      </c>
      <c r="AG39" s="28">
        <v>0.63075072600000004</v>
      </c>
      <c r="AH39" s="28">
        <v>0.23653152224999999</v>
      </c>
      <c r="AI39" s="28">
        <v>0.63075072600000004</v>
      </c>
      <c r="AJ39" s="28">
        <v>0.63075072600000004</v>
      </c>
      <c r="AK39" s="28">
        <v>0.47306304449999997</v>
      </c>
      <c r="AL39" s="28">
        <v>0.31537536300000002</v>
      </c>
      <c r="AM39" s="28">
        <v>0.63075072600000004</v>
      </c>
      <c r="AN39" s="28">
        <v>0.63075072600000004</v>
      </c>
      <c r="AO39" s="28">
        <v>0.63075072600000004</v>
      </c>
      <c r="AP39" s="28">
        <v>0.63075072600000004</v>
      </c>
      <c r="AQ39" s="28">
        <v>0.39421920375000002</v>
      </c>
      <c r="AR39" s="28">
        <v>0.31537536300000002</v>
      </c>
      <c r="AS39" s="28">
        <v>0.63075072600000004</v>
      </c>
      <c r="AT39" s="28">
        <v>0.47306304449999997</v>
      </c>
      <c r="AU39" s="28">
        <v>0.31537536300000002</v>
      </c>
      <c r="AV39" s="28">
        <v>0.63075072600000004</v>
      </c>
      <c r="AW39" s="28">
        <v>0.63075072600000004</v>
      </c>
      <c r="AX39" s="28">
        <v>0.47306304449999997</v>
      </c>
      <c r="AY39" s="28">
        <v>0.47306304449999997</v>
      </c>
      <c r="AZ39" s="28">
        <v>0.39421920375000002</v>
      </c>
      <c r="BA39" s="28">
        <v>0.55190688524999998</v>
      </c>
      <c r="BB39" s="28">
        <v>0.47306304449999997</v>
      </c>
      <c r="BC39" s="28">
        <v>0.63075072600000004</v>
      </c>
      <c r="BD39" s="28">
        <v>0.55190688524999998</v>
      </c>
      <c r="BE39" s="28">
        <v>0.55190688524999998</v>
      </c>
      <c r="BF39" s="28">
        <v>0.63075072600000004</v>
      </c>
      <c r="BG39" s="28">
        <v>0.55190688524999998</v>
      </c>
      <c r="BH39" s="28">
        <v>0.63075072600000004</v>
      </c>
      <c r="BI39" s="28">
        <v>0.39421920375000002</v>
      </c>
      <c r="BJ39" s="28">
        <v>0.31537536300000002</v>
      </c>
      <c r="BK39" s="28">
        <v>0.47306304449999997</v>
      </c>
      <c r="BL39" s="28">
        <v>0.23653152224999999</v>
      </c>
      <c r="BM39" s="28">
        <v>0.63075072600000004</v>
      </c>
      <c r="BN39" s="28">
        <v>0.47306304449999997</v>
      </c>
      <c r="BO39" s="28">
        <v>0.39421920375000002</v>
      </c>
      <c r="BP39" s="28">
        <v>0.63075072600000004</v>
      </c>
      <c r="BQ39" s="28">
        <v>0.55190688524999998</v>
      </c>
      <c r="BR39" s="28">
        <v>0.63075072600000004</v>
      </c>
      <c r="BS39" s="28">
        <v>0.63075072600000004</v>
      </c>
      <c r="BT39" s="28">
        <v>0.39421920375000002</v>
      </c>
      <c r="BU39" s="28">
        <v>0.63075072600000004</v>
      </c>
      <c r="BV39" s="28">
        <v>0.31537536300000002</v>
      </c>
      <c r="BW39" s="28">
        <v>0.31537536300000002</v>
      </c>
      <c r="BX39" s="28">
        <v>0.47306304449999997</v>
      </c>
      <c r="BY39" s="28">
        <v>0.55190688524999998</v>
      </c>
      <c r="BZ39" s="28">
        <v>0.47306304449999997</v>
      </c>
      <c r="CA39" s="28">
        <v>0.55190688524999998</v>
      </c>
      <c r="CB39" s="28">
        <v>0.39421920375000002</v>
      </c>
      <c r="CC39" s="28">
        <v>0.63075072600000004</v>
      </c>
      <c r="CD39" s="28">
        <v>0.63075072600000004</v>
      </c>
      <c r="CE39" s="28">
        <v>0.39421920375000002</v>
      </c>
      <c r="CF39" s="28">
        <v>0.31537536300000002</v>
      </c>
      <c r="CG39" s="28">
        <v>0.55190688524999998</v>
      </c>
      <c r="CH39" s="28">
        <v>0.39421920375000002</v>
      </c>
      <c r="CI39" s="28">
        <v>0.31537536300000002</v>
      </c>
      <c r="CJ39" s="28">
        <v>0.31537536300000002</v>
      </c>
      <c r="CK39" s="28">
        <v>0.55190688524999998</v>
      </c>
      <c r="CL39" s="28">
        <v>0.55190688524999998</v>
      </c>
      <c r="CM39" s="28">
        <v>0.23653152224999999</v>
      </c>
      <c r="CN39" s="28">
        <v>0.23653152224999999</v>
      </c>
      <c r="CO39" s="28">
        <v>0.55190688524999998</v>
      </c>
      <c r="CP39" s="28">
        <v>0.23653152224999999</v>
      </c>
      <c r="CQ39" s="28">
        <v>0.63075072600000004</v>
      </c>
      <c r="CR39" s="28">
        <v>0.47306304449999997</v>
      </c>
      <c r="CS39" s="28">
        <v>0.31537536300000002</v>
      </c>
      <c r="CT39" s="28">
        <v>0.48717194231842098</v>
      </c>
      <c r="CU39" s="34">
        <v>46.281334520249999</v>
      </c>
    </row>
    <row r="40" spans="1:99" x14ac:dyDescent="0.25">
      <c r="A40" s="24">
        <v>39</v>
      </c>
      <c r="B40" s="26">
        <v>19</v>
      </c>
      <c r="C40" s="28">
        <v>0.27624056079999992</v>
      </c>
      <c r="D40" s="28">
        <v>0.36832074773333318</v>
      </c>
      <c r="E40" s="28">
        <v>0.18416037386666659</v>
      </c>
      <c r="F40" s="28">
        <v>0.36832074773333318</v>
      </c>
      <c r="G40" s="28">
        <v>0.36832074773333318</v>
      </c>
      <c r="H40" s="28">
        <v>0.27624056079999992</v>
      </c>
      <c r="I40" s="28">
        <v>0.36832074773333318</v>
      </c>
      <c r="J40" s="28">
        <v>0.27624056079999992</v>
      </c>
      <c r="K40" s="28">
        <v>0.36832074773333318</v>
      </c>
      <c r="L40" s="28">
        <v>0.36832074773333318</v>
      </c>
      <c r="M40" s="28">
        <v>0.36832074773333318</v>
      </c>
      <c r="N40" s="28">
        <v>0.36832074773333318</v>
      </c>
      <c r="O40" s="28">
        <v>0.18416037386666659</v>
      </c>
      <c r="P40" s="28">
        <v>0.27624056079999992</v>
      </c>
      <c r="Q40" s="28">
        <v>0.13812028039999991</v>
      </c>
      <c r="R40" s="28">
        <v>0.36832074773333318</v>
      </c>
      <c r="S40" s="28">
        <v>0.36832074773333318</v>
      </c>
      <c r="T40" s="28">
        <v>0.18416037386666659</v>
      </c>
      <c r="U40" s="28">
        <v>0.36832074773333318</v>
      </c>
      <c r="V40" s="28">
        <v>0.36832074773333318</v>
      </c>
      <c r="W40" s="28">
        <v>0.36832074773333318</v>
      </c>
      <c r="X40" s="28">
        <v>0.27624056079999992</v>
      </c>
      <c r="Y40" s="28">
        <v>0.32228065426666652</v>
      </c>
      <c r="Z40" s="28">
        <v>0.23020046733333319</v>
      </c>
      <c r="AA40" s="28">
        <v>0.13812028039999991</v>
      </c>
      <c r="AB40" s="28">
        <v>0.13812028039999991</v>
      </c>
      <c r="AC40" s="28">
        <v>0.18416037386666659</v>
      </c>
      <c r="AD40" s="28">
        <v>0.13812028039999991</v>
      </c>
      <c r="AE40" s="28">
        <v>0.36832074773333318</v>
      </c>
      <c r="AF40" s="28">
        <v>0.23020046733333319</v>
      </c>
      <c r="AG40" s="28">
        <v>0.36832074773333318</v>
      </c>
      <c r="AH40" s="28">
        <v>0.13812028039999991</v>
      </c>
      <c r="AI40" s="28">
        <v>0.36832074773333318</v>
      </c>
      <c r="AJ40" s="28">
        <v>0.36832074773333318</v>
      </c>
      <c r="AK40" s="28">
        <v>0.27624056079999992</v>
      </c>
      <c r="AL40" s="28">
        <v>0.18416037386666659</v>
      </c>
      <c r="AM40" s="28">
        <v>0.36832074773333318</v>
      </c>
      <c r="AN40" s="28">
        <v>0.36832074773333318</v>
      </c>
      <c r="AO40" s="28">
        <v>0.36832074773333318</v>
      </c>
      <c r="AP40" s="28">
        <v>0.36832074773333318</v>
      </c>
      <c r="AQ40" s="28">
        <v>0.23020046733333319</v>
      </c>
      <c r="AR40" s="28">
        <v>0.18416037386666659</v>
      </c>
      <c r="AS40" s="28">
        <v>0.36832074773333318</v>
      </c>
      <c r="AT40" s="28">
        <v>0.27624056079999992</v>
      </c>
      <c r="AU40" s="28">
        <v>0.18416037386666659</v>
      </c>
      <c r="AV40" s="28">
        <v>0.36832074773333318</v>
      </c>
      <c r="AW40" s="28">
        <v>0.36832074773333318</v>
      </c>
      <c r="AX40" s="28">
        <v>0.27624056079999992</v>
      </c>
      <c r="AY40" s="28">
        <v>0.27624056079999992</v>
      </c>
      <c r="AZ40" s="28">
        <v>0.23020046733333319</v>
      </c>
      <c r="BA40" s="28">
        <v>0.32228065426666652</v>
      </c>
      <c r="BB40" s="28">
        <v>0.27624056079999992</v>
      </c>
      <c r="BC40" s="28">
        <v>0.36832074773333318</v>
      </c>
      <c r="BD40" s="28">
        <v>0.32228065426666652</v>
      </c>
      <c r="BE40" s="28">
        <v>0.32228065426666652</v>
      </c>
      <c r="BF40" s="28">
        <v>0.36832074773333318</v>
      </c>
      <c r="BG40" s="28">
        <v>0.32228065426666652</v>
      </c>
      <c r="BH40" s="28">
        <v>0.36832074773333318</v>
      </c>
      <c r="BI40" s="28">
        <v>0.23020046733333319</v>
      </c>
      <c r="BJ40" s="28">
        <v>0.18416037386666659</v>
      </c>
      <c r="BK40" s="28">
        <v>0.27624056079999992</v>
      </c>
      <c r="BL40" s="28">
        <v>0.13812028039999991</v>
      </c>
      <c r="BM40" s="28">
        <v>0.36832074773333318</v>
      </c>
      <c r="BN40" s="28">
        <v>0.27624056079999992</v>
      </c>
      <c r="BO40" s="28">
        <v>0.23020046733333319</v>
      </c>
      <c r="BP40" s="28">
        <v>0.36832074773333318</v>
      </c>
      <c r="BQ40" s="28">
        <v>0.32228065426666652</v>
      </c>
      <c r="BR40" s="28">
        <v>0.36832074773333318</v>
      </c>
      <c r="BS40" s="28">
        <v>0.36832074773333318</v>
      </c>
      <c r="BT40" s="28">
        <v>0.23020046733333319</v>
      </c>
      <c r="BU40" s="28">
        <v>0.36832074773333318</v>
      </c>
      <c r="BV40" s="28">
        <v>0.18416037386666659</v>
      </c>
      <c r="BW40" s="28">
        <v>0.18416037386666659</v>
      </c>
      <c r="BX40" s="28">
        <v>0.27624056079999992</v>
      </c>
      <c r="BY40" s="28">
        <v>0.32228065426666652</v>
      </c>
      <c r="BZ40" s="28">
        <v>0.27624056079999992</v>
      </c>
      <c r="CA40" s="28">
        <v>0.32228065426666652</v>
      </c>
      <c r="CB40" s="28">
        <v>0.23020046733333319</v>
      </c>
      <c r="CC40" s="28">
        <v>0.36832074773333318</v>
      </c>
      <c r="CD40" s="28">
        <v>0.36832074773333318</v>
      </c>
      <c r="CE40" s="28">
        <v>0.23020046733333319</v>
      </c>
      <c r="CF40" s="28">
        <v>0.18416037386666659</v>
      </c>
      <c r="CG40" s="28">
        <v>0.32228065426666652</v>
      </c>
      <c r="CH40" s="28">
        <v>0.23020046733333319</v>
      </c>
      <c r="CI40" s="28">
        <v>0.18416037386666659</v>
      </c>
      <c r="CJ40" s="28">
        <v>0.18416037386666659</v>
      </c>
      <c r="CK40" s="28">
        <v>0.32228065426666652</v>
      </c>
      <c r="CL40" s="28">
        <v>0.32228065426666652</v>
      </c>
      <c r="CM40" s="28">
        <v>0.13812028039999991</v>
      </c>
      <c r="CN40" s="28">
        <v>0.13812028039999991</v>
      </c>
      <c r="CO40" s="28">
        <v>0.32228065426666652</v>
      </c>
      <c r="CP40" s="28">
        <v>0.13812028039999991</v>
      </c>
      <c r="CQ40" s="28">
        <v>0.36832074773333318</v>
      </c>
      <c r="CR40" s="28">
        <v>0.27624056079999992</v>
      </c>
      <c r="CS40" s="28">
        <v>0.18416037386666659</v>
      </c>
      <c r="CT40" s="28">
        <v>0.28447931436771923</v>
      </c>
      <c r="CU40" s="34">
        <v>27.02553486493332</v>
      </c>
    </row>
    <row r="41" spans="1:99" x14ac:dyDescent="0.25">
      <c r="A41" s="24">
        <v>40</v>
      </c>
      <c r="B41" s="26">
        <v>19.5</v>
      </c>
      <c r="C41" s="28">
        <v>8.0369961300000001E-2</v>
      </c>
      <c r="D41" s="28">
        <v>0.1071599484</v>
      </c>
      <c r="E41" s="28">
        <v>5.3579974199999998E-2</v>
      </c>
      <c r="F41" s="28">
        <v>0.1071599484</v>
      </c>
      <c r="G41" s="28">
        <v>0.1071599484</v>
      </c>
      <c r="H41" s="28">
        <v>8.0369961300000001E-2</v>
      </c>
      <c r="I41" s="28">
        <v>0.1071599484</v>
      </c>
      <c r="J41" s="28">
        <v>8.0369961300000001E-2</v>
      </c>
      <c r="K41" s="28">
        <v>0.1071599484</v>
      </c>
      <c r="L41" s="28">
        <v>0.1071599484</v>
      </c>
      <c r="M41" s="28">
        <v>0.1071599484</v>
      </c>
      <c r="N41" s="28">
        <v>0.1071599484</v>
      </c>
      <c r="O41" s="28">
        <v>5.3579974199999998E-2</v>
      </c>
      <c r="P41" s="28">
        <v>8.0369961300000001E-2</v>
      </c>
      <c r="Q41" s="28">
        <v>4.018498065E-2</v>
      </c>
      <c r="R41" s="28">
        <v>0.1071599484</v>
      </c>
      <c r="S41" s="28">
        <v>0.1071599484</v>
      </c>
      <c r="T41" s="28">
        <v>5.3579974199999998E-2</v>
      </c>
      <c r="U41" s="28">
        <v>0.1071599484</v>
      </c>
      <c r="V41" s="28">
        <v>0.1071599484</v>
      </c>
      <c r="W41" s="28">
        <v>0.1071599484</v>
      </c>
      <c r="X41" s="28">
        <v>8.0369961300000001E-2</v>
      </c>
      <c r="Y41" s="28">
        <v>9.3764954849999999E-2</v>
      </c>
      <c r="Z41" s="28">
        <v>6.6974967750000003E-2</v>
      </c>
      <c r="AA41" s="28">
        <v>4.018498065E-2</v>
      </c>
      <c r="AB41" s="28">
        <v>4.018498065E-2</v>
      </c>
      <c r="AC41" s="28">
        <v>5.3579974199999998E-2</v>
      </c>
      <c r="AD41" s="28">
        <v>4.018498065E-2</v>
      </c>
      <c r="AE41" s="28">
        <v>0.1071599484</v>
      </c>
      <c r="AF41" s="28">
        <v>6.6974967750000003E-2</v>
      </c>
      <c r="AG41" s="28">
        <v>0.1071599484</v>
      </c>
      <c r="AH41" s="28">
        <v>4.018498065E-2</v>
      </c>
      <c r="AI41" s="28">
        <v>0.1071599484</v>
      </c>
      <c r="AJ41" s="28">
        <v>0.1071599484</v>
      </c>
      <c r="AK41" s="28">
        <v>8.0369961300000001E-2</v>
      </c>
      <c r="AL41" s="28">
        <v>5.3579974199999998E-2</v>
      </c>
      <c r="AM41" s="28">
        <v>0.1071599484</v>
      </c>
      <c r="AN41" s="28">
        <v>0.1071599484</v>
      </c>
      <c r="AO41" s="28">
        <v>0.1071599484</v>
      </c>
      <c r="AP41" s="28">
        <v>0.1071599484</v>
      </c>
      <c r="AQ41" s="28">
        <v>6.6974967750000003E-2</v>
      </c>
      <c r="AR41" s="28">
        <v>5.3579974199999998E-2</v>
      </c>
      <c r="AS41" s="28">
        <v>0.1071599484</v>
      </c>
      <c r="AT41" s="28">
        <v>8.0369961300000001E-2</v>
      </c>
      <c r="AU41" s="28">
        <v>5.3579974199999998E-2</v>
      </c>
      <c r="AV41" s="28">
        <v>0.1071599484</v>
      </c>
      <c r="AW41" s="28">
        <v>0.1071599484</v>
      </c>
      <c r="AX41" s="28">
        <v>8.0369961300000001E-2</v>
      </c>
      <c r="AY41" s="28">
        <v>8.0369961300000001E-2</v>
      </c>
      <c r="AZ41" s="28">
        <v>6.6974967750000003E-2</v>
      </c>
      <c r="BA41" s="28">
        <v>9.3764954849999999E-2</v>
      </c>
      <c r="BB41" s="28">
        <v>8.0369961300000001E-2</v>
      </c>
      <c r="BC41" s="28">
        <v>0.1071599484</v>
      </c>
      <c r="BD41" s="28">
        <v>9.3764954849999999E-2</v>
      </c>
      <c r="BE41" s="28">
        <v>9.3764954849999999E-2</v>
      </c>
      <c r="BF41" s="28">
        <v>0.1071599484</v>
      </c>
      <c r="BG41" s="28">
        <v>9.3764954849999999E-2</v>
      </c>
      <c r="BH41" s="28">
        <v>0.1071599484</v>
      </c>
      <c r="BI41" s="28">
        <v>6.6974967750000003E-2</v>
      </c>
      <c r="BJ41" s="28">
        <v>5.3579974199999998E-2</v>
      </c>
      <c r="BK41" s="28">
        <v>8.0369961300000001E-2</v>
      </c>
      <c r="BL41" s="28">
        <v>4.018498065E-2</v>
      </c>
      <c r="BM41" s="28">
        <v>0.1071599484</v>
      </c>
      <c r="BN41" s="28">
        <v>8.0369961300000001E-2</v>
      </c>
      <c r="BO41" s="28">
        <v>6.6974967750000003E-2</v>
      </c>
      <c r="BP41" s="28">
        <v>0.1071599484</v>
      </c>
      <c r="BQ41" s="28">
        <v>9.3764954849999999E-2</v>
      </c>
      <c r="BR41" s="28">
        <v>0.1071599484</v>
      </c>
      <c r="BS41" s="28">
        <v>0.1071599484</v>
      </c>
      <c r="BT41" s="28">
        <v>6.6974967750000003E-2</v>
      </c>
      <c r="BU41" s="28">
        <v>0.1071599484</v>
      </c>
      <c r="BV41" s="28">
        <v>5.3579974199999998E-2</v>
      </c>
      <c r="BW41" s="28">
        <v>5.3579974199999998E-2</v>
      </c>
      <c r="BX41" s="28">
        <v>8.0369961300000001E-2</v>
      </c>
      <c r="BY41" s="28">
        <v>9.3764954849999999E-2</v>
      </c>
      <c r="BZ41" s="28">
        <v>8.0369961300000001E-2</v>
      </c>
      <c r="CA41" s="28">
        <v>9.3764954849999999E-2</v>
      </c>
      <c r="CB41" s="28">
        <v>6.6974967750000003E-2</v>
      </c>
      <c r="CC41" s="28">
        <v>0.1071599484</v>
      </c>
      <c r="CD41" s="28">
        <v>0.1071599484</v>
      </c>
      <c r="CE41" s="28">
        <v>6.6974967750000003E-2</v>
      </c>
      <c r="CF41" s="28">
        <v>5.3579974199999998E-2</v>
      </c>
      <c r="CG41" s="28">
        <v>9.3764954849999999E-2</v>
      </c>
      <c r="CH41" s="28">
        <v>6.6974967750000003E-2</v>
      </c>
      <c r="CI41" s="28">
        <v>5.3579974199999998E-2</v>
      </c>
      <c r="CJ41" s="28">
        <v>5.3579974199999998E-2</v>
      </c>
      <c r="CK41" s="28">
        <v>9.3764954849999999E-2</v>
      </c>
      <c r="CL41" s="28">
        <v>9.3764954849999999E-2</v>
      </c>
      <c r="CM41" s="28">
        <v>4.018498065E-2</v>
      </c>
      <c r="CN41" s="28">
        <v>4.018498065E-2</v>
      </c>
      <c r="CO41" s="28">
        <v>9.3764954849999999E-2</v>
      </c>
      <c r="CP41" s="28">
        <v>4.018498065E-2</v>
      </c>
      <c r="CQ41" s="28">
        <v>0.1071599484</v>
      </c>
      <c r="CR41" s="28">
        <v>8.0369961300000001E-2</v>
      </c>
      <c r="CS41" s="28">
        <v>5.3579974199999998E-2</v>
      </c>
      <c r="CT41" s="28">
        <v>8.276696014578945E-2</v>
      </c>
      <c r="CU41" s="34">
        <v>7.8628612138499978</v>
      </c>
    </row>
    <row r="42" spans="1:99" x14ac:dyDescent="0.25">
      <c r="A42" s="24">
        <v>41</v>
      </c>
      <c r="B42" s="26">
        <v>20</v>
      </c>
      <c r="C42" s="28">
        <v>1.4822832200000011E-2</v>
      </c>
      <c r="D42" s="28">
        <v>1.9763776266666679E-2</v>
      </c>
      <c r="E42" s="28">
        <v>9.8818881333333393E-3</v>
      </c>
      <c r="F42" s="28">
        <v>1.9763776266666679E-2</v>
      </c>
      <c r="G42" s="28">
        <v>1.9763776266666679E-2</v>
      </c>
      <c r="H42" s="28">
        <v>1.4822832200000011E-2</v>
      </c>
      <c r="I42" s="28">
        <v>1.9763776266666679E-2</v>
      </c>
      <c r="J42" s="28">
        <v>1.4822832200000011E-2</v>
      </c>
      <c r="K42" s="28">
        <v>1.9763776266666679E-2</v>
      </c>
      <c r="L42" s="28">
        <v>1.9763776266666679E-2</v>
      </c>
      <c r="M42" s="28">
        <v>1.9763776266666679E-2</v>
      </c>
      <c r="N42" s="28">
        <v>1.9763776266666679E-2</v>
      </c>
      <c r="O42" s="28">
        <v>9.8818881333333393E-3</v>
      </c>
      <c r="P42" s="28">
        <v>1.4822832200000011E-2</v>
      </c>
      <c r="Q42" s="28">
        <v>7.4114161000000036E-3</v>
      </c>
      <c r="R42" s="28">
        <v>1.9763776266666679E-2</v>
      </c>
      <c r="S42" s="28">
        <v>1.9763776266666679E-2</v>
      </c>
      <c r="T42" s="28">
        <v>9.8818881333333393E-3</v>
      </c>
      <c r="U42" s="28">
        <v>1.9763776266666679E-2</v>
      </c>
      <c r="V42" s="28">
        <v>1.9763776266666679E-2</v>
      </c>
      <c r="W42" s="28">
        <v>1.9763776266666679E-2</v>
      </c>
      <c r="X42" s="28">
        <v>1.4822832200000011E-2</v>
      </c>
      <c r="Y42" s="28">
        <v>1.7293304233333341E-2</v>
      </c>
      <c r="Z42" s="28">
        <v>1.235236016666667E-2</v>
      </c>
      <c r="AA42" s="28">
        <v>7.4114161000000036E-3</v>
      </c>
      <c r="AB42" s="28">
        <v>7.4114161000000036E-3</v>
      </c>
      <c r="AC42" s="28">
        <v>9.8818881333333393E-3</v>
      </c>
      <c r="AD42" s="28">
        <v>7.4114161000000036E-3</v>
      </c>
      <c r="AE42" s="28">
        <v>1.9763776266666679E-2</v>
      </c>
      <c r="AF42" s="28">
        <v>1.235236016666667E-2</v>
      </c>
      <c r="AG42" s="28">
        <v>1.9763776266666679E-2</v>
      </c>
      <c r="AH42" s="28">
        <v>7.4114161000000036E-3</v>
      </c>
      <c r="AI42" s="28">
        <v>1.9763776266666679E-2</v>
      </c>
      <c r="AJ42" s="28">
        <v>1.9763776266666679E-2</v>
      </c>
      <c r="AK42" s="28">
        <v>1.4822832200000011E-2</v>
      </c>
      <c r="AL42" s="28">
        <v>9.8818881333333393E-3</v>
      </c>
      <c r="AM42" s="28">
        <v>1.9763776266666679E-2</v>
      </c>
      <c r="AN42" s="28">
        <v>1.9763776266666679E-2</v>
      </c>
      <c r="AO42" s="28">
        <v>1.9763776266666679E-2</v>
      </c>
      <c r="AP42" s="28">
        <v>1.9763776266666679E-2</v>
      </c>
      <c r="AQ42" s="28">
        <v>1.235236016666667E-2</v>
      </c>
      <c r="AR42" s="28">
        <v>9.8818881333333393E-3</v>
      </c>
      <c r="AS42" s="28">
        <v>1.9763776266666679E-2</v>
      </c>
      <c r="AT42" s="28">
        <v>1.4822832200000011E-2</v>
      </c>
      <c r="AU42" s="28">
        <v>9.8818881333333393E-3</v>
      </c>
      <c r="AV42" s="28">
        <v>1.9763776266666679E-2</v>
      </c>
      <c r="AW42" s="28">
        <v>1.9763776266666679E-2</v>
      </c>
      <c r="AX42" s="28">
        <v>1.4822832200000011E-2</v>
      </c>
      <c r="AY42" s="28">
        <v>1.4822832200000011E-2</v>
      </c>
      <c r="AZ42" s="28">
        <v>1.235236016666667E-2</v>
      </c>
      <c r="BA42" s="28">
        <v>1.7293304233333341E-2</v>
      </c>
      <c r="BB42" s="28">
        <v>1.4822832200000011E-2</v>
      </c>
      <c r="BC42" s="28">
        <v>1.9763776266666679E-2</v>
      </c>
      <c r="BD42" s="28">
        <v>1.7293304233333341E-2</v>
      </c>
      <c r="BE42" s="28">
        <v>1.7293304233333341E-2</v>
      </c>
      <c r="BF42" s="28">
        <v>1.9763776266666679E-2</v>
      </c>
      <c r="BG42" s="28">
        <v>1.7293304233333341E-2</v>
      </c>
      <c r="BH42" s="28">
        <v>1.9763776266666679E-2</v>
      </c>
      <c r="BI42" s="28">
        <v>1.235236016666667E-2</v>
      </c>
      <c r="BJ42" s="28">
        <v>9.8818881333333393E-3</v>
      </c>
      <c r="BK42" s="28">
        <v>1.4822832200000011E-2</v>
      </c>
      <c r="BL42" s="28">
        <v>7.4114161000000036E-3</v>
      </c>
      <c r="BM42" s="28">
        <v>1.9763776266666679E-2</v>
      </c>
      <c r="BN42" s="28">
        <v>1.4822832200000011E-2</v>
      </c>
      <c r="BO42" s="28">
        <v>1.235236016666667E-2</v>
      </c>
      <c r="BP42" s="28">
        <v>1.9763776266666679E-2</v>
      </c>
      <c r="BQ42" s="28">
        <v>1.7293304233333341E-2</v>
      </c>
      <c r="BR42" s="28">
        <v>1.9763776266666679E-2</v>
      </c>
      <c r="BS42" s="28">
        <v>1.9763776266666679E-2</v>
      </c>
      <c r="BT42" s="28">
        <v>1.235236016666667E-2</v>
      </c>
      <c r="BU42" s="28">
        <v>1.9763776266666679E-2</v>
      </c>
      <c r="BV42" s="28">
        <v>9.8818881333333393E-3</v>
      </c>
      <c r="BW42" s="28">
        <v>9.8818881333333393E-3</v>
      </c>
      <c r="BX42" s="28">
        <v>1.4822832200000011E-2</v>
      </c>
      <c r="BY42" s="28">
        <v>1.7293304233333341E-2</v>
      </c>
      <c r="BZ42" s="28">
        <v>1.4822832200000011E-2</v>
      </c>
      <c r="CA42" s="28">
        <v>1.7293304233333341E-2</v>
      </c>
      <c r="CB42" s="28">
        <v>1.235236016666667E-2</v>
      </c>
      <c r="CC42" s="28">
        <v>1.9763776266666679E-2</v>
      </c>
      <c r="CD42" s="28">
        <v>1.9763776266666679E-2</v>
      </c>
      <c r="CE42" s="28">
        <v>1.235236016666667E-2</v>
      </c>
      <c r="CF42" s="28">
        <v>9.8818881333333393E-3</v>
      </c>
      <c r="CG42" s="28">
        <v>1.7293304233333341E-2</v>
      </c>
      <c r="CH42" s="28">
        <v>1.235236016666667E-2</v>
      </c>
      <c r="CI42" s="28">
        <v>9.8818881333333393E-3</v>
      </c>
      <c r="CJ42" s="28">
        <v>9.8818881333333393E-3</v>
      </c>
      <c r="CK42" s="28">
        <v>1.7293304233333341E-2</v>
      </c>
      <c r="CL42" s="28">
        <v>1.7293304233333341E-2</v>
      </c>
      <c r="CM42" s="28">
        <v>7.4114161000000036E-3</v>
      </c>
      <c r="CN42" s="28">
        <v>7.4114161000000036E-3</v>
      </c>
      <c r="CO42" s="28">
        <v>1.7293304233333341E-2</v>
      </c>
      <c r="CP42" s="28">
        <v>7.4114161000000036E-3</v>
      </c>
      <c r="CQ42" s="28">
        <v>1.9763776266666679E-2</v>
      </c>
      <c r="CR42" s="28">
        <v>1.4822832200000011E-2</v>
      </c>
      <c r="CS42" s="28">
        <v>9.8818881333333393E-3</v>
      </c>
      <c r="CT42" s="28">
        <v>1.526491666912282E-2</v>
      </c>
      <c r="CU42" s="34">
        <v>1.450167083566668</v>
      </c>
    </row>
    <row r="43" spans="1:99" x14ac:dyDescent="0.25">
      <c r="A43" s="24">
        <v>42</v>
      </c>
      <c r="B43" s="26">
        <v>20.5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28">
        <v>0</v>
      </c>
      <c r="CT43" s="28">
        <v>0</v>
      </c>
      <c r="CU43" s="34">
        <v>0</v>
      </c>
    </row>
    <row r="44" spans="1:99" x14ac:dyDescent="0.25">
      <c r="A44" s="24">
        <v>43</v>
      </c>
      <c r="B44" s="26">
        <v>21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0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0</v>
      </c>
      <c r="CS44" s="28">
        <v>0</v>
      </c>
      <c r="CT44" s="28">
        <v>0</v>
      </c>
      <c r="CU44" s="34">
        <v>0</v>
      </c>
    </row>
    <row r="45" spans="1:99" x14ac:dyDescent="0.25">
      <c r="A45" s="24">
        <v>44</v>
      </c>
      <c r="B45" s="26">
        <v>21.5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34">
        <v>0</v>
      </c>
    </row>
    <row r="46" spans="1:99" x14ac:dyDescent="0.25">
      <c r="A46" s="24">
        <v>45</v>
      </c>
      <c r="B46" s="26">
        <v>22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34">
        <v>0</v>
      </c>
    </row>
    <row r="47" spans="1:99" x14ac:dyDescent="0.25">
      <c r="A47" s="24">
        <v>46</v>
      </c>
      <c r="B47" s="26">
        <v>22.5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  <c r="CM47" s="28">
        <v>0</v>
      </c>
      <c r="CN47" s="28">
        <v>0</v>
      </c>
      <c r="CO47" s="28">
        <v>0</v>
      </c>
      <c r="CP47" s="28">
        <v>0</v>
      </c>
      <c r="CQ47" s="28">
        <v>0</v>
      </c>
      <c r="CR47" s="28">
        <v>0</v>
      </c>
      <c r="CS47" s="28">
        <v>0</v>
      </c>
      <c r="CT47" s="28">
        <v>0</v>
      </c>
      <c r="CU47" s="34">
        <v>0</v>
      </c>
    </row>
    <row r="48" spans="1:99" x14ac:dyDescent="0.25">
      <c r="A48" s="24">
        <v>47</v>
      </c>
      <c r="B48" s="26">
        <v>23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34">
        <v>0</v>
      </c>
    </row>
    <row r="49" spans="1:99" x14ac:dyDescent="0.25">
      <c r="A49" s="25">
        <v>48</v>
      </c>
      <c r="B49" s="27">
        <v>23.5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0</v>
      </c>
      <c r="BB49" s="29">
        <v>0</v>
      </c>
      <c r="BC49" s="29">
        <v>0</v>
      </c>
      <c r="BD49" s="29">
        <v>0</v>
      </c>
      <c r="BE49" s="29">
        <v>0</v>
      </c>
      <c r="BF49" s="29">
        <v>0</v>
      </c>
      <c r="BG49" s="29">
        <v>0</v>
      </c>
      <c r="BH49" s="29">
        <v>0</v>
      </c>
      <c r="BI49" s="29">
        <v>0</v>
      </c>
      <c r="BJ49" s="29">
        <v>0</v>
      </c>
      <c r="BK49" s="29">
        <v>0</v>
      </c>
      <c r="BL49" s="29">
        <v>0</v>
      </c>
      <c r="BM49" s="29">
        <v>0</v>
      </c>
      <c r="BN49" s="29">
        <v>0</v>
      </c>
      <c r="BO49" s="29">
        <v>0</v>
      </c>
      <c r="BP49" s="29">
        <v>0</v>
      </c>
      <c r="BQ49" s="29">
        <v>0</v>
      </c>
      <c r="BR49" s="29">
        <v>0</v>
      </c>
      <c r="BS49" s="29">
        <v>0</v>
      </c>
      <c r="BT49" s="29">
        <v>0</v>
      </c>
      <c r="BU49" s="29">
        <v>0</v>
      </c>
      <c r="BV49" s="29">
        <v>0</v>
      </c>
      <c r="BW49" s="29">
        <v>0</v>
      </c>
      <c r="BX49" s="29">
        <v>0</v>
      </c>
      <c r="BY49" s="29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3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U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99" width="15" customWidth="1"/>
  </cols>
  <sheetData>
    <row r="1" spans="1:99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9" t="s">
        <v>133</v>
      </c>
    </row>
    <row r="2" spans="1:99" x14ac:dyDescent="0.25">
      <c r="A2" s="24">
        <v>1</v>
      </c>
      <c r="B2" s="26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28">
        <v>0</v>
      </c>
      <c r="BB2" s="28">
        <v>0</v>
      </c>
      <c r="BC2" s="28">
        <v>0</v>
      </c>
      <c r="BD2" s="28">
        <v>0</v>
      </c>
      <c r="BE2" s="28">
        <v>0</v>
      </c>
      <c r="BF2" s="28">
        <v>0</v>
      </c>
      <c r="BG2" s="28">
        <v>0</v>
      </c>
      <c r="BH2" s="28">
        <v>0</v>
      </c>
      <c r="BI2" s="28">
        <v>0</v>
      </c>
      <c r="BJ2" s="28">
        <v>0</v>
      </c>
      <c r="BK2" s="28">
        <v>0</v>
      </c>
      <c r="BL2" s="28">
        <v>0</v>
      </c>
      <c r="BM2" s="28">
        <v>0</v>
      </c>
      <c r="BN2" s="28">
        <v>0</v>
      </c>
      <c r="BO2" s="28">
        <v>0</v>
      </c>
      <c r="BP2" s="28">
        <v>0</v>
      </c>
      <c r="BQ2" s="28">
        <v>0</v>
      </c>
      <c r="BR2" s="28">
        <v>0</v>
      </c>
      <c r="BS2" s="28">
        <v>0</v>
      </c>
      <c r="BT2" s="28">
        <v>0</v>
      </c>
      <c r="BU2" s="28">
        <v>0</v>
      </c>
      <c r="BV2" s="28">
        <v>0</v>
      </c>
      <c r="BW2" s="28">
        <v>0</v>
      </c>
      <c r="BX2" s="28">
        <v>0</v>
      </c>
      <c r="BY2" s="28">
        <v>0</v>
      </c>
      <c r="BZ2" s="28">
        <v>0</v>
      </c>
      <c r="CA2" s="28">
        <v>0</v>
      </c>
      <c r="CB2" s="28">
        <v>0</v>
      </c>
      <c r="CC2" s="28">
        <v>0</v>
      </c>
      <c r="CD2" s="28">
        <v>0</v>
      </c>
      <c r="CE2" s="28">
        <v>0</v>
      </c>
      <c r="CF2" s="28">
        <v>0</v>
      </c>
      <c r="CG2" s="28">
        <v>0</v>
      </c>
      <c r="CH2" s="28">
        <v>0</v>
      </c>
      <c r="CI2" s="28">
        <v>0</v>
      </c>
      <c r="CJ2" s="28">
        <v>0</v>
      </c>
      <c r="CK2" s="28">
        <v>0</v>
      </c>
      <c r="CL2" s="28">
        <v>0</v>
      </c>
      <c r="CM2" s="28">
        <v>0</v>
      </c>
      <c r="CN2" s="28">
        <v>0</v>
      </c>
      <c r="CO2" s="28">
        <v>0</v>
      </c>
      <c r="CP2" s="28">
        <v>0</v>
      </c>
      <c r="CQ2" s="28">
        <v>0</v>
      </c>
      <c r="CR2" s="28">
        <v>0</v>
      </c>
      <c r="CS2" s="28">
        <v>0</v>
      </c>
      <c r="CT2" s="28">
        <v>0</v>
      </c>
      <c r="CU2" s="34">
        <v>0</v>
      </c>
    </row>
    <row r="3" spans="1:99" x14ac:dyDescent="0.25">
      <c r="A3" s="24">
        <v>2</v>
      </c>
      <c r="B3" s="26">
        <v>0.5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0</v>
      </c>
      <c r="CE3" s="28">
        <v>0</v>
      </c>
      <c r="CF3" s="28">
        <v>0</v>
      </c>
      <c r="CG3" s="28">
        <v>0</v>
      </c>
      <c r="CH3" s="28">
        <v>0</v>
      </c>
      <c r="CI3" s="28">
        <v>0</v>
      </c>
      <c r="CJ3" s="28">
        <v>0</v>
      </c>
      <c r="CK3" s="28">
        <v>0</v>
      </c>
      <c r="CL3" s="28">
        <v>0</v>
      </c>
      <c r="CM3" s="28">
        <v>0</v>
      </c>
      <c r="CN3" s="28">
        <v>0</v>
      </c>
      <c r="CO3" s="28">
        <v>0</v>
      </c>
      <c r="CP3" s="28">
        <v>0</v>
      </c>
      <c r="CQ3" s="28">
        <v>0</v>
      </c>
      <c r="CR3" s="28">
        <v>0</v>
      </c>
      <c r="CS3" s="28">
        <v>0</v>
      </c>
      <c r="CT3" s="28">
        <v>0</v>
      </c>
      <c r="CU3" s="34">
        <v>0</v>
      </c>
    </row>
    <row r="4" spans="1:99" x14ac:dyDescent="0.25">
      <c r="A4" s="24">
        <v>3</v>
      </c>
      <c r="B4" s="26">
        <v>1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8">
        <v>0</v>
      </c>
      <c r="BI4" s="28">
        <v>0</v>
      </c>
      <c r="BJ4" s="28">
        <v>0</v>
      </c>
      <c r="BK4" s="28">
        <v>0</v>
      </c>
      <c r="BL4" s="28">
        <v>0</v>
      </c>
      <c r="BM4" s="28">
        <v>0</v>
      </c>
      <c r="BN4" s="28">
        <v>0</v>
      </c>
      <c r="BO4" s="28">
        <v>0</v>
      </c>
      <c r="BP4" s="28">
        <v>0</v>
      </c>
      <c r="BQ4" s="28">
        <v>0</v>
      </c>
      <c r="BR4" s="28">
        <v>0</v>
      </c>
      <c r="BS4" s="28">
        <v>0</v>
      </c>
      <c r="BT4" s="28">
        <v>0</v>
      </c>
      <c r="BU4" s="28">
        <v>0</v>
      </c>
      <c r="BV4" s="28">
        <v>0</v>
      </c>
      <c r="BW4" s="28">
        <v>0</v>
      </c>
      <c r="BX4" s="28">
        <v>0</v>
      </c>
      <c r="BY4" s="28">
        <v>0</v>
      </c>
      <c r="BZ4" s="28">
        <v>0</v>
      </c>
      <c r="CA4" s="28">
        <v>0</v>
      </c>
      <c r="CB4" s="28">
        <v>0</v>
      </c>
      <c r="CC4" s="28">
        <v>0</v>
      </c>
      <c r="CD4" s="28">
        <v>0</v>
      </c>
      <c r="CE4" s="28">
        <v>0</v>
      </c>
      <c r="CF4" s="28">
        <v>0</v>
      </c>
      <c r="CG4" s="28">
        <v>0</v>
      </c>
      <c r="CH4" s="28">
        <v>0</v>
      </c>
      <c r="CI4" s="28">
        <v>0</v>
      </c>
      <c r="CJ4" s="28">
        <v>0</v>
      </c>
      <c r="CK4" s="28">
        <v>0</v>
      </c>
      <c r="CL4" s="28">
        <v>0</v>
      </c>
      <c r="CM4" s="28">
        <v>0</v>
      </c>
      <c r="CN4" s="28">
        <v>0</v>
      </c>
      <c r="CO4" s="28">
        <v>0</v>
      </c>
      <c r="CP4" s="28">
        <v>0</v>
      </c>
      <c r="CQ4" s="28">
        <v>0</v>
      </c>
      <c r="CR4" s="28">
        <v>0</v>
      </c>
      <c r="CS4" s="28">
        <v>0</v>
      </c>
      <c r="CT4" s="28">
        <v>0</v>
      </c>
      <c r="CU4" s="34">
        <v>0</v>
      </c>
    </row>
    <row r="5" spans="1:99" x14ac:dyDescent="0.25">
      <c r="A5" s="24">
        <v>4</v>
      </c>
      <c r="B5" s="26">
        <v>1.5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28">
        <v>0</v>
      </c>
      <c r="CB5" s="28">
        <v>0</v>
      </c>
      <c r="CC5" s="28">
        <v>0</v>
      </c>
      <c r="CD5" s="28">
        <v>0</v>
      </c>
      <c r="CE5" s="28">
        <v>0</v>
      </c>
      <c r="CF5" s="28">
        <v>0</v>
      </c>
      <c r="CG5" s="28">
        <v>0</v>
      </c>
      <c r="CH5" s="28">
        <v>0</v>
      </c>
      <c r="CI5" s="28">
        <v>0</v>
      </c>
      <c r="CJ5" s="28">
        <v>0</v>
      </c>
      <c r="CK5" s="28">
        <v>0</v>
      </c>
      <c r="CL5" s="28">
        <v>0</v>
      </c>
      <c r="CM5" s="28">
        <v>0</v>
      </c>
      <c r="CN5" s="28">
        <v>0</v>
      </c>
      <c r="CO5" s="28">
        <v>0</v>
      </c>
      <c r="CP5" s="28">
        <v>0</v>
      </c>
      <c r="CQ5" s="28">
        <v>0</v>
      </c>
      <c r="CR5" s="28">
        <v>0</v>
      </c>
      <c r="CS5" s="28">
        <v>0</v>
      </c>
      <c r="CT5" s="28">
        <v>0</v>
      </c>
      <c r="CU5" s="34">
        <v>0</v>
      </c>
    </row>
    <row r="6" spans="1:99" x14ac:dyDescent="0.25">
      <c r="A6" s="24">
        <v>5</v>
      </c>
      <c r="B6" s="26">
        <v>2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34">
        <v>0</v>
      </c>
    </row>
    <row r="7" spans="1:99" x14ac:dyDescent="0.25">
      <c r="A7" s="24">
        <v>6</v>
      </c>
      <c r="B7" s="26">
        <v>2.5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34">
        <v>0</v>
      </c>
    </row>
    <row r="8" spans="1:99" x14ac:dyDescent="0.25">
      <c r="A8" s="24">
        <v>7</v>
      </c>
      <c r="B8" s="26">
        <v>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34">
        <v>0</v>
      </c>
    </row>
    <row r="9" spans="1:99" x14ac:dyDescent="0.25">
      <c r="A9" s="24">
        <v>8</v>
      </c>
      <c r="B9" s="26">
        <v>3.5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8">
        <v>0</v>
      </c>
      <c r="CI9" s="28">
        <v>0</v>
      </c>
      <c r="CJ9" s="28">
        <v>0</v>
      </c>
      <c r="CK9" s="28">
        <v>0</v>
      </c>
      <c r="CL9" s="28">
        <v>0</v>
      </c>
      <c r="CM9" s="28">
        <v>0</v>
      </c>
      <c r="CN9" s="28">
        <v>0</v>
      </c>
      <c r="CO9" s="28">
        <v>0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34">
        <v>0</v>
      </c>
    </row>
    <row r="10" spans="1:99" x14ac:dyDescent="0.25">
      <c r="A10" s="24">
        <v>9</v>
      </c>
      <c r="B10" s="26">
        <v>4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4.0000000000000001E-3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1E-3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1.4E-2</v>
      </c>
      <c r="AH10" s="28">
        <v>0</v>
      </c>
      <c r="AI10" s="28">
        <v>0</v>
      </c>
      <c r="AJ10" s="28">
        <v>1E-3</v>
      </c>
      <c r="AK10" s="28">
        <v>0</v>
      </c>
      <c r="AL10" s="28">
        <v>0</v>
      </c>
      <c r="AM10" s="28">
        <v>2E-3</v>
      </c>
      <c r="AN10" s="28">
        <v>4.0000000000000001E-3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2E-3</v>
      </c>
      <c r="BG10" s="28">
        <v>0</v>
      </c>
      <c r="BH10" s="28">
        <v>2.1000000000000001E-2</v>
      </c>
      <c r="BI10" s="28">
        <v>0</v>
      </c>
      <c r="BJ10" s="28">
        <v>0</v>
      </c>
      <c r="BK10" s="28">
        <v>0</v>
      </c>
      <c r="BL10" s="28">
        <v>0</v>
      </c>
      <c r="BM10" s="28">
        <v>2E-3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5.3684210526315783E-4</v>
      </c>
      <c r="CU10" s="34">
        <v>5.0999999999999997E-2</v>
      </c>
    </row>
    <row r="11" spans="1:99" x14ac:dyDescent="0.25">
      <c r="A11" s="24">
        <v>10</v>
      </c>
      <c r="B11" s="26">
        <v>4.5</v>
      </c>
      <c r="C11" s="28">
        <v>0.11899999999999999</v>
      </c>
      <c r="D11" s="28">
        <v>0.19</v>
      </c>
      <c r="E11" s="28">
        <v>0.06</v>
      </c>
      <c r="F11" s="28">
        <v>0.17599999999999999</v>
      </c>
      <c r="G11" s="28">
        <v>7.8E-2</v>
      </c>
      <c r="H11" s="28">
        <v>0</v>
      </c>
      <c r="I11" s="28">
        <v>0.187</v>
      </c>
      <c r="J11" s="28">
        <v>0.11899999999999999</v>
      </c>
      <c r="K11" s="28">
        <v>0.16800000000000001</v>
      </c>
      <c r="L11" s="28">
        <v>0.192</v>
      </c>
      <c r="M11" s="28">
        <v>0.17899999999999999</v>
      </c>
      <c r="N11" s="28">
        <v>9.1999999999999998E-2</v>
      </c>
      <c r="O11" s="28">
        <v>0</v>
      </c>
      <c r="P11" s="28">
        <v>0.10100000000000001</v>
      </c>
      <c r="Q11" s="28">
        <v>3.3000000000000002E-2</v>
      </c>
      <c r="R11" s="28">
        <v>0</v>
      </c>
      <c r="S11" s="28">
        <v>0.183</v>
      </c>
      <c r="T11" s="28">
        <v>1.6E-2</v>
      </c>
      <c r="U11" s="28">
        <v>0.17699999999999999</v>
      </c>
      <c r="V11" s="28">
        <v>0.17100000000000001</v>
      </c>
      <c r="W11" s="28">
        <v>0.123</v>
      </c>
      <c r="X11" s="28">
        <v>9.0999999999999998E-2</v>
      </c>
      <c r="Y11" s="28">
        <v>0.14599999999999999</v>
      </c>
      <c r="Z11" s="28">
        <v>1.7000000000000001E-2</v>
      </c>
      <c r="AA11" s="28">
        <v>0</v>
      </c>
      <c r="AB11" s="28">
        <v>3.3000000000000002E-2</v>
      </c>
      <c r="AC11" s="28">
        <v>0.06</v>
      </c>
      <c r="AD11" s="28">
        <v>0</v>
      </c>
      <c r="AE11" s="28">
        <v>0.14699999999999999</v>
      </c>
      <c r="AF11" s="28">
        <v>0</v>
      </c>
      <c r="AG11" s="28">
        <v>0.08</v>
      </c>
      <c r="AH11" s="28">
        <v>0</v>
      </c>
      <c r="AI11" s="28">
        <v>0.18099999999999999</v>
      </c>
      <c r="AJ11" s="28">
        <v>0.184</v>
      </c>
      <c r="AK11" s="28">
        <v>0</v>
      </c>
      <c r="AL11" s="28">
        <v>6.4000000000000001E-2</v>
      </c>
      <c r="AM11" s="28">
        <v>5.0000000000000001E-3</v>
      </c>
      <c r="AN11" s="28">
        <v>7.2000000000000008E-2</v>
      </c>
      <c r="AO11" s="28">
        <v>0.186</v>
      </c>
      <c r="AP11" s="28">
        <v>0.14199999999999999</v>
      </c>
      <c r="AQ11" s="28">
        <v>0</v>
      </c>
      <c r="AR11" s="28">
        <v>0</v>
      </c>
      <c r="AS11" s="28">
        <v>0</v>
      </c>
      <c r="AT11" s="28">
        <v>0</v>
      </c>
      <c r="AU11" s="28">
        <v>7.0000000000000001E-3</v>
      </c>
      <c r="AV11" s="28">
        <v>0.16500000000000001</v>
      </c>
      <c r="AW11" s="28">
        <v>0.13200000000000001</v>
      </c>
      <c r="AX11" s="28">
        <v>0.114</v>
      </c>
      <c r="AY11" s="28">
        <v>0.03</v>
      </c>
      <c r="AZ11" s="28">
        <v>0</v>
      </c>
      <c r="BA11" s="28">
        <v>0.123</v>
      </c>
      <c r="BB11" s="28">
        <v>0.115</v>
      </c>
      <c r="BC11" s="28">
        <v>0.13</v>
      </c>
      <c r="BD11" s="28">
        <v>8.8999999999999996E-2</v>
      </c>
      <c r="BE11" s="28">
        <v>0.13900000000000001</v>
      </c>
      <c r="BF11" s="28">
        <v>0.185</v>
      </c>
      <c r="BG11" s="28">
        <v>0.157</v>
      </c>
      <c r="BH11" s="28">
        <v>0.20399999999999999</v>
      </c>
      <c r="BI11" s="28">
        <v>9.7000000000000003E-2</v>
      </c>
      <c r="BJ11" s="28">
        <v>0</v>
      </c>
      <c r="BK11" s="28">
        <v>0.12</v>
      </c>
      <c r="BL11" s="28">
        <v>0.04</v>
      </c>
      <c r="BM11" s="28">
        <v>7.8E-2</v>
      </c>
      <c r="BN11" s="28">
        <v>0</v>
      </c>
      <c r="BO11" s="28">
        <v>9.8000000000000004E-2</v>
      </c>
      <c r="BP11" s="28">
        <v>0.10199999999999999</v>
      </c>
      <c r="BQ11" s="28">
        <v>0.154</v>
      </c>
      <c r="BR11" s="28">
        <v>0.19700000000000001</v>
      </c>
      <c r="BS11" s="28">
        <v>9.7000000000000003E-2</v>
      </c>
      <c r="BT11" s="28">
        <v>0.107</v>
      </c>
      <c r="BU11" s="28">
        <v>0.193</v>
      </c>
      <c r="BV11" s="28">
        <v>6.2E-2</v>
      </c>
      <c r="BW11" s="28">
        <v>6.8000000000000005E-2</v>
      </c>
      <c r="BX11" s="28">
        <v>1.4999999999999999E-2</v>
      </c>
      <c r="BY11" s="28">
        <v>8.5000000000000006E-2</v>
      </c>
      <c r="BZ11" s="28">
        <v>0</v>
      </c>
      <c r="CA11" s="28">
        <v>0.158</v>
      </c>
      <c r="CB11" s="28">
        <v>0</v>
      </c>
      <c r="CC11" s="28">
        <v>0.111</v>
      </c>
      <c r="CD11" s="28">
        <v>0.106</v>
      </c>
      <c r="CE11" s="28">
        <v>0</v>
      </c>
      <c r="CF11" s="28">
        <v>0</v>
      </c>
      <c r="CG11" s="28">
        <v>0.17199999999999999</v>
      </c>
      <c r="CH11" s="28">
        <v>0</v>
      </c>
      <c r="CI11" s="28">
        <v>6.7000000000000004E-2</v>
      </c>
      <c r="CJ11" s="28">
        <v>3.5000000000000003E-2</v>
      </c>
      <c r="CK11" s="28">
        <v>9.8000000000000004E-2</v>
      </c>
      <c r="CL11" s="28">
        <v>0.113</v>
      </c>
      <c r="CM11" s="28">
        <v>3.9E-2</v>
      </c>
      <c r="CN11" s="28">
        <v>0</v>
      </c>
      <c r="CO11" s="28">
        <v>0.154</v>
      </c>
      <c r="CP11" s="28">
        <v>0</v>
      </c>
      <c r="CQ11" s="28">
        <v>0.182</v>
      </c>
      <c r="CR11" s="28">
        <v>0.113</v>
      </c>
      <c r="CS11" s="28">
        <v>0</v>
      </c>
      <c r="CT11" s="28">
        <v>8.6557894736842111E-2</v>
      </c>
      <c r="CU11" s="34">
        <v>8.2230000000000008</v>
      </c>
    </row>
    <row r="12" spans="1:99" x14ac:dyDescent="0.25">
      <c r="A12" s="24">
        <v>11</v>
      </c>
      <c r="B12" s="26">
        <v>5</v>
      </c>
      <c r="C12" s="28">
        <v>0.16900000000000001</v>
      </c>
      <c r="D12" s="28">
        <v>0.32600000000000001</v>
      </c>
      <c r="E12" s="28">
        <v>0</v>
      </c>
      <c r="F12" s="28">
        <v>0.40400000000000003</v>
      </c>
      <c r="G12" s="28">
        <v>0.19600000000000001</v>
      </c>
      <c r="H12" s="28">
        <v>0.30299999999999999</v>
      </c>
      <c r="I12" s="28">
        <v>0.41499999999999998</v>
      </c>
      <c r="J12" s="28">
        <v>0.28199999999999997</v>
      </c>
      <c r="K12" s="28">
        <v>0.29099999999999998</v>
      </c>
      <c r="L12" s="28">
        <v>0.42</v>
      </c>
      <c r="M12" s="28">
        <v>0.28599999999999998</v>
      </c>
      <c r="N12" s="28">
        <v>0.376</v>
      </c>
      <c r="O12" s="28">
        <v>0.17699999999999999</v>
      </c>
      <c r="P12" s="28">
        <v>0.182</v>
      </c>
      <c r="Q12" s="28">
        <v>4.1000000000000002E-2</v>
      </c>
      <c r="R12" s="28">
        <v>0.34100000000000003</v>
      </c>
      <c r="S12" s="28">
        <v>0.41099999999999998</v>
      </c>
      <c r="T12" s="28">
        <v>0</v>
      </c>
      <c r="U12" s="28">
        <v>0.40500000000000003</v>
      </c>
      <c r="V12" s="28">
        <v>0.42</v>
      </c>
      <c r="W12" s="28">
        <v>0.41199999999999998</v>
      </c>
      <c r="X12" s="28">
        <v>0.188</v>
      </c>
      <c r="Y12" s="28">
        <v>0.187</v>
      </c>
      <c r="Z12" s="28">
        <v>0.24099999999999999</v>
      </c>
      <c r="AA12" s="28">
        <v>0.106</v>
      </c>
      <c r="AB12" s="28">
        <v>0.11899999999999999</v>
      </c>
      <c r="AC12" s="28">
        <v>6.4999999999999988E-2</v>
      </c>
      <c r="AD12" s="28">
        <v>0.128</v>
      </c>
      <c r="AE12" s="28">
        <v>0.32</v>
      </c>
      <c r="AF12" s="28">
        <v>0.125</v>
      </c>
      <c r="AG12" s="28">
        <v>0.42499999999999999</v>
      </c>
      <c r="AH12" s="28">
        <v>9.0000000000000011E-3</v>
      </c>
      <c r="AI12" s="28">
        <v>0.27700000000000002</v>
      </c>
      <c r="AJ12" s="28">
        <v>0.20499999999999999</v>
      </c>
      <c r="AK12" s="28">
        <v>0.27500000000000002</v>
      </c>
      <c r="AL12" s="28">
        <v>0.17899999999999999</v>
      </c>
      <c r="AM12" s="28">
        <v>0.41299999999999998</v>
      </c>
      <c r="AN12" s="28">
        <v>0.36199999999999999</v>
      </c>
      <c r="AO12" s="28">
        <v>0.32800000000000001</v>
      </c>
      <c r="AP12" s="28">
        <v>0.378</v>
      </c>
      <c r="AQ12" s="28">
        <v>0.16900000000000001</v>
      </c>
      <c r="AR12" s="28">
        <v>0.16300000000000001</v>
      </c>
      <c r="AS12" s="28">
        <v>0.30599999999999999</v>
      </c>
      <c r="AT12" s="28">
        <v>0.22600000000000001</v>
      </c>
      <c r="AU12" s="28">
        <v>0.17699999999999999</v>
      </c>
      <c r="AV12" s="28">
        <v>0.41699999999999998</v>
      </c>
      <c r="AW12" s="28">
        <v>0.38200000000000001</v>
      </c>
      <c r="AX12" s="28">
        <v>0.28599999999999998</v>
      </c>
      <c r="AY12" s="28">
        <v>0.29699999999999999</v>
      </c>
      <c r="AZ12" s="28">
        <v>0.17599999999999999</v>
      </c>
      <c r="BA12" s="28">
        <v>0.245</v>
      </c>
      <c r="BB12" s="28">
        <v>0.186</v>
      </c>
      <c r="BC12" s="28">
        <v>0.41299999999999998</v>
      </c>
      <c r="BD12" s="28">
        <v>0.32800000000000001</v>
      </c>
      <c r="BE12" s="28">
        <v>0.35699999999999998</v>
      </c>
      <c r="BF12" s="28">
        <v>0.41299999999999998</v>
      </c>
      <c r="BG12" s="28">
        <v>0.35699999999999998</v>
      </c>
      <c r="BH12" s="28">
        <v>0.432</v>
      </c>
      <c r="BI12" s="28">
        <v>8.7999999999999995E-2</v>
      </c>
      <c r="BJ12" s="28">
        <v>8.8999999999999996E-2</v>
      </c>
      <c r="BK12" s="28">
        <v>0.245</v>
      </c>
      <c r="BL12" s="28">
        <v>0.126</v>
      </c>
      <c r="BM12" s="28">
        <v>0.38200000000000001</v>
      </c>
      <c r="BN12" s="28">
        <v>0.14599999999999999</v>
      </c>
      <c r="BO12" s="28">
        <v>0.14799999999999999</v>
      </c>
      <c r="BP12" s="28">
        <v>0.40600000000000003</v>
      </c>
      <c r="BQ12" s="28">
        <v>3.3000000000000002E-2</v>
      </c>
      <c r="BR12" s="28">
        <v>0.376</v>
      </c>
      <c r="BS12" s="28">
        <v>0.40899999999999997</v>
      </c>
      <c r="BT12" s="28">
        <v>0.25</v>
      </c>
      <c r="BU12" s="28">
        <v>0.42099999999999999</v>
      </c>
      <c r="BV12" s="28">
        <v>0.156</v>
      </c>
      <c r="BW12" s="28">
        <v>0</v>
      </c>
      <c r="BX12" s="28">
        <v>0.107</v>
      </c>
      <c r="BY12" s="28">
        <v>0.30499999999999999</v>
      </c>
      <c r="BZ12" s="28">
        <v>0.13500000000000001</v>
      </c>
      <c r="CA12" s="28">
        <v>0.247</v>
      </c>
      <c r="CB12" s="28">
        <v>5.0000000000000001E-3</v>
      </c>
      <c r="CC12" s="28">
        <v>0.19900000000000001</v>
      </c>
      <c r="CD12" s="28">
        <v>0.40799999999999997</v>
      </c>
      <c r="CE12" s="28">
        <v>0.20699999999999999</v>
      </c>
      <c r="CF12" s="28">
        <v>8.7999999999999995E-2</v>
      </c>
      <c r="CG12" s="28">
        <v>0.314</v>
      </c>
      <c r="CH12" s="28">
        <v>0.20699999999999999</v>
      </c>
      <c r="CI12" s="28">
        <v>0.182</v>
      </c>
      <c r="CJ12" s="28">
        <v>0.17899999999999999</v>
      </c>
      <c r="CK12" s="28">
        <v>0.35599999999999998</v>
      </c>
      <c r="CL12" s="28">
        <v>0.19400000000000001</v>
      </c>
      <c r="CM12" s="28">
        <v>4.7E-2</v>
      </c>
      <c r="CN12" s="28">
        <v>8.6999999999999994E-2</v>
      </c>
      <c r="CO12" s="28">
        <v>0.35399999999999998</v>
      </c>
      <c r="CP12" s="28">
        <v>0</v>
      </c>
      <c r="CQ12" s="28">
        <v>0.22900000000000001</v>
      </c>
      <c r="CR12" s="28">
        <v>0.27200000000000002</v>
      </c>
      <c r="CS12" s="28">
        <v>9.4E-2</v>
      </c>
      <c r="CT12" s="28">
        <v>0.24218947368421051</v>
      </c>
      <c r="CU12" s="34">
        <v>23.007999999999999</v>
      </c>
    </row>
    <row r="13" spans="1:99" x14ac:dyDescent="0.25">
      <c r="A13" s="24">
        <v>12</v>
      </c>
      <c r="B13" s="26">
        <v>5.5</v>
      </c>
      <c r="C13" s="28">
        <v>0.46600000000000003</v>
      </c>
      <c r="D13" s="28">
        <v>0.622</v>
      </c>
      <c r="E13" s="28">
        <v>0.23200000000000001</v>
      </c>
      <c r="F13" s="28">
        <v>0.68499999999999994</v>
      </c>
      <c r="G13" s="28">
        <v>0.60899999999999999</v>
      </c>
      <c r="H13" s="28">
        <v>0.312</v>
      </c>
      <c r="I13" s="28">
        <v>0.69599999999999995</v>
      </c>
      <c r="J13" s="28">
        <v>0.439</v>
      </c>
      <c r="K13" s="28">
        <v>0.59599999999999997</v>
      </c>
      <c r="L13" s="28">
        <v>0.68700000000000006</v>
      </c>
      <c r="M13" s="28">
        <v>0.68800000000000006</v>
      </c>
      <c r="N13" s="28">
        <v>0.47199999999999998</v>
      </c>
      <c r="O13" s="28">
        <v>0.317</v>
      </c>
      <c r="P13" s="28">
        <v>0.50900000000000001</v>
      </c>
      <c r="Q13" s="28">
        <v>0.224</v>
      </c>
      <c r="R13" s="28">
        <v>0.69499999999999995</v>
      </c>
      <c r="S13" s="28">
        <v>0.69200000000000006</v>
      </c>
      <c r="T13" s="28">
        <v>0.314</v>
      </c>
      <c r="U13" s="28">
        <v>0.68599999999999994</v>
      </c>
      <c r="V13" s="28">
        <v>0.70100000000000007</v>
      </c>
      <c r="W13" s="28">
        <v>0.69300000000000006</v>
      </c>
      <c r="X13" s="28">
        <v>0.51700000000000002</v>
      </c>
      <c r="Y13" s="28">
        <v>0.59100000000000008</v>
      </c>
      <c r="Z13" s="28">
        <v>0.22600000000000001</v>
      </c>
      <c r="AA13" s="28">
        <v>0.224</v>
      </c>
      <c r="AB13" s="28">
        <v>0.224</v>
      </c>
      <c r="AC13" s="28">
        <v>0.224</v>
      </c>
      <c r="AD13" s="28">
        <v>8.1000000000000003E-2</v>
      </c>
      <c r="AE13" s="28">
        <v>0.69</v>
      </c>
      <c r="AF13" s="28">
        <v>0.38700000000000001</v>
      </c>
      <c r="AG13" s="28">
        <v>0.63600000000000001</v>
      </c>
      <c r="AH13" s="28">
        <v>0.14599999999999999</v>
      </c>
      <c r="AI13" s="28">
        <v>0.57700000000000007</v>
      </c>
      <c r="AJ13" s="28">
        <v>0.69300000000000006</v>
      </c>
      <c r="AK13" s="28">
        <v>0.41</v>
      </c>
      <c r="AL13" s="28">
        <v>0.31900000000000001</v>
      </c>
      <c r="AM13" s="28">
        <v>0.51500000000000001</v>
      </c>
      <c r="AN13" s="28">
        <v>0.69599999999999995</v>
      </c>
      <c r="AO13" s="28">
        <v>0.49799999999999989</v>
      </c>
      <c r="AP13" s="28">
        <v>0.57200000000000006</v>
      </c>
      <c r="AQ13" s="28">
        <v>0.40600000000000003</v>
      </c>
      <c r="AR13" s="28">
        <v>0.32200000000000001</v>
      </c>
      <c r="AS13" s="28">
        <v>0.52400000000000002</v>
      </c>
      <c r="AT13" s="28">
        <v>0.499</v>
      </c>
      <c r="AU13" s="28">
        <v>0.20699999999999999</v>
      </c>
      <c r="AV13" s="28">
        <v>0.53500000000000003</v>
      </c>
      <c r="AW13" s="28">
        <v>0.44800000000000001</v>
      </c>
      <c r="AX13" s="28">
        <v>0.496</v>
      </c>
      <c r="AY13" s="28">
        <v>0.26300000000000001</v>
      </c>
      <c r="AZ13" s="28">
        <v>0.33</v>
      </c>
      <c r="BA13" s="28">
        <v>0.61499999999999999</v>
      </c>
      <c r="BB13" s="28">
        <v>0.372</v>
      </c>
      <c r="BC13" s="28">
        <v>0.64600000000000002</v>
      </c>
      <c r="BD13" s="28">
        <v>0.40300000000000002</v>
      </c>
      <c r="BE13" s="28">
        <v>0.441</v>
      </c>
      <c r="BF13" s="28">
        <v>0.69399999999999995</v>
      </c>
      <c r="BG13" s="28">
        <v>0.51300000000000001</v>
      </c>
      <c r="BH13" s="28">
        <v>0.71299999999999997</v>
      </c>
      <c r="BI13" s="28">
        <v>0.41599999999999998</v>
      </c>
      <c r="BJ13" s="28">
        <v>0.33200000000000002</v>
      </c>
      <c r="BK13" s="28">
        <v>0.40300000000000002</v>
      </c>
      <c r="BL13" s="28">
        <v>0.23100000000000001</v>
      </c>
      <c r="BM13" s="28">
        <v>0.69399999999999995</v>
      </c>
      <c r="BN13" s="28">
        <v>0.45200000000000001</v>
      </c>
      <c r="BO13" s="28">
        <v>0.33900000000000002</v>
      </c>
      <c r="BP13" s="28">
        <v>0.61199999999999999</v>
      </c>
      <c r="BQ13" s="28">
        <v>0.58499999999999996</v>
      </c>
      <c r="BR13" s="28">
        <v>0.61499999999999999</v>
      </c>
      <c r="BS13" s="28">
        <v>0.69</v>
      </c>
      <c r="BT13" s="28">
        <v>0.32500000000000001</v>
      </c>
      <c r="BU13" s="28">
        <v>0.68700000000000006</v>
      </c>
      <c r="BV13" s="28">
        <v>0.186</v>
      </c>
      <c r="BW13" s="28">
        <v>1.0999999999999999E-2</v>
      </c>
      <c r="BX13" s="28">
        <v>0.39500000000000002</v>
      </c>
      <c r="BY13" s="28">
        <v>0.51700000000000002</v>
      </c>
      <c r="BZ13" s="28">
        <v>0.41</v>
      </c>
      <c r="CA13" s="28">
        <v>0.4</v>
      </c>
      <c r="CB13" s="28">
        <v>0.40400000000000003</v>
      </c>
      <c r="CC13" s="28">
        <v>0.59699999999999998</v>
      </c>
      <c r="CD13" s="28">
        <v>0.61499999999999999</v>
      </c>
      <c r="CE13" s="28">
        <v>0.40799999999999997</v>
      </c>
      <c r="CF13" s="28">
        <v>0.17799999999999999</v>
      </c>
      <c r="CG13" s="28">
        <v>0.51</v>
      </c>
      <c r="CH13" s="28">
        <v>0.40600000000000003</v>
      </c>
      <c r="CI13" s="28">
        <v>0.30599999999999999</v>
      </c>
      <c r="CJ13" s="28">
        <v>6.9999999999999993E-2</v>
      </c>
      <c r="CK13" s="28">
        <v>0.51200000000000001</v>
      </c>
      <c r="CL13" s="28">
        <v>0.41599999999999998</v>
      </c>
      <c r="CM13" s="28">
        <v>0.23</v>
      </c>
      <c r="CN13" s="28">
        <v>0.23400000000000001</v>
      </c>
      <c r="CO13" s="28">
        <v>0.59899999999999998</v>
      </c>
      <c r="CP13" s="28">
        <v>0.24099999999999999</v>
      </c>
      <c r="CQ13" s="28">
        <v>0.69099999999999995</v>
      </c>
      <c r="CR13" s="28">
        <v>0.26700000000000002</v>
      </c>
      <c r="CS13" s="28">
        <v>0.222</v>
      </c>
      <c r="CT13" s="28">
        <v>0.45467368421052629</v>
      </c>
      <c r="CU13" s="34">
        <v>43.194000000000003</v>
      </c>
    </row>
    <row r="14" spans="1:99" x14ac:dyDescent="0.25">
      <c r="A14" s="24">
        <v>13</v>
      </c>
      <c r="B14" s="26">
        <v>6</v>
      </c>
      <c r="C14" s="28">
        <v>0.73099999999999998</v>
      </c>
      <c r="D14" s="28">
        <v>0.99700000000000011</v>
      </c>
      <c r="E14" s="28">
        <v>0.38100000000000001</v>
      </c>
      <c r="F14" s="28">
        <v>0.99099999999999988</v>
      </c>
      <c r="G14" s="28">
        <v>0.92400000000000004</v>
      </c>
      <c r="H14" s="28">
        <v>0.68099999999999994</v>
      </c>
      <c r="I14" s="28">
        <v>1.002</v>
      </c>
      <c r="J14" s="28">
        <v>0.73499999999999999</v>
      </c>
      <c r="K14" s="28">
        <v>0.85699999999999998</v>
      </c>
      <c r="L14" s="28">
        <v>0.92699999999999994</v>
      </c>
      <c r="M14" s="28">
        <v>0.98299999999999998</v>
      </c>
      <c r="N14" s="28">
        <v>0.99299999999999999</v>
      </c>
      <c r="O14" s="28">
        <v>0.40899999999999997</v>
      </c>
      <c r="P14" s="28">
        <v>0.60199999999999998</v>
      </c>
      <c r="Q14" s="28">
        <v>0.33900000000000002</v>
      </c>
      <c r="R14" s="28">
        <v>0.84000000000000008</v>
      </c>
      <c r="S14" s="28">
        <v>0.998</v>
      </c>
      <c r="T14" s="28">
        <v>0.32300000000000001</v>
      </c>
      <c r="U14" s="28">
        <v>0.99199999999999999</v>
      </c>
      <c r="V14" s="28">
        <v>0.89800000000000002</v>
      </c>
      <c r="W14" s="28">
        <v>0.9890000000000001</v>
      </c>
      <c r="X14" s="28">
        <v>0.63600000000000001</v>
      </c>
      <c r="Y14" s="28">
        <v>0.72199999999999998</v>
      </c>
      <c r="Z14" s="28">
        <v>0.55000000000000004</v>
      </c>
      <c r="AA14" s="28">
        <v>0.2</v>
      </c>
      <c r="AB14" s="28">
        <v>0.20499999999999999</v>
      </c>
      <c r="AC14" s="28">
        <v>0.46800000000000003</v>
      </c>
      <c r="AD14" s="28">
        <v>0.34799999999999998</v>
      </c>
      <c r="AE14" s="28">
        <v>0.84199999999999997</v>
      </c>
      <c r="AF14" s="28">
        <v>0.377</v>
      </c>
      <c r="AG14" s="28">
        <v>0.96500000000000008</v>
      </c>
      <c r="AH14" s="28">
        <v>0.14899999999999999</v>
      </c>
      <c r="AI14" s="28">
        <v>0.92500000000000004</v>
      </c>
      <c r="AJ14" s="28">
        <v>0.8899999999999999</v>
      </c>
      <c r="AK14" s="28">
        <v>0.56499999999999995</v>
      </c>
      <c r="AL14" s="28">
        <v>0.47199999999999998</v>
      </c>
      <c r="AM14" s="28">
        <v>1</v>
      </c>
      <c r="AN14" s="28">
        <v>1.002</v>
      </c>
      <c r="AO14" s="28">
        <v>0.96899999999999997</v>
      </c>
      <c r="AP14" s="28">
        <v>0.71399999999999997</v>
      </c>
      <c r="AQ14" s="28">
        <v>0.52200000000000002</v>
      </c>
      <c r="AR14" s="28">
        <v>0.35099999999999998</v>
      </c>
      <c r="AS14" s="28">
        <v>0.93700000000000006</v>
      </c>
      <c r="AT14" s="28">
        <v>0.57200000000000006</v>
      </c>
      <c r="AU14" s="28">
        <v>0.47</v>
      </c>
      <c r="AV14" s="28">
        <v>0.99599999999999989</v>
      </c>
      <c r="AW14" s="28">
        <v>0.9890000000000001</v>
      </c>
      <c r="AX14" s="28">
        <v>0.72599999999999998</v>
      </c>
      <c r="AY14" s="28">
        <v>0.66699999999999993</v>
      </c>
      <c r="AZ14" s="28">
        <v>0.5</v>
      </c>
      <c r="BA14" s="28">
        <v>0.88300000000000001</v>
      </c>
      <c r="BB14" s="28">
        <v>0.748</v>
      </c>
      <c r="BC14" s="28">
        <v>0.89800000000000002</v>
      </c>
      <c r="BD14" s="28">
        <v>0.83100000000000007</v>
      </c>
      <c r="BE14" s="28">
        <v>0.87</v>
      </c>
      <c r="BF14" s="28">
        <v>1</v>
      </c>
      <c r="BG14" s="28">
        <v>0.75600000000000001</v>
      </c>
      <c r="BH14" s="28">
        <v>1.0189999999999999</v>
      </c>
      <c r="BI14" s="28">
        <v>0.49</v>
      </c>
      <c r="BJ14" s="28">
        <v>0.27800000000000002</v>
      </c>
      <c r="BK14" s="28">
        <v>0.748</v>
      </c>
      <c r="BL14" s="28">
        <v>0.34599999999999997</v>
      </c>
      <c r="BM14" s="28">
        <v>0.91200000000000003</v>
      </c>
      <c r="BN14" s="28">
        <v>0.42899999999999999</v>
      </c>
      <c r="BO14" s="28">
        <v>0.60799999999999998</v>
      </c>
      <c r="BP14" s="28">
        <v>0.99299999999999999</v>
      </c>
      <c r="BQ14" s="28">
        <v>0.86199999999999999</v>
      </c>
      <c r="BR14" s="28">
        <v>1.0189999999999999</v>
      </c>
      <c r="BS14" s="28">
        <v>0.84199999999999997</v>
      </c>
      <c r="BT14" s="28">
        <v>0.61699999999999999</v>
      </c>
      <c r="BU14" s="28">
        <v>0.85799999999999998</v>
      </c>
      <c r="BV14" s="28">
        <v>0.47</v>
      </c>
      <c r="BW14" s="28">
        <v>0.308</v>
      </c>
      <c r="BX14" s="28">
        <v>0.50800000000000001</v>
      </c>
      <c r="BY14" s="28">
        <v>0.80699999999999994</v>
      </c>
      <c r="BZ14" s="28">
        <v>0.60799999999999998</v>
      </c>
      <c r="CA14" s="28">
        <v>0.871</v>
      </c>
      <c r="CB14" s="28">
        <v>0.30299999999999999</v>
      </c>
      <c r="CC14" s="28">
        <v>0.99</v>
      </c>
      <c r="CD14" s="28">
        <v>0.995</v>
      </c>
      <c r="CE14" s="28">
        <v>0.37</v>
      </c>
      <c r="CF14" s="28">
        <v>0.35599999999999998</v>
      </c>
      <c r="CG14" s="28">
        <v>0.84599999999999997</v>
      </c>
      <c r="CH14" s="28">
        <v>0.44</v>
      </c>
      <c r="CI14" s="28">
        <v>0.45700000000000002</v>
      </c>
      <c r="CJ14" s="28">
        <v>0.47199999999999998</v>
      </c>
      <c r="CK14" s="28">
        <v>0.80699999999999994</v>
      </c>
      <c r="CL14" s="28">
        <v>0.77100000000000002</v>
      </c>
      <c r="CM14" s="28">
        <v>0.33200000000000002</v>
      </c>
      <c r="CN14" s="28">
        <v>0.20200000000000001</v>
      </c>
      <c r="CO14" s="28">
        <v>0.86699999999999999</v>
      </c>
      <c r="CP14" s="28">
        <v>0.19400000000000001</v>
      </c>
      <c r="CQ14" s="28">
        <v>0.99700000000000011</v>
      </c>
      <c r="CR14" s="28">
        <v>0.72400000000000009</v>
      </c>
      <c r="CS14" s="28">
        <v>0.378</v>
      </c>
      <c r="CT14" s="28">
        <v>0.68843157894736839</v>
      </c>
      <c r="CU14" s="34">
        <v>65.400999999999996</v>
      </c>
    </row>
    <row r="15" spans="1:99" x14ac:dyDescent="0.25">
      <c r="A15" s="24">
        <v>14</v>
      </c>
      <c r="B15" s="26">
        <v>6.5</v>
      </c>
      <c r="C15" s="28">
        <v>0.85599999999999998</v>
      </c>
      <c r="D15" s="28">
        <v>1.1539999999999999</v>
      </c>
      <c r="E15" s="28">
        <v>0.432</v>
      </c>
      <c r="F15" s="28">
        <v>1.288</v>
      </c>
      <c r="G15" s="28">
        <v>1.169</v>
      </c>
      <c r="H15" s="28">
        <v>0.97499999999999998</v>
      </c>
      <c r="I15" s="28">
        <v>1.3120000000000001</v>
      </c>
      <c r="J15" s="28">
        <v>0.88800000000000001</v>
      </c>
      <c r="K15" s="28">
        <v>1.212</v>
      </c>
      <c r="L15" s="28">
        <v>1.3169999999999999</v>
      </c>
      <c r="M15" s="28">
        <v>1.1930000000000001</v>
      </c>
      <c r="N15" s="28">
        <v>1.17</v>
      </c>
      <c r="O15" s="28">
        <v>0.60099999999999998</v>
      </c>
      <c r="P15" s="28">
        <v>0.73399999999999999</v>
      </c>
      <c r="Q15" s="28">
        <v>0.45500000000000002</v>
      </c>
      <c r="R15" s="28">
        <v>1.3109999999999999</v>
      </c>
      <c r="S15" s="28">
        <v>1.3080000000000001</v>
      </c>
      <c r="T15" s="28">
        <v>0.629</v>
      </c>
      <c r="U15" s="28">
        <v>1.302</v>
      </c>
      <c r="V15" s="28">
        <v>1.276</v>
      </c>
      <c r="W15" s="28">
        <v>1.3089999999999999</v>
      </c>
      <c r="X15" s="28">
        <v>0.77300000000000002</v>
      </c>
      <c r="Y15" s="28">
        <v>1.1080000000000001</v>
      </c>
      <c r="Z15" s="28">
        <v>0.71</v>
      </c>
      <c r="AA15" s="28">
        <v>0.45500000000000002</v>
      </c>
      <c r="AB15" s="28">
        <v>0.45500000000000002</v>
      </c>
      <c r="AC15" s="28">
        <v>0.58399999999999996</v>
      </c>
      <c r="AD15" s="28">
        <v>0.438</v>
      </c>
      <c r="AE15" s="28">
        <v>1.306</v>
      </c>
      <c r="AF15" s="28">
        <v>0.76700000000000002</v>
      </c>
      <c r="AG15" s="28">
        <v>1.2809999999999999</v>
      </c>
      <c r="AH15" s="28">
        <v>0.45600000000000002</v>
      </c>
      <c r="AI15" s="28">
        <v>1.2210000000000001</v>
      </c>
      <c r="AJ15" s="28">
        <v>1.097</v>
      </c>
      <c r="AK15" s="28">
        <v>0.876</v>
      </c>
      <c r="AL15" s="28">
        <v>0.627</v>
      </c>
      <c r="AM15" s="28">
        <v>1.2609999999999999</v>
      </c>
      <c r="AN15" s="28">
        <v>1.22</v>
      </c>
      <c r="AO15" s="28">
        <v>1.165</v>
      </c>
      <c r="AP15" s="28">
        <v>1.2370000000000001</v>
      </c>
      <c r="AQ15" s="28">
        <v>0.71500000000000008</v>
      </c>
      <c r="AR15" s="28">
        <v>0.63</v>
      </c>
      <c r="AS15" s="28">
        <v>1.206</v>
      </c>
      <c r="AT15" s="28">
        <v>0.79199999999999993</v>
      </c>
      <c r="AU15" s="28">
        <v>0.625</v>
      </c>
      <c r="AV15" s="28">
        <v>1.304</v>
      </c>
      <c r="AW15" s="28">
        <v>1.1619999999999999</v>
      </c>
      <c r="AX15" s="28">
        <v>0.95799999999999996</v>
      </c>
      <c r="AY15" s="28">
        <v>0.96899999999999997</v>
      </c>
      <c r="AZ15" s="28">
        <v>0.71199999999999997</v>
      </c>
      <c r="BA15" s="28">
        <v>0.98299999999999998</v>
      </c>
      <c r="BB15" s="28">
        <v>0.88</v>
      </c>
      <c r="BC15" s="28">
        <v>1.31</v>
      </c>
      <c r="BD15" s="28">
        <v>1.1020000000000001</v>
      </c>
      <c r="BE15" s="28">
        <v>1.0249999999999999</v>
      </c>
      <c r="BF15" s="28">
        <v>1.31</v>
      </c>
      <c r="BG15" s="28">
        <v>1.141</v>
      </c>
      <c r="BH15" s="28">
        <v>1.329</v>
      </c>
      <c r="BI15" s="28">
        <v>0.76600000000000001</v>
      </c>
      <c r="BJ15" s="28">
        <v>0.58799999999999997</v>
      </c>
      <c r="BK15" s="28">
        <v>0.98</v>
      </c>
      <c r="BL15" s="28">
        <v>0.46200000000000002</v>
      </c>
      <c r="BM15" s="28">
        <v>1.2589999999999999</v>
      </c>
      <c r="BN15" s="28">
        <v>0.91799999999999993</v>
      </c>
      <c r="BO15" s="28">
        <v>0.63100000000000001</v>
      </c>
      <c r="BP15" s="28">
        <v>1.3029999999999999</v>
      </c>
      <c r="BQ15" s="28">
        <v>1.038</v>
      </c>
      <c r="BR15" s="28">
        <v>1.175</v>
      </c>
      <c r="BS15" s="28">
        <v>0</v>
      </c>
      <c r="BT15" s="28">
        <v>0.81099999999999994</v>
      </c>
      <c r="BU15" s="28">
        <v>1.2649999999999999</v>
      </c>
      <c r="BV15" s="28">
        <v>0.48699999999999999</v>
      </c>
      <c r="BW15" s="28">
        <v>0</v>
      </c>
      <c r="BX15" s="28">
        <v>0.83</v>
      </c>
      <c r="BY15" s="28">
        <v>1.1339999999999999</v>
      </c>
      <c r="BZ15" s="28">
        <v>0.86399999999999999</v>
      </c>
      <c r="CA15" s="28">
        <v>0.93899999999999995</v>
      </c>
      <c r="CB15" s="28">
        <v>0.68099999999999994</v>
      </c>
      <c r="CC15" s="28">
        <v>1.2250000000000001</v>
      </c>
      <c r="CD15" s="28">
        <v>1.2310000000000001</v>
      </c>
      <c r="CE15" s="28">
        <v>0.66500000000000004</v>
      </c>
      <c r="CF15" s="28">
        <v>0.63200000000000001</v>
      </c>
      <c r="CG15" s="28">
        <v>1.1559999999999999</v>
      </c>
      <c r="CH15" s="28">
        <v>0.79900000000000004</v>
      </c>
      <c r="CI15" s="28">
        <v>0.61199999999999999</v>
      </c>
      <c r="CJ15" s="28">
        <v>0.47599999999999998</v>
      </c>
      <c r="CK15" s="28">
        <v>1.113</v>
      </c>
      <c r="CL15" s="28">
        <v>0.94200000000000006</v>
      </c>
      <c r="CM15" s="28">
        <v>0.39600000000000002</v>
      </c>
      <c r="CN15" s="28">
        <v>0.45800000000000002</v>
      </c>
      <c r="CO15" s="28">
        <v>1.1379999999999999</v>
      </c>
      <c r="CP15" s="28">
        <v>0.39500000000000002</v>
      </c>
      <c r="CQ15" s="28">
        <v>1.1830000000000001</v>
      </c>
      <c r="CR15" s="28">
        <v>0.88099999999999989</v>
      </c>
      <c r="CS15" s="28">
        <v>0.63600000000000001</v>
      </c>
      <c r="CT15" s="28">
        <v>0.9173684210526315</v>
      </c>
      <c r="CU15" s="34">
        <v>87.149999999999991</v>
      </c>
    </row>
    <row r="16" spans="1:99" x14ac:dyDescent="0.25">
      <c r="A16" s="24">
        <v>15</v>
      </c>
      <c r="B16" s="26">
        <v>7</v>
      </c>
      <c r="C16" s="28">
        <v>1.1439999999999999</v>
      </c>
      <c r="D16" s="28">
        <v>1.613</v>
      </c>
      <c r="E16" s="28">
        <v>0.53500000000000003</v>
      </c>
      <c r="F16" s="28">
        <v>1.5029999999999999</v>
      </c>
      <c r="G16" s="28">
        <v>1.6120000000000001</v>
      </c>
      <c r="H16" s="28">
        <v>1.0369999999999999</v>
      </c>
      <c r="I16" s="28">
        <v>1.4750000000000001</v>
      </c>
      <c r="J16" s="28">
        <v>1.198</v>
      </c>
      <c r="K16" s="28">
        <v>1.3759999999999999</v>
      </c>
      <c r="L16" s="28">
        <v>1.625</v>
      </c>
      <c r="M16" s="28">
        <v>1.6120000000000001</v>
      </c>
      <c r="N16" s="28">
        <v>1.498</v>
      </c>
      <c r="O16" s="28">
        <v>0.71299999999999997</v>
      </c>
      <c r="P16" s="28">
        <v>1.202</v>
      </c>
      <c r="Q16" s="28">
        <v>0.51900000000000002</v>
      </c>
      <c r="R16" s="28">
        <v>1.405</v>
      </c>
      <c r="S16" s="28">
        <v>1.6160000000000001</v>
      </c>
      <c r="T16" s="28">
        <v>0.505</v>
      </c>
      <c r="U16" s="28">
        <v>1.61</v>
      </c>
      <c r="V16" s="28">
        <v>1.615</v>
      </c>
      <c r="W16" s="28">
        <v>1.556</v>
      </c>
      <c r="X16" s="28">
        <v>1.165</v>
      </c>
      <c r="Y16" s="28">
        <v>1.4</v>
      </c>
      <c r="Z16" s="28">
        <v>0.82700000000000007</v>
      </c>
      <c r="AA16" s="28">
        <v>0.57099999999999995</v>
      </c>
      <c r="AB16" s="28">
        <v>0.53700000000000003</v>
      </c>
      <c r="AC16" s="28">
        <v>0.60299999999999998</v>
      </c>
      <c r="AD16" s="28">
        <v>0.52500000000000002</v>
      </c>
      <c r="AE16" s="28">
        <v>1.5580000000000001</v>
      </c>
      <c r="AF16" s="28">
        <v>0.98699999999999999</v>
      </c>
      <c r="AG16" s="28">
        <v>1.554</v>
      </c>
      <c r="AH16" s="28">
        <v>0.42299999999999999</v>
      </c>
      <c r="AI16" s="28">
        <v>1.6140000000000001</v>
      </c>
      <c r="AJ16" s="28">
        <v>1.4370000000000001</v>
      </c>
      <c r="AK16" s="28">
        <v>1.0069999999999999</v>
      </c>
      <c r="AL16" s="28">
        <v>0.78100000000000003</v>
      </c>
      <c r="AM16" s="28">
        <v>1.488</v>
      </c>
      <c r="AN16" s="28">
        <v>1.405</v>
      </c>
      <c r="AO16" s="28">
        <v>1.5</v>
      </c>
      <c r="AP16" s="28">
        <v>1.613</v>
      </c>
      <c r="AQ16" s="28">
        <v>0.98299999999999998</v>
      </c>
      <c r="AR16" s="28">
        <v>0.78400000000000003</v>
      </c>
      <c r="AS16" s="28">
        <v>1.38</v>
      </c>
      <c r="AT16" s="28">
        <v>1.0609999999999999</v>
      </c>
      <c r="AU16" s="28">
        <v>0.433</v>
      </c>
      <c r="AV16" s="28">
        <v>1.522</v>
      </c>
      <c r="AW16" s="28">
        <v>1.4950000000000001</v>
      </c>
      <c r="AX16" s="28">
        <v>1.1890000000000001</v>
      </c>
      <c r="AY16" s="28">
        <v>1.1060000000000001</v>
      </c>
      <c r="AZ16" s="28">
        <v>0.8899999999999999</v>
      </c>
      <c r="BA16" s="28">
        <v>1.4239999999999999</v>
      </c>
      <c r="BB16" s="28">
        <v>1.0429999999999999</v>
      </c>
      <c r="BC16" s="28">
        <v>1.452</v>
      </c>
      <c r="BD16" s="28">
        <v>1.1910000000000001</v>
      </c>
      <c r="BE16" s="28">
        <v>1.286</v>
      </c>
      <c r="BF16" s="28">
        <v>1.611</v>
      </c>
      <c r="BG16" s="28">
        <v>1.3380000000000001</v>
      </c>
      <c r="BH16" s="28">
        <v>1.637</v>
      </c>
      <c r="BI16" s="28">
        <v>0.91699999999999993</v>
      </c>
      <c r="BJ16" s="28">
        <v>0.67400000000000004</v>
      </c>
      <c r="BK16" s="28">
        <v>1.0960000000000001</v>
      </c>
      <c r="BL16" s="28">
        <v>0.57799999999999996</v>
      </c>
      <c r="BM16" s="28">
        <v>1.4239999999999999</v>
      </c>
      <c r="BN16" s="28">
        <v>1.1279999999999999</v>
      </c>
      <c r="BO16" s="28">
        <v>0</v>
      </c>
      <c r="BP16" s="28">
        <v>1.2170000000000001</v>
      </c>
      <c r="BQ16" s="28">
        <v>1.3360000000000001</v>
      </c>
      <c r="BR16" s="28">
        <v>1.637</v>
      </c>
      <c r="BS16" s="28">
        <v>0.90399999999999991</v>
      </c>
      <c r="BT16" s="28">
        <v>0.90300000000000002</v>
      </c>
      <c r="BU16" s="28">
        <v>1.5840000000000001</v>
      </c>
      <c r="BV16" s="28">
        <v>0.7649999999999999</v>
      </c>
      <c r="BW16" s="28">
        <v>0.54</v>
      </c>
      <c r="BX16" s="28">
        <v>0.9890000000000001</v>
      </c>
      <c r="BY16" s="28">
        <v>1.3149999999999999</v>
      </c>
      <c r="BZ16" s="28">
        <v>1.1910000000000001</v>
      </c>
      <c r="CA16" s="28">
        <v>1.3009999999999999</v>
      </c>
      <c r="CB16" s="28">
        <v>0.77200000000000002</v>
      </c>
      <c r="CC16" s="28">
        <v>1.3839999999999999</v>
      </c>
      <c r="CD16" s="28">
        <v>1.613</v>
      </c>
      <c r="CE16" s="28">
        <v>0.749</v>
      </c>
      <c r="CF16" s="28">
        <v>0.748</v>
      </c>
      <c r="CG16" s="28">
        <v>1.274</v>
      </c>
      <c r="CH16" s="28">
        <v>0.92100000000000004</v>
      </c>
      <c r="CI16" s="28">
        <v>0.55800000000000005</v>
      </c>
      <c r="CJ16" s="28">
        <v>0.44700000000000001</v>
      </c>
      <c r="CK16" s="28">
        <v>1.2350000000000001</v>
      </c>
      <c r="CL16" s="28">
        <v>1.34</v>
      </c>
      <c r="CM16" s="28">
        <v>0.53799999999999992</v>
      </c>
      <c r="CN16" s="28">
        <v>0.185</v>
      </c>
      <c r="CO16" s="28">
        <v>1.3540000000000001</v>
      </c>
      <c r="CP16" s="28">
        <v>0.58799999999999997</v>
      </c>
      <c r="CQ16" s="28">
        <v>1.5569999999999999</v>
      </c>
      <c r="CR16" s="28">
        <v>1.1200000000000001</v>
      </c>
      <c r="CS16" s="28">
        <v>0.68300000000000005</v>
      </c>
      <c r="CT16" s="28">
        <v>1.1195157894736849</v>
      </c>
      <c r="CU16" s="34">
        <v>106.3540000000001</v>
      </c>
    </row>
    <row r="17" spans="1:99" x14ac:dyDescent="0.25">
      <c r="A17" s="24">
        <v>16</v>
      </c>
      <c r="B17" s="26">
        <v>7.5</v>
      </c>
      <c r="C17" s="28">
        <v>1.38</v>
      </c>
      <c r="D17" s="28">
        <v>1.53</v>
      </c>
      <c r="E17" s="28">
        <v>0.72199999999999998</v>
      </c>
      <c r="F17" s="28">
        <v>0.77800000000000002</v>
      </c>
      <c r="G17" s="28">
        <v>1.82</v>
      </c>
      <c r="H17" s="28">
        <v>1.3440000000000001</v>
      </c>
      <c r="I17" s="28">
        <v>0.627</v>
      </c>
      <c r="J17" s="28">
        <v>1.43</v>
      </c>
      <c r="K17" s="28">
        <v>1.651</v>
      </c>
      <c r="L17" s="28">
        <v>1.4079999999999999</v>
      </c>
      <c r="M17" s="28">
        <v>1.3919999999999999</v>
      </c>
      <c r="N17" s="28">
        <v>1.92</v>
      </c>
      <c r="O17" s="28">
        <v>0.91500000000000004</v>
      </c>
      <c r="P17" s="28">
        <v>1.4139999999999999</v>
      </c>
      <c r="Q17" s="28">
        <v>0.66100000000000003</v>
      </c>
      <c r="R17" s="28">
        <v>1.845</v>
      </c>
      <c r="S17" s="28">
        <v>0.54600000000000004</v>
      </c>
      <c r="T17" s="28">
        <v>0.88800000000000001</v>
      </c>
      <c r="U17" s="28">
        <v>1.919</v>
      </c>
      <c r="V17" s="28">
        <v>0.76999999999999991</v>
      </c>
      <c r="W17" s="28">
        <v>0.86499999999999999</v>
      </c>
      <c r="X17" s="28">
        <v>1.194</v>
      </c>
      <c r="Y17" s="28">
        <v>1.67</v>
      </c>
      <c r="Z17" s="28">
        <v>1.1870000000000001</v>
      </c>
      <c r="AA17" s="28">
        <v>0.54799999999999993</v>
      </c>
      <c r="AB17" s="28">
        <v>0.51700000000000002</v>
      </c>
      <c r="AC17" s="28">
        <v>0.93099999999999994</v>
      </c>
      <c r="AD17" s="28">
        <v>0.58499999999999996</v>
      </c>
      <c r="AE17" s="28">
        <v>1.3180000000000001</v>
      </c>
      <c r="AF17" s="28">
        <v>0.98100000000000009</v>
      </c>
      <c r="AG17" s="28">
        <v>1.0629999999999999</v>
      </c>
      <c r="AH17" s="28">
        <v>0.56700000000000006</v>
      </c>
      <c r="AI17" s="28">
        <v>1.8939999999999999</v>
      </c>
      <c r="AJ17" s="28">
        <v>1.8180000000000001</v>
      </c>
      <c r="AK17" s="28">
        <v>1.4039999999999999</v>
      </c>
      <c r="AL17" s="28">
        <v>0.93499999999999994</v>
      </c>
      <c r="AM17" s="28">
        <v>1.649</v>
      </c>
      <c r="AN17" s="28">
        <v>1.702</v>
      </c>
      <c r="AO17" s="28">
        <v>1.831</v>
      </c>
      <c r="AP17" s="28">
        <v>1.3540000000000001</v>
      </c>
      <c r="AQ17" s="28">
        <v>1.06</v>
      </c>
      <c r="AR17" s="28">
        <v>0.92800000000000005</v>
      </c>
      <c r="AS17" s="28">
        <v>1.8580000000000001</v>
      </c>
      <c r="AT17" s="28">
        <v>1.3680000000000001</v>
      </c>
      <c r="AU17" s="28">
        <v>0.72099999999999997</v>
      </c>
      <c r="AV17" s="28">
        <v>1.8169999999999999</v>
      </c>
      <c r="AW17" s="28">
        <v>1.929</v>
      </c>
      <c r="AX17" s="28">
        <v>1.421</v>
      </c>
      <c r="AY17" s="28">
        <v>1.4319999999999999</v>
      </c>
      <c r="AZ17" s="28">
        <v>0.96500000000000008</v>
      </c>
      <c r="BA17" s="28">
        <v>1.569</v>
      </c>
      <c r="BB17" s="28">
        <v>1.4430000000000001</v>
      </c>
      <c r="BC17" s="28">
        <v>1.871</v>
      </c>
      <c r="BD17" s="28">
        <v>1.673</v>
      </c>
      <c r="BE17" s="28">
        <v>0.69</v>
      </c>
      <c r="BF17" s="28">
        <v>0.52100000000000002</v>
      </c>
      <c r="BG17" s="28">
        <v>1.56</v>
      </c>
      <c r="BH17" s="28">
        <v>0.21199999999999999</v>
      </c>
      <c r="BI17" s="28">
        <v>1.1100000000000001</v>
      </c>
      <c r="BJ17" s="28">
        <v>0.80999999999999994</v>
      </c>
      <c r="BK17" s="28">
        <v>1.38</v>
      </c>
      <c r="BL17" s="28">
        <v>0.68</v>
      </c>
      <c r="BM17" s="28">
        <v>1.891</v>
      </c>
      <c r="BN17" s="28">
        <v>0.44600000000000001</v>
      </c>
      <c r="BO17" s="28">
        <v>0</v>
      </c>
      <c r="BP17" s="28">
        <v>1.526</v>
      </c>
      <c r="BQ17" s="28">
        <v>1.486</v>
      </c>
      <c r="BR17" s="28">
        <v>1.9179999999999999</v>
      </c>
      <c r="BS17" s="28">
        <v>1.333</v>
      </c>
      <c r="BT17" s="28">
        <v>1.196</v>
      </c>
      <c r="BU17" s="28">
        <v>1.784</v>
      </c>
      <c r="BV17" s="28">
        <v>0.93300000000000005</v>
      </c>
      <c r="BW17" s="28">
        <v>0</v>
      </c>
      <c r="BX17" s="28">
        <v>1.319</v>
      </c>
      <c r="BY17" s="28">
        <v>1.6739999999999999</v>
      </c>
      <c r="BZ17" s="28">
        <v>1.1180000000000001</v>
      </c>
      <c r="CA17" s="28">
        <v>1.5780000000000001</v>
      </c>
      <c r="CB17" s="28">
        <v>0</v>
      </c>
      <c r="CC17" s="28">
        <v>1.7430000000000001</v>
      </c>
      <c r="CD17" s="28">
        <v>1.0609999999999999</v>
      </c>
      <c r="CE17" s="28">
        <v>1.1779999999999999</v>
      </c>
      <c r="CF17" s="28">
        <v>0.69899999999999995</v>
      </c>
      <c r="CG17" s="28">
        <v>1.633</v>
      </c>
      <c r="CH17" s="28">
        <v>1.0820000000000001</v>
      </c>
      <c r="CI17" s="28">
        <v>0.92</v>
      </c>
      <c r="CJ17" s="28">
        <v>0.93499999999999994</v>
      </c>
      <c r="CK17" s="28">
        <v>1.665</v>
      </c>
      <c r="CL17" s="28">
        <v>1.6140000000000001</v>
      </c>
      <c r="CM17" s="28">
        <v>0.65399999999999991</v>
      </c>
      <c r="CN17" s="28">
        <v>0.64800000000000002</v>
      </c>
      <c r="CO17" s="28">
        <v>1.6240000000000001</v>
      </c>
      <c r="CP17" s="28">
        <v>0.14299999999999999</v>
      </c>
      <c r="CQ17" s="28">
        <v>1.4950000000000001</v>
      </c>
      <c r="CR17" s="28">
        <v>1.3220000000000001</v>
      </c>
      <c r="CS17" s="28">
        <v>0.75600000000000001</v>
      </c>
      <c r="CT17" s="28">
        <v>1.193315789473685</v>
      </c>
      <c r="CU17" s="34">
        <v>113.36499999999999</v>
      </c>
    </row>
    <row r="18" spans="1:99" x14ac:dyDescent="0.25">
      <c r="A18" s="24">
        <v>17</v>
      </c>
      <c r="B18" s="26">
        <v>8</v>
      </c>
      <c r="C18" s="28">
        <v>0.51999999999999991</v>
      </c>
      <c r="D18" s="28">
        <v>0</v>
      </c>
      <c r="E18" s="28">
        <v>1.01</v>
      </c>
      <c r="F18" s="28">
        <v>0</v>
      </c>
      <c r="G18" s="28">
        <v>0.308</v>
      </c>
      <c r="H18" s="28">
        <v>1.655</v>
      </c>
      <c r="I18" s="28">
        <v>0</v>
      </c>
      <c r="J18" s="28">
        <v>1.113</v>
      </c>
      <c r="K18" s="28">
        <v>1.1839999999999999</v>
      </c>
      <c r="L18" s="28">
        <v>0</v>
      </c>
      <c r="M18" s="28">
        <v>0</v>
      </c>
      <c r="N18" s="28">
        <v>0.26400000000000001</v>
      </c>
      <c r="O18" s="28">
        <v>0.99400000000000011</v>
      </c>
      <c r="P18" s="28">
        <v>1.5209999999999999</v>
      </c>
      <c r="Q18" s="28">
        <v>0.79500000000000004</v>
      </c>
      <c r="R18" s="28">
        <v>0.315</v>
      </c>
      <c r="S18" s="28">
        <v>0</v>
      </c>
      <c r="T18" s="28">
        <v>0.63300000000000001</v>
      </c>
      <c r="U18" s="28">
        <v>0.879</v>
      </c>
      <c r="V18" s="28">
        <v>0.52200000000000002</v>
      </c>
      <c r="W18" s="28">
        <v>0</v>
      </c>
      <c r="X18" s="28">
        <v>1.556</v>
      </c>
      <c r="Y18" s="28">
        <v>1.8009999999999999</v>
      </c>
      <c r="Z18" s="28">
        <v>1.3149999999999999</v>
      </c>
      <c r="AA18" s="28">
        <v>0.35399999999999998</v>
      </c>
      <c r="AB18" s="28">
        <v>0.79500000000000004</v>
      </c>
      <c r="AC18" s="28">
        <v>0.91200000000000003</v>
      </c>
      <c r="AD18" s="28">
        <v>0.76800000000000002</v>
      </c>
      <c r="AE18" s="28">
        <v>0</v>
      </c>
      <c r="AF18" s="28">
        <v>1.2869999999999999</v>
      </c>
      <c r="AG18" s="28">
        <v>0</v>
      </c>
      <c r="AH18" s="28">
        <v>0.79600000000000004</v>
      </c>
      <c r="AI18" s="28">
        <v>4.3999999999999997E-2</v>
      </c>
      <c r="AJ18" s="28">
        <v>0.23300000000000001</v>
      </c>
      <c r="AK18" s="28">
        <v>1.4</v>
      </c>
      <c r="AL18" s="28">
        <v>1.08</v>
      </c>
      <c r="AM18" s="28">
        <v>0</v>
      </c>
      <c r="AN18" s="28">
        <v>0</v>
      </c>
      <c r="AO18" s="28">
        <v>1.4930000000000001</v>
      </c>
      <c r="AP18" s="28">
        <v>0</v>
      </c>
      <c r="AQ18" s="28">
        <v>1.323</v>
      </c>
      <c r="AR18" s="28">
        <v>0</v>
      </c>
      <c r="AS18" s="28">
        <v>1.071</v>
      </c>
      <c r="AT18" s="28">
        <v>1.518</v>
      </c>
      <c r="AU18" s="28">
        <v>0.93400000000000005</v>
      </c>
      <c r="AV18" s="28">
        <v>1.2110000000000001</v>
      </c>
      <c r="AW18" s="28">
        <v>0.38900000000000001</v>
      </c>
      <c r="AX18" s="28">
        <v>1.359</v>
      </c>
      <c r="AY18" s="28">
        <v>1.4159999999999999</v>
      </c>
      <c r="AZ18" s="28">
        <v>1.0549999999999999</v>
      </c>
      <c r="BA18" s="28">
        <v>0.14099999999999999</v>
      </c>
      <c r="BB18" s="28">
        <v>1.5389999999999999</v>
      </c>
      <c r="BC18" s="28">
        <v>0.41299999999999998</v>
      </c>
      <c r="BD18" s="28">
        <v>1.2050000000000001</v>
      </c>
      <c r="BE18" s="28">
        <v>1.6279999999999999</v>
      </c>
      <c r="BF18" s="28">
        <v>0</v>
      </c>
      <c r="BG18" s="28">
        <v>0.69700000000000006</v>
      </c>
      <c r="BH18" s="28">
        <v>0</v>
      </c>
      <c r="BI18" s="28">
        <v>1.367</v>
      </c>
      <c r="BJ18" s="28">
        <v>1.0620000000000001</v>
      </c>
      <c r="BK18" s="28">
        <v>1.38</v>
      </c>
      <c r="BL18" s="28">
        <v>0.79500000000000004</v>
      </c>
      <c r="BM18" s="28">
        <v>1.327</v>
      </c>
      <c r="BN18" s="28">
        <v>1.57</v>
      </c>
      <c r="BO18" s="28">
        <v>1.0209999999999999</v>
      </c>
      <c r="BP18" s="28">
        <v>1.81</v>
      </c>
      <c r="BQ18" s="28">
        <v>1.677</v>
      </c>
      <c r="BR18" s="28">
        <v>1.0329999999999999</v>
      </c>
      <c r="BS18" s="28">
        <v>1.8280000000000001</v>
      </c>
      <c r="BT18" s="28">
        <v>0.76</v>
      </c>
      <c r="BU18" s="28">
        <v>0.46800000000000003</v>
      </c>
      <c r="BV18" s="28">
        <v>1.0780000000000001</v>
      </c>
      <c r="BW18" s="28">
        <v>0.58699999999999997</v>
      </c>
      <c r="BX18" s="28">
        <v>1.5349999999999999</v>
      </c>
      <c r="BY18" s="28">
        <v>0.43</v>
      </c>
      <c r="BZ18" s="28">
        <v>0</v>
      </c>
      <c r="CA18" s="28">
        <v>1.321</v>
      </c>
      <c r="CB18" s="28">
        <v>0.95499999999999996</v>
      </c>
      <c r="CC18" s="28">
        <v>0.98199999999999998</v>
      </c>
      <c r="CD18" s="28">
        <v>0</v>
      </c>
      <c r="CE18" s="28">
        <v>1.012</v>
      </c>
      <c r="CF18" s="28">
        <v>0.90900000000000003</v>
      </c>
      <c r="CG18" s="28">
        <v>0.441</v>
      </c>
      <c r="CH18" s="28">
        <v>1.365</v>
      </c>
      <c r="CI18" s="28">
        <v>0.96799999999999997</v>
      </c>
      <c r="CJ18" s="28">
        <v>0.92800000000000005</v>
      </c>
      <c r="CK18" s="28">
        <v>1.7589999999999999</v>
      </c>
      <c r="CL18" s="28">
        <v>1.304</v>
      </c>
      <c r="CM18" s="28">
        <v>0.79199999999999993</v>
      </c>
      <c r="CN18" s="28">
        <v>0.65100000000000002</v>
      </c>
      <c r="CO18" s="28">
        <v>0.14899999999999999</v>
      </c>
      <c r="CP18" s="28">
        <v>0.754</v>
      </c>
      <c r="CQ18" s="28">
        <v>0</v>
      </c>
      <c r="CR18" s="28">
        <v>1.5</v>
      </c>
      <c r="CS18" s="28">
        <v>1.0289999999999999</v>
      </c>
      <c r="CT18" s="28">
        <v>0.82097894736842114</v>
      </c>
      <c r="CU18" s="34">
        <v>77.993000000000009</v>
      </c>
    </row>
    <row r="19" spans="1:99" x14ac:dyDescent="0.25">
      <c r="A19" s="24">
        <v>18</v>
      </c>
      <c r="B19" s="26">
        <v>8.5</v>
      </c>
      <c r="C19" s="28">
        <v>1.198</v>
      </c>
      <c r="D19" s="28">
        <v>0</v>
      </c>
      <c r="E19" s="28">
        <v>1.02</v>
      </c>
      <c r="F19" s="28">
        <v>0</v>
      </c>
      <c r="G19" s="28">
        <v>0</v>
      </c>
      <c r="H19" s="28">
        <v>0.52600000000000002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1.123</v>
      </c>
      <c r="P19" s="28">
        <v>0.109</v>
      </c>
      <c r="Q19" s="28">
        <v>0.8630000000000001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0.78400000000000003</v>
      </c>
      <c r="Y19" s="28">
        <v>0.34499999999999997</v>
      </c>
      <c r="Z19" s="28">
        <v>1.343</v>
      </c>
      <c r="AA19" s="28">
        <v>0.751</v>
      </c>
      <c r="AB19" s="28">
        <v>0.77600000000000002</v>
      </c>
      <c r="AC19" s="28">
        <v>1.1759999999999999</v>
      </c>
      <c r="AD19" s="28">
        <v>0.7380000000000001</v>
      </c>
      <c r="AE19" s="28">
        <v>0</v>
      </c>
      <c r="AF19" s="28">
        <v>1.502</v>
      </c>
      <c r="AG19" s="28">
        <v>0</v>
      </c>
      <c r="AH19" s="28">
        <v>0.503</v>
      </c>
      <c r="AI19" s="28">
        <v>0</v>
      </c>
      <c r="AJ19" s="28">
        <v>0</v>
      </c>
      <c r="AK19" s="28">
        <v>1.57</v>
      </c>
      <c r="AL19" s="28">
        <v>1.216</v>
      </c>
      <c r="AM19" s="28">
        <v>0</v>
      </c>
      <c r="AN19" s="28">
        <v>0</v>
      </c>
      <c r="AO19" s="28">
        <v>0</v>
      </c>
      <c r="AP19" s="28">
        <v>0</v>
      </c>
      <c r="AQ19" s="28">
        <v>1.1819999999999999</v>
      </c>
      <c r="AR19" s="28">
        <v>0.35199999999999998</v>
      </c>
      <c r="AS19" s="28">
        <v>0</v>
      </c>
      <c r="AT19" s="28">
        <v>1.4179999999999999</v>
      </c>
      <c r="AU19" s="28">
        <v>1.075</v>
      </c>
      <c r="AV19" s="28">
        <v>0</v>
      </c>
      <c r="AW19" s="28">
        <v>0</v>
      </c>
      <c r="AX19" s="28">
        <v>0</v>
      </c>
      <c r="AY19" s="28">
        <v>0</v>
      </c>
      <c r="AZ19" s="28">
        <v>1.2150000000000001</v>
      </c>
      <c r="BA19" s="28">
        <v>0</v>
      </c>
      <c r="BB19" s="28">
        <v>0.308</v>
      </c>
      <c r="BC19" s="28">
        <v>0</v>
      </c>
      <c r="BD19" s="28">
        <v>0</v>
      </c>
      <c r="BE19" s="28">
        <v>0.75700000000000001</v>
      </c>
      <c r="BF19" s="28">
        <v>0</v>
      </c>
      <c r="BG19" s="28">
        <v>0</v>
      </c>
      <c r="BH19" s="28">
        <v>0</v>
      </c>
      <c r="BI19" s="28">
        <v>1.5029999999999999</v>
      </c>
      <c r="BJ19" s="28">
        <v>1.081</v>
      </c>
      <c r="BK19" s="28">
        <v>0</v>
      </c>
      <c r="BL19" s="28">
        <v>0.90399999999999991</v>
      </c>
      <c r="BM19" s="28">
        <v>0</v>
      </c>
      <c r="BN19" s="28">
        <v>1.6850000000000001</v>
      </c>
      <c r="BO19" s="28">
        <v>1.528</v>
      </c>
      <c r="BP19" s="28">
        <v>0</v>
      </c>
      <c r="BQ19" s="28">
        <v>0</v>
      </c>
      <c r="BR19" s="28">
        <v>0</v>
      </c>
      <c r="BS19" s="28">
        <v>0.309</v>
      </c>
      <c r="BT19" s="28">
        <v>0.109</v>
      </c>
      <c r="BU19" s="28">
        <v>0</v>
      </c>
      <c r="BV19" s="28">
        <v>1.125</v>
      </c>
      <c r="BW19" s="28">
        <v>0.94099999999999995</v>
      </c>
      <c r="BX19" s="28">
        <v>1.613</v>
      </c>
      <c r="BY19" s="28">
        <v>0</v>
      </c>
      <c r="BZ19" s="28">
        <v>1.5660000000000001</v>
      </c>
      <c r="CA19" s="28">
        <v>0</v>
      </c>
      <c r="CB19" s="28">
        <v>1.2290000000000001</v>
      </c>
      <c r="CC19" s="28">
        <v>0</v>
      </c>
      <c r="CD19" s="28">
        <v>0</v>
      </c>
      <c r="CE19" s="28">
        <v>1.0980000000000001</v>
      </c>
      <c r="CF19" s="28">
        <v>1.056</v>
      </c>
      <c r="CG19" s="28">
        <v>0</v>
      </c>
      <c r="CH19" s="28">
        <v>1.181</v>
      </c>
      <c r="CI19" s="28">
        <v>1.2010000000000001</v>
      </c>
      <c r="CJ19" s="28">
        <v>0.13</v>
      </c>
      <c r="CK19" s="28">
        <v>0.22500000000000001</v>
      </c>
      <c r="CL19" s="28">
        <v>0</v>
      </c>
      <c r="CM19" s="28">
        <v>0.83399999999999996</v>
      </c>
      <c r="CN19" s="28">
        <v>0.90700000000000003</v>
      </c>
      <c r="CO19" s="28">
        <v>0</v>
      </c>
      <c r="CP19" s="28">
        <v>0.81400000000000006</v>
      </c>
      <c r="CQ19" s="28">
        <v>0</v>
      </c>
      <c r="CR19" s="28">
        <v>0.60099999999999998</v>
      </c>
      <c r="CS19" s="28">
        <v>1.0489999999999999</v>
      </c>
      <c r="CT19" s="28">
        <v>0.46883157894736838</v>
      </c>
      <c r="CU19" s="34">
        <v>44.539000000000001</v>
      </c>
    </row>
    <row r="20" spans="1:99" x14ac:dyDescent="0.25">
      <c r="A20" s="24">
        <v>19</v>
      </c>
      <c r="B20" s="26">
        <v>9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0.97599999999999998</v>
      </c>
      <c r="P20" s="28">
        <v>0</v>
      </c>
      <c r="Q20" s="28">
        <v>0.94099999999999995</v>
      </c>
      <c r="R20" s="28">
        <v>0</v>
      </c>
      <c r="S20" s="28">
        <v>0</v>
      </c>
      <c r="T20" s="28">
        <v>1.1020000000000001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0.16</v>
      </c>
      <c r="AA20" s="28">
        <v>0.82200000000000006</v>
      </c>
      <c r="AB20" s="28">
        <v>0.97099999999999997</v>
      </c>
      <c r="AC20" s="28">
        <v>1.246</v>
      </c>
      <c r="AD20" s="28">
        <v>0.42899999999999999</v>
      </c>
      <c r="AE20" s="28">
        <v>0</v>
      </c>
      <c r="AF20" s="28">
        <v>0.64899999999999991</v>
      </c>
      <c r="AG20" s="28">
        <v>0</v>
      </c>
      <c r="AH20" s="28">
        <v>0.874</v>
      </c>
      <c r="AI20" s="28">
        <v>0</v>
      </c>
      <c r="AJ20" s="28">
        <v>0</v>
      </c>
      <c r="AK20" s="28">
        <v>0.46100000000000002</v>
      </c>
      <c r="AL20" s="28">
        <v>0.129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0.21299999999999999</v>
      </c>
      <c r="AS20" s="28">
        <v>0</v>
      </c>
      <c r="AT20" s="28">
        <v>0</v>
      </c>
      <c r="AU20" s="28">
        <v>1.151</v>
      </c>
      <c r="AV20" s="28">
        <v>0</v>
      </c>
      <c r="AW20" s="28">
        <v>0</v>
      </c>
      <c r="AX20" s="28">
        <v>0</v>
      </c>
      <c r="AY20" s="28">
        <v>0</v>
      </c>
      <c r="AZ20" s="28">
        <v>0.59599999999999997</v>
      </c>
      <c r="BA20" s="28">
        <v>0</v>
      </c>
      <c r="BB20" s="28">
        <v>0</v>
      </c>
      <c r="BC20" s="28">
        <v>0</v>
      </c>
      <c r="BD20" s="28">
        <v>0</v>
      </c>
      <c r="BE20" s="28">
        <v>0.215</v>
      </c>
      <c r="BF20" s="28">
        <v>0</v>
      </c>
      <c r="BG20" s="28">
        <v>0</v>
      </c>
      <c r="BH20" s="28">
        <v>0</v>
      </c>
      <c r="BI20" s="28">
        <v>1.214</v>
      </c>
      <c r="BJ20" s="28">
        <v>1.2410000000000001</v>
      </c>
      <c r="BK20" s="28">
        <v>0</v>
      </c>
      <c r="BL20" s="28">
        <v>0.99099999999999988</v>
      </c>
      <c r="BM20" s="28">
        <v>0</v>
      </c>
      <c r="BN20" s="28">
        <v>0.41599999999999998</v>
      </c>
      <c r="BO20" s="28">
        <v>1.3959999999999999</v>
      </c>
      <c r="BP20" s="28">
        <v>0</v>
      </c>
      <c r="BQ20" s="28">
        <v>0</v>
      </c>
      <c r="BR20" s="28">
        <v>0</v>
      </c>
      <c r="BS20" s="28">
        <v>0</v>
      </c>
      <c r="BT20" s="28">
        <v>0.91299999999999992</v>
      </c>
      <c r="BU20" s="28">
        <v>0</v>
      </c>
      <c r="BV20" s="28">
        <v>0</v>
      </c>
      <c r="BW20" s="28">
        <v>0.80800000000000005</v>
      </c>
      <c r="BX20" s="28">
        <v>0.14000000000000001</v>
      </c>
      <c r="BY20" s="28">
        <v>0</v>
      </c>
      <c r="BZ20" s="28">
        <v>1.827</v>
      </c>
      <c r="CA20" s="28">
        <v>0</v>
      </c>
      <c r="CB20" s="28">
        <v>1.595</v>
      </c>
      <c r="CC20" s="28">
        <v>0</v>
      </c>
      <c r="CD20" s="28">
        <v>0</v>
      </c>
      <c r="CE20" s="28">
        <v>0.84199999999999997</v>
      </c>
      <c r="CF20" s="28">
        <v>1.2230000000000001</v>
      </c>
      <c r="CG20" s="28">
        <v>0</v>
      </c>
      <c r="CH20" s="28">
        <v>0</v>
      </c>
      <c r="CI20" s="28">
        <v>0.502</v>
      </c>
      <c r="CJ20" s="28">
        <v>1.296</v>
      </c>
      <c r="CK20" s="28">
        <v>0</v>
      </c>
      <c r="CL20" s="28">
        <v>0</v>
      </c>
      <c r="CM20" s="28">
        <v>0.99</v>
      </c>
      <c r="CN20" s="28">
        <v>0.93300000000000005</v>
      </c>
      <c r="CO20" s="28">
        <v>0</v>
      </c>
      <c r="CP20" s="28">
        <v>0.875</v>
      </c>
      <c r="CQ20" s="28">
        <v>0</v>
      </c>
      <c r="CR20" s="28">
        <v>0</v>
      </c>
      <c r="CS20" s="28">
        <v>1.282</v>
      </c>
      <c r="CT20" s="28">
        <v>0.30967368421052632</v>
      </c>
      <c r="CU20" s="34">
        <v>29.41899999999999</v>
      </c>
    </row>
    <row r="21" spans="1:99" x14ac:dyDescent="0.25">
      <c r="A21" s="24">
        <v>20</v>
      </c>
      <c r="B21" s="26">
        <v>9.5</v>
      </c>
      <c r="C21" s="28">
        <v>0</v>
      </c>
      <c r="D21" s="28">
        <v>0</v>
      </c>
      <c r="E21" s="28">
        <v>0.875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1.022</v>
      </c>
      <c r="R21" s="28">
        <v>0</v>
      </c>
      <c r="S21" s="28">
        <v>0</v>
      </c>
      <c r="T21" s="28">
        <v>1.367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0.60699999999999998</v>
      </c>
      <c r="AB21" s="28">
        <v>0.88800000000000001</v>
      </c>
      <c r="AC21" s="28">
        <v>0.24399999999999999</v>
      </c>
      <c r="AD21" s="28">
        <v>0</v>
      </c>
      <c r="AE21" s="28">
        <v>0</v>
      </c>
      <c r="AF21" s="28">
        <v>0</v>
      </c>
      <c r="AG21" s="28">
        <v>0</v>
      </c>
      <c r="AH21" s="28">
        <v>0.98699999999999999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1.4339999999999999</v>
      </c>
      <c r="AS21" s="28">
        <v>0</v>
      </c>
      <c r="AT21" s="28">
        <v>0</v>
      </c>
      <c r="AU21" s="28">
        <v>0.442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1.056</v>
      </c>
      <c r="BK21" s="28">
        <v>0</v>
      </c>
      <c r="BL21" s="28">
        <v>0.60599999999999998</v>
      </c>
      <c r="BM21" s="28">
        <v>0</v>
      </c>
      <c r="BN21" s="28">
        <v>0</v>
      </c>
      <c r="BO21" s="28">
        <v>1.7350000000000001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0.83500000000000008</v>
      </c>
      <c r="BW21" s="28">
        <v>0.94499999999999995</v>
      </c>
      <c r="BX21" s="28">
        <v>0</v>
      </c>
      <c r="BY21" s="28">
        <v>0</v>
      </c>
      <c r="BZ21" s="28">
        <v>0.48699999999999999</v>
      </c>
      <c r="CA21" s="28">
        <v>0</v>
      </c>
      <c r="CB21" s="28">
        <v>1.5469999999999999</v>
      </c>
      <c r="CC21" s="28">
        <v>0</v>
      </c>
      <c r="CD21" s="28">
        <v>0</v>
      </c>
      <c r="CE21" s="28">
        <v>0</v>
      </c>
      <c r="CF21" s="28">
        <v>1.341</v>
      </c>
      <c r="CG21" s="28">
        <v>0</v>
      </c>
      <c r="CH21" s="28">
        <v>0</v>
      </c>
      <c r="CI21" s="28">
        <v>0</v>
      </c>
      <c r="CJ21" s="28">
        <v>0.252</v>
      </c>
      <c r="CK21" s="28">
        <v>0</v>
      </c>
      <c r="CL21" s="28">
        <v>0</v>
      </c>
      <c r="CM21" s="28">
        <v>1.0640000000000001</v>
      </c>
      <c r="CN21" s="28">
        <v>0.81400000000000006</v>
      </c>
      <c r="CO21" s="28">
        <v>0</v>
      </c>
      <c r="CP21" s="28">
        <v>0</v>
      </c>
      <c r="CQ21" s="28">
        <v>0</v>
      </c>
      <c r="CR21" s="28">
        <v>0</v>
      </c>
      <c r="CS21" s="28">
        <v>1.3520000000000001</v>
      </c>
      <c r="CT21" s="28">
        <v>0.20947368421052631</v>
      </c>
      <c r="CU21" s="34">
        <v>19.899999999999999</v>
      </c>
    </row>
    <row r="22" spans="1:99" x14ac:dyDescent="0.25">
      <c r="A22" s="24">
        <v>21</v>
      </c>
      <c r="B22" s="26">
        <v>10</v>
      </c>
      <c r="C22" s="28">
        <v>0.46400000000000002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0.28499999999999998</v>
      </c>
      <c r="R22" s="28">
        <v>0</v>
      </c>
      <c r="S22" s="28">
        <v>0</v>
      </c>
      <c r="T22" s="28">
        <v>1.0920000000000001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0.38100000000000001</v>
      </c>
      <c r="AA22" s="28">
        <v>0.93499999999999994</v>
      </c>
      <c r="AB22" s="28">
        <v>0.8630000000000001</v>
      </c>
      <c r="AC22" s="28">
        <v>0</v>
      </c>
      <c r="AD22" s="28">
        <v>1.133</v>
      </c>
      <c r="AE22" s="28">
        <v>0</v>
      </c>
      <c r="AF22" s="28">
        <v>0</v>
      </c>
      <c r="AG22" s="28">
        <v>0</v>
      </c>
      <c r="AH22" s="28">
        <v>0.92699999999999994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0.378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1.6439999999999999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0.97900000000000009</v>
      </c>
      <c r="BW22" s="28">
        <v>1.32</v>
      </c>
      <c r="BX22" s="28">
        <v>0</v>
      </c>
      <c r="BY22" s="28">
        <v>0</v>
      </c>
      <c r="BZ22" s="28">
        <v>0</v>
      </c>
      <c r="CA22" s="28">
        <v>0</v>
      </c>
      <c r="CB22" s="28">
        <v>1.5029999999999999</v>
      </c>
      <c r="CC22" s="28">
        <v>0</v>
      </c>
      <c r="CD22" s="28">
        <v>0</v>
      </c>
      <c r="CE22" s="28">
        <v>0</v>
      </c>
      <c r="CF22" s="28">
        <v>0.17</v>
      </c>
      <c r="CG22" s="28">
        <v>0</v>
      </c>
      <c r="CH22" s="28">
        <v>0</v>
      </c>
      <c r="CI22" s="28">
        <v>0</v>
      </c>
      <c r="CJ22" s="28">
        <v>0.32800000000000001</v>
      </c>
      <c r="CK22" s="28">
        <v>0</v>
      </c>
      <c r="CL22" s="28">
        <v>0</v>
      </c>
      <c r="CM22" s="28">
        <v>0.21299999999999999</v>
      </c>
      <c r="CN22" s="28">
        <v>1.0309999999999999</v>
      </c>
      <c r="CO22" s="28">
        <v>0</v>
      </c>
      <c r="CP22" s="28">
        <v>0.99599999999999989</v>
      </c>
      <c r="CQ22" s="28">
        <v>0</v>
      </c>
      <c r="CR22" s="28">
        <v>0</v>
      </c>
      <c r="CS22" s="28">
        <v>0</v>
      </c>
      <c r="CT22" s="28">
        <v>0.15412631578947369</v>
      </c>
      <c r="CU22" s="34">
        <v>14.641999999999999</v>
      </c>
    </row>
    <row r="23" spans="1:99" x14ac:dyDescent="0.25">
      <c r="A23" s="24">
        <v>22</v>
      </c>
      <c r="B23" s="26">
        <v>10.5</v>
      </c>
      <c r="C23" s="28">
        <v>0.31900000000000001</v>
      </c>
      <c r="D23" s="28">
        <v>0</v>
      </c>
      <c r="E23" s="28">
        <v>1.1910000000000001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0.82299999999999995</v>
      </c>
      <c r="AB23" s="28">
        <v>4.3999999999999997E-2</v>
      </c>
      <c r="AC23" s="28">
        <v>0</v>
      </c>
      <c r="AD23" s="28">
        <v>1.1859999999999999</v>
      </c>
      <c r="AE23" s="28">
        <v>0</v>
      </c>
      <c r="AF23" s="28">
        <v>0</v>
      </c>
      <c r="AG23" s="28">
        <v>0</v>
      </c>
      <c r="AH23" s="28">
        <v>1.0720000000000001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0.57600000000000007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1.2490000000000001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0.76400000000000001</v>
      </c>
      <c r="CQ23" s="28">
        <v>0</v>
      </c>
      <c r="CR23" s="28">
        <v>0</v>
      </c>
      <c r="CS23" s="28">
        <v>0</v>
      </c>
      <c r="CT23" s="28">
        <v>7.6042105263157897E-2</v>
      </c>
      <c r="CU23" s="34">
        <v>7.2240000000000002</v>
      </c>
    </row>
    <row r="24" spans="1:99" x14ac:dyDescent="0.25">
      <c r="A24" s="24">
        <v>23</v>
      </c>
      <c r="B24" s="26">
        <v>11</v>
      </c>
      <c r="C24" s="28">
        <v>0</v>
      </c>
      <c r="D24" s="28">
        <v>0</v>
      </c>
      <c r="E24" s="28">
        <v>0.35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1.0720000000000001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1.0029999999999999</v>
      </c>
      <c r="AP24" s="28">
        <v>0</v>
      </c>
      <c r="AQ24" s="28">
        <v>0</v>
      </c>
      <c r="AR24" s="28">
        <v>0.39200000000000002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1.2889999999999999</v>
      </c>
      <c r="BU24" s="28">
        <v>0</v>
      </c>
      <c r="BV24" s="28">
        <v>0</v>
      </c>
      <c r="BW24" s="28">
        <v>1.635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6.9999999999999993E-2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1.171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0.96699999999999997</v>
      </c>
      <c r="CQ24" s="28">
        <v>0</v>
      </c>
      <c r="CR24" s="28">
        <v>0</v>
      </c>
      <c r="CS24" s="28">
        <v>0</v>
      </c>
      <c r="CT24" s="28">
        <v>8.3673684210526317E-2</v>
      </c>
      <c r="CU24" s="34">
        <v>7.9489999999999998</v>
      </c>
    </row>
    <row r="25" spans="1:99" x14ac:dyDescent="0.25">
      <c r="A25" s="24">
        <v>24</v>
      </c>
      <c r="B25" s="26">
        <v>11.5</v>
      </c>
      <c r="C25" s="28">
        <v>0</v>
      </c>
      <c r="D25" s="28">
        <v>0</v>
      </c>
      <c r="E25" s="28">
        <v>1.05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0.123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0.64600000000000002</v>
      </c>
      <c r="BX25" s="28">
        <v>6.4999999999999988E-2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0.35799999999999998</v>
      </c>
      <c r="CE25" s="28">
        <v>0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0.125</v>
      </c>
      <c r="CQ25" s="28">
        <v>0</v>
      </c>
      <c r="CR25" s="28">
        <v>0</v>
      </c>
      <c r="CS25" s="28">
        <v>0</v>
      </c>
      <c r="CT25" s="28">
        <v>2.4915789473684211E-2</v>
      </c>
      <c r="CU25" s="34">
        <v>2.367</v>
      </c>
    </row>
    <row r="26" spans="1:99" x14ac:dyDescent="0.25">
      <c r="A26" s="24">
        <v>25</v>
      </c>
      <c r="B26" s="26">
        <v>12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0.23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2.4210526315789471E-3</v>
      </c>
      <c r="CU26" s="34">
        <v>0.23</v>
      </c>
    </row>
    <row r="27" spans="1:99" x14ac:dyDescent="0.25">
      <c r="A27" s="24">
        <v>26</v>
      </c>
      <c r="B27" s="26">
        <v>12.5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4.7E-2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1.4770000000000001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0.372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0</v>
      </c>
      <c r="CK27" s="28">
        <v>0</v>
      </c>
      <c r="CL27" s="28">
        <v>0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  <c r="CR27" s="28">
        <v>0</v>
      </c>
      <c r="CS27" s="28">
        <v>0</v>
      </c>
      <c r="CT27" s="28">
        <v>1.9957894736842108E-2</v>
      </c>
      <c r="CU27" s="34">
        <v>1.8959999999999999</v>
      </c>
    </row>
    <row r="28" spans="1:99" x14ac:dyDescent="0.25">
      <c r="A28" s="24">
        <v>27</v>
      </c>
      <c r="B28" s="26">
        <v>13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0.38600000000000001</v>
      </c>
      <c r="AL28" s="28">
        <v>0</v>
      </c>
      <c r="AM28" s="28">
        <v>0</v>
      </c>
      <c r="AN28" s="28">
        <v>0</v>
      </c>
      <c r="AO28" s="28">
        <v>0.59799999999999998</v>
      </c>
      <c r="AP28" s="28">
        <v>0</v>
      </c>
      <c r="AQ28" s="28">
        <v>1.752</v>
      </c>
      <c r="AR28" s="28">
        <v>0.122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0.93700000000000006</v>
      </c>
      <c r="CQ28" s="28">
        <v>0.33800000000000002</v>
      </c>
      <c r="CR28" s="28">
        <v>0</v>
      </c>
      <c r="CS28" s="28">
        <v>0</v>
      </c>
      <c r="CT28" s="28">
        <v>4.3505263157894727E-2</v>
      </c>
      <c r="CU28" s="34">
        <v>4.133</v>
      </c>
    </row>
    <row r="29" spans="1:99" x14ac:dyDescent="0.25">
      <c r="A29" s="24">
        <v>28</v>
      </c>
      <c r="B29" s="26">
        <v>13.5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0.105</v>
      </c>
      <c r="AP29" s="28">
        <v>0</v>
      </c>
      <c r="AQ29" s="28">
        <v>0.28100000000000003</v>
      </c>
      <c r="AR29" s="28">
        <v>0.24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0.126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0.98799999999999999</v>
      </c>
      <c r="CQ29" s="28">
        <v>0</v>
      </c>
      <c r="CR29" s="28">
        <v>0</v>
      </c>
      <c r="CS29" s="28">
        <v>0.28299999999999997</v>
      </c>
      <c r="CT29" s="28">
        <v>2.1294736842105269E-2</v>
      </c>
      <c r="CU29" s="34">
        <v>2.0230000000000001</v>
      </c>
    </row>
    <row r="30" spans="1:99" x14ac:dyDescent="0.25">
      <c r="A30" s="24">
        <v>29</v>
      </c>
      <c r="B30" s="26">
        <v>14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0.42899999999999999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0.13800000000000001</v>
      </c>
      <c r="AP30" s="28">
        <v>0</v>
      </c>
      <c r="AQ30" s="28">
        <v>0</v>
      </c>
      <c r="AR30" s="28">
        <v>3.4000000000000002E-2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0</v>
      </c>
      <c r="CF30" s="28">
        <v>0</v>
      </c>
      <c r="CG30" s="28">
        <v>0</v>
      </c>
      <c r="CH30" s="28">
        <v>0</v>
      </c>
      <c r="CI30" s="28">
        <v>0</v>
      </c>
      <c r="CJ30" s="28">
        <v>0</v>
      </c>
      <c r="CK30" s="28">
        <v>0</v>
      </c>
      <c r="CL30" s="28">
        <v>0</v>
      </c>
      <c r="CM30" s="28">
        <v>0</v>
      </c>
      <c r="CN30" s="28">
        <v>0</v>
      </c>
      <c r="CO30" s="28">
        <v>0</v>
      </c>
      <c r="CP30" s="28">
        <v>0.81899999999999995</v>
      </c>
      <c r="CQ30" s="28">
        <v>0</v>
      </c>
      <c r="CR30" s="28">
        <v>0</v>
      </c>
      <c r="CS30" s="28">
        <v>0</v>
      </c>
      <c r="CT30" s="28">
        <v>1.4947368421052629E-2</v>
      </c>
      <c r="CU30" s="34">
        <v>1.42</v>
      </c>
    </row>
    <row r="31" spans="1:99" x14ac:dyDescent="0.25">
      <c r="A31" s="24">
        <v>30</v>
      </c>
      <c r="B31" s="26">
        <v>14.5</v>
      </c>
      <c r="C31" s="28">
        <v>0.16200000000000001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0.217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3.9894736842105262E-3</v>
      </c>
      <c r="CU31" s="34">
        <v>0.379</v>
      </c>
    </row>
    <row r="32" spans="1:99" x14ac:dyDescent="0.25">
      <c r="A32" s="24">
        <v>31</v>
      </c>
      <c r="B32" s="26">
        <v>15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0.17599999999999999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0.38300000000000001</v>
      </c>
      <c r="CT32" s="28">
        <v>5.8842105263157887E-3</v>
      </c>
      <c r="CU32" s="34">
        <v>0.55899999999999994</v>
      </c>
    </row>
    <row r="33" spans="1:99" x14ac:dyDescent="0.25">
      <c r="A33" s="24">
        <v>32</v>
      </c>
      <c r="B33" s="26">
        <v>15.5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0.159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1.2689999999999999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1.0149999999999999</v>
      </c>
      <c r="CT33" s="28">
        <v>2.5715789473684209E-2</v>
      </c>
      <c r="CU33" s="34">
        <v>2.4430000000000001</v>
      </c>
    </row>
    <row r="34" spans="1:99" x14ac:dyDescent="0.25">
      <c r="A34" s="24">
        <v>33</v>
      </c>
      <c r="B34" s="26">
        <v>16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8">
        <v>0.66200000000000003</v>
      </c>
      <c r="CT34" s="28">
        <v>6.9684210526315786E-3</v>
      </c>
      <c r="CU34" s="34">
        <v>0.66200000000000003</v>
      </c>
    </row>
    <row r="35" spans="1:99" x14ac:dyDescent="0.25">
      <c r="A35" s="24">
        <v>34</v>
      </c>
      <c r="B35" s="26">
        <v>16.5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0.98499999999999999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0.71599999999999997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0.31900000000000001</v>
      </c>
      <c r="CT35" s="28">
        <v>2.1263157894736841E-2</v>
      </c>
      <c r="CU35" s="34">
        <v>2.02</v>
      </c>
    </row>
    <row r="36" spans="1:99" x14ac:dyDescent="0.25">
      <c r="A36" s="24">
        <v>35</v>
      </c>
      <c r="B36" s="26">
        <v>17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0.25800000000000001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0.375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0.17799999999999999</v>
      </c>
      <c r="BB36" s="28">
        <v>0</v>
      </c>
      <c r="BC36" s="28">
        <v>0</v>
      </c>
      <c r="BD36" s="28">
        <v>0</v>
      </c>
      <c r="BE36" s="28">
        <v>0</v>
      </c>
      <c r="BF36" s="28">
        <v>0.40500000000000003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0.16300000000000001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1.4515789473684209E-2</v>
      </c>
      <c r="CU36" s="34">
        <v>1.379</v>
      </c>
    </row>
    <row r="37" spans="1:99" x14ac:dyDescent="0.25">
      <c r="A37" s="24">
        <v>36</v>
      </c>
      <c r="B37" s="26">
        <v>17.5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0.40600000000000003</v>
      </c>
      <c r="AB37" s="28">
        <v>0.153</v>
      </c>
      <c r="AC37" s="28">
        <v>0</v>
      </c>
      <c r="AD37" s="28">
        <v>0.23699999999999999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0.51300000000000001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1.377894736842105E-2</v>
      </c>
      <c r="CU37" s="34">
        <v>1.3089999999999999</v>
      </c>
    </row>
    <row r="38" spans="1:99" x14ac:dyDescent="0.25">
      <c r="A38" s="24">
        <v>37</v>
      </c>
      <c r="B38" s="26">
        <v>18</v>
      </c>
      <c r="C38" s="28">
        <v>0</v>
      </c>
      <c r="D38" s="28">
        <v>0</v>
      </c>
      <c r="E38" s="28">
        <v>5.8999999999999997E-2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0.311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0.27900000000000003</v>
      </c>
      <c r="AB38" s="28">
        <v>0.17399999999999999</v>
      </c>
      <c r="AC38" s="28">
        <v>0</v>
      </c>
      <c r="AD38" s="28">
        <v>0.28000000000000003</v>
      </c>
      <c r="AE38" s="28">
        <v>0.48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0.10100000000000001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1.4E-2</v>
      </c>
      <c r="CI38" s="28">
        <v>0.23899999999999999</v>
      </c>
      <c r="CJ38" s="28">
        <v>0</v>
      </c>
      <c r="CK38" s="28">
        <v>0</v>
      </c>
      <c r="CL38" s="28">
        <v>0</v>
      </c>
      <c r="CM38" s="28">
        <v>0</v>
      </c>
      <c r="CN38" s="28">
        <v>0.214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2.2642105263157901E-2</v>
      </c>
      <c r="CU38" s="34">
        <v>2.1509999999999998</v>
      </c>
    </row>
    <row r="39" spans="1:99" x14ac:dyDescent="0.25">
      <c r="A39" s="24">
        <v>38</v>
      </c>
      <c r="B39" s="26">
        <v>18.5</v>
      </c>
      <c r="C39" s="28">
        <v>0.23499999999999999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1.6E-2</v>
      </c>
      <c r="AB39" s="28">
        <v>7.2999999999999995E-2</v>
      </c>
      <c r="AC39" s="28">
        <v>0</v>
      </c>
      <c r="AD39" s="28">
        <v>0</v>
      </c>
      <c r="AE39" s="28">
        <v>0.48299999999999998</v>
      </c>
      <c r="AF39" s="28">
        <v>0.28999999999999998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0.26600000000000001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0.21</v>
      </c>
      <c r="BV39" s="28">
        <v>0</v>
      </c>
      <c r="BW39" s="28">
        <v>0.114</v>
      </c>
      <c r="BX39" s="28">
        <v>0</v>
      </c>
      <c r="BY39" s="28">
        <v>0</v>
      </c>
      <c r="BZ39" s="28">
        <v>0</v>
      </c>
      <c r="CA39" s="28">
        <v>0.124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6.7000000000000004E-2</v>
      </c>
      <c r="CO39" s="28">
        <v>0</v>
      </c>
      <c r="CP39" s="28">
        <v>0.107</v>
      </c>
      <c r="CQ39" s="28">
        <v>0</v>
      </c>
      <c r="CR39" s="28">
        <v>0</v>
      </c>
      <c r="CS39" s="28">
        <v>0</v>
      </c>
      <c r="CT39" s="28">
        <v>2.0894736842105261E-2</v>
      </c>
      <c r="CU39" s="34">
        <v>1.9850000000000001</v>
      </c>
    </row>
    <row r="40" spans="1:99" x14ac:dyDescent="0.25">
      <c r="A40" s="24">
        <v>39</v>
      </c>
      <c r="B40" s="26">
        <v>19</v>
      </c>
      <c r="C40" s="28">
        <v>7.4999999999999997E-2</v>
      </c>
      <c r="D40" s="28">
        <v>0</v>
      </c>
      <c r="E40" s="28">
        <v>2.9000000000000001E-2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2.5999999999999999E-2</v>
      </c>
      <c r="AA40" s="28">
        <v>0</v>
      </c>
      <c r="AB40" s="28">
        <v>5.1999999999999998E-2</v>
      </c>
      <c r="AC40" s="28">
        <v>0</v>
      </c>
      <c r="AD40" s="28">
        <v>6.2E-2</v>
      </c>
      <c r="AE40" s="28">
        <v>0.186</v>
      </c>
      <c r="AF40" s="28">
        <v>0.161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6.6000000000000003E-2</v>
      </c>
      <c r="AR40" s="28">
        <v>0.13500000000000001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0.03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0.23899999999999999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  <c r="CM40" s="28">
        <v>0</v>
      </c>
      <c r="CN40" s="28">
        <v>0</v>
      </c>
      <c r="CO40" s="28">
        <v>0</v>
      </c>
      <c r="CP40" s="28">
        <v>0</v>
      </c>
      <c r="CQ40" s="28">
        <v>0</v>
      </c>
      <c r="CR40" s="28">
        <v>0</v>
      </c>
      <c r="CS40" s="28">
        <v>0</v>
      </c>
      <c r="CT40" s="28">
        <v>1.1168421052631579E-2</v>
      </c>
      <c r="CU40" s="34">
        <v>1.0609999999999999</v>
      </c>
    </row>
    <row r="41" spans="1:99" x14ac:dyDescent="0.25">
      <c r="A41" s="24">
        <v>40</v>
      </c>
      <c r="B41" s="26">
        <v>19.5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0.02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5.5E-2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0</v>
      </c>
      <c r="BQ41" s="28">
        <v>0</v>
      </c>
      <c r="BR41" s="28">
        <v>0</v>
      </c>
      <c r="BS41" s="28">
        <v>0</v>
      </c>
      <c r="BT41" s="28">
        <v>0</v>
      </c>
      <c r="BU41" s="28">
        <v>0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28">
        <v>4.8000000000000001E-2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0</v>
      </c>
      <c r="CO41" s="28">
        <v>0</v>
      </c>
      <c r="CP41" s="28">
        <v>0</v>
      </c>
      <c r="CQ41" s="28">
        <v>0</v>
      </c>
      <c r="CR41" s="28">
        <v>0</v>
      </c>
      <c r="CS41" s="28">
        <v>0</v>
      </c>
      <c r="CT41" s="28">
        <v>1.294736842105263E-3</v>
      </c>
      <c r="CU41" s="34">
        <v>0.123</v>
      </c>
    </row>
    <row r="42" spans="1:99" x14ac:dyDescent="0.25">
      <c r="A42" s="24">
        <v>41</v>
      </c>
      <c r="B42" s="26">
        <v>20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34">
        <v>0</v>
      </c>
    </row>
    <row r="43" spans="1:99" x14ac:dyDescent="0.25">
      <c r="A43" s="24">
        <v>42</v>
      </c>
      <c r="B43" s="26">
        <v>20.5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28">
        <v>0</v>
      </c>
      <c r="CT43" s="28">
        <v>0</v>
      </c>
      <c r="CU43" s="34">
        <v>0</v>
      </c>
    </row>
    <row r="44" spans="1:99" x14ac:dyDescent="0.25">
      <c r="A44" s="24">
        <v>43</v>
      </c>
      <c r="B44" s="26">
        <v>21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0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0</v>
      </c>
      <c r="CS44" s="28">
        <v>0</v>
      </c>
      <c r="CT44" s="28">
        <v>0</v>
      </c>
      <c r="CU44" s="34">
        <v>0</v>
      </c>
    </row>
    <row r="45" spans="1:99" x14ac:dyDescent="0.25">
      <c r="A45" s="24">
        <v>44</v>
      </c>
      <c r="B45" s="26">
        <v>21.5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34">
        <v>0</v>
      </c>
    </row>
    <row r="46" spans="1:99" x14ac:dyDescent="0.25">
      <c r="A46" s="24">
        <v>45</v>
      </c>
      <c r="B46" s="26">
        <v>22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34">
        <v>0</v>
      </c>
    </row>
    <row r="47" spans="1:99" x14ac:dyDescent="0.25">
      <c r="A47" s="24">
        <v>46</v>
      </c>
      <c r="B47" s="26">
        <v>22.5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  <c r="CM47" s="28">
        <v>0</v>
      </c>
      <c r="CN47" s="28">
        <v>0</v>
      </c>
      <c r="CO47" s="28">
        <v>0</v>
      </c>
      <c r="CP47" s="28">
        <v>0</v>
      </c>
      <c r="CQ47" s="28">
        <v>0</v>
      </c>
      <c r="CR47" s="28">
        <v>0</v>
      </c>
      <c r="CS47" s="28">
        <v>0</v>
      </c>
      <c r="CT47" s="28">
        <v>0</v>
      </c>
      <c r="CU47" s="34">
        <v>0</v>
      </c>
    </row>
    <row r="48" spans="1:99" x14ac:dyDescent="0.25">
      <c r="A48" s="24">
        <v>47</v>
      </c>
      <c r="B48" s="26">
        <v>23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34">
        <v>0</v>
      </c>
    </row>
    <row r="49" spans="1:99" x14ac:dyDescent="0.25">
      <c r="A49" s="25">
        <v>48</v>
      </c>
      <c r="B49" s="27">
        <v>23.5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0</v>
      </c>
      <c r="BB49" s="29">
        <v>0</v>
      </c>
      <c r="BC49" s="29">
        <v>0</v>
      </c>
      <c r="BD49" s="29">
        <v>0</v>
      </c>
      <c r="BE49" s="29">
        <v>0</v>
      </c>
      <c r="BF49" s="29">
        <v>0</v>
      </c>
      <c r="BG49" s="29">
        <v>0</v>
      </c>
      <c r="BH49" s="29">
        <v>0</v>
      </c>
      <c r="BI49" s="29">
        <v>0</v>
      </c>
      <c r="BJ49" s="29">
        <v>0</v>
      </c>
      <c r="BK49" s="29">
        <v>0</v>
      </c>
      <c r="BL49" s="29">
        <v>0</v>
      </c>
      <c r="BM49" s="29">
        <v>0</v>
      </c>
      <c r="BN49" s="29">
        <v>0</v>
      </c>
      <c r="BO49" s="29">
        <v>0</v>
      </c>
      <c r="BP49" s="29">
        <v>0</v>
      </c>
      <c r="BQ49" s="29">
        <v>0</v>
      </c>
      <c r="BR49" s="29">
        <v>0</v>
      </c>
      <c r="BS49" s="29">
        <v>0</v>
      </c>
      <c r="BT49" s="29">
        <v>0</v>
      </c>
      <c r="BU49" s="29">
        <v>0</v>
      </c>
      <c r="BV49" s="29">
        <v>0</v>
      </c>
      <c r="BW49" s="29">
        <v>0</v>
      </c>
      <c r="BX49" s="29">
        <v>0</v>
      </c>
      <c r="BY49" s="29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3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U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99" width="15" customWidth="1"/>
  </cols>
  <sheetData>
    <row r="1" spans="1:99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9" t="s">
        <v>133</v>
      </c>
    </row>
    <row r="2" spans="1:99" x14ac:dyDescent="0.25">
      <c r="A2" s="24">
        <v>1</v>
      </c>
      <c r="B2" s="26">
        <v>0</v>
      </c>
      <c r="C2" s="28">
        <v>0.27100000000000002</v>
      </c>
      <c r="D2" s="28">
        <v>4.2999999999999997E-2</v>
      </c>
      <c r="E2" s="28">
        <v>0.20599999999999999</v>
      </c>
      <c r="F2" s="28">
        <v>5.7000000000000002E-2</v>
      </c>
      <c r="G2" s="28">
        <v>5.3999999999999999E-2</v>
      </c>
      <c r="H2" s="28">
        <v>0.16200000000000001</v>
      </c>
      <c r="I2" s="28">
        <v>4.5999999999999999E-2</v>
      </c>
      <c r="J2" s="28">
        <v>5.5E-2</v>
      </c>
      <c r="K2" s="28">
        <v>0.67800000000000005</v>
      </c>
      <c r="L2" s="28">
        <v>0.21299999999999999</v>
      </c>
      <c r="M2" s="28">
        <v>0.14199999999999999</v>
      </c>
      <c r="N2" s="28">
        <v>0.11899999999999999</v>
      </c>
      <c r="O2" s="28">
        <v>0.13900000000000001</v>
      </c>
      <c r="P2" s="28">
        <v>0.19</v>
      </c>
      <c r="Q2" s="28">
        <v>5.3999999999999999E-2</v>
      </c>
      <c r="R2" s="28">
        <v>9.4E-2</v>
      </c>
      <c r="S2" s="28">
        <v>0.05</v>
      </c>
      <c r="T2" s="28">
        <v>0.05</v>
      </c>
      <c r="U2" s="28">
        <v>0.41</v>
      </c>
      <c r="V2" s="28">
        <v>0.14899999999999999</v>
      </c>
      <c r="W2" s="28">
        <v>4.9000000000000002E-2</v>
      </c>
      <c r="X2" s="28">
        <v>0.185</v>
      </c>
      <c r="Y2" s="28">
        <v>1.5649999999999999</v>
      </c>
      <c r="Z2" s="28">
        <v>0.182</v>
      </c>
      <c r="AA2" s="28">
        <v>5.3999999999999999E-2</v>
      </c>
      <c r="AB2" s="28">
        <v>5.3999999999999999E-2</v>
      </c>
      <c r="AC2" s="28">
        <v>0.25700000000000001</v>
      </c>
      <c r="AD2" s="28">
        <v>8.6000000000000007E-2</v>
      </c>
      <c r="AE2" s="28">
        <v>0.124</v>
      </c>
      <c r="AF2" s="28">
        <v>0.28199999999999997</v>
      </c>
      <c r="AG2" s="28">
        <v>3.5999999999999997E-2</v>
      </c>
      <c r="AH2" s="28">
        <v>0.20899999999999999</v>
      </c>
      <c r="AI2" s="28">
        <v>0.27200000000000002</v>
      </c>
      <c r="AJ2" s="28">
        <v>0.158</v>
      </c>
      <c r="AK2" s="28">
        <v>0.70899999999999996</v>
      </c>
      <c r="AL2" s="28">
        <v>5.1999999999999998E-2</v>
      </c>
      <c r="AM2" s="28">
        <v>4.8000000000000001E-2</v>
      </c>
      <c r="AN2" s="28">
        <v>0.214</v>
      </c>
      <c r="AO2" s="28">
        <v>0.86</v>
      </c>
      <c r="AP2" s="28">
        <v>5.2999999999999999E-2</v>
      </c>
      <c r="AQ2" s="28">
        <v>5.8000000000000003E-2</v>
      </c>
      <c r="AR2" s="28">
        <v>4.9000000000000002E-2</v>
      </c>
      <c r="AS2" s="28">
        <v>0.23499999999999999</v>
      </c>
      <c r="AT2" s="28">
        <v>0.27300000000000002</v>
      </c>
      <c r="AU2" s="28">
        <v>0.156</v>
      </c>
      <c r="AV2" s="28">
        <v>0.53</v>
      </c>
      <c r="AW2" s="28">
        <v>0.192</v>
      </c>
      <c r="AX2" s="28">
        <v>0.16700000000000001</v>
      </c>
      <c r="AY2" s="28">
        <v>0.14399999999999999</v>
      </c>
      <c r="AZ2" s="28">
        <v>0.16700000000000001</v>
      </c>
      <c r="BA2" s="28">
        <v>3.4000000000000002E-2</v>
      </c>
      <c r="BB2" s="28">
        <v>3.7999999999999999E-2</v>
      </c>
      <c r="BC2" s="28">
        <v>0.40100000000000002</v>
      </c>
      <c r="BD2" s="28">
        <v>0.17799999999999999</v>
      </c>
      <c r="BE2" s="28">
        <v>0.61</v>
      </c>
      <c r="BF2" s="28">
        <v>4.8000000000000001E-2</v>
      </c>
      <c r="BG2" s="28">
        <v>0.14499999999999999</v>
      </c>
      <c r="BH2" s="28">
        <v>2.9000000000000001E-2</v>
      </c>
      <c r="BI2" s="28">
        <v>0.36699999999999999</v>
      </c>
      <c r="BJ2" s="28">
        <v>0.43099999999999999</v>
      </c>
      <c r="BK2" s="28">
        <v>6.2E-2</v>
      </c>
      <c r="BL2" s="28">
        <v>4.7E-2</v>
      </c>
      <c r="BM2" s="28">
        <v>4.8000000000000001E-2</v>
      </c>
      <c r="BN2" s="28">
        <v>0.16</v>
      </c>
      <c r="BO2" s="28">
        <v>0.45500000000000002</v>
      </c>
      <c r="BP2" s="28">
        <v>0.90100000000000002</v>
      </c>
      <c r="BQ2" s="28">
        <v>0.313</v>
      </c>
      <c r="BR2" s="28">
        <v>0.75700000000000001</v>
      </c>
      <c r="BS2" s="28">
        <v>0.17799999999999999</v>
      </c>
      <c r="BT2" s="28">
        <v>3.7999999999999999E-2</v>
      </c>
      <c r="BU2" s="28">
        <v>0.40899999999999997</v>
      </c>
      <c r="BV2" s="28">
        <v>0.11600000000000001</v>
      </c>
      <c r="BW2" s="28">
        <v>4.8000000000000001E-2</v>
      </c>
      <c r="BX2" s="28">
        <v>0.38400000000000001</v>
      </c>
      <c r="BY2" s="28">
        <v>5.3999999999999999E-2</v>
      </c>
      <c r="BZ2" s="28">
        <v>0.59399999999999997</v>
      </c>
      <c r="CA2" s="28">
        <v>0.21099999999999999</v>
      </c>
      <c r="CB2" s="28">
        <v>0.14499999999999999</v>
      </c>
      <c r="CC2" s="28">
        <v>0.156</v>
      </c>
      <c r="CD2" s="28">
        <v>5.2999999999999999E-2</v>
      </c>
      <c r="CE2" s="28">
        <v>5.6000000000000001E-2</v>
      </c>
      <c r="CF2" s="28">
        <v>0.70600000000000007</v>
      </c>
      <c r="CG2" s="28">
        <v>0.13500000000000001</v>
      </c>
      <c r="CH2" s="28">
        <v>0.05</v>
      </c>
      <c r="CI2" s="28">
        <v>4.9000000000000002E-2</v>
      </c>
      <c r="CJ2" s="28">
        <v>1.071</v>
      </c>
      <c r="CK2" s="28">
        <v>0.56999999999999995</v>
      </c>
      <c r="CL2" s="28">
        <v>4.5999999999999999E-2</v>
      </c>
      <c r="CM2" s="28">
        <v>6.0999999999999999E-2</v>
      </c>
      <c r="CN2" s="28">
        <v>8.6000000000000007E-2</v>
      </c>
      <c r="CO2" s="28">
        <v>8.2000000000000003E-2</v>
      </c>
      <c r="CP2" s="28">
        <v>0.77800000000000002</v>
      </c>
      <c r="CQ2" s="28">
        <v>0.20100000000000001</v>
      </c>
      <c r="CR2" s="28">
        <v>0.16400000000000001</v>
      </c>
      <c r="CS2" s="28">
        <v>0.47499999999999998</v>
      </c>
      <c r="CT2" s="28">
        <v>0.23728421052631579</v>
      </c>
      <c r="CU2" s="34">
        <v>22.542000000000002</v>
      </c>
    </row>
    <row r="3" spans="1:99" x14ac:dyDescent="0.25">
      <c r="A3" s="24">
        <v>2</v>
      </c>
      <c r="B3" s="26">
        <v>0.5</v>
      </c>
      <c r="C3" s="28">
        <v>8.3999999999999991E-2</v>
      </c>
      <c r="D3" s="28">
        <v>0.21099999999999999</v>
      </c>
      <c r="E3" s="28">
        <v>5.6000000000000001E-2</v>
      </c>
      <c r="F3" s="28">
        <v>5.7000000000000002E-2</v>
      </c>
      <c r="G3" s="28">
        <v>0.17199999999999999</v>
      </c>
      <c r="H3" s="28">
        <v>0.14000000000000001</v>
      </c>
      <c r="I3" s="28">
        <v>4.5999999999999999E-2</v>
      </c>
      <c r="J3" s="28">
        <v>0.11600000000000001</v>
      </c>
      <c r="K3" s="28">
        <v>0.29699999999999999</v>
      </c>
      <c r="L3" s="28">
        <v>0.28399999999999997</v>
      </c>
      <c r="M3" s="28">
        <v>8.6999999999999994E-2</v>
      </c>
      <c r="N3" s="28">
        <v>0.1</v>
      </c>
      <c r="O3" s="28">
        <v>5.3999999999999999E-2</v>
      </c>
      <c r="P3" s="28">
        <v>4.7E-2</v>
      </c>
      <c r="Q3" s="28">
        <v>0.13200000000000001</v>
      </c>
      <c r="R3" s="28">
        <v>0.15</v>
      </c>
      <c r="S3" s="28">
        <v>0.05</v>
      </c>
      <c r="T3" s="28">
        <v>0.129</v>
      </c>
      <c r="U3" s="28">
        <v>0.48599999999999999</v>
      </c>
      <c r="V3" s="28">
        <v>0.14299999999999999</v>
      </c>
      <c r="W3" s="28">
        <v>0.11</v>
      </c>
      <c r="X3" s="28">
        <v>0.128</v>
      </c>
      <c r="Y3" s="28">
        <v>5.8000000000000003E-2</v>
      </c>
      <c r="Z3" s="28">
        <v>0.161</v>
      </c>
      <c r="AA3" s="28">
        <v>0.186</v>
      </c>
      <c r="AB3" s="28">
        <v>0.188</v>
      </c>
      <c r="AC3" s="28">
        <v>5.6000000000000001E-2</v>
      </c>
      <c r="AD3" s="28">
        <v>0.156</v>
      </c>
      <c r="AE3" s="28">
        <v>0.10199999999999999</v>
      </c>
      <c r="AF3" s="28">
        <v>0.20300000000000001</v>
      </c>
      <c r="AG3" s="28">
        <v>0.153</v>
      </c>
      <c r="AH3" s="28">
        <v>0.10299999999999999</v>
      </c>
      <c r="AI3" s="28">
        <v>5.1999999999999998E-2</v>
      </c>
      <c r="AJ3" s="28">
        <v>4.9000000000000002E-2</v>
      </c>
      <c r="AK3" s="28">
        <v>0.85599999999999998</v>
      </c>
      <c r="AL3" s="28">
        <v>5.1999999999999998E-2</v>
      </c>
      <c r="AM3" s="28">
        <v>0.22700000000000001</v>
      </c>
      <c r="AN3" s="28">
        <v>4.5999999999999999E-2</v>
      </c>
      <c r="AO3" s="28">
        <v>0.63900000000000001</v>
      </c>
      <c r="AP3" s="28">
        <v>0.121</v>
      </c>
      <c r="AQ3" s="28">
        <v>5.8000000000000003E-2</v>
      </c>
      <c r="AR3" s="28">
        <v>4.9000000000000002E-2</v>
      </c>
      <c r="AS3" s="28">
        <v>0.20300000000000001</v>
      </c>
      <c r="AT3" s="28">
        <v>0.25</v>
      </c>
      <c r="AU3" s="28">
        <v>5.3999999999999999E-2</v>
      </c>
      <c r="AV3" s="28">
        <v>0.36299999999999999</v>
      </c>
      <c r="AW3" s="28">
        <v>0.17399999999999999</v>
      </c>
      <c r="AX3" s="28">
        <v>0.26200000000000001</v>
      </c>
      <c r="AY3" s="28">
        <v>4.9000000000000002E-2</v>
      </c>
      <c r="AZ3" s="28">
        <v>0.129</v>
      </c>
      <c r="BA3" s="28">
        <v>3.4000000000000002E-2</v>
      </c>
      <c r="BB3" s="28">
        <v>0.13800000000000001</v>
      </c>
      <c r="BC3" s="28">
        <v>0.56200000000000006</v>
      </c>
      <c r="BD3" s="28">
        <v>0.10100000000000001</v>
      </c>
      <c r="BE3" s="28">
        <v>0.23</v>
      </c>
      <c r="BF3" s="28">
        <v>4.8000000000000001E-2</v>
      </c>
      <c r="BG3" s="28">
        <v>4.7E-2</v>
      </c>
      <c r="BH3" s="28">
        <v>2.9000000000000001E-2</v>
      </c>
      <c r="BI3" s="28">
        <v>0.44700000000000001</v>
      </c>
      <c r="BJ3" s="28">
        <v>0.437</v>
      </c>
      <c r="BK3" s="28">
        <v>0.192</v>
      </c>
      <c r="BL3" s="28">
        <v>4.7E-2</v>
      </c>
      <c r="BM3" s="28">
        <v>4.8000000000000001E-2</v>
      </c>
      <c r="BN3" s="28">
        <v>0.25</v>
      </c>
      <c r="BO3" s="28">
        <v>0.47699999999999998</v>
      </c>
      <c r="BP3" s="28">
        <v>0.79500000000000004</v>
      </c>
      <c r="BQ3" s="28">
        <v>0.05</v>
      </c>
      <c r="BR3" s="28">
        <v>1.6339999999999999</v>
      </c>
      <c r="BS3" s="28">
        <v>5.1999999999999998E-2</v>
      </c>
      <c r="BT3" s="28">
        <v>3.7999999999999999E-2</v>
      </c>
      <c r="BU3" s="28">
        <v>0.35699999999999998</v>
      </c>
      <c r="BV3" s="28">
        <v>0.14399999999999999</v>
      </c>
      <c r="BW3" s="28">
        <v>0.1</v>
      </c>
      <c r="BX3" s="28">
        <v>5.3999999999999999E-2</v>
      </c>
      <c r="BY3" s="28">
        <v>0.215</v>
      </c>
      <c r="BZ3" s="28">
        <v>0.57200000000000006</v>
      </c>
      <c r="CA3" s="28">
        <v>4.5999999999999999E-2</v>
      </c>
      <c r="CB3" s="28">
        <v>0.19800000000000001</v>
      </c>
      <c r="CC3" s="28">
        <v>0.29299999999999998</v>
      </c>
      <c r="CD3" s="28">
        <v>6.0999999999999999E-2</v>
      </c>
      <c r="CE3" s="28">
        <v>0.24099999999999999</v>
      </c>
      <c r="CF3" s="28">
        <v>0.13600000000000001</v>
      </c>
      <c r="CG3" s="28">
        <v>0.13200000000000001</v>
      </c>
      <c r="CH3" s="28">
        <v>0.222</v>
      </c>
      <c r="CI3" s="28">
        <v>4.9000000000000002E-2</v>
      </c>
      <c r="CJ3" s="28">
        <v>1.0429999999999999</v>
      </c>
      <c r="CK3" s="28">
        <v>0.71299999999999997</v>
      </c>
      <c r="CL3" s="28">
        <v>0.159</v>
      </c>
      <c r="CM3" s="28">
        <v>5.1999999999999998E-2</v>
      </c>
      <c r="CN3" s="28">
        <v>0.156</v>
      </c>
      <c r="CO3" s="28">
        <v>0.125</v>
      </c>
      <c r="CP3" s="28">
        <v>0.66799999999999993</v>
      </c>
      <c r="CQ3" s="28">
        <v>5.0999999999999997E-2</v>
      </c>
      <c r="CR3" s="28">
        <v>4.8000000000000001E-2</v>
      </c>
      <c r="CS3" s="28">
        <v>0.39700000000000002</v>
      </c>
      <c r="CT3" s="28">
        <v>0.2101684210526315</v>
      </c>
      <c r="CU3" s="34">
        <v>19.96599999999999</v>
      </c>
    </row>
    <row r="4" spans="1:99" x14ac:dyDescent="0.25">
      <c r="A4" s="24">
        <v>3</v>
      </c>
      <c r="B4" s="26">
        <v>1</v>
      </c>
      <c r="C4" s="28">
        <v>0.184</v>
      </c>
      <c r="D4" s="28">
        <v>4.2999999999999997E-2</v>
      </c>
      <c r="E4" s="28">
        <v>0.19600000000000001</v>
      </c>
      <c r="F4" s="28">
        <v>5.7000000000000002E-2</v>
      </c>
      <c r="G4" s="28">
        <v>0.21299999999999999</v>
      </c>
      <c r="H4" s="28">
        <v>0.193</v>
      </c>
      <c r="I4" s="28">
        <v>4.5999999999999999E-2</v>
      </c>
      <c r="J4" s="28">
        <v>0.13100000000000001</v>
      </c>
      <c r="K4" s="28">
        <v>0.13300000000000001</v>
      </c>
      <c r="L4" s="28">
        <v>0.13500000000000001</v>
      </c>
      <c r="M4" s="28">
        <v>7.1000000000000008E-2</v>
      </c>
      <c r="N4" s="28">
        <v>0.19800000000000001</v>
      </c>
      <c r="O4" s="28">
        <v>0.10100000000000001</v>
      </c>
      <c r="P4" s="28">
        <v>0.17699999999999999</v>
      </c>
      <c r="Q4" s="28">
        <v>5.3999999999999999E-2</v>
      </c>
      <c r="R4" s="28">
        <v>0.193</v>
      </c>
      <c r="S4" s="28">
        <v>0.05</v>
      </c>
      <c r="T4" s="28">
        <v>0.19500000000000001</v>
      </c>
      <c r="U4" s="28">
        <v>0.58299999999999996</v>
      </c>
      <c r="V4" s="28">
        <v>4.1000000000000002E-2</v>
      </c>
      <c r="W4" s="28">
        <v>4.9000000000000002E-2</v>
      </c>
      <c r="X4" s="28">
        <v>0.27500000000000002</v>
      </c>
      <c r="Y4" s="28">
        <v>0.10100000000000001</v>
      </c>
      <c r="Z4" s="28">
        <v>4.7E-2</v>
      </c>
      <c r="AA4" s="28">
        <v>0.06</v>
      </c>
      <c r="AB4" s="28">
        <v>5.3999999999999999E-2</v>
      </c>
      <c r="AC4" s="28">
        <v>5.6000000000000001E-2</v>
      </c>
      <c r="AD4" s="28">
        <v>4.5000000000000012E-2</v>
      </c>
      <c r="AE4" s="28">
        <v>5.1999999999999998E-2</v>
      </c>
      <c r="AF4" s="28">
        <v>0.129</v>
      </c>
      <c r="AG4" s="28">
        <v>3.5999999999999997E-2</v>
      </c>
      <c r="AH4" s="28">
        <v>0.222</v>
      </c>
      <c r="AI4" s="28">
        <v>0.17899999999999999</v>
      </c>
      <c r="AJ4" s="28">
        <v>0.22500000000000001</v>
      </c>
      <c r="AK4" s="28">
        <v>0.67900000000000005</v>
      </c>
      <c r="AL4" s="28">
        <v>5.1999999999999998E-2</v>
      </c>
      <c r="AM4" s="28">
        <v>4.8000000000000001E-2</v>
      </c>
      <c r="AN4" s="28">
        <v>0.183</v>
      </c>
      <c r="AO4" s="28">
        <v>0.38700000000000001</v>
      </c>
      <c r="AP4" s="28">
        <v>5.2999999999999999E-2</v>
      </c>
      <c r="AQ4" s="28">
        <v>0.161</v>
      </c>
      <c r="AR4" s="28">
        <v>0.14799999999999999</v>
      </c>
      <c r="AS4" s="28">
        <v>0.1</v>
      </c>
      <c r="AT4" s="28">
        <v>0.16700000000000001</v>
      </c>
      <c r="AU4" s="28">
        <v>5.3999999999999999E-2</v>
      </c>
      <c r="AV4" s="28">
        <v>0.871</v>
      </c>
      <c r="AW4" s="28">
        <v>7.9000000000000001E-2</v>
      </c>
      <c r="AX4" s="28">
        <v>0.188</v>
      </c>
      <c r="AY4" s="28">
        <v>0.14399999999999999</v>
      </c>
      <c r="AZ4" s="28">
        <v>0.05</v>
      </c>
      <c r="BA4" s="28">
        <v>0.151</v>
      </c>
      <c r="BB4" s="28">
        <v>8.3999999999999991E-2</v>
      </c>
      <c r="BC4" s="28">
        <v>4.8000000000000001E-2</v>
      </c>
      <c r="BD4" s="28">
        <v>0.128</v>
      </c>
      <c r="BE4" s="28">
        <v>0.104</v>
      </c>
      <c r="BF4" s="28">
        <v>4.8000000000000001E-2</v>
      </c>
      <c r="BG4" s="28">
        <v>0.114</v>
      </c>
      <c r="BH4" s="28">
        <v>2.9000000000000001E-2</v>
      </c>
      <c r="BI4" s="28">
        <v>0.17199999999999999</v>
      </c>
      <c r="BJ4" s="28">
        <v>3.9E-2</v>
      </c>
      <c r="BK4" s="28">
        <v>3.7999999999999999E-2</v>
      </c>
      <c r="BL4" s="28">
        <v>4.7E-2</v>
      </c>
      <c r="BM4" s="28">
        <v>0.21199999999999999</v>
      </c>
      <c r="BN4" s="28">
        <v>0.20799999999999999</v>
      </c>
      <c r="BO4" s="28">
        <v>0.223</v>
      </c>
      <c r="BP4" s="28">
        <v>0.69499999999999995</v>
      </c>
      <c r="BQ4" s="28">
        <v>0.27300000000000002</v>
      </c>
      <c r="BR4" s="28">
        <v>0</v>
      </c>
      <c r="BS4" s="28">
        <v>0.20599999999999999</v>
      </c>
      <c r="BT4" s="28">
        <v>0.13900000000000001</v>
      </c>
      <c r="BU4" s="28">
        <v>6.6000000000000003E-2</v>
      </c>
      <c r="BV4" s="28">
        <v>5.3999999999999999E-2</v>
      </c>
      <c r="BW4" s="28">
        <v>0.30399999999999999</v>
      </c>
      <c r="BX4" s="28">
        <v>0.34599999999999997</v>
      </c>
      <c r="BY4" s="28">
        <v>5.8000000000000003E-2</v>
      </c>
      <c r="BZ4" s="28">
        <v>0.56300000000000006</v>
      </c>
      <c r="CA4" s="28">
        <v>0.316</v>
      </c>
      <c r="CB4" s="28">
        <v>0.17100000000000001</v>
      </c>
      <c r="CC4" s="28">
        <v>0.121</v>
      </c>
      <c r="CD4" s="28">
        <v>0.11899999999999999</v>
      </c>
      <c r="CE4" s="28">
        <v>5.6000000000000001E-2</v>
      </c>
      <c r="CF4" s="28">
        <v>0.14899999999999999</v>
      </c>
      <c r="CG4" s="28">
        <v>5.3999999999999999E-2</v>
      </c>
      <c r="CH4" s="28">
        <v>0.05</v>
      </c>
      <c r="CI4" s="28">
        <v>4.9000000000000002E-2</v>
      </c>
      <c r="CJ4" s="28">
        <v>5.8000000000000003E-2</v>
      </c>
      <c r="CK4" s="28">
        <v>9.2999999999999999E-2</v>
      </c>
      <c r="CL4" s="28">
        <v>0.11899999999999999</v>
      </c>
      <c r="CM4" s="28">
        <v>0.121</v>
      </c>
      <c r="CN4" s="28">
        <v>4.3999999999999997E-2</v>
      </c>
      <c r="CO4" s="28">
        <v>5.5E-2</v>
      </c>
      <c r="CP4" s="28">
        <v>0.17</v>
      </c>
      <c r="CQ4" s="28">
        <v>0.20799999999999999</v>
      </c>
      <c r="CR4" s="28">
        <v>0.309</v>
      </c>
      <c r="CS4" s="28">
        <v>0.17</v>
      </c>
      <c r="CT4" s="28">
        <v>0.1544105263157895</v>
      </c>
      <c r="CU4" s="34">
        <v>14.669</v>
      </c>
    </row>
    <row r="5" spans="1:99" x14ac:dyDescent="0.25">
      <c r="A5" s="24">
        <v>4</v>
      </c>
      <c r="B5" s="26">
        <v>1.5</v>
      </c>
      <c r="C5" s="28">
        <v>5.5E-2</v>
      </c>
      <c r="D5" s="28">
        <v>0.16600000000000001</v>
      </c>
      <c r="E5" s="28">
        <v>0.20599999999999999</v>
      </c>
      <c r="F5" s="28">
        <v>5.7000000000000002E-2</v>
      </c>
      <c r="G5" s="28">
        <v>5.3999999999999999E-2</v>
      </c>
      <c r="H5" s="28">
        <v>0.156</v>
      </c>
      <c r="I5" s="28">
        <v>4.5999999999999999E-2</v>
      </c>
      <c r="J5" s="28">
        <v>5.0999999999999997E-2</v>
      </c>
      <c r="K5" s="28">
        <v>0.20300000000000001</v>
      </c>
      <c r="L5" s="28">
        <v>4.1000000000000002E-2</v>
      </c>
      <c r="M5" s="28">
        <v>0.159</v>
      </c>
      <c r="N5" s="28">
        <v>0.112</v>
      </c>
      <c r="O5" s="28">
        <v>9.1999999999999998E-2</v>
      </c>
      <c r="P5" s="28">
        <v>0.06</v>
      </c>
      <c r="Q5" s="28">
        <v>0.123</v>
      </c>
      <c r="R5" s="28">
        <v>0.182</v>
      </c>
      <c r="S5" s="28">
        <v>0.05</v>
      </c>
      <c r="T5" s="28">
        <v>0.104</v>
      </c>
      <c r="U5" s="28">
        <v>0.63800000000000001</v>
      </c>
      <c r="V5" s="28">
        <v>8.2000000000000003E-2</v>
      </c>
      <c r="W5" s="28">
        <v>0.11</v>
      </c>
      <c r="X5" s="28">
        <v>8.3999999999999991E-2</v>
      </c>
      <c r="Y5" s="28">
        <v>0.17299999999999999</v>
      </c>
      <c r="Z5" s="28">
        <v>0.129</v>
      </c>
      <c r="AA5" s="28">
        <v>5.3999999999999999E-2</v>
      </c>
      <c r="AB5" s="28">
        <v>0.188</v>
      </c>
      <c r="AC5" s="28">
        <v>5.6000000000000001E-2</v>
      </c>
      <c r="AD5" s="28">
        <v>0.19700000000000001</v>
      </c>
      <c r="AE5" s="28">
        <v>9.0999999999999998E-2</v>
      </c>
      <c r="AF5" s="28">
        <v>0.10299999999999999</v>
      </c>
      <c r="AG5" s="28">
        <v>3.5999999999999997E-2</v>
      </c>
      <c r="AH5" s="28">
        <v>0.10299999999999999</v>
      </c>
      <c r="AI5" s="28">
        <v>0.12</v>
      </c>
      <c r="AJ5" s="28">
        <v>8.1000000000000003E-2</v>
      </c>
      <c r="AK5" s="28">
        <v>0.14699999999999999</v>
      </c>
      <c r="AL5" s="28">
        <v>5.1999999999999998E-2</v>
      </c>
      <c r="AM5" s="28">
        <v>4.8000000000000001E-2</v>
      </c>
      <c r="AN5" s="28">
        <v>7.6999999999999999E-2</v>
      </c>
      <c r="AO5" s="28">
        <v>0.192</v>
      </c>
      <c r="AP5" s="28">
        <v>8.3000000000000004E-2</v>
      </c>
      <c r="AQ5" s="28">
        <v>0.106</v>
      </c>
      <c r="AR5" s="28">
        <v>7.3999999999999996E-2</v>
      </c>
      <c r="AS5" s="28">
        <v>0.20300000000000001</v>
      </c>
      <c r="AT5" s="28">
        <v>7.5999999999999998E-2</v>
      </c>
      <c r="AU5" s="28">
        <v>0.16400000000000001</v>
      </c>
      <c r="AV5" s="28">
        <v>0.309</v>
      </c>
      <c r="AW5" s="28">
        <v>0.22900000000000001</v>
      </c>
      <c r="AX5" s="28">
        <v>0.23699999999999999</v>
      </c>
      <c r="AY5" s="28">
        <v>4.9000000000000002E-2</v>
      </c>
      <c r="AZ5" s="28">
        <v>0.109</v>
      </c>
      <c r="BA5" s="28">
        <v>8.8999999999999996E-2</v>
      </c>
      <c r="BB5" s="28">
        <v>0.26100000000000001</v>
      </c>
      <c r="BC5" s="28">
        <v>8.2000000000000003E-2</v>
      </c>
      <c r="BD5" s="28">
        <v>0.22500000000000001</v>
      </c>
      <c r="BE5" s="28">
        <v>0.16400000000000001</v>
      </c>
      <c r="BF5" s="28">
        <v>4.8000000000000001E-2</v>
      </c>
      <c r="BG5" s="28">
        <v>0.183</v>
      </c>
      <c r="BH5" s="28">
        <v>2.9000000000000001E-2</v>
      </c>
      <c r="BI5" s="28">
        <v>0.54400000000000004</v>
      </c>
      <c r="BJ5" s="28">
        <v>0.14199999999999999</v>
      </c>
      <c r="BK5" s="28">
        <v>0.153</v>
      </c>
      <c r="BL5" s="28">
        <v>4.7E-2</v>
      </c>
      <c r="BM5" s="28">
        <v>0.45700000000000002</v>
      </c>
      <c r="BN5" s="28">
        <v>5.7000000000000002E-2</v>
      </c>
      <c r="BO5" s="28">
        <v>4.7E-2</v>
      </c>
      <c r="BP5" s="28">
        <v>0</v>
      </c>
      <c r="BQ5" s="28">
        <v>0.13100000000000001</v>
      </c>
      <c r="BR5" s="28">
        <v>0</v>
      </c>
      <c r="BS5" s="28">
        <v>5.1999999999999998E-2</v>
      </c>
      <c r="BT5" s="28">
        <v>3.7999999999999999E-2</v>
      </c>
      <c r="BU5" s="28">
        <v>0.19</v>
      </c>
      <c r="BV5" s="28">
        <v>0.157</v>
      </c>
      <c r="BW5" s="28">
        <v>7.6999999999999999E-2</v>
      </c>
      <c r="BX5" s="28">
        <v>7.3999999999999996E-2</v>
      </c>
      <c r="BY5" s="28">
        <v>5.3999999999999999E-2</v>
      </c>
      <c r="BZ5" s="28">
        <v>5.8000000000000003E-2</v>
      </c>
      <c r="CA5" s="28">
        <v>8.8999999999999996E-2</v>
      </c>
      <c r="CB5" s="28">
        <v>0.34799999999999998</v>
      </c>
      <c r="CC5" s="28">
        <v>0.222</v>
      </c>
      <c r="CD5" s="28">
        <v>6.0999999999999999E-2</v>
      </c>
      <c r="CE5" s="28">
        <v>0.13200000000000001</v>
      </c>
      <c r="CF5" s="28">
        <v>0.186</v>
      </c>
      <c r="CG5" s="28">
        <v>8.7999999999999995E-2</v>
      </c>
      <c r="CH5" s="28">
        <v>0.16</v>
      </c>
      <c r="CI5" s="28">
        <v>4.9000000000000002E-2</v>
      </c>
      <c r="CJ5" s="28">
        <v>0.219</v>
      </c>
      <c r="CK5" s="28">
        <v>0.17100000000000001</v>
      </c>
      <c r="CL5" s="28">
        <v>0.28799999999999998</v>
      </c>
      <c r="CM5" s="28">
        <v>4.8000000000000001E-2</v>
      </c>
      <c r="CN5" s="28">
        <v>0.19800000000000001</v>
      </c>
      <c r="CO5" s="28">
        <v>0.152</v>
      </c>
      <c r="CP5" s="28">
        <v>3.6999999999999998E-2</v>
      </c>
      <c r="CQ5" s="28">
        <v>7.5999999999999998E-2</v>
      </c>
      <c r="CR5" s="28">
        <v>6.8999999999999992E-2</v>
      </c>
      <c r="CS5" s="28">
        <v>0.05</v>
      </c>
      <c r="CT5" s="28">
        <v>0.12967368421052641</v>
      </c>
      <c r="CU5" s="34">
        <v>12.319000000000001</v>
      </c>
    </row>
    <row r="6" spans="1:99" x14ac:dyDescent="0.25">
      <c r="A6" s="24">
        <v>5</v>
      </c>
      <c r="B6" s="26">
        <v>2</v>
      </c>
      <c r="C6" s="28">
        <v>0.14099999999999999</v>
      </c>
      <c r="D6" s="28">
        <v>8.8999999999999996E-2</v>
      </c>
      <c r="E6" s="28">
        <v>5.6000000000000001E-2</v>
      </c>
      <c r="F6" s="28">
        <v>5.7000000000000002E-2</v>
      </c>
      <c r="G6" s="28">
        <v>0.154</v>
      </c>
      <c r="H6" s="28">
        <v>0.125</v>
      </c>
      <c r="I6" s="28">
        <v>4.5999999999999999E-2</v>
      </c>
      <c r="J6" s="28">
        <v>0.11700000000000001</v>
      </c>
      <c r="K6" s="28">
        <v>3.9E-2</v>
      </c>
      <c r="L6" s="28">
        <v>0.25900000000000001</v>
      </c>
      <c r="M6" s="28">
        <v>5.3999999999999999E-2</v>
      </c>
      <c r="N6" s="28">
        <v>0.22</v>
      </c>
      <c r="O6" s="28">
        <v>0.106</v>
      </c>
      <c r="P6" s="28">
        <v>0.13800000000000001</v>
      </c>
      <c r="Q6" s="28">
        <v>6.3E-2</v>
      </c>
      <c r="R6" s="28">
        <v>0.12</v>
      </c>
      <c r="S6" s="28">
        <v>0.05</v>
      </c>
      <c r="T6" s="28">
        <v>9.8000000000000004E-2</v>
      </c>
      <c r="U6" s="28">
        <v>0.17299999999999999</v>
      </c>
      <c r="V6" s="28">
        <v>0.15</v>
      </c>
      <c r="W6" s="28">
        <v>4.9000000000000002E-2</v>
      </c>
      <c r="X6" s="28">
        <v>0.247</v>
      </c>
      <c r="Y6" s="28">
        <v>5.8000000000000003E-2</v>
      </c>
      <c r="Z6" s="28">
        <v>0.108</v>
      </c>
      <c r="AA6" s="28">
        <v>0.186</v>
      </c>
      <c r="AB6" s="28">
        <v>5.3999999999999999E-2</v>
      </c>
      <c r="AC6" s="28">
        <v>9.2999999999999999E-2</v>
      </c>
      <c r="AD6" s="28">
        <v>4.5000000000000012E-2</v>
      </c>
      <c r="AE6" s="28">
        <v>0.13500000000000001</v>
      </c>
      <c r="AF6" s="28">
        <v>0.21</v>
      </c>
      <c r="AG6" s="28">
        <v>0.112</v>
      </c>
      <c r="AH6" s="28">
        <v>0.154</v>
      </c>
      <c r="AI6" s="28">
        <v>0.10100000000000001</v>
      </c>
      <c r="AJ6" s="28">
        <v>0.17399999999999999</v>
      </c>
      <c r="AK6" s="28">
        <v>0</v>
      </c>
      <c r="AL6" s="28">
        <v>5.1999999999999998E-2</v>
      </c>
      <c r="AM6" s="28">
        <v>0.22700000000000001</v>
      </c>
      <c r="AN6" s="28">
        <v>0.115</v>
      </c>
      <c r="AO6" s="28">
        <v>0.18</v>
      </c>
      <c r="AP6" s="28">
        <v>9.0999999999999998E-2</v>
      </c>
      <c r="AQ6" s="28">
        <v>9.1999999999999998E-2</v>
      </c>
      <c r="AR6" s="28">
        <v>4.9000000000000002E-2</v>
      </c>
      <c r="AS6" s="28">
        <v>0.27100000000000002</v>
      </c>
      <c r="AT6" s="28">
        <v>0.39200000000000002</v>
      </c>
      <c r="AU6" s="28">
        <v>5.3999999999999999E-2</v>
      </c>
      <c r="AV6" s="28">
        <v>4.3999999999999997E-2</v>
      </c>
      <c r="AW6" s="28">
        <v>0.104</v>
      </c>
      <c r="AX6" s="28">
        <v>0.06</v>
      </c>
      <c r="AY6" s="28">
        <v>0.111</v>
      </c>
      <c r="AZ6" s="28">
        <v>0.188</v>
      </c>
      <c r="BA6" s="28">
        <v>3.4000000000000002E-2</v>
      </c>
      <c r="BB6" s="28">
        <v>3.7999999999999999E-2</v>
      </c>
      <c r="BC6" s="28">
        <v>0.16300000000000001</v>
      </c>
      <c r="BD6" s="28">
        <v>6.3E-2</v>
      </c>
      <c r="BE6" s="28">
        <v>0.17</v>
      </c>
      <c r="BF6" s="28">
        <v>4.8000000000000001E-2</v>
      </c>
      <c r="BG6" s="28">
        <v>8.3000000000000004E-2</v>
      </c>
      <c r="BH6" s="28">
        <v>2.9000000000000001E-2</v>
      </c>
      <c r="BI6" s="28">
        <v>0.23100000000000001</v>
      </c>
      <c r="BJ6" s="28">
        <v>0.19400000000000001</v>
      </c>
      <c r="BK6" s="28">
        <v>0.10100000000000001</v>
      </c>
      <c r="BL6" s="28">
        <v>4.7E-2</v>
      </c>
      <c r="BM6" s="28">
        <v>0.93599999999999994</v>
      </c>
      <c r="BN6" s="28">
        <v>0.28999999999999998</v>
      </c>
      <c r="BO6" s="28">
        <v>0.109</v>
      </c>
      <c r="BP6" s="28">
        <v>0</v>
      </c>
      <c r="BQ6" s="28">
        <v>0.189</v>
      </c>
      <c r="BR6" s="28">
        <v>0</v>
      </c>
      <c r="BS6" s="28">
        <v>0.108</v>
      </c>
      <c r="BT6" s="28">
        <v>3.7999999999999999E-2</v>
      </c>
      <c r="BU6" s="28">
        <v>0.13400000000000001</v>
      </c>
      <c r="BV6" s="28">
        <v>0.10199999999999999</v>
      </c>
      <c r="BW6" s="28">
        <v>0.12</v>
      </c>
      <c r="BX6" s="28">
        <v>0.34100000000000003</v>
      </c>
      <c r="BY6" s="28">
        <v>0.13100000000000001</v>
      </c>
      <c r="BZ6" s="28">
        <v>0.29099999999999998</v>
      </c>
      <c r="CA6" s="28">
        <v>8.8999999999999996E-2</v>
      </c>
      <c r="CB6" s="28">
        <v>0.154</v>
      </c>
      <c r="CC6" s="28">
        <v>8.3000000000000004E-2</v>
      </c>
      <c r="CD6" s="28">
        <v>0.11899999999999999</v>
      </c>
      <c r="CE6" s="28">
        <v>0.16500000000000001</v>
      </c>
      <c r="CF6" s="28">
        <v>0.17399999999999999</v>
      </c>
      <c r="CG6" s="28">
        <v>7.2000000000000008E-2</v>
      </c>
      <c r="CH6" s="28">
        <v>0.113</v>
      </c>
      <c r="CI6" s="28">
        <v>4.9000000000000002E-2</v>
      </c>
      <c r="CJ6" s="28">
        <v>0</v>
      </c>
      <c r="CK6" s="28">
        <v>0.14199999999999999</v>
      </c>
      <c r="CL6" s="28">
        <v>5.7000000000000002E-2</v>
      </c>
      <c r="CM6" s="28">
        <v>0.126</v>
      </c>
      <c r="CN6" s="28">
        <v>4.3999999999999997E-2</v>
      </c>
      <c r="CO6" s="28">
        <v>0.05</v>
      </c>
      <c r="CP6" s="28">
        <v>0.27700000000000002</v>
      </c>
      <c r="CQ6" s="28">
        <v>5.0999999999999997E-2</v>
      </c>
      <c r="CR6" s="28">
        <v>4.8000000000000001E-2</v>
      </c>
      <c r="CS6" s="28">
        <v>0.318</v>
      </c>
      <c r="CT6" s="28">
        <v>0.12770526315789471</v>
      </c>
      <c r="CU6" s="34">
        <v>12.132</v>
      </c>
    </row>
    <row r="7" spans="1:99" x14ac:dyDescent="0.25">
      <c r="A7" s="24">
        <v>6</v>
      </c>
      <c r="B7" s="26">
        <v>2.5</v>
      </c>
      <c r="C7" s="28">
        <v>0.127</v>
      </c>
      <c r="D7" s="28">
        <v>5.8000000000000003E-2</v>
      </c>
      <c r="E7" s="28">
        <v>0.34599999999999997</v>
      </c>
      <c r="F7" s="28">
        <v>5.7000000000000002E-2</v>
      </c>
      <c r="G7" s="28">
        <v>0.23100000000000001</v>
      </c>
      <c r="H7" s="28">
        <v>0.17599999999999999</v>
      </c>
      <c r="I7" s="28">
        <v>4.5999999999999999E-2</v>
      </c>
      <c r="J7" s="28">
        <v>6.4000000000000001E-2</v>
      </c>
      <c r="K7" s="28">
        <v>0.152</v>
      </c>
      <c r="L7" s="28">
        <v>4.1000000000000002E-2</v>
      </c>
      <c r="M7" s="28">
        <v>0.115</v>
      </c>
      <c r="N7" s="28">
        <v>0.106</v>
      </c>
      <c r="O7" s="28">
        <v>8.6999999999999994E-2</v>
      </c>
      <c r="P7" s="28">
        <v>9.8999999999999991E-2</v>
      </c>
      <c r="Q7" s="28">
        <v>0.11</v>
      </c>
      <c r="R7" s="28">
        <v>0.13500000000000001</v>
      </c>
      <c r="S7" s="28">
        <v>0.05</v>
      </c>
      <c r="T7" s="28">
        <v>0.28000000000000003</v>
      </c>
      <c r="U7" s="28">
        <v>5.6000000000000001E-2</v>
      </c>
      <c r="V7" s="28">
        <v>4.1000000000000002E-2</v>
      </c>
      <c r="W7" s="28">
        <v>8.6000000000000007E-2</v>
      </c>
      <c r="X7" s="28">
        <v>0.112</v>
      </c>
      <c r="Y7" s="28">
        <v>0.217</v>
      </c>
      <c r="Z7" s="28">
        <v>0.153</v>
      </c>
      <c r="AA7" s="28">
        <v>0.06</v>
      </c>
      <c r="AB7" s="28">
        <v>0.155</v>
      </c>
      <c r="AC7" s="28">
        <v>0.221</v>
      </c>
      <c r="AD7" s="28">
        <v>4.5000000000000012E-2</v>
      </c>
      <c r="AE7" s="28">
        <v>5.1999999999999998E-2</v>
      </c>
      <c r="AF7" s="28">
        <v>0.17199999999999999</v>
      </c>
      <c r="AG7" s="28">
        <v>7.6999999999999999E-2</v>
      </c>
      <c r="AH7" s="28">
        <v>0.216</v>
      </c>
      <c r="AI7" s="28">
        <v>0.20799999999999999</v>
      </c>
      <c r="AJ7" s="28">
        <v>0.13200000000000001</v>
      </c>
      <c r="AK7" s="28">
        <v>0</v>
      </c>
      <c r="AL7" s="28">
        <v>5.1999999999999998E-2</v>
      </c>
      <c r="AM7" s="28">
        <v>4.8000000000000001E-2</v>
      </c>
      <c r="AN7" s="28">
        <v>0.14499999999999999</v>
      </c>
      <c r="AO7" s="28">
        <v>6.4000000000000001E-2</v>
      </c>
      <c r="AP7" s="28">
        <v>5.2999999999999999E-2</v>
      </c>
      <c r="AQ7" s="28">
        <v>0.17399999999999999</v>
      </c>
      <c r="AR7" s="28">
        <v>4.9000000000000002E-2</v>
      </c>
      <c r="AS7" s="28">
        <v>0.248</v>
      </c>
      <c r="AT7" s="28">
        <v>0.13</v>
      </c>
      <c r="AU7" s="28">
        <v>0.16400000000000001</v>
      </c>
      <c r="AV7" s="28">
        <v>0.192</v>
      </c>
      <c r="AW7" s="28">
        <v>0.19800000000000001</v>
      </c>
      <c r="AX7" s="28">
        <v>0.06</v>
      </c>
      <c r="AY7" s="28">
        <v>8.2000000000000003E-2</v>
      </c>
      <c r="AZ7" s="28">
        <v>6.4999999999999988E-2</v>
      </c>
      <c r="BA7" s="28">
        <v>3.4000000000000002E-2</v>
      </c>
      <c r="BB7" s="28">
        <v>0.20699999999999999</v>
      </c>
      <c r="BC7" s="28">
        <v>4.8000000000000001E-2</v>
      </c>
      <c r="BD7" s="28">
        <v>0.12</v>
      </c>
      <c r="BE7" s="28">
        <v>9.0999999999999998E-2</v>
      </c>
      <c r="BF7" s="28">
        <v>4.8000000000000001E-2</v>
      </c>
      <c r="BG7" s="28">
        <v>0.214</v>
      </c>
      <c r="BH7" s="28">
        <v>2.9000000000000001E-2</v>
      </c>
      <c r="BI7" s="28">
        <v>0.33300000000000002</v>
      </c>
      <c r="BJ7" s="28">
        <v>3.9E-2</v>
      </c>
      <c r="BK7" s="28">
        <v>3.7999999999999999E-2</v>
      </c>
      <c r="BL7" s="28">
        <v>4.7E-2</v>
      </c>
      <c r="BM7" s="28">
        <v>0.69</v>
      </c>
      <c r="BN7" s="28">
        <v>0.16</v>
      </c>
      <c r="BO7" s="28">
        <v>0.156</v>
      </c>
      <c r="BP7" s="28">
        <v>0</v>
      </c>
      <c r="BQ7" s="28">
        <v>0.13600000000000001</v>
      </c>
      <c r="BR7" s="28">
        <v>0</v>
      </c>
      <c r="BS7" s="28">
        <v>0.15</v>
      </c>
      <c r="BT7" s="28">
        <v>0.13900000000000001</v>
      </c>
      <c r="BU7" s="28">
        <v>0.13</v>
      </c>
      <c r="BV7" s="28">
        <v>5.3999999999999999E-2</v>
      </c>
      <c r="BW7" s="28">
        <v>0.26900000000000002</v>
      </c>
      <c r="BX7" s="28">
        <v>0.114</v>
      </c>
      <c r="BY7" s="28">
        <v>0.14199999999999999</v>
      </c>
      <c r="BZ7" s="28">
        <v>0.13</v>
      </c>
      <c r="CA7" s="28">
        <v>0.30399999999999999</v>
      </c>
      <c r="CB7" s="28">
        <v>0.184</v>
      </c>
      <c r="CC7" s="28">
        <v>0.28699999999999998</v>
      </c>
      <c r="CD7" s="28">
        <v>5.2999999999999999E-2</v>
      </c>
      <c r="CE7" s="28">
        <v>5.6000000000000001E-2</v>
      </c>
      <c r="CF7" s="28">
        <v>4.7E-2</v>
      </c>
      <c r="CG7" s="28">
        <v>0.187</v>
      </c>
      <c r="CH7" s="28">
        <v>7.3999999999999996E-2</v>
      </c>
      <c r="CI7" s="28">
        <v>4.9000000000000002E-2</v>
      </c>
      <c r="CJ7" s="28">
        <v>0</v>
      </c>
      <c r="CK7" s="28">
        <v>4.8000000000000001E-2</v>
      </c>
      <c r="CL7" s="28">
        <v>4.5999999999999999E-2</v>
      </c>
      <c r="CM7" s="28">
        <v>5.1999999999999998E-2</v>
      </c>
      <c r="CN7" s="28">
        <v>4.3999999999999997E-2</v>
      </c>
      <c r="CO7" s="28">
        <v>0.14699999999999999</v>
      </c>
      <c r="CP7" s="28">
        <v>3.6999999999999998E-2</v>
      </c>
      <c r="CQ7" s="28">
        <v>0.11700000000000001</v>
      </c>
      <c r="CR7" s="28">
        <v>0.247</v>
      </c>
      <c r="CS7" s="28">
        <v>6.3E-2</v>
      </c>
      <c r="CT7" s="28">
        <v>0.12175789473684211</v>
      </c>
      <c r="CU7" s="34">
        <v>11.567</v>
      </c>
    </row>
    <row r="8" spans="1:99" x14ac:dyDescent="0.25">
      <c r="A8" s="24">
        <v>7</v>
      </c>
      <c r="B8" s="26">
        <v>3</v>
      </c>
      <c r="C8" s="28">
        <v>5.5E-2</v>
      </c>
      <c r="D8" s="28">
        <v>0.19600000000000001</v>
      </c>
      <c r="E8" s="28">
        <v>5.6000000000000001E-2</v>
      </c>
      <c r="F8" s="28">
        <v>5.7000000000000002E-2</v>
      </c>
      <c r="G8" s="28">
        <v>0.104</v>
      </c>
      <c r="H8" s="28">
        <v>0.105</v>
      </c>
      <c r="I8" s="28">
        <v>4.5999999999999999E-2</v>
      </c>
      <c r="J8" s="28">
        <v>0.109</v>
      </c>
      <c r="K8" s="28">
        <v>3.9E-2</v>
      </c>
      <c r="L8" s="28">
        <v>4.1000000000000002E-2</v>
      </c>
      <c r="M8" s="28">
        <v>0.115</v>
      </c>
      <c r="N8" s="28">
        <v>0.21099999999999999</v>
      </c>
      <c r="O8" s="28">
        <v>6.8000000000000005E-2</v>
      </c>
      <c r="P8" s="28">
        <v>4.7E-2</v>
      </c>
      <c r="Q8" s="28">
        <v>7.5999999999999998E-2</v>
      </c>
      <c r="R8" s="28">
        <v>0.13500000000000001</v>
      </c>
      <c r="S8" s="28">
        <v>0.05</v>
      </c>
      <c r="T8" s="28">
        <v>0.05</v>
      </c>
      <c r="U8" s="28">
        <v>4.3999999999999997E-2</v>
      </c>
      <c r="V8" s="28">
        <v>0.191</v>
      </c>
      <c r="W8" s="28">
        <v>7.2999999999999995E-2</v>
      </c>
      <c r="X8" s="28">
        <v>3.9E-2</v>
      </c>
      <c r="Y8" s="28">
        <v>5.8000000000000003E-2</v>
      </c>
      <c r="Z8" s="28">
        <v>0.111</v>
      </c>
      <c r="AA8" s="28">
        <v>6.7000000000000004E-2</v>
      </c>
      <c r="AB8" s="28">
        <v>8.7999999999999995E-2</v>
      </c>
      <c r="AC8" s="28">
        <v>5.6000000000000001E-2</v>
      </c>
      <c r="AD8" s="28">
        <v>0.19700000000000001</v>
      </c>
      <c r="AE8" s="28">
        <v>5.1999999999999998E-2</v>
      </c>
      <c r="AF8" s="28">
        <v>7.5999999999999998E-2</v>
      </c>
      <c r="AG8" s="28">
        <v>4.8000000000000001E-2</v>
      </c>
      <c r="AH8" s="28">
        <v>8.6999999999999994E-2</v>
      </c>
      <c r="AI8" s="28">
        <v>9.7000000000000003E-2</v>
      </c>
      <c r="AJ8" s="28">
        <v>0.11600000000000001</v>
      </c>
      <c r="AK8" s="28">
        <v>0</v>
      </c>
      <c r="AL8" s="28">
        <v>5.1999999999999998E-2</v>
      </c>
      <c r="AM8" s="28">
        <v>0.154</v>
      </c>
      <c r="AN8" s="28">
        <v>4.5999999999999999E-2</v>
      </c>
      <c r="AO8" s="28">
        <v>6.8999999999999992E-2</v>
      </c>
      <c r="AP8" s="28">
        <v>0.121</v>
      </c>
      <c r="AQ8" s="28">
        <v>5.8000000000000003E-2</v>
      </c>
      <c r="AR8" s="28">
        <v>0.17299999999999999</v>
      </c>
      <c r="AS8" s="28">
        <v>6.2E-2</v>
      </c>
      <c r="AT8" s="28">
        <v>0.123</v>
      </c>
      <c r="AU8" s="28">
        <v>5.3999999999999999E-2</v>
      </c>
      <c r="AV8" s="28">
        <v>6.7000000000000004E-2</v>
      </c>
      <c r="AW8" s="28">
        <v>0.16900000000000001</v>
      </c>
      <c r="AX8" s="28">
        <v>0.06</v>
      </c>
      <c r="AY8" s="28">
        <v>4.9000000000000002E-2</v>
      </c>
      <c r="AZ8" s="28">
        <v>0.11899999999999999</v>
      </c>
      <c r="BA8" s="28">
        <v>3.4000000000000002E-2</v>
      </c>
      <c r="BB8" s="28">
        <v>0.13800000000000001</v>
      </c>
      <c r="BC8" s="28">
        <v>0.184</v>
      </c>
      <c r="BD8" s="28">
        <v>0.245</v>
      </c>
      <c r="BE8" s="28">
        <v>0.217</v>
      </c>
      <c r="BF8" s="28">
        <v>4.8000000000000001E-2</v>
      </c>
      <c r="BG8" s="28">
        <v>4.7E-2</v>
      </c>
      <c r="BH8" s="28">
        <v>2.9000000000000001E-2</v>
      </c>
      <c r="BI8" s="28">
        <v>0.29499999999999998</v>
      </c>
      <c r="BJ8" s="28">
        <v>0.105</v>
      </c>
      <c r="BK8" s="28">
        <v>0.16</v>
      </c>
      <c r="BL8" s="28">
        <v>4.7E-2</v>
      </c>
      <c r="BM8" s="28">
        <v>0</v>
      </c>
      <c r="BN8" s="28">
        <v>0.21</v>
      </c>
      <c r="BO8" s="28">
        <v>4.7E-2</v>
      </c>
      <c r="BP8" s="28">
        <v>0</v>
      </c>
      <c r="BQ8" s="28">
        <v>0.22</v>
      </c>
      <c r="BR8" s="28">
        <v>0</v>
      </c>
      <c r="BS8" s="28">
        <v>5.1999999999999998E-2</v>
      </c>
      <c r="BT8" s="28">
        <v>3.7999999999999999E-2</v>
      </c>
      <c r="BU8" s="28">
        <v>0.19400000000000001</v>
      </c>
      <c r="BV8" s="28">
        <v>5.3999999999999999E-2</v>
      </c>
      <c r="BW8" s="28">
        <v>0.106</v>
      </c>
      <c r="BX8" s="28">
        <v>0.309</v>
      </c>
      <c r="BY8" s="28">
        <v>5.3999999999999999E-2</v>
      </c>
      <c r="BZ8" s="28">
        <v>0.10100000000000001</v>
      </c>
      <c r="CA8" s="28">
        <v>5.8000000000000003E-2</v>
      </c>
      <c r="CB8" s="28">
        <v>0.23499999999999999</v>
      </c>
      <c r="CC8" s="28">
        <v>0.16700000000000001</v>
      </c>
      <c r="CD8" s="28">
        <v>8.6000000000000007E-2</v>
      </c>
      <c r="CE8" s="28">
        <v>0.157</v>
      </c>
      <c r="CF8" s="28">
        <v>0.18</v>
      </c>
      <c r="CG8" s="28">
        <v>4.1000000000000002E-2</v>
      </c>
      <c r="CH8" s="28">
        <v>0.19900000000000001</v>
      </c>
      <c r="CI8" s="28">
        <v>4.9000000000000002E-2</v>
      </c>
      <c r="CJ8" s="28">
        <v>0</v>
      </c>
      <c r="CK8" s="28">
        <v>0.26500000000000001</v>
      </c>
      <c r="CL8" s="28">
        <v>0.23100000000000001</v>
      </c>
      <c r="CM8" s="28">
        <v>0.121</v>
      </c>
      <c r="CN8" s="28">
        <v>4.3999999999999997E-2</v>
      </c>
      <c r="CO8" s="28">
        <v>6.0999999999999999E-2</v>
      </c>
      <c r="CP8" s="28">
        <v>3.6999999999999998E-2</v>
      </c>
      <c r="CQ8" s="28">
        <v>0.16600000000000001</v>
      </c>
      <c r="CR8" s="28">
        <v>0.13</v>
      </c>
      <c r="CS8" s="28">
        <v>9.0000000000000011E-2</v>
      </c>
      <c r="CT8" s="28">
        <v>0.10091578947368431</v>
      </c>
      <c r="CU8" s="34">
        <v>9.5870000000000033</v>
      </c>
    </row>
    <row r="9" spans="1:99" x14ac:dyDescent="0.25">
      <c r="A9" s="24">
        <v>8</v>
      </c>
      <c r="B9" s="26">
        <v>3.5</v>
      </c>
      <c r="C9" s="28">
        <v>0.13100000000000001</v>
      </c>
      <c r="D9" s="28">
        <v>0.04</v>
      </c>
      <c r="E9" s="28">
        <v>0.19600000000000001</v>
      </c>
      <c r="F9" s="28">
        <v>5.3999999999999999E-2</v>
      </c>
      <c r="G9" s="28">
        <v>0.245</v>
      </c>
      <c r="H9" s="28">
        <v>0.17699999999999999</v>
      </c>
      <c r="I9" s="28">
        <v>4.2999999999999997E-2</v>
      </c>
      <c r="J9" s="28">
        <v>7.1000000000000008E-2</v>
      </c>
      <c r="K9" s="28">
        <v>0.17499999999999999</v>
      </c>
      <c r="L9" s="28">
        <v>3.7999999999999999E-2</v>
      </c>
      <c r="M9" s="28">
        <v>7.8E-2</v>
      </c>
      <c r="N9" s="28">
        <v>8.8999999999999996E-2</v>
      </c>
      <c r="O9" s="28">
        <v>0.123</v>
      </c>
      <c r="P9" s="28">
        <v>0.188</v>
      </c>
      <c r="Q9" s="28">
        <v>8.3000000000000004E-2</v>
      </c>
      <c r="R9" s="28">
        <v>0.252</v>
      </c>
      <c r="S9" s="28">
        <v>4.7E-2</v>
      </c>
      <c r="T9" s="28">
        <v>0.193</v>
      </c>
      <c r="U9" s="28">
        <v>0</v>
      </c>
      <c r="V9" s="28">
        <v>3.7999999999999999E-2</v>
      </c>
      <c r="W9" s="28">
        <v>4.5999999999999999E-2</v>
      </c>
      <c r="X9" s="28">
        <v>0.14799999999999999</v>
      </c>
      <c r="Y9" s="28">
        <v>0.16</v>
      </c>
      <c r="Z9" s="28">
        <v>7.8E-2</v>
      </c>
      <c r="AA9" s="28">
        <v>0.17899999999999999</v>
      </c>
      <c r="AB9" s="28">
        <v>0.106</v>
      </c>
      <c r="AC9" s="28">
        <v>0.255</v>
      </c>
      <c r="AD9" s="28">
        <v>4.3999999999999997E-2</v>
      </c>
      <c r="AE9" s="28">
        <v>0.115</v>
      </c>
      <c r="AF9" s="28">
        <v>0.29199999999999998</v>
      </c>
      <c r="AG9" s="28">
        <v>0.13800000000000001</v>
      </c>
      <c r="AH9" s="28">
        <v>0.18099999999999999</v>
      </c>
      <c r="AI9" s="28">
        <v>0.1</v>
      </c>
      <c r="AJ9" s="28">
        <v>0.186</v>
      </c>
      <c r="AK9" s="28">
        <v>0</v>
      </c>
      <c r="AL9" s="28">
        <v>0.05</v>
      </c>
      <c r="AM9" s="28">
        <v>0.11799999999999999</v>
      </c>
      <c r="AN9" s="28">
        <v>0.21</v>
      </c>
      <c r="AO9" s="28">
        <v>0</v>
      </c>
      <c r="AP9" s="28">
        <v>0.05</v>
      </c>
      <c r="AQ9" s="28">
        <v>0.2</v>
      </c>
      <c r="AR9" s="28">
        <v>4.7E-2</v>
      </c>
      <c r="AS9" s="28">
        <v>0.32400000000000001</v>
      </c>
      <c r="AT9" s="28">
        <v>0.26800000000000002</v>
      </c>
      <c r="AU9" s="28">
        <v>5.1999999999999998E-2</v>
      </c>
      <c r="AV9" s="28">
        <v>1.4E-2</v>
      </c>
      <c r="AW9" s="28">
        <v>4.2999999999999997E-2</v>
      </c>
      <c r="AX9" s="28">
        <v>5.7000000000000002E-2</v>
      </c>
      <c r="AY9" s="28">
        <v>0.14099999999999999</v>
      </c>
      <c r="AZ9" s="28">
        <v>0.111</v>
      </c>
      <c r="BA9" s="28">
        <v>0.17899999999999999</v>
      </c>
      <c r="BB9" s="28">
        <v>0.17399999999999999</v>
      </c>
      <c r="BC9" s="28">
        <v>5.8000000000000003E-2</v>
      </c>
      <c r="BD9" s="28">
        <v>0.105</v>
      </c>
      <c r="BE9" s="28">
        <v>6.9999999999999993E-2</v>
      </c>
      <c r="BF9" s="28">
        <v>4.5000000000000012E-2</v>
      </c>
      <c r="BG9" s="28">
        <v>0.1</v>
      </c>
      <c r="BH9" s="28">
        <v>2.5999999999999999E-2</v>
      </c>
      <c r="BI9" s="28">
        <v>0</v>
      </c>
      <c r="BJ9" s="28">
        <v>0.23</v>
      </c>
      <c r="BK9" s="28">
        <v>9.0999999999999998E-2</v>
      </c>
      <c r="BL9" s="28">
        <v>4.5999999999999999E-2</v>
      </c>
      <c r="BM9" s="28">
        <v>0</v>
      </c>
      <c r="BN9" s="28">
        <v>0.214</v>
      </c>
      <c r="BO9" s="28">
        <v>0.216</v>
      </c>
      <c r="BP9" s="28">
        <v>0</v>
      </c>
      <c r="BQ9" s="28">
        <v>0.17599999999999999</v>
      </c>
      <c r="BR9" s="28">
        <v>0</v>
      </c>
      <c r="BS9" s="28">
        <v>4.9000000000000002E-2</v>
      </c>
      <c r="BT9" s="28">
        <v>3.5999999999999997E-2</v>
      </c>
      <c r="BU9" s="28">
        <v>3.6999999999999998E-2</v>
      </c>
      <c r="BV9" s="28">
        <v>0.114</v>
      </c>
      <c r="BW9" s="28">
        <v>0.23799999999999999</v>
      </c>
      <c r="BX9" s="28">
        <v>0.18</v>
      </c>
      <c r="BY9" s="28">
        <v>5.0999999999999997E-2</v>
      </c>
      <c r="BZ9" s="28">
        <v>8.2000000000000003E-2</v>
      </c>
      <c r="CA9" s="28">
        <v>0.13900000000000001</v>
      </c>
      <c r="CB9" s="28">
        <v>0.16900000000000001</v>
      </c>
      <c r="CC9" s="28">
        <v>0.22600000000000001</v>
      </c>
      <c r="CD9" s="28">
        <v>9.0999999999999998E-2</v>
      </c>
      <c r="CE9" s="28">
        <v>0.13800000000000001</v>
      </c>
      <c r="CF9" s="28">
        <v>0.121</v>
      </c>
      <c r="CG9" s="28">
        <v>0.16800000000000001</v>
      </c>
      <c r="CH9" s="28">
        <v>4.8000000000000001E-2</v>
      </c>
      <c r="CI9" s="28">
        <v>4.7E-2</v>
      </c>
      <c r="CJ9" s="28">
        <v>0</v>
      </c>
      <c r="CK9" s="28">
        <v>4.5000000000000012E-2</v>
      </c>
      <c r="CL9" s="28">
        <v>0.185</v>
      </c>
      <c r="CM9" s="28">
        <v>5.0999999999999997E-2</v>
      </c>
      <c r="CN9" s="28">
        <v>4.2999999999999997E-2</v>
      </c>
      <c r="CO9" s="28">
        <v>4.7E-2</v>
      </c>
      <c r="CP9" s="28">
        <v>0.23699999999999999</v>
      </c>
      <c r="CQ9" s="28">
        <v>4.8000000000000001E-2</v>
      </c>
      <c r="CR9" s="28">
        <v>4.5000000000000012E-2</v>
      </c>
      <c r="CS9" s="28">
        <v>0.28899999999999998</v>
      </c>
      <c r="CT9" s="28">
        <v>0.11187368421052631</v>
      </c>
      <c r="CU9" s="34">
        <v>10.628</v>
      </c>
    </row>
    <row r="10" spans="1:99" x14ac:dyDescent="0.25">
      <c r="A10" s="24">
        <v>9</v>
      </c>
      <c r="B10" s="26">
        <v>4</v>
      </c>
      <c r="C10" s="28">
        <v>9.6000000000000002E-2</v>
      </c>
      <c r="D10" s="28">
        <v>0.16200000000000001</v>
      </c>
      <c r="E10" s="28">
        <v>0.17899999999999999</v>
      </c>
      <c r="F10" s="28">
        <v>7.0000000000000001E-3</v>
      </c>
      <c r="G10" s="28">
        <v>3.5999999999999997E-2</v>
      </c>
      <c r="H10" s="28">
        <v>0.03</v>
      </c>
      <c r="I10" s="28">
        <v>0</v>
      </c>
      <c r="J10" s="28">
        <v>8.8999999999999996E-2</v>
      </c>
      <c r="K10" s="28">
        <v>0.10299999999999999</v>
      </c>
      <c r="L10" s="28">
        <v>8.5000000000000006E-2</v>
      </c>
      <c r="M10" s="28">
        <v>9.8000000000000004E-2</v>
      </c>
      <c r="N10" s="28">
        <v>0.16800000000000001</v>
      </c>
      <c r="O10" s="28">
        <v>2.9000000000000001E-2</v>
      </c>
      <c r="P10" s="28">
        <v>0.01</v>
      </c>
      <c r="Q10" s="28">
        <v>8.3000000000000004E-2</v>
      </c>
      <c r="R10" s="28">
        <v>2.4E-2</v>
      </c>
      <c r="S10" s="28">
        <v>2.6551390000000003E-4</v>
      </c>
      <c r="T10" s="28">
        <v>0.158</v>
      </c>
      <c r="U10" s="28">
        <v>0</v>
      </c>
      <c r="V10" s="28">
        <v>0.121</v>
      </c>
      <c r="W10" s="28">
        <v>0</v>
      </c>
      <c r="X10" s="28">
        <v>0.216</v>
      </c>
      <c r="Y10" s="28">
        <v>0</v>
      </c>
      <c r="Z10" s="28">
        <v>0.16800000000000001</v>
      </c>
      <c r="AA10" s="28">
        <v>3.5000000000000003E-2</v>
      </c>
      <c r="AB10" s="28">
        <v>0.11600000000000001</v>
      </c>
      <c r="AC10" s="28">
        <v>3.1E-2</v>
      </c>
      <c r="AD10" s="28">
        <v>9.5000000000000001E-2</v>
      </c>
      <c r="AE10" s="28">
        <v>5.8000000000000003E-2</v>
      </c>
      <c r="AF10" s="28">
        <v>3.4000000000000002E-2</v>
      </c>
      <c r="AG10" s="28">
        <v>0</v>
      </c>
      <c r="AH10" s="28">
        <v>3.4000000000000002E-2</v>
      </c>
      <c r="AI10" s="28">
        <v>0.151</v>
      </c>
      <c r="AJ10" s="28">
        <v>0</v>
      </c>
      <c r="AK10" s="28">
        <v>0</v>
      </c>
      <c r="AL10" s="28">
        <v>2.7E-2</v>
      </c>
      <c r="AM10" s="28">
        <v>0</v>
      </c>
      <c r="AN10" s="28">
        <v>0</v>
      </c>
      <c r="AO10" s="28">
        <v>0</v>
      </c>
      <c r="AP10" s="28">
        <v>3.0000000000000001E-3</v>
      </c>
      <c r="AQ10" s="28">
        <v>3.4000000000000002E-2</v>
      </c>
      <c r="AR10" s="28">
        <v>2.4E-2</v>
      </c>
      <c r="AS10" s="28">
        <v>0.115</v>
      </c>
      <c r="AT10" s="28">
        <v>0.14899999999999999</v>
      </c>
      <c r="AU10" s="28">
        <v>8.3999999999999991E-2</v>
      </c>
      <c r="AV10" s="28">
        <v>0</v>
      </c>
      <c r="AW10" s="28">
        <v>0.26400000000000001</v>
      </c>
      <c r="AX10" s="28">
        <v>2.3E-2</v>
      </c>
      <c r="AY10" s="28">
        <v>1.2E-2</v>
      </c>
      <c r="AZ10" s="28">
        <v>1.0999999999999999E-2</v>
      </c>
      <c r="BA10" s="28">
        <v>1.4E-2</v>
      </c>
      <c r="BB10" s="28">
        <v>0.11</v>
      </c>
      <c r="BC10" s="28">
        <v>9.2999999999999999E-2</v>
      </c>
      <c r="BD10" s="28">
        <v>0.19500000000000001</v>
      </c>
      <c r="BE10" s="28">
        <v>0.22700000000000001</v>
      </c>
      <c r="BF10" s="28">
        <v>0</v>
      </c>
      <c r="BG10" s="28">
        <v>0.151</v>
      </c>
      <c r="BH10" s="28">
        <v>0</v>
      </c>
      <c r="BI10" s="28">
        <v>0</v>
      </c>
      <c r="BJ10" s="28">
        <v>1.4E-2</v>
      </c>
      <c r="BK10" s="28">
        <v>0.1</v>
      </c>
      <c r="BL10" s="28">
        <v>2.8000000000000001E-2</v>
      </c>
      <c r="BM10" s="28">
        <v>0</v>
      </c>
      <c r="BN10" s="28">
        <v>7.1000000000000008E-2</v>
      </c>
      <c r="BO10" s="28">
        <v>1.6E-2</v>
      </c>
      <c r="BP10" s="28">
        <v>0</v>
      </c>
      <c r="BQ10" s="28">
        <v>0.183</v>
      </c>
      <c r="BR10" s="28">
        <v>0</v>
      </c>
      <c r="BS10" s="28">
        <v>7.2000000000000008E-2</v>
      </c>
      <c r="BT10" s="28">
        <v>0.108</v>
      </c>
      <c r="BU10" s="28">
        <v>0.23499999999999999</v>
      </c>
      <c r="BV10" s="28">
        <v>0.11899999999999999</v>
      </c>
      <c r="BW10" s="28">
        <v>0.154</v>
      </c>
      <c r="BX10" s="28">
        <v>0.122</v>
      </c>
      <c r="BY10" s="28">
        <v>9.8999999999999991E-2</v>
      </c>
      <c r="BZ10" s="28">
        <v>0</v>
      </c>
      <c r="CA10" s="28">
        <v>9.8000000000000004E-2</v>
      </c>
      <c r="CB10" s="28">
        <v>0.18099999999999999</v>
      </c>
      <c r="CC10" s="28">
        <v>0.17100000000000001</v>
      </c>
      <c r="CD10" s="28">
        <v>3.0000000000000001E-3</v>
      </c>
      <c r="CE10" s="28">
        <v>2.5000000000000001E-2</v>
      </c>
      <c r="CF10" s="28">
        <v>0.16800000000000001</v>
      </c>
      <c r="CG10" s="28">
        <v>5.2999999999999999E-2</v>
      </c>
      <c r="CH10" s="28">
        <v>1.9E-2</v>
      </c>
      <c r="CI10" s="28">
        <v>2.4E-2</v>
      </c>
      <c r="CJ10" s="28">
        <v>0</v>
      </c>
      <c r="CK10" s="28">
        <v>0.16400000000000001</v>
      </c>
      <c r="CL10" s="28">
        <v>0.114</v>
      </c>
      <c r="CM10" s="28">
        <v>0.10299999999999999</v>
      </c>
      <c r="CN10" s="28">
        <v>2.5000000000000001E-2</v>
      </c>
      <c r="CO10" s="28">
        <v>0.114</v>
      </c>
      <c r="CP10" s="28">
        <v>5.7000000000000002E-2</v>
      </c>
      <c r="CQ10" s="28">
        <v>1E-3</v>
      </c>
      <c r="CR10" s="28">
        <v>0.27800000000000002</v>
      </c>
      <c r="CS10" s="28">
        <v>1.7999999999999999E-2</v>
      </c>
      <c r="CT10" s="28">
        <v>7.2518584356842081E-2</v>
      </c>
      <c r="CU10" s="34">
        <v>6.8892655138999981</v>
      </c>
    </row>
    <row r="11" spans="1:99" x14ac:dyDescent="0.25">
      <c r="A11" s="24">
        <v>10</v>
      </c>
      <c r="B11" s="26">
        <v>4.5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0.107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2.1999999999999999E-2</v>
      </c>
      <c r="P11" s="28">
        <v>0</v>
      </c>
      <c r="Q11" s="28">
        <v>0</v>
      </c>
      <c r="R11" s="28">
        <v>0.01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9.2999999999999999E-2</v>
      </c>
      <c r="AB11" s="28">
        <v>0</v>
      </c>
      <c r="AC11" s="28">
        <v>0</v>
      </c>
      <c r="AD11" s="28">
        <v>4.1000000000000002E-2</v>
      </c>
      <c r="AE11" s="28">
        <v>0</v>
      </c>
      <c r="AF11" s="28">
        <v>7.2999999999999995E-2</v>
      </c>
      <c r="AG11" s="28">
        <v>0</v>
      </c>
      <c r="AH11" s="28">
        <v>0.124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2E-3</v>
      </c>
      <c r="AR11" s="28">
        <v>3.7999999999999999E-2</v>
      </c>
      <c r="AS11" s="28">
        <v>1.2E-2</v>
      </c>
      <c r="AT11" s="28">
        <v>9.8999999999999991E-2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6.4999999999999988E-2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7.8E-2</v>
      </c>
      <c r="BK11" s="28">
        <v>0</v>
      </c>
      <c r="BL11" s="28">
        <v>0</v>
      </c>
      <c r="BM11" s="28">
        <v>0</v>
      </c>
      <c r="BN11" s="28">
        <v>7.2000000000000008E-2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4.5000000000000012E-2</v>
      </c>
      <c r="CC11" s="28">
        <v>0</v>
      </c>
      <c r="CD11" s="28">
        <v>0</v>
      </c>
      <c r="CE11" s="28">
        <v>6.9999999999999993E-2</v>
      </c>
      <c r="CF11" s="28">
        <v>1.2999999999999999E-2</v>
      </c>
      <c r="CG11" s="28">
        <v>0</v>
      </c>
      <c r="CH11" s="28">
        <v>4.5999999999999999E-2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6.8999999999999992E-2</v>
      </c>
      <c r="CO11" s="28">
        <v>0</v>
      </c>
      <c r="CP11" s="28">
        <v>4.9000000000000002E-2</v>
      </c>
      <c r="CQ11" s="28">
        <v>0</v>
      </c>
      <c r="CR11" s="28">
        <v>0</v>
      </c>
      <c r="CS11" s="28">
        <v>8.1000000000000003E-2</v>
      </c>
      <c r="CT11" s="28">
        <v>1.2726315789473679E-2</v>
      </c>
      <c r="CU11" s="34">
        <v>1.2090000000000001</v>
      </c>
    </row>
    <row r="12" spans="1:99" x14ac:dyDescent="0.25">
      <c r="A12" s="24">
        <v>11</v>
      </c>
      <c r="B12" s="26">
        <v>5</v>
      </c>
      <c r="C12" s="28">
        <v>0</v>
      </c>
      <c r="D12" s="28">
        <v>0</v>
      </c>
      <c r="E12" s="28">
        <v>3.2000000000000001E-2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4.7E-2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3.1E-2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0</v>
      </c>
      <c r="CH12" s="28">
        <v>0</v>
      </c>
      <c r="CI12" s="28">
        <v>0</v>
      </c>
      <c r="CJ12" s="28">
        <v>0</v>
      </c>
      <c r="CK12" s="28">
        <v>0</v>
      </c>
      <c r="CL12" s="28">
        <v>0</v>
      </c>
      <c r="CM12" s="28">
        <v>0</v>
      </c>
      <c r="CN12" s="28">
        <v>0</v>
      </c>
      <c r="CO12" s="28">
        <v>0</v>
      </c>
      <c r="CP12" s="28">
        <v>5.0000000000000001E-3</v>
      </c>
      <c r="CQ12" s="28">
        <v>0</v>
      </c>
      <c r="CR12" s="28">
        <v>0</v>
      </c>
      <c r="CS12" s="28">
        <v>0</v>
      </c>
      <c r="CT12" s="28">
        <v>1.210526315789474E-3</v>
      </c>
      <c r="CU12" s="34">
        <v>0.115</v>
      </c>
    </row>
    <row r="13" spans="1:99" x14ac:dyDescent="0.25">
      <c r="A13" s="24">
        <v>12</v>
      </c>
      <c r="B13" s="26">
        <v>5.5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34">
        <v>0</v>
      </c>
    </row>
    <row r="14" spans="1:99" x14ac:dyDescent="0.25">
      <c r="A14" s="24">
        <v>13</v>
      </c>
      <c r="B14" s="26">
        <v>6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34">
        <v>0</v>
      </c>
    </row>
    <row r="15" spans="1:99" x14ac:dyDescent="0.25">
      <c r="A15" s="24">
        <v>14</v>
      </c>
      <c r="B15" s="26">
        <v>6.5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7.2999999999999995E-2</v>
      </c>
      <c r="BT15" s="28">
        <v>0</v>
      </c>
      <c r="BU15" s="28">
        <v>0</v>
      </c>
      <c r="BV15" s="28">
        <v>0</v>
      </c>
      <c r="BW15" s="28">
        <v>0.88200000000000001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1.005263157894737E-2</v>
      </c>
      <c r="CU15" s="34">
        <v>0.95499999999999996</v>
      </c>
    </row>
    <row r="16" spans="1:99" x14ac:dyDescent="0.25">
      <c r="A16" s="24">
        <v>15</v>
      </c>
      <c r="B16" s="26">
        <v>7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1.6519999999999999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1.7389473684210531E-2</v>
      </c>
      <c r="CU16" s="34">
        <v>1.6519999999999999</v>
      </c>
    </row>
    <row r="17" spans="1:99" x14ac:dyDescent="0.25">
      <c r="A17" s="24">
        <v>16</v>
      </c>
      <c r="B17" s="26">
        <v>7.5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5.3999999999999999E-2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0.435</v>
      </c>
      <c r="BX17" s="28">
        <v>0</v>
      </c>
      <c r="BY17" s="28">
        <v>0</v>
      </c>
      <c r="BZ17" s="28">
        <v>0</v>
      </c>
      <c r="CA17" s="28">
        <v>0</v>
      </c>
      <c r="CB17" s="28">
        <v>1.4830000000000001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2.07578947368421E-2</v>
      </c>
      <c r="CU17" s="34">
        <v>1.972</v>
      </c>
    </row>
    <row r="18" spans="1:99" x14ac:dyDescent="0.25">
      <c r="A18" s="24">
        <v>17</v>
      </c>
      <c r="B18" s="26">
        <v>8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0.22800000000000001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0.214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4.6526315789473683E-3</v>
      </c>
      <c r="CU18" s="34">
        <v>0.442</v>
      </c>
    </row>
    <row r="19" spans="1:99" x14ac:dyDescent="0.25">
      <c r="A19" s="24">
        <v>18</v>
      </c>
      <c r="B19" s="26">
        <v>8.5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9.5000000000000001E-2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0</v>
      </c>
      <c r="CL19" s="28">
        <v>0</v>
      </c>
      <c r="CM19" s="28">
        <v>0</v>
      </c>
      <c r="CN19" s="28">
        <v>0</v>
      </c>
      <c r="CO19" s="28">
        <v>0</v>
      </c>
      <c r="CP19" s="28">
        <v>0</v>
      </c>
      <c r="CQ19" s="28">
        <v>0</v>
      </c>
      <c r="CR19" s="28">
        <v>0</v>
      </c>
      <c r="CS19" s="28">
        <v>0</v>
      </c>
      <c r="CT19" s="28">
        <v>1E-3</v>
      </c>
      <c r="CU19" s="34">
        <v>9.5000000000000001E-2</v>
      </c>
    </row>
    <row r="20" spans="1:99" x14ac:dyDescent="0.25">
      <c r="A20" s="24">
        <v>19</v>
      </c>
      <c r="B20" s="26">
        <v>9</v>
      </c>
      <c r="C20" s="28">
        <v>0</v>
      </c>
      <c r="D20" s="28">
        <v>0</v>
      </c>
      <c r="E20" s="28">
        <v>0.115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0.67400000000000004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28">
        <v>0</v>
      </c>
      <c r="CR20" s="28">
        <v>0</v>
      </c>
      <c r="CS20" s="28">
        <v>0</v>
      </c>
      <c r="CT20" s="28">
        <v>8.3052631578947374E-3</v>
      </c>
      <c r="CU20" s="34">
        <v>0.78900000000000003</v>
      </c>
    </row>
    <row r="21" spans="1:99" x14ac:dyDescent="0.25">
      <c r="A21" s="24">
        <v>20</v>
      </c>
      <c r="B21" s="26">
        <v>9.5</v>
      </c>
      <c r="C21" s="28">
        <v>0.70499999999999996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0.34300000000000003</v>
      </c>
      <c r="AA21" s="28">
        <v>0</v>
      </c>
      <c r="AB21" s="28">
        <v>0</v>
      </c>
      <c r="AC21" s="28">
        <v>0</v>
      </c>
      <c r="AD21" s="28">
        <v>1.0669999999999999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0.28799999999999998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9.6000000000000002E-2</v>
      </c>
      <c r="CQ21" s="28">
        <v>0</v>
      </c>
      <c r="CR21" s="28">
        <v>0</v>
      </c>
      <c r="CS21" s="28">
        <v>0</v>
      </c>
      <c r="CT21" s="28">
        <v>2.6305263157894741E-2</v>
      </c>
      <c r="CU21" s="34">
        <v>2.499000000000001</v>
      </c>
    </row>
    <row r="22" spans="1:99" x14ac:dyDescent="0.25">
      <c r="A22" s="24">
        <v>21</v>
      </c>
      <c r="B22" s="26">
        <v>10</v>
      </c>
      <c r="C22" s="28">
        <v>0</v>
      </c>
      <c r="D22" s="28">
        <v>0</v>
      </c>
      <c r="E22" s="28">
        <v>0.64700000000000002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0.32300000000000001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0.57399999999999995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1.6252631578947369E-2</v>
      </c>
      <c r="CU22" s="34">
        <v>1.544</v>
      </c>
    </row>
    <row r="23" spans="1:99" x14ac:dyDescent="0.25">
      <c r="A23" s="24">
        <v>22</v>
      </c>
      <c r="B23" s="26">
        <v>10.5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0.29099999999999998</v>
      </c>
      <c r="AP23" s="28">
        <v>0</v>
      </c>
      <c r="AQ23" s="28">
        <v>0</v>
      </c>
      <c r="AR23" s="28">
        <v>2.5999999999999999E-2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0.58600000000000008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0.38600000000000001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1.356842105263158E-2</v>
      </c>
      <c r="CU23" s="34">
        <v>1.2889999999999999</v>
      </c>
    </row>
    <row r="24" spans="1:99" x14ac:dyDescent="0.25">
      <c r="A24" s="24">
        <v>23</v>
      </c>
      <c r="B24" s="26">
        <v>11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5.8000000000000003E-2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6.1052631578947369E-4</v>
      </c>
      <c r="CU24" s="34">
        <v>5.8000000000000003E-2</v>
      </c>
    </row>
    <row r="25" spans="1:99" x14ac:dyDescent="0.25">
      <c r="A25" s="24">
        <v>24</v>
      </c>
      <c r="B25" s="26">
        <v>11.5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2.0880000000000001</v>
      </c>
      <c r="AR25" s="28">
        <v>0.115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0.20699999999999999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2.5368421052631578E-2</v>
      </c>
      <c r="CU25" s="34">
        <v>2.41</v>
      </c>
    </row>
    <row r="26" spans="1:99" x14ac:dyDescent="0.25">
      <c r="A26" s="24">
        <v>25</v>
      </c>
      <c r="B26" s="26">
        <v>12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0.39</v>
      </c>
      <c r="AL26" s="28">
        <v>0</v>
      </c>
      <c r="AM26" s="28">
        <v>0</v>
      </c>
      <c r="AN26" s="28">
        <v>0</v>
      </c>
      <c r="AO26" s="28">
        <v>0.48299999999999998</v>
      </c>
      <c r="AP26" s="28">
        <v>0</v>
      </c>
      <c r="AQ26" s="28">
        <v>1.0720000000000001</v>
      </c>
      <c r="AR26" s="28">
        <v>0.14499999999999999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0.44800000000000001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0.57200000000000006</v>
      </c>
      <c r="CQ26" s="28">
        <v>0</v>
      </c>
      <c r="CR26" s="28">
        <v>0</v>
      </c>
      <c r="CS26" s="28">
        <v>0</v>
      </c>
      <c r="CT26" s="28">
        <v>3.2736842105263148E-2</v>
      </c>
      <c r="CU26" s="34">
        <v>3.11</v>
      </c>
    </row>
    <row r="27" spans="1:99" x14ac:dyDescent="0.25">
      <c r="A27" s="24">
        <v>26</v>
      </c>
      <c r="B27" s="26">
        <v>12.5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0.27400000000000002</v>
      </c>
      <c r="AP27" s="28">
        <v>0</v>
      </c>
      <c r="AQ27" s="28">
        <v>0</v>
      </c>
      <c r="AR27" s="28">
        <v>7.1000000000000008E-2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0</v>
      </c>
      <c r="CK27" s="28">
        <v>0</v>
      </c>
      <c r="CL27" s="28">
        <v>0</v>
      </c>
      <c r="CM27" s="28">
        <v>0</v>
      </c>
      <c r="CN27" s="28">
        <v>0</v>
      </c>
      <c r="CO27" s="28">
        <v>0</v>
      </c>
      <c r="CP27" s="28">
        <v>0.84099999999999997</v>
      </c>
      <c r="CQ27" s="28">
        <v>0.30399999999999999</v>
      </c>
      <c r="CR27" s="28">
        <v>0</v>
      </c>
      <c r="CS27" s="28">
        <v>0</v>
      </c>
      <c r="CT27" s="28">
        <v>1.568421052631579E-2</v>
      </c>
      <c r="CU27" s="34">
        <v>1.49</v>
      </c>
    </row>
    <row r="28" spans="1:99" x14ac:dyDescent="0.25">
      <c r="A28" s="24">
        <v>27</v>
      </c>
      <c r="B28" s="26">
        <v>13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0.254</v>
      </c>
      <c r="CT28" s="28">
        <v>2.673684210526316E-3</v>
      </c>
      <c r="CU28" s="34">
        <v>0.254</v>
      </c>
    </row>
    <row r="29" spans="1:99" x14ac:dyDescent="0.25">
      <c r="A29" s="24">
        <v>28</v>
      </c>
      <c r="B29" s="26">
        <v>13.5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0.38600000000000001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8">
        <v>0</v>
      </c>
      <c r="CT29" s="28">
        <v>4.0631578947368423E-3</v>
      </c>
      <c r="CU29" s="34">
        <v>0.38600000000000001</v>
      </c>
    </row>
    <row r="30" spans="1:99" x14ac:dyDescent="0.25">
      <c r="A30" s="24">
        <v>29</v>
      </c>
      <c r="B30" s="26">
        <v>14</v>
      </c>
      <c r="C30" s="28">
        <v>0.14499999999999999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0</v>
      </c>
      <c r="CF30" s="28">
        <v>0</v>
      </c>
      <c r="CG30" s="28">
        <v>0</v>
      </c>
      <c r="CH30" s="28">
        <v>0</v>
      </c>
      <c r="CI30" s="28">
        <v>0</v>
      </c>
      <c r="CJ30" s="28">
        <v>0</v>
      </c>
      <c r="CK30" s="28">
        <v>0</v>
      </c>
      <c r="CL30" s="28">
        <v>0</v>
      </c>
      <c r="CM30" s="28">
        <v>0</v>
      </c>
      <c r="CN30" s="28">
        <v>0</v>
      </c>
      <c r="CO30" s="28">
        <v>0</v>
      </c>
      <c r="CP30" s="28">
        <v>0</v>
      </c>
      <c r="CQ30" s="28">
        <v>0</v>
      </c>
      <c r="CR30" s="28">
        <v>0</v>
      </c>
      <c r="CS30" s="28">
        <v>0.98599999999999988</v>
      </c>
      <c r="CT30" s="28">
        <v>1.190526315789473E-2</v>
      </c>
      <c r="CU30" s="34">
        <v>1.131</v>
      </c>
    </row>
    <row r="31" spans="1:99" x14ac:dyDescent="0.25">
      <c r="A31" s="24">
        <v>30</v>
      </c>
      <c r="B31" s="26">
        <v>14.5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0.45300000000000001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1.1559999999999999</v>
      </c>
      <c r="CT31" s="28">
        <v>1.693684210526316E-2</v>
      </c>
      <c r="CU31" s="34">
        <v>1.609</v>
      </c>
    </row>
    <row r="32" spans="1:99" x14ac:dyDescent="0.25">
      <c r="A32" s="24">
        <v>31</v>
      </c>
      <c r="B32" s="26">
        <v>15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0.34399999999999997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0.68900000000000006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1.087368421052632E-2</v>
      </c>
      <c r="CU32" s="34">
        <v>1.0329999999999999</v>
      </c>
    </row>
    <row r="33" spans="1:99" x14ac:dyDescent="0.25">
      <c r="A33" s="24">
        <v>32</v>
      </c>
      <c r="B33" s="26">
        <v>15.5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0.66299999999999992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6.9789473684210516E-3</v>
      </c>
      <c r="CU33" s="34">
        <v>0.66299999999999992</v>
      </c>
    </row>
    <row r="34" spans="1:99" x14ac:dyDescent="0.25">
      <c r="A34" s="24">
        <v>33</v>
      </c>
      <c r="B34" s="26">
        <v>16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0.69200000000000006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1.524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1.0329999999999999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0.64400000000000002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8">
        <v>0</v>
      </c>
      <c r="CT34" s="28">
        <v>4.0978947368421059E-2</v>
      </c>
      <c r="CU34" s="34">
        <v>3.8930000000000011</v>
      </c>
    </row>
    <row r="35" spans="1:99" x14ac:dyDescent="0.25">
      <c r="A35" s="24">
        <v>34</v>
      </c>
      <c r="B35" s="26">
        <v>16.5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0.191</v>
      </c>
      <c r="AB35" s="28">
        <v>1.004</v>
      </c>
      <c r="AC35" s="28">
        <v>0</v>
      </c>
      <c r="AD35" s="28">
        <v>1.4810000000000001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1.9530000000000001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0.16</v>
      </c>
      <c r="BB35" s="28">
        <v>0</v>
      </c>
      <c r="BC35" s="28">
        <v>0</v>
      </c>
      <c r="BD35" s="28">
        <v>0</v>
      </c>
      <c r="BE35" s="28">
        <v>0</v>
      </c>
      <c r="BF35" s="28">
        <v>0.36399999999999999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5.4242105263157897E-2</v>
      </c>
      <c r="CU35" s="34">
        <v>5.1529999999999996</v>
      </c>
    </row>
    <row r="36" spans="1:99" x14ac:dyDescent="0.25">
      <c r="A36" s="24">
        <v>35</v>
      </c>
      <c r="B36" s="26">
        <v>17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0.44</v>
      </c>
      <c r="AB36" s="28">
        <v>0</v>
      </c>
      <c r="AC36" s="28">
        <v>0</v>
      </c>
      <c r="AD36" s="28">
        <v>0.23</v>
      </c>
      <c r="AE36" s="28">
        <v>0.41199999999999998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1.1389473684210529E-2</v>
      </c>
      <c r="CU36" s="34">
        <v>1.0820000000000001</v>
      </c>
    </row>
    <row r="37" spans="1:99" x14ac:dyDescent="0.25">
      <c r="A37" s="24">
        <v>36</v>
      </c>
      <c r="B37" s="26">
        <v>17.5</v>
      </c>
      <c r="C37" s="28">
        <v>0.27800000000000002</v>
      </c>
      <c r="D37" s="28">
        <v>0</v>
      </c>
      <c r="E37" s="28">
        <v>0.42199999999999999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0.48099999999999998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0.747</v>
      </c>
      <c r="AF37" s="28">
        <v>0.58499999999999996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0.222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0.66600000000000004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1.2999999999999999E-2</v>
      </c>
      <c r="CI37" s="28">
        <v>1.3420000000000001</v>
      </c>
      <c r="CJ37" s="28">
        <v>0.77899999999999991</v>
      </c>
      <c r="CK37" s="28">
        <v>0</v>
      </c>
      <c r="CL37" s="28">
        <v>0</v>
      </c>
      <c r="CM37" s="28">
        <v>0</v>
      </c>
      <c r="CN37" s="28">
        <v>0.80900000000000005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6.6778947368421063E-2</v>
      </c>
      <c r="CU37" s="34">
        <v>6.3440000000000003</v>
      </c>
    </row>
    <row r="38" spans="1:99" x14ac:dyDescent="0.25">
      <c r="A38" s="24">
        <v>37</v>
      </c>
      <c r="B38" s="26">
        <v>18</v>
      </c>
      <c r="C38" s="28">
        <v>0.36199999999999999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0.437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3.169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0.16700000000000001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0.189</v>
      </c>
      <c r="BV38" s="28">
        <v>0</v>
      </c>
      <c r="BW38" s="28">
        <v>0.89200000000000002</v>
      </c>
      <c r="BX38" s="28">
        <v>0.157</v>
      </c>
      <c r="BY38" s="28">
        <v>0</v>
      </c>
      <c r="BZ38" s="28">
        <v>0</v>
      </c>
      <c r="CA38" s="28">
        <v>0.67900000000000005</v>
      </c>
      <c r="CB38" s="28">
        <v>0.55900000000000005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0.20399999999999999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1.012</v>
      </c>
      <c r="CQ38" s="28">
        <v>0</v>
      </c>
      <c r="CR38" s="28">
        <v>0</v>
      </c>
      <c r="CS38" s="28">
        <v>0</v>
      </c>
      <c r="CT38" s="28">
        <v>8.2389473684210526E-2</v>
      </c>
      <c r="CU38" s="34">
        <v>7.827</v>
      </c>
    </row>
    <row r="39" spans="1:99" x14ac:dyDescent="0.25">
      <c r="A39" s="24">
        <v>38</v>
      </c>
      <c r="B39" s="26">
        <v>18.5</v>
      </c>
      <c r="C39" s="28">
        <v>0</v>
      </c>
      <c r="D39" s="28">
        <v>0</v>
      </c>
      <c r="E39" s="28">
        <v>0.76</v>
      </c>
      <c r="F39" s="28">
        <v>0</v>
      </c>
      <c r="G39" s="28">
        <v>0</v>
      </c>
      <c r="H39" s="28">
        <v>0</v>
      </c>
      <c r="I39" s="28">
        <v>0</v>
      </c>
      <c r="J39" s="28">
        <v>1.228</v>
      </c>
      <c r="K39" s="28">
        <v>0.37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2.4E-2</v>
      </c>
      <c r="AA39" s="28">
        <v>0</v>
      </c>
      <c r="AB39" s="28">
        <v>0</v>
      </c>
      <c r="AC39" s="28">
        <v>0</v>
      </c>
      <c r="AD39" s="28">
        <v>1.4E-2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0.06</v>
      </c>
      <c r="AR39" s="28">
        <v>0</v>
      </c>
      <c r="AS39" s="28">
        <v>0</v>
      </c>
      <c r="AT39" s="28">
        <v>0</v>
      </c>
      <c r="AU39" s="28">
        <v>1.4139999999999999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1.115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6.6000000000000003E-2</v>
      </c>
      <c r="BJ39" s="28">
        <v>0.83299999999999996</v>
      </c>
      <c r="BK39" s="28">
        <v>0</v>
      </c>
      <c r="BL39" s="28">
        <v>5.6000000000000001E-2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2.4649999999999999</v>
      </c>
      <c r="BT39" s="28">
        <v>0</v>
      </c>
      <c r="BU39" s="28">
        <v>0</v>
      </c>
      <c r="BV39" s="28">
        <v>0.124</v>
      </c>
      <c r="BW39" s="28">
        <v>0</v>
      </c>
      <c r="BX39" s="28">
        <v>2.1999999999999999E-2</v>
      </c>
      <c r="BY39" s="28">
        <v>0</v>
      </c>
      <c r="BZ39" s="28">
        <v>0.16800000000000001</v>
      </c>
      <c r="CA39" s="28">
        <v>0</v>
      </c>
      <c r="CB39" s="28">
        <v>0.82499999999999996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1.0999999999999999E-2</v>
      </c>
      <c r="CJ39" s="28">
        <v>1.175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0.1129473684210526</v>
      </c>
      <c r="CU39" s="34">
        <v>10.73</v>
      </c>
    </row>
    <row r="40" spans="1:99" x14ac:dyDescent="0.25">
      <c r="A40" s="24">
        <v>39</v>
      </c>
      <c r="B40" s="26">
        <v>19</v>
      </c>
      <c r="C40" s="28">
        <v>0</v>
      </c>
      <c r="D40" s="28">
        <v>0.13700000000000001</v>
      </c>
      <c r="E40" s="28">
        <v>0</v>
      </c>
      <c r="F40" s="28">
        <v>0</v>
      </c>
      <c r="G40" s="28">
        <v>0.38</v>
      </c>
      <c r="H40" s="28">
        <v>0.371</v>
      </c>
      <c r="I40" s="28">
        <v>0</v>
      </c>
      <c r="J40" s="28">
        <v>6.3E-2</v>
      </c>
      <c r="K40" s="28">
        <v>2.4350000000000001</v>
      </c>
      <c r="L40" s="28">
        <v>0.106</v>
      </c>
      <c r="M40" s="28">
        <v>0</v>
      </c>
      <c r="N40" s="28">
        <v>0</v>
      </c>
      <c r="O40" s="28">
        <v>0.245</v>
      </c>
      <c r="P40" s="28">
        <v>5.1999999999999998E-2</v>
      </c>
      <c r="Q40" s="28">
        <v>0.127</v>
      </c>
      <c r="R40" s="28">
        <v>0.13100000000000001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1.7999999999999999E-2</v>
      </c>
      <c r="Y40" s="28">
        <v>7.1000000000000008E-2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1.526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2.1269999999999998</v>
      </c>
      <c r="AV40" s="28">
        <v>0</v>
      </c>
      <c r="AW40" s="28">
        <v>0</v>
      </c>
      <c r="AX40" s="28">
        <v>0</v>
      </c>
      <c r="AY40" s="28">
        <v>0.48299999999999998</v>
      </c>
      <c r="AZ40" s="28">
        <v>0.18</v>
      </c>
      <c r="BA40" s="28">
        <v>0.13900000000000001</v>
      </c>
      <c r="BB40" s="28">
        <v>0.161</v>
      </c>
      <c r="BC40" s="28">
        <v>0</v>
      </c>
      <c r="BD40" s="28">
        <v>0</v>
      </c>
      <c r="BE40" s="28">
        <v>0.129</v>
      </c>
      <c r="BF40" s="28">
        <v>0</v>
      </c>
      <c r="BG40" s="28">
        <v>0</v>
      </c>
      <c r="BH40" s="28">
        <v>0</v>
      </c>
      <c r="BI40" s="28">
        <v>0</v>
      </c>
      <c r="BJ40" s="28">
        <v>0.20899999999999999</v>
      </c>
      <c r="BK40" s="28">
        <v>0</v>
      </c>
      <c r="BL40" s="28">
        <v>0.125</v>
      </c>
      <c r="BM40" s="28">
        <v>0</v>
      </c>
      <c r="BN40" s="28">
        <v>0</v>
      </c>
      <c r="BO40" s="28">
        <v>0</v>
      </c>
      <c r="BP40" s="28">
        <v>0.13300000000000001</v>
      </c>
      <c r="BQ40" s="28">
        <v>0</v>
      </c>
      <c r="BR40" s="28">
        <v>6.9999999999999993E-2</v>
      </c>
      <c r="BS40" s="28">
        <v>3.3290000000000002</v>
      </c>
      <c r="BT40" s="28">
        <v>2.4E-2</v>
      </c>
      <c r="BU40" s="28">
        <v>0</v>
      </c>
      <c r="BV40" s="28">
        <v>0.13800000000000001</v>
      </c>
      <c r="BW40" s="28">
        <v>0.11799999999999999</v>
      </c>
      <c r="BX40" s="28">
        <v>0.437</v>
      </c>
      <c r="BY40" s="28">
        <v>0</v>
      </c>
      <c r="BZ40" s="28">
        <v>1.365</v>
      </c>
      <c r="CA40" s="28">
        <v>0</v>
      </c>
      <c r="CB40" s="28">
        <v>2.008</v>
      </c>
      <c r="CC40" s="28">
        <v>0.32900000000000001</v>
      </c>
      <c r="CD40" s="28">
        <v>0</v>
      </c>
      <c r="CE40" s="28">
        <v>2.4140000000000001</v>
      </c>
      <c r="CF40" s="28">
        <v>0.06</v>
      </c>
      <c r="CG40" s="28">
        <v>0</v>
      </c>
      <c r="CH40" s="28">
        <v>2.5999999999999999E-2</v>
      </c>
      <c r="CI40" s="28">
        <v>1.407</v>
      </c>
      <c r="CJ40" s="28">
        <v>0.32</v>
      </c>
      <c r="CK40" s="28">
        <v>0</v>
      </c>
      <c r="CL40" s="28">
        <v>0</v>
      </c>
      <c r="CM40" s="28">
        <v>0</v>
      </c>
      <c r="CN40" s="28">
        <v>0.218</v>
      </c>
      <c r="CO40" s="28">
        <v>0</v>
      </c>
      <c r="CP40" s="28">
        <v>8.1000000000000003E-2</v>
      </c>
      <c r="CQ40" s="28">
        <v>0</v>
      </c>
      <c r="CR40" s="28">
        <v>0</v>
      </c>
      <c r="CS40" s="28">
        <v>3.1510609999999998E-4</v>
      </c>
      <c r="CT40" s="28">
        <v>0.22834015901157889</v>
      </c>
      <c r="CU40" s="34">
        <v>21.692315106100001</v>
      </c>
    </row>
    <row r="41" spans="1:99" x14ac:dyDescent="0.25">
      <c r="A41" s="24">
        <v>40</v>
      </c>
      <c r="B41" s="26">
        <v>19.5</v>
      </c>
      <c r="C41" s="28">
        <v>8.8999999999999996E-2</v>
      </c>
      <c r="D41" s="28">
        <v>0.54699999999999993</v>
      </c>
      <c r="E41" s="28">
        <v>0.41699999999999998</v>
      </c>
      <c r="F41" s="28">
        <v>0.31</v>
      </c>
      <c r="G41" s="28">
        <v>1.7829999999999999</v>
      </c>
      <c r="H41" s="28">
        <v>0.95200000000000007</v>
      </c>
      <c r="I41" s="28">
        <v>0</v>
      </c>
      <c r="J41" s="28">
        <v>0.33400000000000002</v>
      </c>
      <c r="K41" s="28">
        <v>1.9179999999999999</v>
      </c>
      <c r="L41" s="28">
        <v>0.21199999999999999</v>
      </c>
      <c r="M41" s="28">
        <v>0.218</v>
      </c>
      <c r="N41" s="28">
        <v>0.2</v>
      </c>
      <c r="O41" s="28">
        <v>0.36399999999999999</v>
      </c>
      <c r="P41" s="28">
        <v>0.29299999999999998</v>
      </c>
      <c r="Q41" s="28">
        <v>0.23599999999999999</v>
      </c>
      <c r="R41" s="28">
        <v>0.35299999999999998</v>
      </c>
      <c r="S41" s="28">
        <v>5.7000000000000002E-2</v>
      </c>
      <c r="T41" s="28">
        <v>0.38</v>
      </c>
      <c r="U41" s="28">
        <v>0</v>
      </c>
      <c r="V41" s="28">
        <v>0.34</v>
      </c>
      <c r="W41" s="28">
        <v>0.315</v>
      </c>
      <c r="X41" s="28">
        <v>0</v>
      </c>
      <c r="Y41" s="28">
        <v>0.56499999999999995</v>
      </c>
      <c r="Z41" s="28">
        <v>0</v>
      </c>
      <c r="AA41" s="28">
        <v>0.153</v>
      </c>
      <c r="AB41" s="28">
        <v>0.32200000000000001</v>
      </c>
      <c r="AC41" s="28">
        <v>0.70399999999999996</v>
      </c>
      <c r="AD41" s="28">
        <v>0.28499999999999998</v>
      </c>
      <c r="AE41" s="28">
        <v>0</v>
      </c>
      <c r="AF41" s="28">
        <v>0.246</v>
      </c>
      <c r="AG41" s="28">
        <v>0.14599999999999999</v>
      </c>
      <c r="AH41" s="28">
        <v>0.16400000000000001</v>
      </c>
      <c r="AI41" s="28">
        <v>1.0999999999999999E-2</v>
      </c>
      <c r="AJ41" s="28">
        <v>1.756</v>
      </c>
      <c r="AK41" s="28">
        <v>1.3480000000000001</v>
      </c>
      <c r="AL41" s="28">
        <v>0</v>
      </c>
      <c r="AM41" s="28">
        <v>0.16400000000000001</v>
      </c>
      <c r="AN41" s="28">
        <v>0</v>
      </c>
      <c r="AO41" s="28">
        <v>0.39200000000000002</v>
      </c>
      <c r="AP41" s="28">
        <v>0.34699999999999998</v>
      </c>
      <c r="AQ41" s="28">
        <v>0</v>
      </c>
      <c r="AR41" s="28">
        <v>0.107</v>
      </c>
      <c r="AS41" s="28">
        <v>0.67800000000000005</v>
      </c>
      <c r="AT41" s="28">
        <v>0.158</v>
      </c>
      <c r="AU41" s="28">
        <v>0.97799999999999987</v>
      </c>
      <c r="AV41" s="28">
        <v>0.41199999999999998</v>
      </c>
      <c r="AW41" s="28">
        <v>0.35</v>
      </c>
      <c r="AX41" s="28">
        <v>0.29899999999999999</v>
      </c>
      <c r="AY41" s="28">
        <v>1.3560000000000001</v>
      </c>
      <c r="AZ41" s="28">
        <v>0.23899999999999999</v>
      </c>
      <c r="BA41" s="28">
        <v>0.16600000000000001</v>
      </c>
      <c r="BB41" s="28">
        <v>0.48399999999999999</v>
      </c>
      <c r="BC41" s="28">
        <v>0.32300000000000001</v>
      </c>
      <c r="BD41" s="28">
        <v>0</v>
      </c>
      <c r="BE41" s="28">
        <v>0.33800000000000002</v>
      </c>
      <c r="BF41" s="28">
        <v>0.10299999999999999</v>
      </c>
      <c r="BG41" s="28">
        <v>0.314</v>
      </c>
      <c r="BH41" s="28">
        <v>1.2370000000000001</v>
      </c>
      <c r="BI41" s="28">
        <v>0.13800000000000001</v>
      </c>
      <c r="BJ41" s="28">
        <v>0.216</v>
      </c>
      <c r="BK41" s="28">
        <v>0.45600000000000002</v>
      </c>
      <c r="BL41" s="28">
        <v>0.36099999999999999</v>
      </c>
      <c r="BM41" s="28">
        <v>1.0680000000000001</v>
      </c>
      <c r="BN41" s="28">
        <v>0.13</v>
      </c>
      <c r="BO41" s="28">
        <v>0.34</v>
      </c>
      <c r="BP41" s="28">
        <v>0.71299999999999997</v>
      </c>
      <c r="BQ41" s="28">
        <v>0.158</v>
      </c>
      <c r="BR41" s="28">
        <v>1.29</v>
      </c>
      <c r="BS41" s="28">
        <v>0.93800000000000006</v>
      </c>
      <c r="BT41" s="28">
        <v>0.38500000000000001</v>
      </c>
      <c r="BU41" s="28">
        <v>0.128</v>
      </c>
      <c r="BV41" s="28">
        <v>0.50700000000000001</v>
      </c>
      <c r="BW41" s="28">
        <v>0.51999999999999991</v>
      </c>
      <c r="BX41" s="28">
        <v>0.28599999999999998</v>
      </c>
      <c r="BY41" s="28">
        <v>3.7999999999999999E-2</v>
      </c>
      <c r="BZ41" s="28">
        <v>0.41099999999999998</v>
      </c>
      <c r="CA41" s="28">
        <v>0</v>
      </c>
      <c r="CB41" s="28">
        <v>0.49399999999999999</v>
      </c>
      <c r="CC41" s="28">
        <v>0.26200000000000001</v>
      </c>
      <c r="CD41" s="28">
        <v>0.32900000000000001</v>
      </c>
      <c r="CE41" s="28">
        <v>1.339</v>
      </c>
      <c r="CF41" s="28">
        <v>1.9E-2</v>
      </c>
      <c r="CG41" s="28">
        <v>0.153</v>
      </c>
      <c r="CH41" s="28">
        <v>0.4</v>
      </c>
      <c r="CI41" s="28">
        <v>1.2829999999999999</v>
      </c>
      <c r="CJ41" s="28">
        <v>5.0000000000000001E-3</v>
      </c>
      <c r="CK41" s="28">
        <v>2.9000000000000001E-2</v>
      </c>
      <c r="CL41" s="28">
        <v>0.36499999999999999</v>
      </c>
      <c r="CM41" s="28">
        <v>0.13400000000000001</v>
      </c>
      <c r="CN41" s="28">
        <v>0.187</v>
      </c>
      <c r="CO41" s="28">
        <v>0.627</v>
      </c>
      <c r="CP41" s="28">
        <v>0.38200000000000001</v>
      </c>
      <c r="CQ41" s="28">
        <v>0</v>
      </c>
      <c r="CR41" s="28">
        <v>0.218</v>
      </c>
      <c r="CS41" s="28">
        <v>0.65799999999999992</v>
      </c>
      <c r="CT41" s="28">
        <v>0.40452631578947401</v>
      </c>
      <c r="CU41" s="34">
        <v>38.430000000000028</v>
      </c>
    </row>
    <row r="42" spans="1:99" x14ac:dyDescent="0.25">
      <c r="A42" s="24">
        <v>41</v>
      </c>
      <c r="B42" s="26">
        <v>20</v>
      </c>
      <c r="C42" s="28">
        <v>0.04</v>
      </c>
      <c r="D42" s="28">
        <v>1.0509999999999999</v>
      </c>
      <c r="E42" s="28">
        <v>0.21299999999999999</v>
      </c>
      <c r="F42" s="28">
        <v>0.23200000000000001</v>
      </c>
      <c r="G42" s="28">
        <v>0.16300000000000001</v>
      </c>
      <c r="H42" s="28">
        <v>0.28899999999999998</v>
      </c>
      <c r="I42" s="28">
        <v>2.5999999999999999E-2</v>
      </c>
      <c r="J42" s="28">
        <v>0.33900000000000002</v>
      </c>
      <c r="K42" s="28">
        <v>0.45600000000000002</v>
      </c>
      <c r="L42" s="28">
        <v>0.105</v>
      </c>
      <c r="M42" s="28">
        <v>0.39400000000000002</v>
      </c>
      <c r="N42" s="28">
        <v>0.47599999999999998</v>
      </c>
      <c r="O42" s="28">
        <v>0.42</v>
      </c>
      <c r="P42" s="28">
        <v>0.52500000000000002</v>
      </c>
      <c r="Q42" s="28">
        <v>0.30099999999999999</v>
      </c>
      <c r="R42" s="28">
        <v>0.307</v>
      </c>
      <c r="S42" s="28">
        <v>0.03</v>
      </c>
      <c r="T42" s="28">
        <v>0.495</v>
      </c>
      <c r="U42" s="28">
        <v>3.5999999999999997E-2</v>
      </c>
      <c r="V42" s="28">
        <v>0.626</v>
      </c>
      <c r="W42" s="28">
        <v>0.73899999999999999</v>
      </c>
      <c r="X42" s="28">
        <v>0.23300000000000001</v>
      </c>
      <c r="Y42" s="28">
        <v>0.53900000000000003</v>
      </c>
      <c r="Z42" s="28">
        <v>0.27200000000000002</v>
      </c>
      <c r="AA42" s="28">
        <v>4.7E-2</v>
      </c>
      <c r="AB42" s="28">
        <v>0.27600000000000002</v>
      </c>
      <c r="AC42" s="28">
        <v>1.18</v>
      </c>
      <c r="AD42" s="28">
        <v>0.40500000000000003</v>
      </c>
      <c r="AE42" s="28">
        <v>0.13800000000000001</v>
      </c>
      <c r="AF42" s="28">
        <v>4.2000000000000003E-2</v>
      </c>
      <c r="AG42" s="28">
        <v>0.26600000000000001</v>
      </c>
      <c r="AH42" s="28">
        <v>0.16400000000000001</v>
      </c>
      <c r="AI42" s="28">
        <v>0.111</v>
      </c>
      <c r="AJ42" s="28">
        <v>0.52200000000000002</v>
      </c>
      <c r="AK42" s="28">
        <v>0.60400000000000009</v>
      </c>
      <c r="AL42" s="28">
        <v>4.2000000000000003E-2</v>
      </c>
      <c r="AM42" s="28">
        <v>0.06</v>
      </c>
      <c r="AN42" s="28">
        <v>0.19400000000000001</v>
      </c>
      <c r="AO42" s="28">
        <v>0.438</v>
      </c>
      <c r="AP42" s="28">
        <v>0.76100000000000001</v>
      </c>
      <c r="AQ42" s="28">
        <v>0.14799999999999999</v>
      </c>
      <c r="AR42" s="28">
        <v>5.0999999999999997E-2</v>
      </c>
      <c r="AS42" s="28">
        <v>0.89800000000000002</v>
      </c>
      <c r="AT42" s="28">
        <v>9.6000000000000002E-2</v>
      </c>
      <c r="AU42" s="28">
        <v>0.4</v>
      </c>
      <c r="AV42" s="28">
        <v>0.71799999999999997</v>
      </c>
      <c r="AW42" s="28">
        <v>0.371</v>
      </c>
      <c r="AX42" s="28">
        <v>0.48899999999999988</v>
      </c>
      <c r="AY42" s="28">
        <v>2.0259999999999998</v>
      </c>
      <c r="AZ42" s="28">
        <v>0.50900000000000001</v>
      </c>
      <c r="BA42" s="28">
        <v>0.41699999999999998</v>
      </c>
      <c r="BB42" s="28">
        <v>0.36099999999999999</v>
      </c>
      <c r="BC42" s="28">
        <v>0.40200000000000002</v>
      </c>
      <c r="BD42" s="28">
        <v>0.26500000000000001</v>
      </c>
      <c r="BE42" s="28">
        <v>2.1509999999999998</v>
      </c>
      <c r="BF42" s="28">
        <v>0.28899999999999998</v>
      </c>
      <c r="BG42" s="28">
        <v>0.57099999999999995</v>
      </c>
      <c r="BH42" s="28">
        <v>0.48899999999999988</v>
      </c>
      <c r="BI42" s="28">
        <v>0.26500000000000001</v>
      </c>
      <c r="BJ42" s="28">
        <v>2.9000000000000001E-2</v>
      </c>
      <c r="BK42" s="28">
        <v>0.50700000000000001</v>
      </c>
      <c r="BL42" s="28">
        <v>0.38100000000000001</v>
      </c>
      <c r="BM42" s="28">
        <v>0.65500000000000003</v>
      </c>
      <c r="BN42" s="28">
        <v>3.4000000000000002E-2</v>
      </c>
      <c r="BO42" s="28">
        <v>0.57099999999999995</v>
      </c>
      <c r="BP42" s="28">
        <v>0.54799999999999993</v>
      </c>
      <c r="BQ42" s="28">
        <v>0.20499999999999999</v>
      </c>
      <c r="BR42" s="28">
        <v>0.61099999999999999</v>
      </c>
      <c r="BS42" s="28">
        <v>0.44</v>
      </c>
      <c r="BT42" s="28">
        <v>0.42</v>
      </c>
      <c r="BU42" s="28">
        <v>0.33600000000000002</v>
      </c>
      <c r="BV42" s="28">
        <v>0.44800000000000001</v>
      </c>
      <c r="BW42" s="28">
        <v>0.22700000000000001</v>
      </c>
      <c r="BX42" s="28">
        <v>0.20899999999999999</v>
      </c>
      <c r="BY42" s="28">
        <v>5.6000000000000001E-2</v>
      </c>
      <c r="BZ42" s="28">
        <v>0.54799999999999993</v>
      </c>
      <c r="CA42" s="28">
        <v>0.22</v>
      </c>
      <c r="CB42" s="28">
        <v>0.39700000000000002</v>
      </c>
      <c r="CC42" s="28">
        <v>0.28000000000000003</v>
      </c>
      <c r="CD42" s="28">
        <v>0.51300000000000001</v>
      </c>
      <c r="CE42" s="28">
        <v>0.48699999999999999</v>
      </c>
      <c r="CF42" s="28">
        <v>0.16400000000000001</v>
      </c>
      <c r="CG42" s="28">
        <v>0.38600000000000001</v>
      </c>
      <c r="CH42" s="28">
        <v>0.65399999999999991</v>
      </c>
      <c r="CI42" s="28">
        <v>0.96199999999999997</v>
      </c>
      <c r="CJ42" s="28">
        <v>1.3939999999999999</v>
      </c>
      <c r="CK42" s="28">
        <v>9.8000000000000004E-2</v>
      </c>
      <c r="CL42" s="28">
        <v>0.77500000000000002</v>
      </c>
      <c r="CM42" s="28">
        <v>0.33500000000000002</v>
      </c>
      <c r="CN42" s="28">
        <v>0.624</v>
      </c>
      <c r="CO42" s="28">
        <v>0.63900000000000001</v>
      </c>
      <c r="CP42" s="28">
        <v>0.41699999999999998</v>
      </c>
      <c r="CQ42" s="28">
        <v>0.122</v>
      </c>
      <c r="CR42" s="28">
        <v>0.10100000000000001</v>
      </c>
      <c r="CS42" s="28">
        <v>0.36900000000000011</v>
      </c>
      <c r="CT42" s="28">
        <v>0.41721052631578981</v>
      </c>
      <c r="CU42" s="34">
        <v>39.635000000000034</v>
      </c>
    </row>
    <row r="43" spans="1:99" x14ac:dyDescent="0.25">
      <c r="A43" s="24">
        <v>42</v>
      </c>
      <c r="B43" s="26">
        <v>20.5</v>
      </c>
      <c r="C43" s="28">
        <v>0.21199999999999999</v>
      </c>
      <c r="D43" s="28">
        <v>0.20100000000000001</v>
      </c>
      <c r="E43" s="28">
        <v>0.44500000000000001</v>
      </c>
      <c r="F43" s="28">
        <v>0.187</v>
      </c>
      <c r="G43" s="28">
        <v>5.3999999999999999E-2</v>
      </c>
      <c r="H43" s="28">
        <v>0.52400000000000002</v>
      </c>
      <c r="I43" s="28">
        <v>4.5999999999999999E-2</v>
      </c>
      <c r="J43" s="28">
        <v>0.1</v>
      </c>
      <c r="K43" s="28">
        <v>1.446</v>
      </c>
      <c r="L43" s="28">
        <v>0.29399999999999998</v>
      </c>
      <c r="M43" s="28">
        <v>0.63900000000000001</v>
      </c>
      <c r="N43" s="28">
        <v>0.46500000000000002</v>
      </c>
      <c r="O43" s="28">
        <v>0.28499999999999998</v>
      </c>
      <c r="P43" s="28">
        <v>0.47799999999999998</v>
      </c>
      <c r="Q43" s="28">
        <v>0.39200000000000002</v>
      </c>
      <c r="R43" s="28">
        <v>0.26400000000000001</v>
      </c>
      <c r="S43" s="28">
        <v>0.05</v>
      </c>
      <c r="T43" s="28">
        <v>0.48</v>
      </c>
      <c r="U43" s="28">
        <v>5.6000000000000001E-2</v>
      </c>
      <c r="V43" s="28">
        <v>0.74399999999999999</v>
      </c>
      <c r="W43" s="28">
        <v>2.73</v>
      </c>
      <c r="X43" s="28">
        <v>0.50800000000000001</v>
      </c>
      <c r="Y43" s="28">
        <v>0.73299999999999998</v>
      </c>
      <c r="Z43" s="28">
        <v>4.7E-2</v>
      </c>
      <c r="AA43" s="28">
        <v>5.3999999999999999E-2</v>
      </c>
      <c r="AB43" s="28">
        <v>0.35199999999999998</v>
      </c>
      <c r="AC43" s="28">
        <v>1.1499999999999999</v>
      </c>
      <c r="AD43" s="28">
        <v>0.30499999999999999</v>
      </c>
      <c r="AE43" s="28">
        <v>6.8999999999999992E-2</v>
      </c>
      <c r="AF43" s="28">
        <v>5.3999999999999999E-2</v>
      </c>
      <c r="AG43" s="28">
        <v>0.37</v>
      </c>
      <c r="AH43" s="28">
        <v>9.6000000000000002E-2</v>
      </c>
      <c r="AI43" s="28">
        <v>0.17899999999999999</v>
      </c>
      <c r="AJ43" s="28">
        <v>0.23100000000000001</v>
      </c>
      <c r="AK43" s="28">
        <v>0.93499999999999994</v>
      </c>
      <c r="AL43" s="28">
        <v>5.1999999999999998E-2</v>
      </c>
      <c r="AM43" s="28">
        <v>0.28899999999999998</v>
      </c>
      <c r="AN43" s="28">
        <v>4.5999999999999999E-2</v>
      </c>
      <c r="AO43" s="28">
        <v>0.53700000000000003</v>
      </c>
      <c r="AP43" s="28">
        <v>0.71699999999999997</v>
      </c>
      <c r="AQ43" s="28">
        <v>0.106</v>
      </c>
      <c r="AR43" s="28">
        <v>5.5E-2</v>
      </c>
      <c r="AS43" s="28">
        <v>0.63500000000000001</v>
      </c>
      <c r="AT43" s="28">
        <v>0.40400000000000003</v>
      </c>
      <c r="AU43" s="28">
        <v>1.276</v>
      </c>
      <c r="AV43" s="28">
        <v>0.78299999999999992</v>
      </c>
      <c r="AW43" s="28">
        <v>0.754</v>
      </c>
      <c r="AX43" s="28">
        <v>0.53900000000000003</v>
      </c>
      <c r="AY43" s="28">
        <v>0.52700000000000002</v>
      </c>
      <c r="AZ43" s="28">
        <v>0.70899999999999996</v>
      </c>
      <c r="BA43" s="28">
        <v>0.35499999999999998</v>
      </c>
      <c r="BB43" s="28">
        <v>0.246</v>
      </c>
      <c r="BC43" s="28">
        <v>0.77100000000000002</v>
      </c>
      <c r="BD43" s="28">
        <v>6.9999999999999993E-2</v>
      </c>
      <c r="BE43" s="28">
        <v>2.4649999999999999</v>
      </c>
      <c r="BF43" s="28">
        <v>0.189</v>
      </c>
      <c r="BG43" s="28">
        <v>0.625</v>
      </c>
      <c r="BH43" s="28">
        <v>0.56700000000000006</v>
      </c>
      <c r="BI43" s="28">
        <v>0.19600000000000001</v>
      </c>
      <c r="BJ43" s="28">
        <v>0.14199999999999999</v>
      </c>
      <c r="BK43" s="28">
        <v>0.308</v>
      </c>
      <c r="BL43" s="28">
        <v>0.20899999999999999</v>
      </c>
      <c r="BM43" s="28">
        <v>0.76</v>
      </c>
      <c r="BN43" s="28">
        <v>0.27400000000000002</v>
      </c>
      <c r="BO43" s="28">
        <v>0.45100000000000001</v>
      </c>
      <c r="BP43" s="28">
        <v>0.48299999999999998</v>
      </c>
      <c r="BQ43" s="28">
        <v>0.55999999999999994</v>
      </c>
      <c r="BR43" s="28">
        <v>0.29499999999999998</v>
      </c>
      <c r="BS43" s="28">
        <v>0</v>
      </c>
      <c r="BT43" s="28">
        <v>0.53799999999999992</v>
      </c>
      <c r="BU43" s="28">
        <v>0.186</v>
      </c>
      <c r="BV43" s="28">
        <v>1.4</v>
      </c>
      <c r="BW43" s="28">
        <v>0.40899999999999997</v>
      </c>
      <c r="BX43" s="28">
        <v>0.13500000000000001</v>
      </c>
      <c r="BY43" s="28">
        <v>0.20100000000000001</v>
      </c>
      <c r="BZ43" s="28">
        <v>0.65100000000000002</v>
      </c>
      <c r="CA43" s="28">
        <v>6.4000000000000001E-2</v>
      </c>
      <c r="CB43" s="28">
        <v>0.71599999999999997</v>
      </c>
      <c r="CC43" s="28">
        <v>0.6</v>
      </c>
      <c r="CD43" s="28">
        <v>0.84099999999999997</v>
      </c>
      <c r="CE43" s="28">
        <v>0.60599999999999998</v>
      </c>
      <c r="CF43" s="28">
        <v>0.186</v>
      </c>
      <c r="CG43" s="28">
        <v>0.72099999999999997</v>
      </c>
      <c r="CH43" s="28">
        <v>0.85199999999999998</v>
      </c>
      <c r="CI43" s="28">
        <v>0.38800000000000001</v>
      </c>
      <c r="CJ43" s="28">
        <v>0.61699999999999999</v>
      </c>
      <c r="CK43" s="28">
        <v>0.19800000000000001</v>
      </c>
      <c r="CL43" s="28">
        <v>0.41899999999999998</v>
      </c>
      <c r="CM43" s="28">
        <v>0.308</v>
      </c>
      <c r="CN43" s="28">
        <v>0.54799999999999993</v>
      </c>
      <c r="CO43" s="28">
        <v>0.39300000000000002</v>
      </c>
      <c r="CP43" s="28">
        <v>0.63100000000000001</v>
      </c>
      <c r="CQ43" s="28">
        <v>0.14199999999999999</v>
      </c>
      <c r="CR43" s="28">
        <v>0.19500000000000001</v>
      </c>
      <c r="CS43" s="28">
        <v>0.35299999999999998</v>
      </c>
      <c r="CT43" s="28">
        <v>0.46176842105263172</v>
      </c>
      <c r="CU43" s="34">
        <v>43.868000000000009</v>
      </c>
    </row>
    <row r="44" spans="1:99" x14ac:dyDescent="0.25">
      <c r="A44" s="24">
        <v>43</v>
      </c>
      <c r="B44" s="26">
        <v>21</v>
      </c>
      <c r="C44" s="28">
        <v>5.5E-2</v>
      </c>
      <c r="D44" s="28">
        <v>0.34799999999999998</v>
      </c>
      <c r="E44" s="28">
        <v>0.50700000000000001</v>
      </c>
      <c r="F44" s="28">
        <v>0.30199999999999999</v>
      </c>
      <c r="G44" s="28">
        <v>0.22500000000000001</v>
      </c>
      <c r="H44" s="28">
        <v>1.496</v>
      </c>
      <c r="I44" s="28">
        <v>4.5999999999999999E-2</v>
      </c>
      <c r="J44" s="28">
        <v>0.1</v>
      </c>
      <c r="K44" s="28">
        <v>9.5000000000000001E-2</v>
      </c>
      <c r="L44" s="28">
        <v>0.17499999999999999</v>
      </c>
      <c r="M44" s="28">
        <v>0.68199999999999994</v>
      </c>
      <c r="N44" s="28">
        <v>0.76100000000000001</v>
      </c>
      <c r="O44" s="28">
        <v>0.115</v>
      </c>
      <c r="P44" s="28">
        <v>0.26100000000000001</v>
      </c>
      <c r="Q44" s="28">
        <v>0.435</v>
      </c>
      <c r="R44" s="28">
        <v>4.7E-2</v>
      </c>
      <c r="S44" s="28">
        <v>0.05</v>
      </c>
      <c r="T44" s="28">
        <v>0.60299999999999998</v>
      </c>
      <c r="U44" s="28">
        <v>5.6000000000000001E-2</v>
      </c>
      <c r="V44" s="28">
        <v>0.58499999999999996</v>
      </c>
      <c r="W44" s="28">
        <v>2.956</v>
      </c>
      <c r="X44" s="28">
        <v>0.47199999999999998</v>
      </c>
      <c r="Y44" s="28">
        <v>0.53100000000000003</v>
      </c>
      <c r="Z44" s="28">
        <v>0.19</v>
      </c>
      <c r="AA44" s="28">
        <v>0.123</v>
      </c>
      <c r="AB44" s="28">
        <v>0.501</v>
      </c>
      <c r="AC44" s="28">
        <v>0.66200000000000003</v>
      </c>
      <c r="AD44" s="28">
        <v>0.52100000000000002</v>
      </c>
      <c r="AE44" s="28">
        <v>5.1999999999999998E-2</v>
      </c>
      <c r="AF44" s="28">
        <v>0.218</v>
      </c>
      <c r="AG44" s="28">
        <v>0.503</v>
      </c>
      <c r="AH44" s="28">
        <v>0.16800000000000001</v>
      </c>
      <c r="AI44" s="28">
        <v>0.08</v>
      </c>
      <c r="AJ44" s="28">
        <v>0.32900000000000001</v>
      </c>
      <c r="AK44" s="28">
        <v>0.74299999999999999</v>
      </c>
      <c r="AL44" s="28">
        <v>5.1999999999999998E-2</v>
      </c>
      <c r="AM44" s="28">
        <v>0.249</v>
      </c>
      <c r="AN44" s="28">
        <v>0.14499999999999999</v>
      </c>
      <c r="AO44" s="28">
        <v>0.60199999999999998</v>
      </c>
      <c r="AP44" s="28">
        <v>0.51700000000000002</v>
      </c>
      <c r="AQ44" s="28">
        <v>1.0089999999999999</v>
      </c>
      <c r="AR44" s="28">
        <v>0.16600000000000001</v>
      </c>
      <c r="AS44" s="28">
        <v>0.878</v>
      </c>
      <c r="AT44" s="28">
        <v>9.0999999999999998E-2</v>
      </c>
      <c r="AU44" s="28">
        <v>0.66400000000000003</v>
      </c>
      <c r="AV44" s="28">
        <v>0.57999999999999996</v>
      </c>
      <c r="AW44" s="28">
        <v>0.41499999999999998</v>
      </c>
      <c r="AX44" s="28">
        <v>0.73299999999999998</v>
      </c>
      <c r="AY44" s="28">
        <v>0.44600000000000001</v>
      </c>
      <c r="AZ44" s="28">
        <v>0.6130000000000001</v>
      </c>
      <c r="BA44" s="28">
        <v>0.55599999999999994</v>
      </c>
      <c r="BB44" s="28">
        <v>3.7999999999999999E-2</v>
      </c>
      <c r="BC44" s="28">
        <v>0.49</v>
      </c>
      <c r="BD44" s="28">
        <v>0.14099999999999999</v>
      </c>
      <c r="BE44" s="28">
        <v>1.923</v>
      </c>
      <c r="BF44" s="28">
        <v>0.24199999999999999</v>
      </c>
      <c r="BG44" s="28">
        <v>4.7E-2</v>
      </c>
      <c r="BH44" s="28">
        <v>0.59500000000000008</v>
      </c>
      <c r="BI44" s="28">
        <v>0.36900000000000011</v>
      </c>
      <c r="BJ44" s="28">
        <v>0.19400000000000001</v>
      </c>
      <c r="BK44" s="28">
        <v>0.55699999999999994</v>
      </c>
      <c r="BL44" s="28">
        <v>0.26100000000000001</v>
      </c>
      <c r="BM44" s="28">
        <v>0.75800000000000001</v>
      </c>
      <c r="BN44" s="28">
        <v>0.184</v>
      </c>
      <c r="BO44" s="28">
        <v>0.26800000000000002</v>
      </c>
      <c r="BP44" s="28">
        <v>0.53700000000000003</v>
      </c>
      <c r="BQ44" s="28">
        <v>0.51600000000000001</v>
      </c>
      <c r="BR44" s="28">
        <v>0.28399999999999997</v>
      </c>
      <c r="BS44" s="28">
        <v>0</v>
      </c>
      <c r="BT44" s="28">
        <v>0.34699999999999998</v>
      </c>
      <c r="BU44" s="28">
        <v>0.28299999999999997</v>
      </c>
      <c r="BV44" s="28">
        <v>0.49799999999999989</v>
      </c>
      <c r="BW44" s="28">
        <v>0.52300000000000002</v>
      </c>
      <c r="BX44" s="28">
        <v>0.28899999999999998</v>
      </c>
      <c r="BY44" s="28">
        <v>5.8000000000000003E-2</v>
      </c>
      <c r="BZ44" s="28">
        <v>0.496</v>
      </c>
      <c r="CA44" s="28">
        <v>0.20200000000000001</v>
      </c>
      <c r="CB44" s="28">
        <v>0.83399999999999996</v>
      </c>
      <c r="CC44" s="28">
        <v>0.23300000000000001</v>
      </c>
      <c r="CD44" s="28">
        <v>0.45400000000000001</v>
      </c>
      <c r="CE44" s="28">
        <v>2.2029999999999998</v>
      </c>
      <c r="CF44" s="28">
        <v>0.17399999999999999</v>
      </c>
      <c r="CG44" s="28">
        <v>1.4930000000000001</v>
      </c>
      <c r="CH44" s="28">
        <v>0.55999999999999994</v>
      </c>
      <c r="CI44" s="28">
        <v>0.46400000000000002</v>
      </c>
      <c r="CJ44" s="28">
        <v>1.244</v>
      </c>
      <c r="CK44" s="28">
        <v>0.152</v>
      </c>
      <c r="CL44" s="28">
        <v>0.29099999999999998</v>
      </c>
      <c r="CM44" s="28">
        <v>0.33800000000000002</v>
      </c>
      <c r="CN44" s="28">
        <v>0.38500000000000001</v>
      </c>
      <c r="CO44" s="28">
        <v>0.57399999999999995</v>
      </c>
      <c r="CP44" s="28">
        <v>0.68</v>
      </c>
      <c r="CQ44" s="28">
        <v>5.0999999999999997E-2</v>
      </c>
      <c r="CR44" s="28">
        <v>0.36599999999999999</v>
      </c>
      <c r="CS44" s="28">
        <v>0.36599999999999999</v>
      </c>
      <c r="CT44" s="28">
        <v>0.45969473684210532</v>
      </c>
      <c r="CU44" s="34">
        <v>43.671000000000006</v>
      </c>
    </row>
    <row r="45" spans="1:99" x14ac:dyDescent="0.25">
      <c r="A45" s="24">
        <v>44</v>
      </c>
      <c r="B45" s="26">
        <v>21.5</v>
      </c>
      <c r="C45" s="28">
        <v>5.5E-2</v>
      </c>
      <c r="D45" s="28">
        <v>0.22</v>
      </c>
      <c r="E45" s="28">
        <v>0.40500000000000003</v>
      </c>
      <c r="F45" s="28">
        <v>0.34499999999999997</v>
      </c>
      <c r="G45" s="28">
        <v>0.16</v>
      </c>
      <c r="H45" s="28">
        <v>0.19700000000000001</v>
      </c>
      <c r="I45" s="28">
        <v>0.10100000000000001</v>
      </c>
      <c r="J45" s="28">
        <v>8.2000000000000003E-2</v>
      </c>
      <c r="K45" s="28">
        <v>0.20799999999999999</v>
      </c>
      <c r="L45" s="28">
        <v>0.55400000000000005</v>
      </c>
      <c r="M45" s="28">
        <v>0.372</v>
      </c>
      <c r="N45" s="28">
        <v>0.61399999999999999</v>
      </c>
      <c r="O45" s="28">
        <v>9.6000000000000002E-2</v>
      </c>
      <c r="P45" s="28">
        <v>4.7E-2</v>
      </c>
      <c r="Q45" s="28">
        <v>0.36199999999999999</v>
      </c>
      <c r="R45" s="28">
        <v>0.224</v>
      </c>
      <c r="S45" s="28">
        <v>0.05</v>
      </c>
      <c r="T45" s="28">
        <v>0.57600000000000007</v>
      </c>
      <c r="U45" s="28">
        <v>5.6000000000000001E-2</v>
      </c>
      <c r="V45" s="28">
        <v>0.67400000000000004</v>
      </c>
      <c r="W45" s="28">
        <v>0.432</v>
      </c>
      <c r="X45" s="28">
        <v>0.28100000000000003</v>
      </c>
      <c r="Y45" s="28">
        <v>0.622</v>
      </c>
      <c r="Z45" s="28">
        <v>0.153</v>
      </c>
      <c r="AA45" s="28">
        <v>0.123</v>
      </c>
      <c r="AB45" s="28">
        <v>0.58600000000000008</v>
      </c>
      <c r="AC45" s="28">
        <v>0.60699999999999998</v>
      </c>
      <c r="AD45" s="28">
        <v>0.74</v>
      </c>
      <c r="AE45" s="28">
        <v>7.2000000000000008E-2</v>
      </c>
      <c r="AF45" s="28">
        <v>0.16300000000000001</v>
      </c>
      <c r="AG45" s="28">
        <v>0.61099999999999999</v>
      </c>
      <c r="AH45" s="28">
        <v>5.2999999999999999E-2</v>
      </c>
      <c r="AI45" s="28">
        <v>0.77200000000000002</v>
      </c>
      <c r="AJ45" s="28">
        <v>0.28100000000000003</v>
      </c>
      <c r="AK45" s="28">
        <v>1.07</v>
      </c>
      <c r="AL45" s="28">
        <v>0.222</v>
      </c>
      <c r="AM45" s="28">
        <v>0.434</v>
      </c>
      <c r="AN45" s="28">
        <v>0.115</v>
      </c>
      <c r="AO45" s="28">
        <v>0.46500000000000002</v>
      </c>
      <c r="AP45" s="28">
        <v>0.61899999999999999</v>
      </c>
      <c r="AQ45" s="28">
        <v>1.0620000000000001</v>
      </c>
      <c r="AR45" s="28">
        <v>5.5E-2</v>
      </c>
      <c r="AS45" s="28">
        <v>0.63200000000000001</v>
      </c>
      <c r="AT45" s="28">
        <v>0.25900000000000001</v>
      </c>
      <c r="AU45" s="28">
        <v>0.312</v>
      </c>
      <c r="AV45" s="28">
        <v>1.008</v>
      </c>
      <c r="AW45" s="28">
        <v>0.52400000000000002</v>
      </c>
      <c r="AX45" s="28">
        <v>0.36900000000000011</v>
      </c>
      <c r="AY45" s="28">
        <v>0.35</v>
      </c>
      <c r="AZ45" s="28">
        <v>0.13700000000000001</v>
      </c>
      <c r="BA45" s="28">
        <v>0.75900000000000001</v>
      </c>
      <c r="BB45" s="28">
        <v>6.7000000000000004E-2</v>
      </c>
      <c r="BC45" s="28">
        <v>0.66799999999999993</v>
      </c>
      <c r="BD45" s="28">
        <v>0.21099999999999999</v>
      </c>
      <c r="BE45" s="28">
        <v>0.16700000000000001</v>
      </c>
      <c r="BF45" s="28">
        <v>0.24099999999999999</v>
      </c>
      <c r="BG45" s="28">
        <v>0.11899999999999999</v>
      </c>
      <c r="BH45" s="28">
        <v>0.47</v>
      </c>
      <c r="BI45" s="28">
        <v>0.36699999999999999</v>
      </c>
      <c r="BJ45" s="28">
        <v>8.3000000000000004E-2</v>
      </c>
      <c r="BK45" s="28">
        <v>0.61499999999999999</v>
      </c>
      <c r="BL45" s="28">
        <v>0.40100000000000002</v>
      </c>
      <c r="BM45" s="28">
        <v>0.46700000000000003</v>
      </c>
      <c r="BN45" s="28">
        <v>8.8999999999999996E-2</v>
      </c>
      <c r="BO45" s="28">
        <v>0.621</v>
      </c>
      <c r="BP45" s="28">
        <v>0.86</v>
      </c>
      <c r="BQ45" s="28">
        <v>0.35099999999999998</v>
      </c>
      <c r="BR45" s="28">
        <v>0.35899999999999999</v>
      </c>
      <c r="BS45" s="28">
        <v>0</v>
      </c>
      <c r="BT45" s="28">
        <v>0.70699999999999996</v>
      </c>
      <c r="BU45" s="28">
        <v>0.311</v>
      </c>
      <c r="BV45" s="28">
        <v>0.36299999999999999</v>
      </c>
      <c r="BW45" s="28">
        <v>1.2310000000000001</v>
      </c>
      <c r="BX45" s="28">
        <v>8.5000000000000006E-2</v>
      </c>
      <c r="BY45" s="28">
        <v>0.36</v>
      </c>
      <c r="BZ45" s="28">
        <v>0.17</v>
      </c>
      <c r="CA45" s="28">
        <v>0.20300000000000001</v>
      </c>
      <c r="CB45" s="28">
        <v>0.67199999999999993</v>
      </c>
      <c r="CC45" s="28">
        <v>9.1999999999999998E-2</v>
      </c>
      <c r="CD45" s="28">
        <v>0.38900000000000001</v>
      </c>
      <c r="CE45" s="28">
        <v>0.122</v>
      </c>
      <c r="CF45" s="28">
        <v>0.129</v>
      </c>
      <c r="CG45" s="28">
        <v>0.49299999999999988</v>
      </c>
      <c r="CH45" s="28">
        <v>0.48799999999999999</v>
      </c>
      <c r="CI45" s="28">
        <v>0.57600000000000007</v>
      </c>
      <c r="CJ45" s="28">
        <v>0.63400000000000001</v>
      </c>
      <c r="CK45" s="28">
        <v>0.30399999999999999</v>
      </c>
      <c r="CL45" s="28">
        <v>0.46300000000000002</v>
      </c>
      <c r="CM45" s="28">
        <v>0.104</v>
      </c>
      <c r="CN45" s="28">
        <v>0.82299999999999995</v>
      </c>
      <c r="CO45" s="28">
        <v>0.55800000000000005</v>
      </c>
      <c r="CP45" s="28">
        <v>0.496</v>
      </c>
      <c r="CQ45" s="28">
        <v>0.191</v>
      </c>
      <c r="CR45" s="28">
        <v>0.99900000000000011</v>
      </c>
      <c r="CS45" s="28">
        <v>0.59299999999999997</v>
      </c>
      <c r="CT45" s="28">
        <v>0.38945263157894738</v>
      </c>
      <c r="CU45" s="34">
        <v>36.997999999999998</v>
      </c>
    </row>
    <row r="46" spans="1:99" x14ac:dyDescent="0.25">
      <c r="A46" s="24">
        <v>45</v>
      </c>
      <c r="B46" s="26">
        <v>22</v>
      </c>
      <c r="C46" s="28">
        <v>0.246</v>
      </c>
      <c r="D46" s="28">
        <v>0.42399999999999999</v>
      </c>
      <c r="E46" s="28">
        <v>0.54900000000000004</v>
      </c>
      <c r="F46" s="28">
        <v>0.29899999999999999</v>
      </c>
      <c r="G46" s="28">
        <v>5.3999999999999999E-2</v>
      </c>
      <c r="H46" s="28">
        <v>0.193</v>
      </c>
      <c r="I46" s="28">
        <v>0.23400000000000001</v>
      </c>
      <c r="J46" s="28">
        <v>5.0999999999999997E-2</v>
      </c>
      <c r="K46" s="28">
        <v>4.2999999999999997E-2</v>
      </c>
      <c r="L46" s="28">
        <v>0.24399999999999999</v>
      </c>
      <c r="M46" s="28">
        <v>0.58799999999999997</v>
      </c>
      <c r="N46" s="28">
        <v>0.41</v>
      </c>
      <c r="O46" s="28">
        <v>9.6000000000000002E-2</v>
      </c>
      <c r="P46" s="28">
        <v>9.2999999999999999E-2</v>
      </c>
      <c r="Q46" s="28">
        <v>0.25600000000000001</v>
      </c>
      <c r="R46" s="28">
        <v>0.16600000000000001</v>
      </c>
      <c r="S46" s="28">
        <v>0.05</v>
      </c>
      <c r="T46" s="28">
        <v>0.49399999999999999</v>
      </c>
      <c r="U46" s="28">
        <v>0.47799999999999998</v>
      </c>
      <c r="V46" s="28">
        <v>0.503</v>
      </c>
      <c r="W46" s="28">
        <v>0</v>
      </c>
      <c r="X46" s="28">
        <v>0.246</v>
      </c>
      <c r="Y46" s="28">
        <v>0.433</v>
      </c>
      <c r="Z46" s="28">
        <v>0.1</v>
      </c>
      <c r="AA46" s="28">
        <v>0.13600000000000001</v>
      </c>
      <c r="AB46" s="28">
        <v>0.69599999999999995</v>
      </c>
      <c r="AC46" s="28">
        <v>0.46</v>
      </c>
      <c r="AD46" s="28">
        <v>0.82399999999999995</v>
      </c>
      <c r="AE46" s="28">
        <v>0.36799999999999999</v>
      </c>
      <c r="AF46" s="28">
        <v>6.8999999999999992E-2</v>
      </c>
      <c r="AG46" s="28">
        <v>0.216</v>
      </c>
      <c r="AH46" s="28">
        <v>0.23400000000000001</v>
      </c>
      <c r="AI46" s="28">
        <v>0.29699999999999999</v>
      </c>
      <c r="AJ46" s="28">
        <v>0.307</v>
      </c>
      <c r="AK46" s="28">
        <v>0.94600000000000006</v>
      </c>
      <c r="AL46" s="28">
        <v>0.42599999999999999</v>
      </c>
      <c r="AM46" s="28">
        <v>1.448</v>
      </c>
      <c r="AN46" s="28">
        <v>4.5999999999999999E-2</v>
      </c>
      <c r="AO46" s="28">
        <v>0.06</v>
      </c>
      <c r="AP46" s="28">
        <v>0.81800000000000006</v>
      </c>
      <c r="AQ46" s="28">
        <v>5.8000000000000003E-2</v>
      </c>
      <c r="AR46" s="28">
        <v>0.16600000000000001</v>
      </c>
      <c r="AS46" s="28">
        <v>0.69300000000000006</v>
      </c>
      <c r="AT46" s="28">
        <v>0.23799999999999999</v>
      </c>
      <c r="AU46" s="28">
        <v>0</v>
      </c>
      <c r="AV46" s="28">
        <v>0.72900000000000009</v>
      </c>
      <c r="AW46" s="28">
        <v>0.69599999999999995</v>
      </c>
      <c r="AX46" s="28">
        <v>0.48799999999999999</v>
      </c>
      <c r="AY46" s="28">
        <v>0.12</v>
      </c>
      <c r="AZ46" s="28">
        <v>0.106</v>
      </c>
      <c r="BA46" s="28">
        <v>0.501</v>
      </c>
      <c r="BB46" s="28">
        <v>0.24</v>
      </c>
      <c r="BC46" s="28">
        <v>0.36399999999999999</v>
      </c>
      <c r="BD46" s="28">
        <v>5.5E-2</v>
      </c>
      <c r="BE46" s="28">
        <v>0</v>
      </c>
      <c r="BF46" s="28">
        <v>0.32100000000000001</v>
      </c>
      <c r="BG46" s="28">
        <v>8.7999999999999995E-2</v>
      </c>
      <c r="BH46" s="28">
        <v>0.38300000000000001</v>
      </c>
      <c r="BI46" s="28">
        <v>0.44900000000000001</v>
      </c>
      <c r="BJ46" s="28">
        <v>0.11899999999999999</v>
      </c>
      <c r="BK46" s="28">
        <v>0.59299999999999997</v>
      </c>
      <c r="BL46" s="28">
        <v>0.30399999999999999</v>
      </c>
      <c r="BM46" s="28">
        <v>0.621</v>
      </c>
      <c r="BN46" s="28">
        <v>0.36799999999999999</v>
      </c>
      <c r="BO46" s="28">
        <v>0.374</v>
      </c>
      <c r="BP46" s="28">
        <v>1.147</v>
      </c>
      <c r="BQ46" s="28">
        <v>0.98599999999999988</v>
      </c>
      <c r="BR46" s="28">
        <v>0.30599999999999999</v>
      </c>
      <c r="BS46" s="28">
        <v>0</v>
      </c>
      <c r="BT46" s="28">
        <v>0.13100000000000001</v>
      </c>
      <c r="BU46" s="28">
        <v>0.32</v>
      </c>
      <c r="BV46" s="28">
        <v>0.53399999999999992</v>
      </c>
      <c r="BW46" s="28">
        <v>0.68099999999999994</v>
      </c>
      <c r="BX46" s="28">
        <v>0.21</v>
      </c>
      <c r="BY46" s="28">
        <v>0.499</v>
      </c>
      <c r="BZ46" s="28">
        <v>5.8000000000000003E-2</v>
      </c>
      <c r="CA46" s="28">
        <v>0.15</v>
      </c>
      <c r="CB46" s="28">
        <v>0</v>
      </c>
      <c r="CC46" s="28">
        <v>0.13800000000000001</v>
      </c>
      <c r="CD46" s="28">
        <v>0.39600000000000002</v>
      </c>
      <c r="CE46" s="28">
        <v>0</v>
      </c>
      <c r="CF46" s="28">
        <v>0.13600000000000001</v>
      </c>
      <c r="CG46" s="28">
        <v>0.30099999999999999</v>
      </c>
      <c r="CH46" s="28">
        <v>0.47299999999999998</v>
      </c>
      <c r="CI46" s="28">
        <v>0.45400000000000001</v>
      </c>
      <c r="CJ46" s="28">
        <v>0.80099999999999993</v>
      </c>
      <c r="CK46" s="28">
        <v>0.69700000000000006</v>
      </c>
      <c r="CL46" s="28">
        <v>0.53300000000000003</v>
      </c>
      <c r="CM46" s="28">
        <v>4.8000000000000001E-2</v>
      </c>
      <c r="CN46" s="28">
        <v>0.41599999999999998</v>
      </c>
      <c r="CO46" s="28">
        <v>0.60099999999999998</v>
      </c>
      <c r="CP46" s="28">
        <v>0.49700000000000011</v>
      </c>
      <c r="CQ46" s="28">
        <v>9.1999999999999998E-2</v>
      </c>
      <c r="CR46" s="28">
        <v>0.39100000000000001</v>
      </c>
      <c r="CS46" s="28">
        <v>0.39100000000000001</v>
      </c>
      <c r="CT46" s="28">
        <v>0.3480210526315789</v>
      </c>
      <c r="CU46" s="34">
        <v>33.061999999999998</v>
      </c>
    </row>
    <row r="47" spans="1:99" x14ac:dyDescent="0.25">
      <c r="A47" s="24">
        <v>46</v>
      </c>
      <c r="B47" s="26">
        <v>22.5</v>
      </c>
      <c r="C47" s="28">
        <v>0.41199999999999998</v>
      </c>
      <c r="D47" s="28">
        <v>0.26300000000000001</v>
      </c>
      <c r="E47" s="28">
        <v>0.27100000000000002</v>
      </c>
      <c r="F47" s="28">
        <v>0.32100000000000001</v>
      </c>
      <c r="G47" s="28">
        <v>0.30199999999999999</v>
      </c>
      <c r="H47" s="28">
        <v>0.156</v>
      </c>
      <c r="I47" s="28">
        <v>0.35199999999999998</v>
      </c>
      <c r="J47" s="28">
        <v>0.20499999999999999</v>
      </c>
      <c r="K47" s="28">
        <v>0</v>
      </c>
      <c r="L47" s="28">
        <v>0.52899999999999991</v>
      </c>
      <c r="M47" s="28">
        <v>0.53600000000000003</v>
      </c>
      <c r="N47" s="28">
        <v>0.66799999999999993</v>
      </c>
      <c r="O47" s="28">
        <v>0.21199999999999999</v>
      </c>
      <c r="P47" s="28">
        <v>0.14499999999999999</v>
      </c>
      <c r="Q47" s="28">
        <v>0.35699999999999998</v>
      </c>
      <c r="R47" s="28">
        <v>4.7E-2</v>
      </c>
      <c r="S47" s="28">
        <v>0.05</v>
      </c>
      <c r="T47" s="28">
        <v>0.58600000000000008</v>
      </c>
      <c r="U47" s="28">
        <v>0.39</v>
      </c>
      <c r="V47" s="28">
        <v>1.885</v>
      </c>
      <c r="W47" s="28">
        <v>0</v>
      </c>
      <c r="X47" s="28">
        <v>0.14299999999999999</v>
      </c>
      <c r="Y47" s="28">
        <v>0.14399999999999999</v>
      </c>
      <c r="Z47" s="28">
        <v>0.19600000000000001</v>
      </c>
      <c r="AA47" s="28">
        <v>0.502</v>
      </c>
      <c r="AB47" s="28">
        <v>0.46100000000000002</v>
      </c>
      <c r="AC47" s="28">
        <v>5.6000000000000001E-2</v>
      </c>
      <c r="AD47" s="28">
        <v>0.499</v>
      </c>
      <c r="AE47" s="28">
        <v>0.374</v>
      </c>
      <c r="AF47" s="28">
        <v>0.313</v>
      </c>
      <c r="AG47" s="28">
        <v>0.153</v>
      </c>
      <c r="AH47" s="28">
        <v>0.14199999999999999</v>
      </c>
      <c r="AI47" s="28">
        <v>5.7000000000000002E-2</v>
      </c>
      <c r="AJ47" s="28">
        <v>0.42299999999999999</v>
      </c>
      <c r="AK47" s="28">
        <v>0</v>
      </c>
      <c r="AL47" s="28">
        <v>0.56099999999999994</v>
      </c>
      <c r="AM47" s="28">
        <v>0.59299999999999997</v>
      </c>
      <c r="AN47" s="28">
        <v>4.5999999999999999E-2</v>
      </c>
      <c r="AO47" s="28">
        <v>0.111</v>
      </c>
      <c r="AP47" s="28">
        <v>0.73699999999999999</v>
      </c>
      <c r="AQ47" s="28">
        <v>0.188</v>
      </c>
      <c r="AR47" s="28">
        <v>4.9000000000000002E-2</v>
      </c>
      <c r="AS47" s="28">
        <v>0.84299999999999997</v>
      </c>
      <c r="AT47" s="28">
        <v>0.20899999999999999</v>
      </c>
      <c r="AU47" s="28">
        <v>0</v>
      </c>
      <c r="AV47" s="28">
        <v>0.85299999999999998</v>
      </c>
      <c r="AW47" s="28">
        <v>0.33</v>
      </c>
      <c r="AX47" s="28">
        <v>0.59799999999999998</v>
      </c>
      <c r="AY47" s="28">
        <v>4.9000000000000002E-2</v>
      </c>
      <c r="AZ47" s="28">
        <v>0.19</v>
      </c>
      <c r="BA47" s="28">
        <v>0.371</v>
      </c>
      <c r="BB47" s="28">
        <v>7.5999999999999998E-2</v>
      </c>
      <c r="BC47" s="28">
        <v>5.5E-2</v>
      </c>
      <c r="BD47" s="28">
        <v>0.26100000000000001</v>
      </c>
      <c r="BE47" s="28">
        <v>0</v>
      </c>
      <c r="BF47" s="28">
        <v>0.84699999999999998</v>
      </c>
      <c r="BG47" s="28">
        <v>6.2E-2</v>
      </c>
      <c r="BH47" s="28">
        <v>0.46200000000000002</v>
      </c>
      <c r="BI47" s="28">
        <v>0.439</v>
      </c>
      <c r="BJ47" s="28">
        <v>0.17299999999999999</v>
      </c>
      <c r="BK47" s="28">
        <v>0.54500000000000004</v>
      </c>
      <c r="BL47" s="28">
        <v>0.16500000000000001</v>
      </c>
      <c r="BM47" s="28">
        <v>1.66</v>
      </c>
      <c r="BN47" s="28">
        <v>4.9000000000000002E-2</v>
      </c>
      <c r="BO47" s="28">
        <v>0.313</v>
      </c>
      <c r="BP47" s="28">
        <v>0.67400000000000004</v>
      </c>
      <c r="BQ47" s="28">
        <v>0.42</v>
      </c>
      <c r="BR47" s="28">
        <v>0.38600000000000001</v>
      </c>
      <c r="BS47" s="28">
        <v>0</v>
      </c>
      <c r="BT47" s="28">
        <v>3.7999999999999999E-2</v>
      </c>
      <c r="BU47" s="28">
        <v>0.39600000000000002</v>
      </c>
      <c r="BV47" s="28">
        <v>0.28399999999999997</v>
      </c>
      <c r="BW47" s="28">
        <v>0.75</v>
      </c>
      <c r="BX47" s="28">
        <v>5.3999999999999999E-2</v>
      </c>
      <c r="BY47" s="28">
        <v>0.43600000000000011</v>
      </c>
      <c r="BZ47" s="28">
        <v>0.27300000000000002</v>
      </c>
      <c r="CA47" s="28">
        <v>7.2000000000000008E-2</v>
      </c>
      <c r="CB47" s="28">
        <v>0</v>
      </c>
      <c r="CC47" s="28">
        <v>0.17100000000000001</v>
      </c>
      <c r="CD47" s="28">
        <v>0.46200000000000002</v>
      </c>
      <c r="CE47" s="28">
        <v>0</v>
      </c>
      <c r="CF47" s="28">
        <v>0.14199999999999999</v>
      </c>
      <c r="CG47" s="28">
        <v>8.5000000000000006E-2</v>
      </c>
      <c r="CH47" s="28">
        <v>7.3999999999999996E-2</v>
      </c>
      <c r="CI47" s="28">
        <v>0.17399999999999999</v>
      </c>
      <c r="CJ47" s="28">
        <v>0</v>
      </c>
      <c r="CK47" s="28">
        <v>0.56899999999999995</v>
      </c>
      <c r="CL47" s="28">
        <v>0.59299999999999997</v>
      </c>
      <c r="CM47" s="28">
        <v>6.4999999999999988E-2</v>
      </c>
      <c r="CN47" s="28">
        <v>0.78799999999999992</v>
      </c>
      <c r="CO47" s="28">
        <v>0.53</v>
      </c>
      <c r="CP47" s="28">
        <v>0.60699999999999998</v>
      </c>
      <c r="CQ47" s="28">
        <v>5.0999999999999997E-2</v>
      </c>
      <c r="CR47" s="28">
        <v>0.309</v>
      </c>
      <c r="CS47" s="28">
        <v>0.16800000000000001</v>
      </c>
      <c r="CT47" s="28">
        <v>0.32164210526315778</v>
      </c>
      <c r="CU47" s="34">
        <v>30.556000000000001</v>
      </c>
    </row>
    <row r="48" spans="1:99" x14ac:dyDescent="0.25">
      <c r="A48" s="24">
        <v>47</v>
      </c>
      <c r="B48" s="26">
        <v>23</v>
      </c>
      <c r="C48" s="28">
        <v>0.24099999999999999</v>
      </c>
      <c r="D48" s="28">
        <v>0.317</v>
      </c>
      <c r="E48" s="28">
        <v>0.17299999999999999</v>
      </c>
      <c r="F48" s="28">
        <v>5.7000000000000002E-2</v>
      </c>
      <c r="G48" s="28">
        <v>8.3000000000000004E-2</v>
      </c>
      <c r="H48" s="28">
        <v>0.05</v>
      </c>
      <c r="I48" s="28">
        <v>0.13100000000000001</v>
      </c>
      <c r="J48" s="28">
        <v>0.10299999999999999</v>
      </c>
      <c r="K48" s="28">
        <v>0</v>
      </c>
      <c r="L48" s="28">
        <v>0.32600000000000001</v>
      </c>
      <c r="M48" s="28">
        <v>0.34100000000000003</v>
      </c>
      <c r="N48" s="28">
        <v>0.38600000000000001</v>
      </c>
      <c r="O48" s="28">
        <v>0.36599999999999999</v>
      </c>
      <c r="P48" s="28">
        <v>4.7E-2</v>
      </c>
      <c r="Q48" s="28">
        <v>0.217</v>
      </c>
      <c r="R48" s="28">
        <v>4.7E-2</v>
      </c>
      <c r="S48" s="28">
        <v>0.05</v>
      </c>
      <c r="T48" s="28">
        <v>0.495</v>
      </c>
      <c r="U48" s="28">
        <v>2.0329999999999999</v>
      </c>
      <c r="V48" s="28">
        <v>0.184</v>
      </c>
      <c r="W48" s="28">
        <v>0</v>
      </c>
      <c r="X48" s="28">
        <v>0.152</v>
      </c>
      <c r="Y48" s="28">
        <v>0.217</v>
      </c>
      <c r="Z48" s="28">
        <v>0.376</v>
      </c>
      <c r="AA48" s="28">
        <v>5.3999999999999999E-2</v>
      </c>
      <c r="AB48" s="28">
        <v>0.37</v>
      </c>
      <c r="AC48" s="28">
        <v>5.6000000000000001E-2</v>
      </c>
      <c r="AD48" s="28">
        <v>0.435</v>
      </c>
      <c r="AE48" s="28">
        <v>0.43</v>
      </c>
      <c r="AF48" s="28">
        <v>5.3999999999999999E-2</v>
      </c>
      <c r="AG48" s="28">
        <v>3.5999999999999997E-2</v>
      </c>
      <c r="AH48" s="28">
        <v>0.19700000000000001</v>
      </c>
      <c r="AI48" s="28">
        <v>0.193</v>
      </c>
      <c r="AJ48" s="28">
        <v>0.85699999999999998</v>
      </c>
      <c r="AK48" s="28">
        <v>0</v>
      </c>
      <c r="AL48" s="28">
        <v>0.51600000000000001</v>
      </c>
      <c r="AM48" s="28">
        <v>0.223</v>
      </c>
      <c r="AN48" s="28">
        <v>0.192</v>
      </c>
      <c r="AO48" s="28">
        <v>0.26700000000000002</v>
      </c>
      <c r="AP48" s="28">
        <v>0.70200000000000007</v>
      </c>
      <c r="AQ48" s="28">
        <v>7.9000000000000001E-2</v>
      </c>
      <c r="AR48" s="28">
        <v>4.9000000000000002E-2</v>
      </c>
      <c r="AS48" s="28">
        <v>0.70100000000000007</v>
      </c>
      <c r="AT48" s="28">
        <v>0.26500000000000001</v>
      </c>
      <c r="AU48" s="28">
        <v>0</v>
      </c>
      <c r="AV48" s="28">
        <v>0.67599999999999993</v>
      </c>
      <c r="AW48" s="28">
        <v>0.26100000000000001</v>
      </c>
      <c r="AX48" s="28">
        <v>0.55500000000000005</v>
      </c>
      <c r="AY48" s="28">
        <v>0.14399999999999999</v>
      </c>
      <c r="AZ48" s="28">
        <v>0.13300000000000001</v>
      </c>
      <c r="BA48" s="28">
        <v>0.38900000000000001</v>
      </c>
      <c r="BB48" s="28">
        <v>0.13800000000000001</v>
      </c>
      <c r="BC48" s="28">
        <v>0.30299999999999999</v>
      </c>
      <c r="BD48" s="28">
        <v>9.0999999999999998E-2</v>
      </c>
      <c r="BE48" s="28">
        <v>0</v>
      </c>
      <c r="BF48" s="28">
        <v>0.28899999999999998</v>
      </c>
      <c r="BG48" s="28">
        <v>0.23499999999999999</v>
      </c>
      <c r="BH48" s="28">
        <v>0.185</v>
      </c>
      <c r="BI48" s="28">
        <v>0.44</v>
      </c>
      <c r="BJ48" s="28">
        <v>0.14199999999999999</v>
      </c>
      <c r="BK48" s="28">
        <v>3.7999999999999999E-2</v>
      </c>
      <c r="BL48" s="28">
        <v>0.182</v>
      </c>
      <c r="BM48" s="28">
        <v>0.68</v>
      </c>
      <c r="BN48" s="28">
        <v>0.11700000000000001</v>
      </c>
      <c r="BO48" s="28">
        <v>0.13200000000000001</v>
      </c>
      <c r="BP48" s="28">
        <v>1.002</v>
      </c>
      <c r="BQ48" s="28">
        <v>0.38</v>
      </c>
      <c r="BR48" s="28">
        <v>0.27700000000000002</v>
      </c>
      <c r="BS48" s="28">
        <v>0</v>
      </c>
      <c r="BT48" s="28">
        <v>0.13900000000000001</v>
      </c>
      <c r="BU48" s="28">
        <v>0.35799999999999998</v>
      </c>
      <c r="BV48" s="28">
        <v>0.48399999999999999</v>
      </c>
      <c r="BW48" s="28">
        <v>0.56700000000000006</v>
      </c>
      <c r="BX48" s="28">
        <v>0.40600000000000003</v>
      </c>
      <c r="BY48" s="28">
        <v>0.59599999999999997</v>
      </c>
      <c r="BZ48" s="28">
        <v>0.14799999999999999</v>
      </c>
      <c r="CA48" s="28">
        <v>0.33400000000000002</v>
      </c>
      <c r="CB48" s="28">
        <v>0</v>
      </c>
      <c r="CC48" s="28">
        <v>0.20599999999999999</v>
      </c>
      <c r="CD48" s="28">
        <v>5.2999999999999999E-2</v>
      </c>
      <c r="CE48" s="28">
        <v>0</v>
      </c>
      <c r="CF48" s="28">
        <v>0.14199999999999999</v>
      </c>
      <c r="CG48" s="28">
        <v>7.9000000000000001E-2</v>
      </c>
      <c r="CH48" s="28">
        <v>0.19900000000000001</v>
      </c>
      <c r="CI48" s="28">
        <v>0.32300000000000001</v>
      </c>
      <c r="CJ48" s="28">
        <v>0</v>
      </c>
      <c r="CK48" s="28">
        <v>0.51</v>
      </c>
      <c r="CL48" s="28">
        <v>0.54600000000000004</v>
      </c>
      <c r="CM48" s="28">
        <v>0.108</v>
      </c>
      <c r="CN48" s="28">
        <v>0.27400000000000002</v>
      </c>
      <c r="CO48" s="28">
        <v>0.05</v>
      </c>
      <c r="CP48" s="28">
        <v>0.26500000000000001</v>
      </c>
      <c r="CQ48" s="28">
        <v>0.16600000000000001</v>
      </c>
      <c r="CR48" s="28">
        <v>0.16800000000000001</v>
      </c>
      <c r="CS48" s="28">
        <v>0.16300000000000001</v>
      </c>
      <c r="CT48" s="28">
        <v>0.26464210526315801</v>
      </c>
      <c r="CU48" s="34">
        <v>25.141000000000009</v>
      </c>
    </row>
    <row r="49" spans="1:99" x14ac:dyDescent="0.25">
      <c r="A49" s="25">
        <v>48</v>
      </c>
      <c r="B49" s="27">
        <v>23.5</v>
      </c>
      <c r="C49" s="29">
        <v>0.44700000000000001</v>
      </c>
      <c r="D49" s="29">
        <v>4.2999999999999997E-2</v>
      </c>
      <c r="E49" s="29">
        <v>0.34599999999999997</v>
      </c>
      <c r="F49" s="29">
        <v>5.7000000000000002E-2</v>
      </c>
      <c r="G49" s="29">
        <v>5.3999999999999999E-2</v>
      </c>
      <c r="H49" s="29">
        <v>0.19400000000000001</v>
      </c>
      <c r="I49" s="29">
        <v>8.1000000000000003E-2</v>
      </c>
      <c r="J49" s="29">
        <v>5.5E-2</v>
      </c>
      <c r="K49" s="29">
        <v>0</v>
      </c>
      <c r="L49" s="29">
        <v>4.1000000000000002E-2</v>
      </c>
      <c r="M49" s="29">
        <v>0.11700000000000001</v>
      </c>
      <c r="N49" s="29">
        <v>5.5E-2</v>
      </c>
      <c r="O49" s="29">
        <v>0.42399999999999999</v>
      </c>
      <c r="P49" s="29">
        <v>4.7E-2</v>
      </c>
      <c r="Q49" s="29">
        <v>5.3999999999999999E-2</v>
      </c>
      <c r="R49" s="29">
        <v>0.34300000000000003</v>
      </c>
      <c r="S49" s="29">
        <v>0.05</v>
      </c>
      <c r="T49" s="29">
        <v>0.32800000000000001</v>
      </c>
      <c r="U49" s="29">
        <v>0.48599999999999999</v>
      </c>
      <c r="V49" s="29">
        <v>4.1000000000000002E-2</v>
      </c>
      <c r="W49" s="29">
        <v>0</v>
      </c>
      <c r="X49" s="29">
        <v>8.7999999999999995E-2</v>
      </c>
      <c r="Y49" s="29">
        <v>5.8000000000000003E-2</v>
      </c>
      <c r="Z49" s="29">
        <v>0.47799999999999998</v>
      </c>
      <c r="AA49" s="29">
        <v>0.17399999999999999</v>
      </c>
      <c r="AB49" s="29">
        <v>0.192</v>
      </c>
      <c r="AC49" s="29">
        <v>0.129</v>
      </c>
      <c r="AD49" s="29">
        <v>0.54799999999999993</v>
      </c>
      <c r="AE49" s="29">
        <v>0.40899999999999997</v>
      </c>
      <c r="AF49" s="29">
        <v>0.32</v>
      </c>
      <c r="AG49" s="29">
        <v>4.8000000000000001E-2</v>
      </c>
      <c r="AH49" s="29">
        <v>0.17899999999999999</v>
      </c>
      <c r="AI49" s="29">
        <v>0.151</v>
      </c>
      <c r="AJ49" s="29">
        <v>0.74299999999999999</v>
      </c>
      <c r="AK49" s="29">
        <v>0</v>
      </c>
      <c r="AL49" s="29">
        <v>0.159</v>
      </c>
      <c r="AM49" s="29">
        <v>0.16200000000000001</v>
      </c>
      <c r="AN49" s="29">
        <v>0.72499999999999998</v>
      </c>
      <c r="AO49" s="29">
        <v>6.3E-2</v>
      </c>
      <c r="AP49" s="29">
        <v>0.32100000000000001</v>
      </c>
      <c r="AQ49" s="29">
        <v>5.8000000000000003E-2</v>
      </c>
      <c r="AR49" s="29">
        <v>6.8000000000000005E-2</v>
      </c>
      <c r="AS49" s="29">
        <v>0.68499999999999994</v>
      </c>
      <c r="AT49" s="29">
        <v>0.21299999999999999</v>
      </c>
      <c r="AU49" s="29">
        <v>0</v>
      </c>
      <c r="AV49" s="29">
        <v>0.60899999999999999</v>
      </c>
      <c r="AW49" s="29">
        <v>0.16400000000000001</v>
      </c>
      <c r="AX49" s="29">
        <v>0.623</v>
      </c>
      <c r="AY49" s="29">
        <v>4.9000000000000002E-2</v>
      </c>
      <c r="AZ49" s="29">
        <v>0.113</v>
      </c>
      <c r="BA49" s="29">
        <v>0.33700000000000002</v>
      </c>
      <c r="BB49" s="29">
        <v>0.20699999999999999</v>
      </c>
      <c r="BC49" s="29">
        <v>0.39400000000000002</v>
      </c>
      <c r="BD49" s="29">
        <v>0.22</v>
      </c>
      <c r="BE49" s="29">
        <v>0</v>
      </c>
      <c r="BF49" s="29">
        <v>4.8000000000000001E-2</v>
      </c>
      <c r="BG49" s="29">
        <v>4.7E-2</v>
      </c>
      <c r="BH49" s="29">
        <v>2.9000000000000001E-2</v>
      </c>
      <c r="BI49" s="29">
        <v>0.253</v>
      </c>
      <c r="BJ49" s="29">
        <v>0.14499999999999999</v>
      </c>
      <c r="BK49" s="29">
        <v>0.153</v>
      </c>
      <c r="BL49" s="29">
        <v>0.34699999999999998</v>
      </c>
      <c r="BM49" s="29">
        <v>0.505</v>
      </c>
      <c r="BN49" s="29">
        <v>0.23</v>
      </c>
      <c r="BO49" s="29">
        <v>4.7E-2</v>
      </c>
      <c r="BP49" s="29">
        <v>6.3E-2</v>
      </c>
      <c r="BQ49" s="29">
        <v>5.5E-2</v>
      </c>
      <c r="BR49" s="29">
        <v>9.0000000000000011E-2</v>
      </c>
      <c r="BS49" s="29">
        <v>0</v>
      </c>
      <c r="BT49" s="29">
        <v>3.7999999999999999E-2</v>
      </c>
      <c r="BU49" s="29">
        <v>0.17100000000000001</v>
      </c>
      <c r="BV49" s="29">
        <v>0.151</v>
      </c>
      <c r="BW49" s="29">
        <v>0.501</v>
      </c>
      <c r="BX49" s="29">
        <v>6.6000000000000003E-2</v>
      </c>
      <c r="BY49" s="29">
        <v>0.74299999999999999</v>
      </c>
      <c r="BZ49" s="29">
        <v>5.8000000000000003E-2</v>
      </c>
      <c r="CA49" s="29">
        <v>4.5999999999999999E-2</v>
      </c>
      <c r="CB49" s="29">
        <v>0</v>
      </c>
      <c r="CC49" s="29">
        <v>0.193</v>
      </c>
      <c r="CD49" s="29">
        <v>5.2999999999999999E-2</v>
      </c>
      <c r="CE49" s="29">
        <v>0</v>
      </c>
      <c r="CF49" s="29">
        <v>0.218</v>
      </c>
      <c r="CG49" s="29">
        <v>0.13700000000000001</v>
      </c>
      <c r="CH49" s="29">
        <v>0.05</v>
      </c>
      <c r="CI49" s="29">
        <v>4.0000000000000001E-3</v>
      </c>
      <c r="CJ49" s="29">
        <v>0</v>
      </c>
      <c r="CK49" s="29">
        <v>7.4999999999999997E-2</v>
      </c>
      <c r="CL49" s="29">
        <v>0.23499999999999999</v>
      </c>
      <c r="CM49" s="29">
        <v>7.8E-2</v>
      </c>
      <c r="CN49" s="29">
        <v>7.2000000000000008E-2</v>
      </c>
      <c r="CO49" s="29">
        <v>8.7999999999999995E-2</v>
      </c>
      <c r="CP49" s="29">
        <v>0.14199999999999999</v>
      </c>
      <c r="CQ49" s="29">
        <v>0.11700000000000001</v>
      </c>
      <c r="CR49" s="29">
        <v>0.22500000000000001</v>
      </c>
      <c r="CS49" s="29">
        <v>0.218</v>
      </c>
      <c r="CT49" s="29">
        <v>0.1856947368421053</v>
      </c>
      <c r="CU49" s="35">
        <v>17.640999999999998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99" width="15" customWidth="1"/>
  </cols>
  <sheetData>
    <row r="1" spans="1:99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9" t="s">
        <v>133</v>
      </c>
    </row>
    <row r="2" spans="1:99" x14ac:dyDescent="0.25">
      <c r="A2" s="24">
        <v>1</v>
      </c>
      <c r="B2" s="26">
        <v>0</v>
      </c>
      <c r="C2" s="28">
        <v>4.3133333333306162E-4</v>
      </c>
      <c r="D2" s="28">
        <v>-6.9388939039072284E-18</v>
      </c>
      <c r="E2" s="28">
        <v>-2.666666666698014E-5</v>
      </c>
      <c r="F2" s="28">
        <v>0</v>
      </c>
      <c r="G2" s="28">
        <v>0</v>
      </c>
      <c r="H2" s="28">
        <v>-4.9333333333301255E-4</v>
      </c>
      <c r="I2" s="28">
        <v>0</v>
      </c>
      <c r="J2" s="28">
        <v>4.2733333333330042E-4</v>
      </c>
      <c r="K2" s="28">
        <v>-2.5166666666709409E-4</v>
      </c>
      <c r="L2" s="28">
        <v>-2.6299999999998552E-4</v>
      </c>
      <c r="M2" s="28">
        <v>2.6666666666699812E-4</v>
      </c>
      <c r="N2" s="28">
        <v>6.7999999999984739E-5</v>
      </c>
      <c r="O2" s="28">
        <v>-3.5799999999999721E-4</v>
      </c>
      <c r="P2" s="28">
        <v>2.9333333333300682E-4</v>
      </c>
      <c r="Q2" s="28">
        <v>0</v>
      </c>
      <c r="R2" s="28">
        <v>3.5733333333340389E-4</v>
      </c>
      <c r="S2" s="28">
        <v>0</v>
      </c>
      <c r="T2" s="28">
        <v>0</v>
      </c>
      <c r="U2" s="28">
        <v>-1.586666666669734E-4</v>
      </c>
      <c r="V2" s="28">
        <v>-2.8333333333299682E-4</v>
      </c>
      <c r="W2" s="28">
        <v>0</v>
      </c>
      <c r="X2" s="28">
        <v>-9.2000000000008741E-5</v>
      </c>
      <c r="Y2" s="28">
        <v>2.1700000000013381E-4</v>
      </c>
      <c r="Z2" s="28">
        <v>-7.499999999999174E-5</v>
      </c>
      <c r="AA2" s="28">
        <v>0</v>
      </c>
      <c r="AB2" s="28">
        <v>0</v>
      </c>
      <c r="AC2" s="28">
        <v>7.9999999999968985E-5</v>
      </c>
      <c r="AD2" s="28">
        <v>4.579999999999862E-4</v>
      </c>
      <c r="AE2" s="28">
        <v>3.5366666666700192E-4</v>
      </c>
      <c r="AF2" s="28">
        <v>-3.8300000000002221E-4</v>
      </c>
      <c r="AG2" s="28">
        <v>-6.9388939039072284E-18</v>
      </c>
      <c r="AH2" s="28">
        <v>1.833333333329801E-4</v>
      </c>
      <c r="AI2" s="28">
        <v>-1.070000000000237E-4</v>
      </c>
      <c r="AJ2" s="28">
        <v>-4.8333333333300249E-4</v>
      </c>
      <c r="AK2" s="28">
        <v>-4.9099999999990818E-4</v>
      </c>
      <c r="AL2" s="28">
        <v>0</v>
      </c>
      <c r="AM2" s="28">
        <v>0</v>
      </c>
      <c r="AN2" s="28">
        <v>-2.426666666670019E-4</v>
      </c>
      <c r="AO2" s="28">
        <v>-1.2666666666993899E-5</v>
      </c>
      <c r="AP2" s="28">
        <v>0</v>
      </c>
      <c r="AQ2" s="28">
        <v>0</v>
      </c>
      <c r="AR2" s="28">
        <v>0</v>
      </c>
      <c r="AS2" s="28">
        <v>-7.899999999999574E-5</v>
      </c>
      <c r="AT2" s="28">
        <v>1.406666666669554E-4</v>
      </c>
      <c r="AU2" s="28">
        <v>1.6266666666700511E-4</v>
      </c>
      <c r="AV2" s="28">
        <v>6.0333333332995842E-5</v>
      </c>
      <c r="AW2" s="28">
        <v>1.0933333333298929E-4</v>
      </c>
      <c r="AX2" s="28">
        <v>-1.659999999999717E-4</v>
      </c>
      <c r="AY2" s="28">
        <v>-5.3333333333016597E-5</v>
      </c>
      <c r="AZ2" s="28">
        <v>-4.0066666666699341E-4</v>
      </c>
      <c r="BA2" s="28">
        <v>0</v>
      </c>
      <c r="BB2" s="28">
        <v>0</v>
      </c>
      <c r="BC2" s="28">
        <v>2.8700000000003723E-4</v>
      </c>
      <c r="BD2" s="28">
        <v>3.3866666666701462E-4</v>
      </c>
      <c r="BE2" s="28">
        <v>2.2666666666704141E-4</v>
      </c>
      <c r="BF2" s="28">
        <v>0</v>
      </c>
      <c r="BG2" s="28">
        <v>3.4400000000001102E-4</v>
      </c>
      <c r="BH2" s="28">
        <v>0</v>
      </c>
      <c r="BI2" s="28">
        <v>2.093333333330061E-4</v>
      </c>
      <c r="BJ2" s="28">
        <v>-2.3200000000001E-4</v>
      </c>
      <c r="BK2" s="28">
        <v>4.3233333333340262E-4</v>
      </c>
      <c r="BL2" s="28">
        <v>0</v>
      </c>
      <c r="BM2" s="28">
        <v>0</v>
      </c>
      <c r="BN2" s="28">
        <v>-4.9799999999999844E-4</v>
      </c>
      <c r="BO2" s="28">
        <v>2.7333333333395832E-4</v>
      </c>
      <c r="BP2" s="28">
        <v>3.7399999999998551E-4</v>
      </c>
      <c r="BQ2" s="28">
        <v>4.3199999999998789E-4</v>
      </c>
      <c r="BR2" s="28">
        <v>-1.546666666669694E-4</v>
      </c>
      <c r="BS2" s="28">
        <v>-2.03999999999982E-4</v>
      </c>
      <c r="BT2" s="28">
        <v>0</v>
      </c>
      <c r="BU2" s="28">
        <v>1.973333333339933E-4</v>
      </c>
      <c r="BV2" s="28">
        <v>-2.0000000000006121E-5</v>
      </c>
      <c r="BW2" s="28">
        <v>0</v>
      </c>
      <c r="BX2" s="28">
        <v>-2.5333333332988591E-5</v>
      </c>
      <c r="BY2" s="28">
        <v>0</v>
      </c>
      <c r="BZ2" s="28">
        <v>-3.1199999999997902E-4</v>
      </c>
      <c r="CA2" s="28">
        <v>8.6666666670176529E-6</v>
      </c>
      <c r="CB2" s="28">
        <v>9.3333333330003487E-6</v>
      </c>
      <c r="CC2" s="28">
        <v>3.5666666666989137E-5</v>
      </c>
      <c r="CD2" s="28">
        <v>0</v>
      </c>
      <c r="CE2" s="28">
        <v>0</v>
      </c>
      <c r="CF2" s="28">
        <v>-4.1066666666611518E-4</v>
      </c>
      <c r="CG2" s="28">
        <v>1.3033333333298261E-4</v>
      </c>
      <c r="CH2" s="28">
        <v>0</v>
      </c>
      <c r="CI2" s="28">
        <v>0</v>
      </c>
      <c r="CJ2" s="28">
        <v>-4.9866666666997794E-4</v>
      </c>
      <c r="CK2" s="28">
        <v>3.1866666666702242E-4</v>
      </c>
      <c r="CL2" s="28">
        <v>0</v>
      </c>
      <c r="CM2" s="28">
        <v>-3.999999999999837E-5</v>
      </c>
      <c r="CN2" s="28">
        <v>2.399999999999625E-5</v>
      </c>
      <c r="CO2" s="28">
        <v>2.279999999999921E-4</v>
      </c>
      <c r="CP2" s="28">
        <v>-4.0600000000001751E-4</v>
      </c>
      <c r="CQ2" s="28">
        <v>4.6366666666700079E-4</v>
      </c>
      <c r="CR2" s="28">
        <v>1.950000000000007E-4</v>
      </c>
      <c r="CS2" s="28">
        <v>-3.2666666666958388E-5</v>
      </c>
      <c r="CT2" s="28">
        <v>9.2912280701602862E-6</v>
      </c>
      <c r="CU2" s="34">
        <v>8.826666666652272E-4</v>
      </c>
    </row>
    <row r="3" spans="1:99" x14ac:dyDescent="0.25">
      <c r="A3" s="24">
        <v>2</v>
      </c>
      <c r="B3" s="26">
        <v>0.5</v>
      </c>
      <c r="C3" s="28">
        <v>-3.6399999999998928E-4</v>
      </c>
      <c r="D3" s="28">
        <v>4.5400000000001001E-4</v>
      </c>
      <c r="E3" s="28">
        <v>0</v>
      </c>
      <c r="F3" s="28">
        <v>0</v>
      </c>
      <c r="G3" s="28">
        <v>-1.7100000000000451E-4</v>
      </c>
      <c r="H3" s="28">
        <v>-4.1999999999997589E-4</v>
      </c>
      <c r="I3" s="28">
        <v>0</v>
      </c>
      <c r="J3" s="28">
        <v>-5.0000000000000044E-4</v>
      </c>
      <c r="K3" s="28">
        <v>4.790000000000072E-4</v>
      </c>
      <c r="L3" s="28">
        <v>6.9999999999958984E-5</v>
      </c>
      <c r="M3" s="28">
        <v>1.0000000000000291E-4</v>
      </c>
      <c r="N3" s="28">
        <v>1.2399999999999911E-4</v>
      </c>
      <c r="O3" s="28">
        <v>0</v>
      </c>
      <c r="P3" s="28">
        <v>0</v>
      </c>
      <c r="Q3" s="28">
        <v>-4.7999999999992493E-5</v>
      </c>
      <c r="R3" s="28">
        <v>-4.2599999999998189E-4</v>
      </c>
      <c r="S3" s="28">
        <v>0</v>
      </c>
      <c r="T3" s="28">
        <v>2.0000000000020002E-6</v>
      </c>
      <c r="U3" s="28">
        <v>-6.6666666666992391E-5</v>
      </c>
      <c r="V3" s="28">
        <v>9.9999999999988987E-5</v>
      </c>
      <c r="W3" s="28">
        <v>-3.999999999999837E-5</v>
      </c>
      <c r="X3" s="28">
        <v>4.7999999999992493E-5</v>
      </c>
      <c r="Y3" s="28">
        <v>0</v>
      </c>
      <c r="Z3" s="28">
        <v>9.4999999999983986E-5</v>
      </c>
      <c r="AA3" s="28">
        <v>4.190000000000027E-4</v>
      </c>
      <c r="AB3" s="28">
        <v>3.5999999999999921E-4</v>
      </c>
      <c r="AC3" s="28">
        <v>0</v>
      </c>
      <c r="AD3" s="28">
        <v>-4.453333333329923E-4</v>
      </c>
      <c r="AE3" s="28">
        <v>9.1000000000007741E-5</v>
      </c>
      <c r="AF3" s="28">
        <v>3.1999999999998702E-4</v>
      </c>
      <c r="AG3" s="28">
        <v>-3.1333333333299912E-4</v>
      </c>
      <c r="AH3" s="28">
        <v>4.3266666666701148E-4</v>
      </c>
      <c r="AI3" s="28">
        <v>0</v>
      </c>
      <c r="AJ3" s="28">
        <v>0</v>
      </c>
      <c r="AK3" s="28">
        <v>1.183333333329983E-4</v>
      </c>
      <c r="AL3" s="28">
        <v>0</v>
      </c>
      <c r="AM3" s="28">
        <v>1.9000000000002351E-4</v>
      </c>
      <c r="AN3" s="28">
        <v>0</v>
      </c>
      <c r="AO3" s="28">
        <v>2.8300000000003322E-4</v>
      </c>
      <c r="AP3" s="28">
        <v>-1.159999999999911E-4</v>
      </c>
      <c r="AQ3" s="28">
        <v>0</v>
      </c>
      <c r="AR3" s="28">
        <v>0</v>
      </c>
      <c r="AS3" s="28">
        <v>-2.7733333333301863E-4</v>
      </c>
      <c r="AT3" s="28">
        <v>-3.7200000000001121E-4</v>
      </c>
      <c r="AU3" s="28">
        <v>0</v>
      </c>
      <c r="AV3" s="28">
        <v>3.2166666666699761E-4</v>
      </c>
      <c r="AW3" s="28">
        <v>1.933333333330178E-4</v>
      </c>
      <c r="AX3" s="28">
        <v>4.666666666697239E-5</v>
      </c>
      <c r="AY3" s="28">
        <v>0</v>
      </c>
      <c r="AZ3" s="28">
        <v>-1.953333333329921E-4</v>
      </c>
      <c r="BA3" s="28">
        <v>0</v>
      </c>
      <c r="BB3" s="28">
        <v>2.5866666666701787E-4</v>
      </c>
      <c r="BC3" s="28">
        <v>-2.2533333333307759E-4</v>
      </c>
      <c r="BD3" s="28">
        <v>2.5199999999998829E-4</v>
      </c>
      <c r="BE3" s="28">
        <v>4.8233333333300149E-4</v>
      </c>
      <c r="BF3" s="28">
        <v>0</v>
      </c>
      <c r="BG3" s="28">
        <v>0</v>
      </c>
      <c r="BH3" s="28">
        <v>0</v>
      </c>
      <c r="BI3" s="28">
        <v>1.3533333333298761E-4</v>
      </c>
      <c r="BJ3" s="28">
        <v>1.2933333333298161E-4</v>
      </c>
      <c r="BK3" s="28">
        <v>-1.2766666666699791E-4</v>
      </c>
      <c r="BL3" s="28">
        <v>0</v>
      </c>
      <c r="BM3" s="28">
        <v>0</v>
      </c>
      <c r="BN3" s="28">
        <v>-3.0399999999999872E-4</v>
      </c>
      <c r="BO3" s="28">
        <v>4.3000000000004151E-4</v>
      </c>
      <c r="BP3" s="28">
        <v>-4.6466666666700179E-4</v>
      </c>
      <c r="BQ3" s="28">
        <v>0</v>
      </c>
      <c r="BR3" s="28">
        <v>0.1140433333333299</v>
      </c>
      <c r="BS3" s="28">
        <v>0</v>
      </c>
      <c r="BT3" s="28">
        <v>0</v>
      </c>
      <c r="BU3" s="28">
        <v>-2.5900000000000922E-4</v>
      </c>
      <c r="BV3" s="28">
        <v>-4.733333333330203E-4</v>
      </c>
      <c r="BW3" s="28">
        <v>4.7999999999999432E-4</v>
      </c>
      <c r="BX3" s="28">
        <v>0</v>
      </c>
      <c r="BY3" s="28">
        <v>4.7233333333299149E-4</v>
      </c>
      <c r="BZ3" s="28">
        <v>4.6133333333298049E-4</v>
      </c>
      <c r="CA3" s="28">
        <v>0</v>
      </c>
      <c r="CB3" s="28">
        <v>2.5200000000002998E-4</v>
      </c>
      <c r="CC3" s="28">
        <v>3.5966666666698011E-4</v>
      </c>
      <c r="CD3" s="28">
        <v>2.006666666667031E-4</v>
      </c>
      <c r="CE3" s="28">
        <v>-3.3199999999999902E-4</v>
      </c>
      <c r="CF3" s="28">
        <v>-1.993333333329961E-4</v>
      </c>
      <c r="CG3" s="28">
        <v>4.383333333329853E-4</v>
      </c>
      <c r="CH3" s="28">
        <v>3.5533333333298561E-4</v>
      </c>
      <c r="CI3" s="28">
        <v>0</v>
      </c>
      <c r="CJ3" s="28">
        <v>3.1666666669760701E-5</v>
      </c>
      <c r="CK3" s="28">
        <v>-4.5333333333297249E-4</v>
      </c>
      <c r="CL3" s="28">
        <v>-1.5333333333300561E-4</v>
      </c>
      <c r="CM3" s="28">
        <v>3.2000000000000079E-4</v>
      </c>
      <c r="CN3" s="28">
        <v>6.4000000000008495E-5</v>
      </c>
      <c r="CO3" s="28">
        <v>1.9866666666701341E-4</v>
      </c>
      <c r="CP3" s="28">
        <v>-9.8999999999960231E-5</v>
      </c>
      <c r="CQ3" s="28">
        <v>0</v>
      </c>
      <c r="CR3" s="28">
        <v>0</v>
      </c>
      <c r="CS3" s="28">
        <v>3.0733333333299312E-4</v>
      </c>
      <c r="CT3" s="28">
        <v>1.2323578947368459E-3</v>
      </c>
      <c r="CU3" s="34">
        <v>0.1170740000000004</v>
      </c>
    </row>
    <row r="4" spans="1:99" x14ac:dyDescent="0.25">
      <c r="A4" s="24">
        <v>3</v>
      </c>
      <c r="B4" s="26">
        <v>1</v>
      </c>
      <c r="C4" s="28">
        <v>-1.3799999999999921E-4</v>
      </c>
      <c r="D4" s="28">
        <v>-6.9388939039072284E-18</v>
      </c>
      <c r="E4" s="28">
        <v>-1.5733333333300961E-4</v>
      </c>
      <c r="F4" s="28">
        <v>0</v>
      </c>
      <c r="G4" s="28">
        <v>1.4433333333399581E-4</v>
      </c>
      <c r="H4" s="28">
        <v>2.013333333329981E-4</v>
      </c>
      <c r="I4" s="28">
        <v>0</v>
      </c>
      <c r="J4" s="28">
        <v>-3.0800000000000272E-4</v>
      </c>
      <c r="K4" s="28">
        <v>1.426666666669851E-4</v>
      </c>
      <c r="L4" s="28">
        <v>-2.2333333333302011E-4</v>
      </c>
      <c r="M4" s="28">
        <v>-4.5000000000000601E-4</v>
      </c>
      <c r="N4" s="28">
        <v>1.7733333333302961E-4</v>
      </c>
      <c r="O4" s="28">
        <v>2.3333333333000469E-5</v>
      </c>
      <c r="P4" s="28">
        <v>2.6666666666699812E-4</v>
      </c>
      <c r="Q4" s="28">
        <v>0</v>
      </c>
      <c r="R4" s="28">
        <v>2.4666666666700587E-4</v>
      </c>
      <c r="S4" s="28">
        <v>0</v>
      </c>
      <c r="T4" s="28">
        <v>8.6333333332994089E-5</v>
      </c>
      <c r="U4" s="28">
        <v>4.4133333333307162E-4</v>
      </c>
      <c r="V4" s="28">
        <v>0</v>
      </c>
      <c r="W4" s="28">
        <v>0</v>
      </c>
      <c r="X4" s="28">
        <v>3.2666666666697491E-4</v>
      </c>
      <c r="Y4" s="28">
        <v>2.7999999999998859E-4</v>
      </c>
      <c r="Z4" s="28">
        <v>0</v>
      </c>
      <c r="AA4" s="28">
        <v>3.0566666666669712E-4</v>
      </c>
      <c r="AB4" s="28">
        <v>0</v>
      </c>
      <c r="AC4" s="28">
        <v>0</v>
      </c>
      <c r="AD4" s="28">
        <v>-6.9388939039072284E-18</v>
      </c>
      <c r="AE4" s="28">
        <v>0</v>
      </c>
      <c r="AF4" s="28">
        <v>1.496666666669921E-4</v>
      </c>
      <c r="AG4" s="28">
        <v>-6.9388939039072284E-18</v>
      </c>
      <c r="AH4" s="28">
        <v>3.3633333333299431E-4</v>
      </c>
      <c r="AI4" s="28">
        <v>2.4200000000002E-4</v>
      </c>
      <c r="AJ4" s="28">
        <v>-2.336666666669929E-4</v>
      </c>
      <c r="AK4" s="28">
        <v>1.166666666669869E-4</v>
      </c>
      <c r="AL4" s="28">
        <v>0</v>
      </c>
      <c r="AM4" s="28">
        <v>0</v>
      </c>
      <c r="AN4" s="28">
        <v>2.5600000000000622E-4</v>
      </c>
      <c r="AO4" s="28">
        <v>1.4166666666703959E-4</v>
      </c>
      <c r="AP4" s="28">
        <v>0</v>
      </c>
      <c r="AQ4" s="28">
        <v>-2.7499999999999752E-4</v>
      </c>
      <c r="AR4" s="28">
        <v>-1.2533333333300531E-4</v>
      </c>
      <c r="AS4" s="28">
        <v>-3.326666666667033E-4</v>
      </c>
      <c r="AT4" s="28">
        <v>-8.9333333332969334E-5</v>
      </c>
      <c r="AU4" s="28">
        <v>0</v>
      </c>
      <c r="AV4" s="28">
        <v>-7.4333333333953533E-5</v>
      </c>
      <c r="AW4" s="28">
        <v>2.0666666666670219E-4</v>
      </c>
      <c r="AX4" s="28">
        <v>2.4736666666699819E-4</v>
      </c>
      <c r="AY4" s="28">
        <v>-5.3333333333016597E-5</v>
      </c>
      <c r="AZ4" s="28">
        <v>4.9766666666669485E-4</v>
      </c>
      <c r="BA4" s="28">
        <v>-8.5000000000029496E-5</v>
      </c>
      <c r="BB4" s="28">
        <v>8.2000000000012618E-5</v>
      </c>
      <c r="BC4" s="28">
        <v>0</v>
      </c>
      <c r="BD4" s="28">
        <v>-1.4800000000000921E-4</v>
      </c>
      <c r="BE4" s="28">
        <v>2.823333333330097E-4</v>
      </c>
      <c r="BF4" s="28">
        <v>0</v>
      </c>
      <c r="BG4" s="28">
        <v>2.8799999999999659E-4</v>
      </c>
      <c r="BH4" s="28">
        <v>0</v>
      </c>
      <c r="BI4" s="28">
        <v>3.4133333333299931E-4</v>
      </c>
      <c r="BJ4" s="28">
        <v>0</v>
      </c>
      <c r="BK4" s="28">
        <v>0</v>
      </c>
      <c r="BL4" s="28">
        <v>0</v>
      </c>
      <c r="BM4" s="28">
        <v>-1.6599999999999951E-4</v>
      </c>
      <c r="BN4" s="28">
        <v>-1.1999999999998121E-4</v>
      </c>
      <c r="BO4" s="28">
        <v>3.893333333329918E-4</v>
      </c>
      <c r="BP4" s="28">
        <v>0.23455333333333311</v>
      </c>
      <c r="BQ4" s="28">
        <v>-4.7400000000003001E-4</v>
      </c>
      <c r="BR4" s="28">
        <v>0.25795600000000002</v>
      </c>
      <c r="BS4" s="28">
        <v>-2.4933333333299062E-4</v>
      </c>
      <c r="BT4" s="28">
        <v>-4.099999999999937E-4</v>
      </c>
      <c r="BU4" s="28">
        <v>4.46000000000002E-4</v>
      </c>
      <c r="BV4" s="28">
        <v>0</v>
      </c>
      <c r="BW4" s="28">
        <v>-3.2533333333301112E-4</v>
      </c>
      <c r="BX4" s="28">
        <v>1.2799999999996151E-4</v>
      </c>
      <c r="BY4" s="28">
        <v>3.0299999999999772E-4</v>
      </c>
      <c r="BZ4" s="28">
        <v>-8.2333333333073355E-5</v>
      </c>
      <c r="CA4" s="28">
        <v>3.5933333333298961E-4</v>
      </c>
      <c r="CB4" s="28">
        <v>2.599999999999825E-5</v>
      </c>
      <c r="CC4" s="28">
        <v>2.046666666670055E-4</v>
      </c>
      <c r="CD4" s="28">
        <v>-3.9466666666701511E-4</v>
      </c>
      <c r="CE4" s="28">
        <v>0</v>
      </c>
      <c r="CF4" s="28">
        <v>-4.1066666666700341E-4</v>
      </c>
      <c r="CG4" s="28">
        <v>-4.4333333333330249E-4</v>
      </c>
      <c r="CH4" s="28">
        <v>0</v>
      </c>
      <c r="CI4" s="28">
        <v>0</v>
      </c>
      <c r="CJ4" s="28">
        <v>3.8566666666669391E-4</v>
      </c>
      <c r="CK4" s="28">
        <v>-3.2400000000000479E-4</v>
      </c>
      <c r="CL4" s="28">
        <v>3.1266666666698861E-4</v>
      </c>
      <c r="CM4" s="28">
        <v>4.4000000000000977E-4</v>
      </c>
      <c r="CN4" s="28">
        <v>0</v>
      </c>
      <c r="CO4" s="28">
        <v>3.7133333333339708E-4</v>
      </c>
      <c r="CP4" s="28">
        <v>-4.3066666666702341E-4</v>
      </c>
      <c r="CQ4" s="28">
        <v>-3.7033333333300061E-4</v>
      </c>
      <c r="CR4" s="28">
        <v>-1.586666666669734E-4</v>
      </c>
      <c r="CS4" s="28">
        <v>-1.5600000000001721E-4</v>
      </c>
      <c r="CT4" s="28">
        <v>5.2052284210526434E-3</v>
      </c>
      <c r="CU4" s="34">
        <v>0.49449670000000101</v>
      </c>
    </row>
    <row r="5" spans="1:99" x14ac:dyDescent="0.25">
      <c r="A5" s="24">
        <v>4</v>
      </c>
      <c r="B5" s="26">
        <v>1.5</v>
      </c>
      <c r="C5" s="28">
        <v>0</v>
      </c>
      <c r="D5" s="28">
        <v>-4.880000000000162E-4</v>
      </c>
      <c r="E5" s="28">
        <v>-2.666666666698014E-5</v>
      </c>
      <c r="F5" s="28">
        <v>0</v>
      </c>
      <c r="G5" s="28">
        <v>0</v>
      </c>
      <c r="H5" s="28">
        <v>-3.2333333333300912E-4</v>
      </c>
      <c r="I5" s="28">
        <v>0</v>
      </c>
      <c r="J5" s="28">
        <v>0</v>
      </c>
      <c r="K5" s="28">
        <v>4.166666666669816E-4</v>
      </c>
      <c r="L5" s="28">
        <v>0</v>
      </c>
      <c r="M5" s="28">
        <v>-1.833333333330078E-4</v>
      </c>
      <c r="N5" s="28">
        <v>1.166666666670008E-4</v>
      </c>
      <c r="O5" s="28">
        <v>-3.8133333333340008E-4</v>
      </c>
      <c r="P5" s="28">
        <v>2.6666666666598501E-5</v>
      </c>
      <c r="Q5" s="28">
        <v>2.9066666666699442E-4</v>
      </c>
      <c r="R5" s="28">
        <v>3.0666666666701042E-4</v>
      </c>
      <c r="S5" s="28">
        <v>0</v>
      </c>
      <c r="T5" s="28">
        <v>6.8999999999999617E-5</v>
      </c>
      <c r="U5" s="28">
        <v>4.6766666666697709E-4</v>
      </c>
      <c r="V5" s="28">
        <v>-1.6000000000000741E-4</v>
      </c>
      <c r="W5" s="28">
        <v>-3.999999999999837E-5</v>
      </c>
      <c r="X5" s="28">
        <v>-4.7599999999999032E-4</v>
      </c>
      <c r="Y5" s="28">
        <v>4.1333333333298811E-4</v>
      </c>
      <c r="Z5" s="28">
        <v>-3.1933333333300512E-4</v>
      </c>
      <c r="AA5" s="28">
        <v>0</v>
      </c>
      <c r="AB5" s="28">
        <v>3.5999999999999921E-4</v>
      </c>
      <c r="AC5" s="28">
        <v>0</v>
      </c>
      <c r="AD5" s="28">
        <v>1.266666666702165E-5</v>
      </c>
      <c r="AE5" s="28">
        <v>-4.0333333333295029E-5</v>
      </c>
      <c r="AF5" s="28">
        <v>2.6900000000000529E-4</v>
      </c>
      <c r="AG5" s="28">
        <v>-6.9388939039072284E-18</v>
      </c>
      <c r="AH5" s="28">
        <v>1.2700000000000211E-4</v>
      </c>
      <c r="AI5" s="28">
        <v>-1.5066666666700701E-4</v>
      </c>
      <c r="AJ5" s="28">
        <v>-8.3333333333407422E-5</v>
      </c>
      <c r="AK5" s="28">
        <v>0.29752766666666702</v>
      </c>
      <c r="AL5" s="28">
        <v>0</v>
      </c>
      <c r="AM5" s="28">
        <v>0</v>
      </c>
      <c r="AN5" s="28">
        <v>-4.9866666666670278E-4</v>
      </c>
      <c r="AO5" s="28">
        <v>-7.5666666667001392E-5</v>
      </c>
      <c r="AP5" s="28">
        <v>1.7066666666669389E-4</v>
      </c>
      <c r="AQ5" s="28">
        <v>-6.1666666667001269E-5</v>
      </c>
      <c r="AR5" s="28">
        <v>-2.8133333333339727E-4</v>
      </c>
      <c r="AS5" s="28">
        <v>-3.8100000000002021E-4</v>
      </c>
      <c r="AT5" s="28">
        <v>3.9600000000000751E-4</v>
      </c>
      <c r="AU5" s="28">
        <v>2.1333333333983792E-5</v>
      </c>
      <c r="AV5" s="28">
        <v>3.3233333333398951E-4</v>
      </c>
      <c r="AW5" s="28">
        <v>4.089999999999927E-4</v>
      </c>
      <c r="AX5" s="28">
        <v>-1.166666666669869E-4</v>
      </c>
      <c r="AY5" s="28">
        <v>0</v>
      </c>
      <c r="AZ5" s="28">
        <v>-2.070000000000127E-4</v>
      </c>
      <c r="BA5" s="28">
        <v>-4.3966666666679638E-4</v>
      </c>
      <c r="BB5" s="28">
        <v>1.423333333329668E-4</v>
      </c>
      <c r="BC5" s="28">
        <v>-7.6666666666697081E-5</v>
      </c>
      <c r="BD5" s="28">
        <v>-4.0933333333301181E-4</v>
      </c>
      <c r="BE5" s="28">
        <v>4.186666666669836E-4</v>
      </c>
      <c r="BF5" s="28">
        <v>0</v>
      </c>
      <c r="BG5" s="28">
        <v>1.22000000000011E-4</v>
      </c>
      <c r="BH5" s="28">
        <v>0</v>
      </c>
      <c r="BI5" s="28">
        <v>4.343333333329813E-4</v>
      </c>
      <c r="BJ5" s="28">
        <v>-5.8000000000002487E-5</v>
      </c>
      <c r="BK5" s="28">
        <v>4.766666666670138E-4</v>
      </c>
      <c r="BL5" s="28">
        <v>0</v>
      </c>
      <c r="BM5" s="28">
        <v>-3.7700000000001621E-4</v>
      </c>
      <c r="BN5" s="28">
        <v>-3.4666666666703649E-5</v>
      </c>
      <c r="BO5" s="28">
        <v>0</v>
      </c>
      <c r="BP5" s="28">
        <v>0.13014400000000001</v>
      </c>
      <c r="BQ5" s="28">
        <v>-1.2400000000001299E-4</v>
      </c>
      <c r="BR5" s="28">
        <v>0.52382166666666696</v>
      </c>
      <c r="BS5" s="28">
        <v>0</v>
      </c>
      <c r="BT5" s="28">
        <v>0</v>
      </c>
      <c r="BU5" s="28">
        <v>1.466666666669891E-4</v>
      </c>
      <c r="BV5" s="28">
        <v>2.9999999999999472E-4</v>
      </c>
      <c r="BW5" s="28">
        <v>-6.7999999999998617E-5</v>
      </c>
      <c r="BX5" s="28">
        <v>-7.8333333333291399E-5</v>
      </c>
      <c r="BY5" s="28">
        <v>0</v>
      </c>
      <c r="BZ5" s="28">
        <v>0</v>
      </c>
      <c r="CA5" s="28">
        <v>4.2333333333330342E-4</v>
      </c>
      <c r="CB5" s="28">
        <v>2.1466666666702941E-4</v>
      </c>
      <c r="CC5" s="28">
        <v>2.3399999999998419E-4</v>
      </c>
      <c r="CD5" s="28">
        <v>2.006666666667031E-4</v>
      </c>
      <c r="CE5" s="28">
        <v>-4.5400000000001001E-4</v>
      </c>
      <c r="CF5" s="28">
        <v>4.8733333333300649E-4</v>
      </c>
      <c r="CG5" s="28">
        <v>4.7333333333399168E-5</v>
      </c>
      <c r="CH5" s="28">
        <v>-3.1933333333300512E-4</v>
      </c>
      <c r="CI5" s="28">
        <v>0</v>
      </c>
      <c r="CJ5" s="28">
        <v>1.006433333333301E-2</v>
      </c>
      <c r="CK5" s="28">
        <v>-2.4000000000023999E-5</v>
      </c>
      <c r="CL5" s="28">
        <v>-8.4666666667010393E-5</v>
      </c>
      <c r="CM5" s="28">
        <v>0</v>
      </c>
      <c r="CN5" s="28">
        <v>8.8000000000004741E-5</v>
      </c>
      <c r="CO5" s="28">
        <v>5.5333333332990842E-5</v>
      </c>
      <c r="CP5" s="28">
        <v>0</v>
      </c>
      <c r="CQ5" s="28">
        <v>-2.6899999999999152E-4</v>
      </c>
      <c r="CR5" s="28">
        <v>-4.9499999999999544E-4</v>
      </c>
      <c r="CS5" s="28">
        <v>-3.2400000000000479E-4</v>
      </c>
      <c r="CT5" s="28">
        <v>1.0122361403508799E-2</v>
      </c>
      <c r="CU5" s="34">
        <v>0.96162433333333586</v>
      </c>
    </row>
    <row r="6" spans="1:99" x14ac:dyDescent="0.25">
      <c r="A6" s="24">
        <v>5</v>
      </c>
      <c r="B6" s="26">
        <v>2</v>
      </c>
      <c r="C6" s="28">
        <v>-9.2000000000008741E-5</v>
      </c>
      <c r="D6" s="28">
        <v>-5.7999999999891472E-5</v>
      </c>
      <c r="E6" s="28">
        <v>0</v>
      </c>
      <c r="F6" s="28">
        <v>0</v>
      </c>
      <c r="G6" s="28">
        <v>3.9400000000000551E-4</v>
      </c>
      <c r="H6" s="28">
        <v>-7.2000000000002617E-5</v>
      </c>
      <c r="I6" s="28">
        <v>0</v>
      </c>
      <c r="J6" s="28">
        <v>4.1000000000000758E-4</v>
      </c>
      <c r="K6" s="28">
        <v>0</v>
      </c>
      <c r="L6" s="28">
        <v>2.5333333333299462E-4</v>
      </c>
      <c r="M6" s="28">
        <v>0</v>
      </c>
      <c r="N6" s="28">
        <v>4.5466666666699179E-4</v>
      </c>
      <c r="O6" s="28">
        <v>-2.7433333333300169E-4</v>
      </c>
      <c r="P6" s="28">
        <v>1.8666666666702911E-4</v>
      </c>
      <c r="Q6" s="28">
        <v>-3.3866666666659828E-4</v>
      </c>
      <c r="R6" s="28">
        <v>1.2333333333298951E-4</v>
      </c>
      <c r="S6" s="28">
        <v>0</v>
      </c>
      <c r="T6" s="28">
        <v>6.1333333333399298E-5</v>
      </c>
      <c r="U6" s="28">
        <v>-4.1533333333301781E-4</v>
      </c>
      <c r="V6" s="28">
        <v>-9.3333333333001089E-5</v>
      </c>
      <c r="W6" s="28">
        <v>0</v>
      </c>
      <c r="X6" s="28">
        <v>-1.033333333330111E-4</v>
      </c>
      <c r="Y6" s="28">
        <v>0</v>
      </c>
      <c r="Z6" s="28">
        <v>-1.4933333333300161E-4</v>
      </c>
      <c r="AA6" s="28">
        <v>4.190000000000027E-4</v>
      </c>
      <c r="AB6" s="28">
        <v>0</v>
      </c>
      <c r="AC6" s="28">
        <v>-4.399999999999959E-4</v>
      </c>
      <c r="AD6" s="28">
        <v>-6.9388939039072284E-18</v>
      </c>
      <c r="AE6" s="28">
        <v>4.8499999999998539E-4</v>
      </c>
      <c r="AF6" s="28">
        <v>-2.1533333333301211E-4</v>
      </c>
      <c r="AG6" s="28">
        <v>-1.5366666666699611E-4</v>
      </c>
      <c r="AH6" s="28">
        <v>-1.3466666666700491E-4</v>
      </c>
      <c r="AI6" s="28">
        <v>4.6666666666699003E-4</v>
      </c>
      <c r="AJ6" s="28">
        <v>-3.0199999999999672E-4</v>
      </c>
      <c r="AK6" s="28">
        <v>0.50465166666666705</v>
      </c>
      <c r="AL6" s="28">
        <v>0</v>
      </c>
      <c r="AM6" s="28">
        <v>1.9000000000002351E-4</v>
      </c>
      <c r="AN6" s="28">
        <v>-3.7200000000001121E-4</v>
      </c>
      <c r="AO6" s="28">
        <v>-4.810000000000092E-4</v>
      </c>
      <c r="AP6" s="28">
        <v>-2.8666666666669888E-4</v>
      </c>
      <c r="AQ6" s="28">
        <v>2.4166666666669559E-4</v>
      </c>
      <c r="AR6" s="28">
        <v>0</v>
      </c>
      <c r="AS6" s="28">
        <v>-3.0266666666695091E-4</v>
      </c>
      <c r="AT6" s="28">
        <v>3.5666666666700492E-4</v>
      </c>
      <c r="AU6" s="28">
        <v>0</v>
      </c>
      <c r="AV6" s="28">
        <v>0</v>
      </c>
      <c r="AW6" s="28">
        <v>-3.1299999999999378E-4</v>
      </c>
      <c r="AX6" s="28">
        <v>-6.9388939039072284E-18</v>
      </c>
      <c r="AY6" s="28">
        <v>-2.8466666666700219E-4</v>
      </c>
      <c r="AZ6" s="28">
        <v>-1.5266666666699511E-4</v>
      </c>
      <c r="BA6" s="28">
        <v>0</v>
      </c>
      <c r="BB6" s="28">
        <v>0</v>
      </c>
      <c r="BC6" s="28">
        <v>3.3933333333299731E-4</v>
      </c>
      <c r="BD6" s="28">
        <v>9.4666666666701205E-5</v>
      </c>
      <c r="BE6" s="28">
        <v>3.4599999999998521E-4</v>
      </c>
      <c r="BF6" s="28">
        <v>0</v>
      </c>
      <c r="BG6" s="28">
        <v>2.319999999999961E-4</v>
      </c>
      <c r="BH6" s="28">
        <v>0</v>
      </c>
      <c r="BI6" s="28">
        <v>2.436666666670029E-4</v>
      </c>
      <c r="BJ6" s="28">
        <v>3.0533333333299112E-4</v>
      </c>
      <c r="BK6" s="28">
        <v>-1.7400000000000751E-4</v>
      </c>
      <c r="BL6" s="28">
        <v>0</v>
      </c>
      <c r="BM6" s="28">
        <v>4.3466666666702741E-4</v>
      </c>
      <c r="BN6" s="28">
        <v>1.086666666670344E-4</v>
      </c>
      <c r="BO6" s="28">
        <v>1.03999999999993E-4</v>
      </c>
      <c r="BP6" s="28">
        <v>5.5E-2</v>
      </c>
      <c r="BQ6" s="28">
        <v>4.200000000000037E-4</v>
      </c>
      <c r="BR6" s="28">
        <v>0.30180499999999999</v>
      </c>
      <c r="BS6" s="28">
        <v>-9.0666666667002516E-5</v>
      </c>
      <c r="BT6" s="28">
        <v>0</v>
      </c>
      <c r="BU6" s="28">
        <v>3.5266666666700092E-4</v>
      </c>
      <c r="BV6" s="28">
        <v>2.066666666670075E-4</v>
      </c>
      <c r="BW6" s="28">
        <v>3.2999999999999702E-4</v>
      </c>
      <c r="BX6" s="28">
        <v>4.996666666670091E-4</v>
      </c>
      <c r="BY6" s="28">
        <v>4.539999999999822E-4</v>
      </c>
      <c r="BZ6" s="28">
        <v>-4.5033333333305281E-4</v>
      </c>
      <c r="CA6" s="28">
        <v>4.2333333333340051E-4</v>
      </c>
      <c r="CB6" s="28">
        <v>3.0800000000000272E-4</v>
      </c>
      <c r="CC6" s="28">
        <v>-1.5700000000000441E-4</v>
      </c>
      <c r="CD6" s="28">
        <v>-3.9466666666701511E-4</v>
      </c>
      <c r="CE6" s="28">
        <v>1.2199999999998321E-4</v>
      </c>
      <c r="CF6" s="28">
        <v>-1.333333333297659E-5</v>
      </c>
      <c r="CG6" s="28">
        <v>7.9666666666686203E-5</v>
      </c>
      <c r="CH6" s="28">
        <v>-3.2533333333298331E-4</v>
      </c>
      <c r="CI6" s="28">
        <v>0</v>
      </c>
      <c r="CJ6" s="28">
        <v>0.11711199999999999</v>
      </c>
      <c r="CK6" s="28">
        <v>3.4199999999998121E-4</v>
      </c>
      <c r="CL6" s="28">
        <v>2.8466666666669688E-4</v>
      </c>
      <c r="CM6" s="28">
        <v>-2.3999999999999019E-4</v>
      </c>
      <c r="CN6" s="28">
        <v>0</v>
      </c>
      <c r="CO6" s="28">
        <v>0</v>
      </c>
      <c r="CP6" s="28">
        <v>-4.766666666670138E-4</v>
      </c>
      <c r="CQ6" s="28">
        <v>0</v>
      </c>
      <c r="CR6" s="28">
        <v>0</v>
      </c>
      <c r="CS6" s="28">
        <v>2.24000000000002E-4</v>
      </c>
      <c r="CT6" s="28">
        <v>1.033167719298249E-2</v>
      </c>
      <c r="CU6" s="34">
        <v>0.98150933333333668</v>
      </c>
    </row>
    <row r="7" spans="1:99" x14ac:dyDescent="0.25">
      <c r="A7" s="24">
        <v>6</v>
      </c>
      <c r="B7" s="26">
        <v>2.5</v>
      </c>
      <c r="C7" s="28">
        <v>-4.099999999999937E-4</v>
      </c>
      <c r="D7" s="28">
        <v>3.1399999999999478E-4</v>
      </c>
      <c r="E7" s="28">
        <v>-1.8066666666705089E-4</v>
      </c>
      <c r="F7" s="28">
        <v>0</v>
      </c>
      <c r="G7" s="28">
        <v>-4.2066666666701341E-4</v>
      </c>
      <c r="H7" s="28">
        <v>-3.3999999999997921E-4</v>
      </c>
      <c r="I7" s="28">
        <v>0</v>
      </c>
      <c r="J7" s="28">
        <v>2.8200000000000452E-4</v>
      </c>
      <c r="K7" s="28">
        <v>-2.9333333333300682E-4</v>
      </c>
      <c r="L7" s="28">
        <v>0</v>
      </c>
      <c r="M7" s="28">
        <v>-3.1666666666700649E-4</v>
      </c>
      <c r="N7" s="28">
        <v>4.0500000000000258E-4</v>
      </c>
      <c r="O7" s="28">
        <v>-8.3666666666690204E-5</v>
      </c>
      <c r="P7" s="28">
        <v>1.066666666668104E-4</v>
      </c>
      <c r="Q7" s="28">
        <v>2.9866666666700242E-4</v>
      </c>
      <c r="R7" s="28">
        <v>-2.5200000000000222E-4</v>
      </c>
      <c r="S7" s="28">
        <v>0</v>
      </c>
      <c r="T7" s="28">
        <v>9.6000000000040497E-5</v>
      </c>
      <c r="U7" s="28">
        <v>0</v>
      </c>
      <c r="V7" s="28">
        <v>0</v>
      </c>
      <c r="W7" s="28">
        <v>2.5333333333329988E-4</v>
      </c>
      <c r="X7" s="28">
        <v>-4.6000000000004371E-5</v>
      </c>
      <c r="Y7" s="28">
        <v>-3.0666666666701042E-4</v>
      </c>
      <c r="Z7" s="28">
        <v>4.886666666669981E-4</v>
      </c>
      <c r="AA7" s="28">
        <v>3.0566666666669712E-4</v>
      </c>
      <c r="AB7" s="28">
        <v>-2.30000000000008E-4</v>
      </c>
      <c r="AC7" s="28">
        <v>-4.800000000000082E-4</v>
      </c>
      <c r="AD7" s="28">
        <v>-6.9388939039072284E-18</v>
      </c>
      <c r="AE7" s="28">
        <v>0</v>
      </c>
      <c r="AF7" s="28">
        <v>-4.6000000000018249E-5</v>
      </c>
      <c r="AG7" s="28">
        <v>-1.596666666665997E-4</v>
      </c>
      <c r="AH7" s="28">
        <v>4.609999999999892E-4</v>
      </c>
      <c r="AI7" s="28">
        <v>-4.8199999999998239E-4</v>
      </c>
      <c r="AJ7" s="28">
        <v>-1.6666666666997901E-5</v>
      </c>
      <c r="AK7" s="28">
        <v>0.50461533333333297</v>
      </c>
      <c r="AL7" s="28">
        <v>0</v>
      </c>
      <c r="AM7" s="28">
        <v>0</v>
      </c>
      <c r="AN7" s="28">
        <v>1.2933333333300931E-4</v>
      </c>
      <c r="AO7" s="28">
        <v>-1.6566666666670279E-4</v>
      </c>
      <c r="AP7" s="28">
        <v>0</v>
      </c>
      <c r="AQ7" s="28">
        <v>4.2166666666701441E-4</v>
      </c>
      <c r="AR7" s="28">
        <v>0</v>
      </c>
      <c r="AS7" s="28">
        <v>6.5666666666991391E-5</v>
      </c>
      <c r="AT7" s="28">
        <v>4.1200000000002351E-4</v>
      </c>
      <c r="AU7" s="28">
        <v>2.1333333332984591E-5</v>
      </c>
      <c r="AV7" s="28">
        <v>-4.776666666670148E-4</v>
      </c>
      <c r="AW7" s="28">
        <v>-4.093333333329841E-4</v>
      </c>
      <c r="AX7" s="28">
        <v>-6.9388939039072284E-18</v>
      </c>
      <c r="AY7" s="28">
        <v>2.3133333333329181E-4</v>
      </c>
      <c r="AZ7" s="28">
        <v>-1.566666666665828E-4</v>
      </c>
      <c r="BA7" s="28">
        <v>0</v>
      </c>
      <c r="BB7" s="28">
        <v>-3.2666666666986137E-5</v>
      </c>
      <c r="BC7" s="28">
        <v>0</v>
      </c>
      <c r="BD7" s="28">
        <v>-2.4266666666701581E-4</v>
      </c>
      <c r="BE7" s="28">
        <v>3.2000000000004247E-5</v>
      </c>
      <c r="BF7" s="28">
        <v>0</v>
      </c>
      <c r="BG7" s="28">
        <v>1.7800000000001151E-4</v>
      </c>
      <c r="BH7" s="28">
        <v>0</v>
      </c>
      <c r="BI7" s="28">
        <v>4.096666666669746E-4</v>
      </c>
      <c r="BJ7" s="28">
        <v>0</v>
      </c>
      <c r="BK7" s="28">
        <v>0</v>
      </c>
      <c r="BL7" s="28">
        <v>0</v>
      </c>
      <c r="BM7" s="28">
        <v>0.37447000000000008</v>
      </c>
      <c r="BN7" s="28">
        <v>-4.9799999999999844E-4</v>
      </c>
      <c r="BO7" s="28">
        <v>-3.1800000000001272E-4</v>
      </c>
      <c r="BP7" s="28">
        <v>5.5E-2</v>
      </c>
      <c r="BQ7" s="28">
        <v>-1.20000000000009E-4</v>
      </c>
      <c r="BR7" s="28">
        <v>0.155168</v>
      </c>
      <c r="BS7" s="28">
        <v>-1.5866666666700111E-4</v>
      </c>
      <c r="BT7" s="28">
        <v>-4.099999999999937E-4</v>
      </c>
      <c r="BU7" s="28">
        <v>8.8000000000032497E-5</v>
      </c>
      <c r="BV7" s="28">
        <v>0</v>
      </c>
      <c r="BW7" s="28">
        <v>2.3333333333042109E-5</v>
      </c>
      <c r="BX7" s="28">
        <v>4.089999999999927E-4</v>
      </c>
      <c r="BY7" s="28">
        <v>3.1666666666699261E-4</v>
      </c>
      <c r="BZ7" s="28">
        <v>2.775557561562891E-17</v>
      </c>
      <c r="CA7" s="28">
        <v>8.7333333332995089E-5</v>
      </c>
      <c r="CB7" s="28">
        <v>1.1133333333299129E-4</v>
      </c>
      <c r="CC7" s="28">
        <v>-2.9799999999996501E-4</v>
      </c>
      <c r="CD7" s="28">
        <v>0</v>
      </c>
      <c r="CE7" s="28">
        <v>0</v>
      </c>
      <c r="CF7" s="28">
        <v>0</v>
      </c>
      <c r="CG7" s="28">
        <v>-1.3366666666700391E-4</v>
      </c>
      <c r="CH7" s="28">
        <v>-4.9699999999999744E-4</v>
      </c>
      <c r="CI7" s="28">
        <v>0</v>
      </c>
      <c r="CJ7" s="28">
        <v>0.14139933333333299</v>
      </c>
      <c r="CK7" s="28">
        <v>0</v>
      </c>
      <c r="CL7" s="28">
        <v>0</v>
      </c>
      <c r="CM7" s="28">
        <v>3.2000000000000079E-4</v>
      </c>
      <c r="CN7" s="28">
        <v>0</v>
      </c>
      <c r="CO7" s="28">
        <v>-3.1599999999998302E-4</v>
      </c>
      <c r="CP7" s="28">
        <v>0</v>
      </c>
      <c r="CQ7" s="28">
        <v>-5.0666666666990268E-5</v>
      </c>
      <c r="CR7" s="28">
        <v>3.2433333333301012E-4</v>
      </c>
      <c r="CS7" s="28">
        <v>2.800000000000025E-5</v>
      </c>
      <c r="CT7" s="28">
        <v>1.2936042105263119E-2</v>
      </c>
      <c r="CU7" s="34">
        <v>1.2289239999999959</v>
      </c>
    </row>
    <row r="8" spans="1:99" x14ac:dyDescent="0.25">
      <c r="A8" s="24">
        <v>7</v>
      </c>
      <c r="B8" s="26">
        <v>3</v>
      </c>
      <c r="C8" s="28">
        <v>0</v>
      </c>
      <c r="D8" s="28">
        <v>1.4000000000000121E-4</v>
      </c>
      <c r="E8" s="28">
        <v>0</v>
      </c>
      <c r="F8" s="28">
        <v>0</v>
      </c>
      <c r="G8" s="28">
        <v>1.970000000000027E-4</v>
      </c>
      <c r="H8" s="28">
        <v>-5.5333333333004719E-5</v>
      </c>
      <c r="I8" s="28">
        <v>0</v>
      </c>
      <c r="J8" s="28">
        <v>-4.446666666670096E-4</v>
      </c>
      <c r="K8" s="28">
        <v>0</v>
      </c>
      <c r="L8" s="28">
        <v>0</v>
      </c>
      <c r="M8" s="28">
        <v>-3.1666666666700649E-4</v>
      </c>
      <c r="N8" s="28">
        <v>4.0966666666700241E-4</v>
      </c>
      <c r="O8" s="28">
        <v>1.06999999999996E-4</v>
      </c>
      <c r="P8" s="28">
        <v>0</v>
      </c>
      <c r="Q8" s="28">
        <v>-3.4666666666670343E-4</v>
      </c>
      <c r="R8" s="28">
        <v>-5.0666666667004152E-5</v>
      </c>
      <c r="S8" s="28">
        <v>0</v>
      </c>
      <c r="T8" s="28">
        <v>0</v>
      </c>
      <c r="U8" s="28">
        <v>1.2E-2</v>
      </c>
      <c r="V8" s="28">
        <v>-2.5333333333299462E-4</v>
      </c>
      <c r="W8" s="28">
        <v>-2.933333333333954E-4</v>
      </c>
      <c r="X8" s="28">
        <v>0</v>
      </c>
      <c r="Y8" s="28">
        <v>0</v>
      </c>
      <c r="Z8" s="28">
        <v>1.7766666666699241E-4</v>
      </c>
      <c r="AA8" s="28">
        <v>-3.8866666666660671E-4</v>
      </c>
      <c r="AB8" s="28">
        <v>-4.099999999999937E-4</v>
      </c>
      <c r="AC8" s="28">
        <v>0</v>
      </c>
      <c r="AD8" s="28">
        <v>1.266666666702165E-5</v>
      </c>
      <c r="AE8" s="28">
        <v>0</v>
      </c>
      <c r="AF8" s="28">
        <v>3.9799999999999558E-4</v>
      </c>
      <c r="AG8" s="28">
        <v>-3.3133333333330161E-4</v>
      </c>
      <c r="AH8" s="28">
        <v>3.8833333333330999E-4</v>
      </c>
      <c r="AI8" s="28">
        <v>-4.800000000000082E-4</v>
      </c>
      <c r="AJ8" s="28">
        <v>2.4799999999999822E-4</v>
      </c>
      <c r="AK8" s="28">
        <v>0.45461133333333298</v>
      </c>
      <c r="AL8" s="28">
        <v>0</v>
      </c>
      <c r="AM8" s="28">
        <v>-1.15000000000004E-4</v>
      </c>
      <c r="AN8" s="28">
        <v>0</v>
      </c>
      <c r="AO8" s="28">
        <v>0.119710333333333</v>
      </c>
      <c r="AP8" s="28">
        <v>-1.159999999999911E-4</v>
      </c>
      <c r="AQ8" s="28">
        <v>0</v>
      </c>
      <c r="AR8" s="28">
        <v>-4.0666666666702711E-4</v>
      </c>
      <c r="AS8" s="28">
        <v>1.4200000000000321E-4</v>
      </c>
      <c r="AT8" s="28">
        <v>-2.106666666670115E-4</v>
      </c>
      <c r="AU8" s="28">
        <v>0</v>
      </c>
      <c r="AV8" s="28">
        <v>2.9300000000000159E-4</v>
      </c>
      <c r="AW8" s="28">
        <v>-2.9099999999998571E-4</v>
      </c>
      <c r="AX8" s="28">
        <v>-6.9388939039072284E-18</v>
      </c>
      <c r="AY8" s="28">
        <v>0</v>
      </c>
      <c r="AZ8" s="28">
        <v>3.1733333333298919E-4</v>
      </c>
      <c r="BA8" s="28">
        <v>0</v>
      </c>
      <c r="BB8" s="28">
        <v>2.5866666666701787E-4</v>
      </c>
      <c r="BC8" s="28">
        <v>-3.0666666666701042E-4</v>
      </c>
      <c r="BD8" s="28">
        <v>-1.7266666666698741E-4</v>
      </c>
      <c r="BE8" s="28">
        <v>2.9466666666699842E-4</v>
      </c>
      <c r="BF8" s="28">
        <v>0</v>
      </c>
      <c r="BG8" s="28">
        <v>0</v>
      </c>
      <c r="BH8" s="28">
        <v>0</v>
      </c>
      <c r="BI8" s="28">
        <v>0.22519366666666599</v>
      </c>
      <c r="BJ8" s="28">
        <v>-4.1033333333301281E-4</v>
      </c>
      <c r="BK8" s="28">
        <v>4.573333333330043E-4</v>
      </c>
      <c r="BL8" s="28">
        <v>0</v>
      </c>
      <c r="BM8" s="28">
        <v>1.7299</v>
      </c>
      <c r="BN8" s="28">
        <v>-3.2600000000002072E-4</v>
      </c>
      <c r="BO8" s="28">
        <v>0</v>
      </c>
      <c r="BP8" s="28">
        <v>5.5E-2</v>
      </c>
      <c r="BQ8" s="28">
        <v>1.3333333333004351E-5</v>
      </c>
      <c r="BR8" s="28">
        <v>5.7037333333333301E-2</v>
      </c>
      <c r="BS8" s="28">
        <v>0</v>
      </c>
      <c r="BT8" s="28">
        <v>0</v>
      </c>
      <c r="BU8" s="28">
        <v>4.1133333333298611E-4</v>
      </c>
      <c r="BV8" s="28">
        <v>0</v>
      </c>
      <c r="BW8" s="28">
        <v>1.993333333329961E-4</v>
      </c>
      <c r="BX8" s="28">
        <v>7.299999999998974E-5</v>
      </c>
      <c r="BY8" s="28">
        <v>0</v>
      </c>
      <c r="BZ8" s="28">
        <v>2.8299999999999159E-4</v>
      </c>
      <c r="CA8" s="28">
        <v>2.7199999999999452E-4</v>
      </c>
      <c r="CB8" s="28">
        <v>-1.7866666666599421E-4</v>
      </c>
      <c r="CC8" s="28">
        <v>2.4600000000002398E-4</v>
      </c>
      <c r="CD8" s="28">
        <v>-1.9733333333331329E-4</v>
      </c>
      <c r="CE8" s="28">
        <v>-2.7199999999999452E-4</v>
      </c>
      <c r="CF8" s="28">
        <v>1.4699999999998051E-4</v>
      </c>
      <c r="CG8" s="28">
        <v>-3.7733333333329899E-4</v>
      </c>
      <c r="CH8" s="28">
        <v>-1.4766666666701789E-4</v>
      </c>
      <c r="CI8" s="28">
        <v>0</v>
      </c>
      <c r="CJ8" s="28">
        <v>0.211162666666667</v>
      </c>
      <c r="CK8" s="28">
        <v>3.1799999999998502E-4</v>
      </c>
      <c r="CL8" s="28">
        <v>-3.5366666666700192E-4</v>
      </c>
      <c r="CM8" s="28">
        <v>4.4000000000000977E-4</v>
      </c>
      <c r="CN8" s="28">
        <v>0</v>
      </c>
      <c r="CO8" s="28">
        <v>-2.5733333333329689E-4</v>
      </c>
      <c r="CP8" s="28">
        <v>0</v>
      </c>
      <c r="CQ8" s="28">
        <v>4.1133333333298611E-4</v>
      </c>
      <c r="CR8" s="28">
        <v>2.0000000000019998E-5</v>
      </c>
      <c r="CS8" s="28">
        <v>4.0733333333328742E-4</v>
      </c>
      <c r="CT8" s="28">
        <v>3.0149354385964899E-2</v>
      </c>
      <c r="CU8" s="34">
        <v>2.8641886666666658</v>
      </c>
    </row>
    <row r="9" spans="1:99" x14ac:dyDescent="0.25">
      <c r="A9" s="24">
        <v>8</v>
      </c>
      <c r="B9" s="26">
        <v>3.5</v>
      </c>
      <c r="C9" s="28">
        <v>1.6839739999999209E-4</v>
      </c>
      <c r="D9" s="28">
        <v>-4.4080346666667408E-4</v>
      </c>
      <c r="E9" s="28">
        <v>3.5959826666667749E-4</v>
      </c>
      <c r="F9" s="28">
        <v>-4.4080346666666709E-4</v>
      </c>
      <c r="G9" s="28">
        <v>2.3019653333333781E-4</v>
      </c>
      <c r="H9" s="28">
        <v>-3.3935933333006929E-5</v>
      </c>
      <c r="I9" s="28">
        <v>-4.4080346666667408E-4</v>
      </c>
      <c r="J9" s="28">
        <v>-4.4393593333340309E-4</v>
      </c>
      <c r="K9" s="28">
        <v>-2.1780346666666619E-4</v>
      </c>
      <c r="L9" s="28">
        <v>-4.4080346666666709E-4</v>
      </c>
      <c r="M9" s="28">
        <v>1.4252986666672679E-4</v>
      </c>
      <c r="N9" s="28">
        <v>1.62529866666733E-4</v>
      </c>
      <c r="O9" s="28">
        <v>-1.854017333333402E-4</v>
      </c>
      <c r="P9" s="28">
        <v>-2.872692666670007E-4</v>
      </c>
      <c r="Q9" s="28">
        <v>2.4365366666695421E-5</v>
      </c>
      <c r="R9" s="28">
        <v>-2.1213679999965149E-4</v>
      </c>
      <c r="S9" s="28">
        <v>-4.4080346666666709E-4</v>
      </c>
      <c r="T9" s="28">
        <v>2.299315999996776E-4</v>
      </c>
      <c r="U9" s="28">
        <v>5.2559196533333331E-2</v>
      </c>
      <c r="V9" s="28">
        <v>-4.4080346666666709E-4</v>
      </c>
      <c r="W9" s="28">
        <v>-4.4080346666666709E-4</v>
      </c>
      <c r="X9" s="28">
        <v>-2.706026000000028E-4</v>
      </c>
      <c r="Y9" s="28">
        <v>1.7615963633333651E-2</v>
      </c>
      <c r="Z9" s="28">
        <v>-4.3483550000006371E-4</v>
      </c>
      <c r="AA9" s="28">
        <v>-1.7696796666699649E-4</v>
      </c>
      <c r="AB9" s="28">
        <v>4.5369870000000478E-4</v>
      </c>
      <c r="AC9" s="28">
        <v>3.5959826666664968E-4</v>
      </c>
      <c r="AD9" s="28">
        <v>-2.9030129999999682E-4</v>
      </c>
      <c r="AE9" s="28">
        <v>3.4719653333332989E-4</v>
      </c>
      <c r="AF9" s="28">
        <v>2.414978333333262E-4</v>
      </c>
      <c r="AG9" s="28">
        <v>-4.2280346666664909E-4</v>
      </c>
      <c r="AH9" s="28">
        <v>3.9369870000000029E-4</v>
      </c>
      <c r="AI9" s="28">
        <v>1.4819653333332519E-4</v>
      </c>
      <c r="AJ9" s="28">
        <v>-7.4701333336590903E-6</v>
      </c>
      <c r="AK9" s="28">
        <v>5.0419397400000003E-2</v>
      </c>
      <c r="AL9" s="28">
        <v>2.7959826666665988E-4</v>
      </c>
      <c r="AM9" s="28">
        <v>-1.358034666666674E-4</v>
      </c>
      <c r="AN9" s="28">
        <v>3.1652986666630412E-4</v>
      </c>
      <c r="AO9" s="28">
        <v>9.4829196533333326E-2</v>
      </c>
      <c r="AP9" s="28">
        <v>-4.4080346666667408E-4</v>
      </c>
      <c r="AQ9" s="28">
        <v>-3.3550216666669569E-4</v>
      </c>
      <c r="AR9" s="28">
        <v>2.7959826666666693E-4</v>
      </c>
      <c r="AS9" s="28">
        <v>1.652986666633716E-5</v>
      </c>
      <c r="AT9" s="28">
        <v>9.206406666700806E-5</v>
      </c>
      <c r="AU9" s="28">
        <v>2.7959826666666693E-4</v>
      </c>
      <c r="AV9" s="28">
        <v>2.6559196533333329E-2</v>
      </c>
      <c r="AW9" s="28">
        <v>-4.4080346666667408E-4</v>
      </c>
      <c r="AX9" s="28">
        <v>4.1939739999999342E-4</v>
      </c>
      <c r="AY9" s="28">
        <v>3.6606406666697683E-4</v>
      </c>
      <c r="AZ9" s="28">
        <v>-4.2850216666666391E-4</v>
      </c>
      <c r="BA9" s="28">
        <v>8.1630299999663203E-5</v>
      </c>
      <c r="BB9" s="28">
        <v>-3.3460259999998349E-4</v>
      </c>
      <c r="BC9" s="28">
        <v>1.2852986666672669E-4</v>
      </c>
      <c r="BD9" s="28">
        <v>-3.9536970000035593E-4</v>
      </c>
      <c r="BE9" s="28">
        <v>4.2729696666667089E-4</v>
      </c>
      <c r="BF9" s="28">
        <v>-4.4080346666667408E-4</v>
      </c>
      <c r="BG9" s="28">
        <v>-4.8636970000034968E-4</v>
      </c>
      <c r="BH9" s="28">
        <v>-4.4080346666666367E-4</v>
      </c>
      <c r="BI9" s="28">
        <v>7.3473497833333332E-2</v>
      </c>
      <c r="BJ9" s="28">
        <v>-6.2735066667318762E-5</v>
      </c>
      <c r="BK9" s="28">
        <v>2.6473073333330149E-4</v>
      </c>
      <c r="BL9" s="28">
        <v>-2.9030129999999682E-4</v>
      </c>
      <c r="BM9" s="28">
        <v>0.1828071965333333</v>
      </c>
      <c r="BN9" s="28">
        <v>-2.5060260000001061E-4</v>
      </c>
      <c r="BO9" s="28">
        <v>-3.6450216666666918E-4</v>
      </c>
      <c r="BP9" s="28">
        <v>0.1183538632000003</v>
      </c>
      <c r="BQ9" s="28">
        <v>3.9729696666668263E-4</v>
      </c>
      <c r="BR9" s="28">
        <v>2.5559196533333339E-2</v>
      </c>
      <c r="BS9" s="28">
        <v>-4.4080346666667408E-4</v>
      </c>
      <c r="BT9" s="28">
        <v>-1.505021666666703E-4</v>
      </c>
      <c r="BU9" s="28">
        <v>-4.4080346666666709E-4</v>
      </c>
      <c r="BV9" s="28">
        <v>2.5959826666666069E-4</v>
      </c>
      <c r="BW9" s="28">
        <v>-2.9973506666633448E-4</v>
      </c>
      <c r="BX9" s="28">
        <v>1.140640666669746E-4</v>
      </c>
      <c r="BY9" s="28">
        <v>-1.0703033333329949E-5</v>
      </c>
      <c r="BZ9" s="28">
        <v>0.23468973073333299</v>
      </c>
      <c r="CA9" s="28">
        <v>-4.7936970000031498E-4</v>
      </c>
      <c r="CB9" s="28">
        <v>-1.2450216666665129E-4</v>
      </c>
      <c r="CC9" s="28">
        <v>3.3019653333335452E-4</v>
      </c>
      <c r="CD9" s="28">
        <v>-4.3747013333336748E-4</v>
      </c>
      <c r="CE9" s="28">
        <v>-2.10502166666654E-4</v>
      </c>
      <c r="CF9" s="28">
        <v>4.6259826666666948E-4</v>
      </c>
      <c r="CG9" s="28">
        <v>-1.1203636666631819E-4</v>
      </c>
      <c r="CH9" s="28">
        <v>-1.5050216666666341E-4</v>
      </c>
      <c r="CI9" s="28">
        <v>2.7959826666666693E-4</v>
      </c>
      <c r="CJ9" s="28">
        <v>5.0279598266666663E-2</v>
      </c>
      <c r="CK9" s="28">
        <v>-1.070303333333689E-5</v>
      </c>
      <c r="CL9" s="28">
        <v>-1.443697000003408E-4</v>
      </c>
      <c r="CM9" s="28">
        <v>2.9698700000004019E-5</v>
      </c>
      <c r="CN9" s="28">
        <v>-2.9030130000000381E-4</v>
      </c>
      <c r="CO9" s="28">
        <v>-1.0703033333329949E-5</v>
      </c>
      <c r="CP9" s="28">
        <v>3.2033333013936627E-8</v>
      </c>
      <c r="CQ9" s="28">
        <v>-4.4080346666667408E-4</v>
      </c>
      <c r="CR9" s="28">
        <v>4.1939739999999342E-4</v>
      </c>
      <c r="CS9" s="28">
        <v>1.2393159999968259E-4</v>
      </c>
      <c r="CT9" s="28">
        <v>9.6958425856140118E-3</v>
      </c>
      <c r="CU9" s="34">
        <v>0.92110504563333118</v>
      </c>
    </row>
    <row r="10" spans="1:99" x14ac:dyDescent="0.25">
      <c r="A10" s="24">
        <v>9</v>
      </c>
      <c r="B10" s="26">
        <v>4</v>
      </c>
      <c r="C10" s="28">
        <v>4.4813060000009619E-4</v>
      </c>
      <c r="D10" s="28">
        <v>-2.8049253333320418E-4</v>
      </c>
      <c r="E10" s="28">
        <v>-1.3124626666660699E-4</v>
      </c>
      <c r="F10" s="28">
        <v>2.6550746666679972E-4</v>
      </c>
      <c r="G10" s="28">
        <v>3.7084080000009118E-4</v>
      </c>
      <c r="H10" s="28">
        <v>-1.5586939999990759E-4</v>
      </c>
      <c r="I10" s="28">
        <v>2.6550746666679712E-4</v>
      </c>
      <c r="J10" s="28">
        <v>-3.6202733332907362E-5</v>
      </c>
      <c r="K10" s="28">
        <v>-3.3492533333193131E-5</v>
      </c>
      <c r="L10" s="28">
        <v>4.2174133333780513E-5</v>
      </c>
      <c r="M10" s="28">
        <v>4.884079999978308E-5</v>
      </c>
      <c r="N10" s="28">
        <v>-4.3825866666180602E-5</v>
      </c>
      <c r="O10" s="28">
        <v>1.327537333333968E-4</v>
      </c>
      <c r="P10" s="28">
        <v>-3.0086939999990169E-4</v>
      </c>
      <c r="Q10" s="28">
        <v>-1.310136666696216E-5</v>
      </c>
      <c r="R10" s="28">
        <v>3.268408000000958E-4</v>
      </c>
      <c r="S10" s="28">
        <v>-6.4333331994416952E-9</v>
      </c>
      <c r="T10" s="28">
        <v>3.3975373333342001E-4</v>
      </c>
      <c r="U10" s="28">
        <v>6.265507466666799E-3</v>
      </c>
      <c r="V10" s="28">
        <v>-4.0782586666621162E-4</v>
      </c>
      <c r="W10" s="28">
        <v>2.6550746666679972E-4</v>
      </c>
      <c r="X10" s="28">
        <v>-2.3620273333291311E-4</v>
      </c>
      <c r="Y10" s="28">
        <v>5.0548985700000042E-2</v>
      </c>
      <c r="Z10" s="28">
        <v>4.2608833333762641E-5</v>
      </c>
      <c r="AA10" s="28">
        <v>3.4956530000005559E-4</v>
      </c>
      <c r="AB10" s="28">
        <v>-3.443469999994675E-5</v>
      </c>
      <c r="AC10" s="28">
        <v>1.3275373333340029E-4</v>
      </c>
      <c r="AD10" s="28">
        <v>4.4623196666704329E-4</v>
      </c>
      <c r="AE10" s="28">
        <v>-7.7825866666207666E-5</v>
      </c>
      <c r="AF10" s="28">
        <v>-1.3539116666655421E-4</v>
      </c>
      <c r="AG10" s="28">
        <v>2.6550746666679538E-4</v>
      </c>
      <c r="AH10" s="28">
        <v>3.4956530000004871E-4</v>
      </c>
      <c r="AI10" s="28">
        <v>-2.8549253333323699E-4</v>
      </c>
      <c r="AJ10" s="28">
        <v>2.6550746666679972E-4</v>
      </c>
      <c r="AK10" s="28">
        <v>6.5746130600000091E-2</v>
      </c>
      <c r="AL10" s="28">
        <v>1.327537333333968E-4</v>
      </c>
      <c r="AM10" s="28">
        <v>2.655074666667988E-4</v>
      </c>
      <c r="AN10" s="28">
        <v>2.6550746666679712E-4</v>
      </c>
      <c r="AO10" s="28">
        <v>0.2298671741333338</v>
      </c>
      <c r="AP10" s="28">
        <v>2.6550746666679619E-4</v>
      </c>
      <c r="AQ10" s="28">
        <v>-2.357244999998537E-4</v>
      </c>
      <c r="AR10" s="28">
        <v>1.3275373333340029E-4</v>
      </c>
      <c r="AS10" s="28">
        <v>4.6450746666680531E-4</v>
      </c>
      <c r="AT10" s="28">
        <v>5.7972666671068929E-6</v>
      </c>
      <c r="AU10" s="28">
        <v>1.4342040000041301E-4</v>
      </c>
      <c r="AV10" s="28">
        <v>0.14178784079999979</v>
      </c>
      <c r="AW10" s="28">
        <v>1.525074666668402E-4</v>
      </c>
      <c r="AX10" s="28">
        <v>-3.0086939999990348E-4</v>
      </c>
      <c r="AY10" s="28">
        <v>-3.0086939999990001E-4</v>
      </c>
      <c r="AZ10" s="28">
        <v>-8.4057833333248122E-5</v>
      </c>
      <c r="BA10" s="28">
        <v>-1.346809666665592E-4</v>
      </c>
      <c r="BB10" s="28">
        <v>1.9513060000007909E-4</v>
      </c>
      <c r="BC10" s="28">
        <v>2.5084079999979081E-4</v>
      </c>
      <c r="BD10" s="28">
        <v>-2.4101429999956461E-4</v>
      </c>
      <c r="BE10" s="28">
        <v>-3.7834763333352561E-4</v>
      </c>
      <c r="BF10" s="28">
        <v>2.655074666667988E-4</v>
      </c>
      <c r="BG10" s="28">
        <v>3.6798570000043379E-4</v>
      </c>
      <c r="BH10" s="28">
        <v>2.6550746666679712E-4</v>
      </c>
      <c r="BI10" s="28">
        <v>1.691594216666675E-2</v>
      </c>
      <c r="BJ10" s="28">
        <v>1.3275373333339861E-4</v>
      </c>
      <c r="BK10" s="28">
        <v>-3.2086939999992348E-4</v>
      </c>
      <c r="BL10" s="28">
        <v>3.4956530000004871E-4</v>
      </c>
      <c r="BM10" s="28">
        <v>2.655074666667988E-4</v>
      </c>
      <c r="BN10" s="28">
        <v>1.497972666670844E-4</v>
      </c>
      <c r="BO10" s="28">
        <v>-8.4057833333251591E-5</v>
      </c>
      <c r="BP10" s="28">
        <v>1.36148408000001E-2</v>
      </c>
      <c r="BQ10" s="28">
        <v>2.9298570000044211E-4</v>
      </c>
      <c r="BR10" s="28">
        <v>0.12646150746666679</v>
      </c>
      <c r="BS10" s="28">
        <v>1.521741333337934E-4</v>
      </c>
      <c r="BT10" s="28">
        <v>-4.940578333332557E-4</v>
      </c>
      <c r="BU10" s="28">
        <v>-2.3515920000019561E-4</v>
      </c>
      <c r="BV10" s="28">
        <v>-3.4057959999961312E-4</v>
      </c>
      <c r="BW10" s="28">
        <v>3.327537333333852E-4</v>
      </c>
      <c r="BX10" s="28">
        <v>-9.2202733332907849E-5</v>
      </c>
      <c r="BY10" s="28">
        <v>-2.0101429999953849E-4</v>
      </c>
      <c r="BZ10" s="28">
        <v>2.0699130600000101E-2</v>
      </c>
      <c r="CA10" s="28">
        <v>1.365236666645009E-5</v>
      </c>
      <c r="CB10" s="28">
        <v>-1.073911666662763E-4</v>
      </c>
      <c r="CC10" s="28">
        <v>-9.4825866666203851E-5</v>
      </c>
      <c r="CD10" s="28">
        <v>2.6550746666679619E-4</v>
      </c>
      <c r="CE10" s="28">
        <v>-8.4057833333251591E-5</v>
      </c>
      <c r="CF10" s="28">
        <v>4.1420400000435897E-5</v>
      </c>
      <c r="CG10" s="28">
        <v>1.523190333334451E-4</v>
      </c>
      <c r="CH10" s="28">
        <v>-8.4057833333248122E-5</v>
      </c>
      <c r="CI10" s="28">
        <v>1.3275373333340029E-4</v>
      </c>
      <c r="CJ10" s="28">
        <v>0.24675608706666741</v>
      </c>
      <c r="CK10" s="28">
        <v>7.4319033333436479E-5</v>
      </c>
      <c r="CL10" s="28">
        <v>1.931903333345086E-5</v>
      </c>
      <c r="CM10" s="28">
        <v>-2.1043469999994241E-4</v>
      </c>
      <c r="CN10" s="28">
        <v>3.4956530000004518E-4</v>
      </c>
      <c r="CO10" s="28">
        <v>-9.1014299999567227E-5</v>
      </c>
      <c r="CP10" s="28">
        <v>-4.2110136666665549E-4</v>
      </c>
      <c r="CQ10" s="28">
        <v>2.6550746666679451E-4</v>
      </c>
      <c r="CR10" s="28">
        <v>3.7879726666717461E-4</v>
      </c>
      <c r="CS10" s="28">
        <v>1.3275373333339341E-4</v>
      </c>
      <c r="CT10" s="28">
        <v>9.7156501382457856E-3</v>
      </c>
      <c r="CU10" s="34">
        <v>0.9229867631333496</v>
      </c>
    </row>
    <row r="11" spans="1:99" x14ac:dyDescent="0.25">
      <c r="A11" s="24">
        <v>10</v>
      </c>
      <c r="B11" s="26">
        <v>4.5</v>
      </c>
      <c r="C11" s="28">
        <v>-4.3016789999998639E-4</v>
      </c>
      <c r="D11" s="28">
        <v>4.2644279999998203E-4</v>
      </c>
      <c r="E11" s="28">
        <v>-2.8677859999999561E-4</v>
      </c>
      <c r="F11" s="28">
        <v>4.2644279999998203E-4</v>
      </c>
      <c r="G11" s="28">
        <v>-1.795571999999995E-4</v>
      </c>
      <c r="H11" s="28">
        <v>3.0283210000002497E-4</v>
      </c>
      <c r="I11" s="28">
        <v>4.2644279999998203E-4</v>
      </c>
      <c r="J11" s="28">
        <v>-2.8345666666790281E-6</v>
      </c>
      <c r="K11" s="28">
        <v>-4.9223866666725513E-5</v>
      </c>
      <c r="L11" s="28">
        <v>4.2644280000000978E-4</v>
      </c>
      <c r="M11" s="28">
        <v>4.2644279999998203E-4</v>
      </c>
      <c r="N11" s="28">
        <v>-3.8522386666700598E-4</v>
      </c>
      <c r="O11" s="28">
        <v>3.5522139999998731E-4</v>
      </c>
      <c r="P11" s="28">
        <v>-3.7683456666667842E-4</v>
      </c>
      <c r="Q11" s="28">
        <v>-2.150839499999932E-4</v>
      </c>
      <c r="R11" s="28">
        <v>4.197761333330028E-4</v>
      </c>
      <c r="S11" s="28">
        <v>4.2644279999998203E-4</v>
      </c>
      <c r="T11" s="28">
        <v>-1.277859999999909E-5</v>
      </c>
      <c r="U11" s="28">
        <v>4.2644279999998203E-4</v>
      </c>
      <c r="V11" s="28">
        <v>-1.535571999999874E-4</v>
      </c>
      <c r="W11" s="28">
        <v>3.8644280000001141E-4</v>
      </c>
      <c r="X11" s="28">
        <v>9.3832100000010299E-5</v>
      </c>
      <c r="Y11" s="28">
        <v>4.9813744999999132E-4</v>
      </c>
      <c r="Z11" s="28">
        <v>3.2219341666699103E-4</v>
      </c>
      <c r="AA11" s="28">
        <v>-1.017506166670068E-4</v>
      </c>
      <c r="AB11" s="28">
        <v>-2.150839499999932E-4</v>
      </c>
      <c r="AC11" s="28">
        <v>-2.8677859999999561E-4</v>
      </c>
      <c r="AD11" s="28">
        <v>-2.9908394999999388E-4</v>
      </c>
      <c r="AE11" s="28">
        <v>-1.7955720000001341E-4</v>
      </c>
      <c r="AF11" s="28">
        <v>-1.064732500000026E-4</v>
      </c>
      <c r="AG11" s="28">
        <v>1.131094666669968E-4</v>
      </c>
      <c r="AH11" s="28">
        <v>2.8758271666701202E-4</v>
      </c>
      <c r="AI11" s="28">
        <v>4.2644280000000978E-4</v>
      </c>
      <c r="AJ11" s="28">
        <v>4.2644279999998203E-4</v>
      </c>
      <c r="AK11" s="28">
        <v>0.19579483210000001</v>
      </c>
      <c r="AL11" s="28">
        <v>-2.8677860000000938E-4</v>
      </c>
      <c r="AM11" s="28">
        <v>-3.8355719999999972E-4</v>
      </c>
      <c r="AN11" s="28">
        <v>-1.9355719999999971E-4</v>
      </c>
      <c r="AO11" s="28">
        <v>4.2644279999998203E-4</v>
      </c>
      <c r="AP11" s="28">
        <v>1.397761333333247E-4</v>
      </c>
      <c r="AQ11" s="28">
        <v>-3.3013991666699759E-4</v>
      </c>
      <c r="AR11" s="28">
        <v>-2.3244526666701271E-4</v>
      </c>
      <c r="AS11" s="28">
        <v>1.251094666670054E-4</v>
      </c>
      <c r="AT11" s="28">
        <v>-3.1616789999995559E-4</v>
      </c>
      <c r="AU11" s="28">
        <v>-2.761119333329959E-4</v>
      </c>
      <c r="AV11" s="28">
        <v>-2.8055720000000339E-4</v>
      </c>
      <c r="AW11" s="28">
        <v>3.9527613333301131E-4</v>
      </c>
      <c r="AX11" s="28">
        <v>-4.3016789999998639E-4</v>
      </c>
      <c r="AY11" s="28">
        <v>-4.8350123333298559E-4</v>
      </c>
      <c r="AZ11" s="28">
        <v>3.3519341666700397E-4</v>
      </c>
      <c r="BA11" s="28">
        <v>2.6413745000002098E-4</v>
      </c>
      <c r="BB11" s="28">
        <v>5.3832100000025813E-5</v>
      </c>
      <c r="BC11" s="28">
        <v>-2.9622386666702799E-4</v>
      </c>
      <c r="BD11" s="28">
        <v>-3.3586254999999621E-4</v>
      </c>
      <c r="BE11" s="28">
        <v>1.234707833332738E-4</v>
      </c>
      <c r="BF11" s="28">
        <v>4.2644279999998203E-4</v>
      </c>
      <c r="BG11" s="28">
        <v>4.9813745000001908E-4</v>
      </c>
      <c r="BH11" s="28">
        <v>4.2644279999998203E-4</v>
      </c>
      <c r="BI11" s="28">
        <v>-3.584732500000049E-4</v>
      </c>
      <c r="BJ11" s="28">
        <v>1.855473333299551E-5</v>
      </c>
      <c r="BK11" s="28">
        <v>6.6498766666714393E-5</v>
      </c>
      <c r="BL11" s="28">
        <v>-2.150839499999932E-4</v>
      </c>
      <c r="BM11" s="28">
        <v>2.5444279999999042E-4</v>
      </c>
      <c r="BN11" s="28">
        <v>-4.2383456666700292E-4</v>
      </c>
      <c r="BO11" s="28">
        <v>-3.584732500000049E-4</v>
      </c>
      <c r="BP11" s="28">
        <v>-4.295571999999998E-4</v>
      </c>
      <c r="BQ11" s="28">
        <v>4.9813745000001908E-4</v>
      </c>
      <c r="BR11" s="28">
        <v>4.3577613333328769E-4</v>
      </c>
      <c r="BS11" s="28">
        <v>2.9044280000001249E-4</v>
      </c>
      <c r="BT11" s="28">
        <v>-3.584732500000049E-4</v>
      </c>
      <c r="BU11" s="28">
        <v>4.2644280000000978E-4</v>
      </c>
      <c r="BV11" s="28">
        <v>-2.8677860000000249E-4</v>
      </c>
      <c r="BW11" s="28">
        <v>-2.8677859999999561E-4</v>
      </c>
      <c r="BX11" s="28">
        <v>3.3049876666700791E-4</v>
      </c>
      <c r="BY11" s="28">
        <v>4.3137450000008133E-5</v>
      </c>
      <c r="BZ11" s="28">
        <v>3.5569832099999997E-2</v>
      </c>
      <c r="CA11" s="28">
        <v>4.9813745000001908E-4</v>
      </c>
      <c r="CB11" s="28">
        <v>-1.204732500000236E-4</v>
      </c>
      <c r="CC11" s="28">
        <v>-3.6455720000000408E-4</v>
      </c>
      <c r="CD11" s="28">
        <v>2.324427999999962E-4</v>
      </c>
      <c r="CE11" s="28">
        <v>1.2752675000000929E-4</v>
      </c>
      <c r="CF11" s="28">
        <v>1.8255473333299131E-4</v>
      </c>
      <c r="CG11" s="28">
        <v>4.9813745000001908E-4</v>
      </c>
      <c r="CH11" s="28">
        <v>-3.404732500000146E-4</v>
      </c>
      <c r="CI11" s="28">
        <v>-2.8677859999999561E-4</v>
      </c>
      <c r="CJ11" s="28">
        <v>-3.4811193333330459E-4</v>
      </c>
      <c r="CK11" s="28">
        <v>2.241374500000087E-4</v>
      </c>
      <c r="CL11" s="28">
        <v>-4.1219588333329948E-4</v>
      </c>
      <c r="CM11" s="28">
        <v>-2.150839499999932E-4</v>
      </c>
      <c r="CN11" s="28">
        <v>-1.5108394999997779E-4</v>
      </c>
      <c r="CO11" s="28">
        <v>4.9813745000001908E-4</v>
      </c>
      <c r="CP11" s="28">
        <v>-3.8575061666699939E-4</v>
      </c>
      <c r="CQ11" s="28">
        <v>4.2644279999998203E-4</v>
      </c>
      <c r="CR11" s="28">
        <v>2.3983210000000371E-4</v>
      </c>
      <c r="CS11" s="28">
        <v>9.8221400000000902E-5</v>
      </c>
      <c r="CT11" s="28">
        <v>2.4643972678947269E-3</v>
      </c>
      <c r="CU11" s="34">
        <v>0.23411774044999911</v>
      </c>
    </row>
    <row r="12" spans="1:99" x14ac:dyDescent="0.25">
      <c r="A12" s="24">
        <v>11</v>
      </c>
      <c r="B12" s="26">
        <v>5</v>
      </c>
      <c r="C12" s="28">
        <v>-3.022162000010375E-4</v>
      </c>
      <c r="D12" s="28">
        <v>-4.5628826666799238E-4</v>
      </c>
      <c r="E12" s="28">
        <v>1.7385586666601729E-4</v>
      </c>
      <c r="F12" s="28">
        <v>-3.4028826666798739E-4</v>
      </c>
      <c r="G12" s="28">
        <v>-2.3262160000098181E-4</v>
      </c>
      <c r="H12" s="28">
        <v>-5.2162000010458343E-6</v>
      </c>
      <c r="I12" s="28">
        <v>-3.402882666680429E-4</v>
      </c>
      <c r="J12" s="28">
        <v>2.7678379999901409E-4</v>
      </c>
      <c r="K12" s="28">
        <v>2.5871173333202879E-4</v>
      </c>
      <c r="L12" s="28">
        <v>-3.4028826666798739E-4</v>
      </c>
      <c r="M12" s="28">
        <v>2.6378399999027469E-5</v>
      </c>
      <c r="N12" s="28">
        <v>-2.5762160000131212E-4</v>
      </c>
      <c r="O12" s="28">
        <v>3.2985586666597899E-4</v>
      </c>
      <c r="P12" s="28">
        <v>2.3478379999897209E-4</v>
      </c>
      <c r="Q12" s="28">
        <v>-5.0608100000494587E-5</v>
      </c>
      <c r="R12" s="28">
        <v>-2.169549333350673E-4</v>
      </c>
      <c r="S12" s="28">
        <v>-3.4028826666798739E-4</v>
      </c>
      <c r="T12" s="28">
        <v>2.131891999989782E-4</v>
      </c>
      <c r="U12" s="28">
        <v>-3.402882666680429E-4</v>
      </c>
      <c r="V12" s="28">
        <v>-3.4028826666798739E-4</v>
      </c>
      <c r="W12" s="28">
        <v>-3.402882666680429E-4</v>
      </c>
      <c r="X12" s="28">
        <v>-2.745495333340287E-4</v>
      </c>
      <c r="Y12" s="28">
        <v>2.0581099998501221E-5</v>
      </c>
      <c r="Z12" s="28">
        <v>-3.3768016666751999E-4</v>
      </c>
      <c r="AA12" s="28">
        <v>-3.9127476666711569E-4</v>
      </c>
      <c r="AB12" s="28">
        <v>-2.6081000005090389E-6</v>
      </c>
      <c r="AC12" s="28">
        <v>9.8558666659781524E-6</v>
      </c>
      <c r="AD12" s="28">
        <v>-2.6081000005229171E-6</v>
      </c>
      <c r="AE12" s="28">
        <v>-2.89621600001011E-4</v>
      </c>
      <c r="AF12" s="28">
        <v>1.4898649999950389E-4</v>
      </c>
      <c r="AG12" s="28">
        <v>-3.402882666680429E-4</v>
      </c>
      <c r="AH12" s="28">
        <v>3.907252333324937E-4</v>
      </c>
      <c r="AI12" s="28">
        <v>-1.5162160000098399E-4</v>
      </c>
      <c r="AJ12" s="28">
        <v>3.4704506666496942E-4</v>
      </c>
      <c r="AK12" s="28">
        <v>-3.7721620000097378E-4</v>
      </c>
      <c r="AL12" s="28">
        <v>3.2985586666597899E-4</v>
      </c>
      <c r="AM12" s="28">
        <v>-3.4028826666798739E-4</v>
      </c>
      <c r="AN12" s="28">
        <v>3.704506666524221E-5</v>
      </c>
      <c r="AO12" s="28">
        <v>2.8371173333202599E-4</v>
      </c>
      <c r="AP12" s="28">
        <v>-1.6962160000139059E-4</v>
      </c>
      <c r="AQ12" s="28">
        <v>2.9731983333247669E-4</v>
      </c>
      <c r="AR12" s="28">
        <v>-1.311441333340102E-4</v>
      </c>
      <c r="AS12" s="28">
        <v>-4.7162160000102649E-4</v>
      </c>
      <c r="AT12" s="28">
        <v>3.4278379999896908E-4</v>
      </c>
      <c r="AU12" s="28">
        <v>3.2985586666597899E-4</v>
      </c>
      <c r="AV12" s="28">
        <v>-3.402882666680429E-4</v>
      </c>
      <c r="AW12" s="28">
        <v>4.4237839999872191E-4</v>
      </c>
      <c r="AX12" s="28">
        <v>-5.2162000009903231E-6</v>
      </c>
      <c r="AY12" s="28">
        <v>-5.2162000010458343E-6</v>
      </c>
      <c r="AZ12" s="28">
        <v>3.8431983333248038E-4</v>
      </c>
      <c r="BA12" s="28">
        <v>3.6581099998517219E-5</v>
      </c>
      <c r="BB12" s="28">
        <v>3.6078379999898708E-4</v>
      </c>
      <c r="BC12" s="28">
        <v>-3.4028826666798739E-4</v>
      </c>
      <c r="BD12" s="28">
        <v>-4.3608556666779869E-4</v>
      </c>
      <c r="BE12" s="28">
        <v>3.2724776666548378E-4</v>
      </c>
      <c r="BF12" s="28">
        <v>-3.4028826666798739E-4</v>
      </c>
      <c r="BG12" s="28">
        <v>3.2724776666548378E-4</v>
      </c>
      <c r="BH12" s="28">
        <v>-3.4028826666798739E-4</v>
      </c>
      <c r="BI12" s="28">
        <v>-4.0568016666750473E-4</v>
      </c>
      <c r="BJ12" s="28">
        <v>2.7185586666600431E-4</v>
      </c>
      <c r="BK12" s="28">
        <v>-1.7921620000102559E-4</v>
      </c>
      <c r="BL12" s="28">
        <v>-2.6081000005229171E-6</v>
      </c>
      <c r="BM12" s="28">
        <v>7.9711733331988555E-5</v>
      </c>
      <c r="BN12" s="28">
        <v>-3.8354953333402658E-4</v>
      </c>
      <c r="BO12" s="28">
        <v>-1.8168016666750281E-4</v>
      </c>
      <c r="BP12" s="28">
        <v>-3.4028826666798739E-4</v>
      </c>
      <c r="BQ12" s="28">
        <v>-7.5418900001483768E-5</v>
      </c>
      <c r="BR12" s="28">
        <v>-2.6562160000132012E-4</v>
      </c>
      <c r="BS12" s="28">
        <v>-3.4028826666798739E-4</v>
      </c>
      <c r="BT12" s="28">
        <v>-3.3768016666751999E-4</v>
      </c>
      <c r="BU12" s="28">
        <v>-3.402882666680429E-4</v>
      </c>
      <c r="BV12" s="28">
        <v>-1.0144133334000219E-5</v>
      </c>
      <c r="BW12" s="28">
        <v>4.5552253333297488E-4</v>
      </c>
      <c r="BX12" s="28">
        <v>-2.5388286666701287E-4</v>
      </c>
      <c r="BY12" s="28">
        <v>-2.2208556666780679E-4</v>
      </c>
      <c r="BZ12" s="28">
        <v>-4.5854953333401838E-4</v>
      </c>
      <c r="CA12" s="28">
        <v>-2.2475223333448541E-4</v>
      </c>
      <c r="CB12" s="28">
        <v>-3.0034683333452367E-4</v>
      </c>
      <c r="CC12" s="28">
        <v>-1.8362160000101599E-4</v>
      </c>
      <c r="CD12" s="28">
        <v>-3.402882666680429E-4</v>
      </c>
      <c r="CE12" s="28">
        <v>-1.5568016666742121E-4</v>
      </c>
      <c r="CF12" s="28">
        <v>-4.3014413333400392E-4</v>
      </c>
      <c r="CG12" s="28">
        <v>-4.1608556666777868E-4</v>
      </c>
      <c r="CH12" s="28">
        <v>-3.4683333419160972E-7</v>
      </c>
      <c r="CI12" s="28">
        <v>3.2985586666600669E-4</v>
      </c>
      <c r="CJ12" s="28">
        <v>3.2985586666597899E-4</v>
      </c>
      <c r="CK12" s="28">
        <v>3.2724776666548378E-4</v>
      </c>
      <c r="CL12" s="28">
        <v>-4.4608556666747567E-4</v>
      </c>
      <c r="CM12" s="28">
        <v>-2.4260810000049929E-4</v>
      </c>
      <c r="CN12" s="28">
        <v>2.1391899999487211E-5</v>
      </c>
      <c r="CO12" s="28">
        <v>3.2724776666548378E-4</v>
      </c>
      <c r="CP12" s="28">
        <v>-3.0894143333351059E-4</v>
      </c>
      <c r="CQ12" s="28">
        <v>2.0378399998993709E-5</v>
      </c>
      <c r="CR12" s="28">
        <v>1.8945046666568599E-4</v>
      </c>
      <c r="CS12" s="28">
        <v>4.6952253333298888E-4</v>
      </c>
      <c r="CT12" s="28">
        <v>-7.4582297193987327E-5</v>
      </c>
      <c r="CU12" s="34">
        <v>-7.0853182334287964E-3</v>
      </c>
    </row>
    <row r="13" spans="1:99" x14ac:dyDescent="0.25">
      <c r="A13" s="24">
        <v>12</v>
      </c>
      <c r="B13" s="26">
        <v>5.5</v>
      </c>
      <c r="C13" s="28">
        <v>4.0151760000101122E-4</v>
      </c>
      <c r="D13" s="28">
        <v>-2.8797653333201279E-4</v>
      </c>
      <c r="E13" s="28">
        <v>4.4345066667034187E-5</v>
      </c>
      <c r="F13" s="28">
        <v>1.420234666680287E-4</v>
      </c>
      <c r="G13" s="28">
        <v>2.3023466668048439E-5</v>
      </c>
      <c r="H13" s="28">
        <v>3.8517600001009011E-5</v>
      </c>
      <c r="I13" s="28">
        <v>1.420234666680287E-4</v>
      </c>
      <c r="J13" s="28">
        <v>1.6517600001042521E-5</v>
      </c>
      <c r="K13" s="28">
        <v>2.1335680000100779E-4</v>
      </c>
      <c r="L13" s="28">
        <v>-4.6130986666526042E-4</v>
      </c>
      <c r="M13" s="28">
        <v>1.420234666681397E-4</v>
      </c>
      <c r="N13" s="28">
        <v>4.7735680000099418E-4</v>
      </c>
      <c r="O13" s="28">
        <v>7.1011733334014338E-5</v>
      </c>
      <c r="P13" s="28">
        <v>-3.9348239999892343E-4</v>
      </c>
      <c r="Q13" s="28">
        <v>-1.967411999994895E-4</v>
      </c>
      <c r="R13" s="28">
        <v>1.420234666680287E-4</v>
      </c>
      <c r="S13" s="28">
        <v>1.420234666681397E-4</v>
      </c>
      <c r="T13" s="28">
        <v>2.5301173333402982E-4</v>
      </c>
      <c r="U13" s="28">
        <v>1.420234666680287E-4</v>
      </c>
      <c r="V13" s="28">
        <v>1.420234666681397E-4</v>
      </c>
      <c r="W13" s="28">
        <v>1.420234666681397E-4</v>
      </c>
      <c r="X13" s="28">
        <v>-3.9348239999892343E-4</v>
      </c>
      <c r="Y13" s="28">
        <v>-1.2572946666533641E-4</v>
      </c>
      <c r="Z13" s="28">
        <v>1.4098000000489769E-5</v>
      </c>
      <c r="AA13" s="28">
        <v>-1.967411999994895E-4</v>
      </c>
      <c r="AB13" s="28">
        <v>-1.967411999994895E-4</v>
      </c>
      <c r="AC13" s="28">
        <v>4.710117333340258E-4</v>
      </c>
      <c r="AD13" s="28">
        <v>-1.8407453333248169E-4</v>
      </c>
      <c r="AE13" s="28">
        <v>1.420234666680287E-4</v>
      </c>
      <c r="AF13" s="28">
        <v>-2.6323533333255661E-4</v>
      </c>
      <c r="AG13" s="28">
        <v>1.540234666680407E-4</v>
      </c>
      <c r="AH13" s="28">
        <v>5.4592133333503101E-5</v>
      </c>
      <c r="AI13" s="28">
        <v>-4.8864319999886163E-4</v>
      </c>
      <c r="AJ13" s="28">
        <v>1.420234666681397E-4</v>
      </c>
      <c r="AK13" s="28">
        <v>-2.2214906666601089E-4</v>
      </c>
      <c r="AL13" s="28">
        <v>7.1011733334014338E-5</v>
      </c>
      <c r="AM13" s="28">
        <v>3.3202346666805221E-4</v>
      </c>
      <c r="AN13" s="28">
        <v>1.420234666680287E-4</v>
      </c>
      <c r="AO13" s="28">
        <v>3.9335680000096568E-4</v>
      </c>
      <c r="AP13" s="28">
        <v>-1.879765333319128E-4</v>
      </c>
      <c r="AQ13" s="28">
        <v>3.387646666675459E-4</v>
      </c>
      <c r="AR13" s="28">
        <v>7.1011733334014338E-5</v>
      </c>
      <c r="AS13" s="28">
        <v>3.4935680000103281E-4</v>
      </c>
      <c r="AT13" s="28">
        <v>-3.9348239999897888E-4</v>
      </c>
      <c r="AU13" s="28">
        <v>9.2345066666998932E-5</v>
      </c>
      <c r="AV13" s="28">
        <v>1.930234666680519E-4</v>
      </c>
      <c r="AW13" s="28">
        <v>3.4002346666806021E-4</v>
      </c>
      <c r="AX13" s="28">
        <v>-3.9348239999897888E-4</v>
      </c>
      <c r="AY13" s="28">
        <v>1.5995093333404101E-4</v>
      </c>
      <c r="AZ13" s="28">
        <v>-2.8790199999945138E-4</v>
      </c>
      <c r="BA13" s="28">
        <v>-1.257294666654474E-4</v>
      </c>
      <c r="BB13" s="28">
        <v>4.6385093333400912E-4</v>
      </c>
      <c r="BC13" s="28">
        <v>-3.6530986666527537E-4</v>
      </c>
      <c r="BD13" s="28">
        <v>2.4560386666749873E-4</v>
      </c>
      <c r="BE13" s="28">
        <v>3.2493720000154053E-4</v>
      </c>
      <c r="BF13" s="28">
        <v>1.420234666680287E-4</v>
      </c>
      <c r="BG13" s="28">
        <v>4.1227053333459113E-4</v>
      </c>
      <c r="BH13" s="28">
        <v>1.420234666680287E-4</v>
      </c>
      <c r="BI13" s="28">
        <v>3.3876466666749039E-4</v>
      </c>
      <c r="BJ13" s="28">
        <v>7.1011733334014338E-5</v>
      </c>
      <c r="BK13" s="28">
        <v>8.3184266668034912E-5</v>
      </c>
      <c r="BL13" s="28">
        <v>-1.967411999994895E-4</v>
      </c>
      <c r="BM13" s="28">
        <v>1.420234666680287E-4</v>
      </c>
      <c r="BN13" s="28">
        <v>3.6385093333396462E-4</v>
      </c>
      <c r="BO13" s="28">
        <v>-3.1235333332435562E-5</v>
      </c>
      <c r="BP13" s="28">
        <v>2.8602346666806172E-4</v>
      </c>
      <c r="BQ13" s="28">
        <v>2.5293720000119091E-4</v>
      </c>
      <c r="BR13" s="28">
        <v>2.72690133334974E-4</v>
      </c>
      <c r="BS13" s="28">
        <v>1.420234666680287E-4</v>
      </c>
      <c r="BT13" s="28">
        <v>-7.1235333332475559E-5</v>
      </c>
      <c r="BU13" s="28">
        <v>1.5669013333474699E-4</v>
      </c>
      <c r="BV13" s="28">
        <v>-8.2321599998991246E-5</v>
      </c>
      <c r="BW13" s="28">
        <v>4.3701173333403689E-4</v>
      </c>
      <c r="BX13" s="28">
        <v>3.7851760000107149E-4</v>
      </c>
      <c r="BY13" s="28">
        <v>1.6427053333456509E-4</v>
      </c>
      <c r="BZ13" s="28">
        <v>-3.9348239999897888E-4</v>
      </c>
      <c r="CA13" s="28">
        <v>2.0893720000159099E-4</v>
      </c>
      <c r="CB13" s="28">
        <v>2.3409800000095959E-4</v>
      </c>
      <c r="CC13" s="28">
        <v>3.0969013333503881E-4</v>
      </c>
      <c r="CD13" s="28">
        <v>-5.1976533331998809E-5</v>
      </c>
      <c r="CE13" s="28">
        <v>3.3876466666749039E-4</v>
      </c>
      <c r="CF13" s="28">
        <v>-9.2321599999001247E-5</v>
      </c>
      <c r="CG13" s="28">
        <v>3.8427053333456312E-4</v>
      </c>
      <c r="CH13" s="28">
        <v>1.7309800000092629E-4</v>
      </c>
      <c r="CI13" s="28">
        <v>1.9921173333398159E-4</v>
      </c>
      <c r="CJ13" s="28">
        <v>-3.6698826666599349E-4</v>
      </c>
      <c r="CK13" s="28">
        <v>-3.0972946666540929E-4</v>
      </c>
      <c r="CL13" s="28">
        <v>-4.190627999984819E-4</v>
      </c>
      <c r="CM13" s="28">
        <v>-1.967411999994895E-4</v>
      </c>
      <c r="CN13" s="28">
        <v>-1.967411999995172E-4</v>
      </c>
      <c r="CO13" s="28">
        <v>-1.257294666654474E-4</v>
      </c>
      <c r="CP13" s="28">
        <v>-1.967411999994895E-4</v>
      </c>
      <c r="CQ13" s="28">
        <v>1.420234666680287E-4</v>
      </c>
      <c r="CR13" s="28">
        <v>8.7184266667983401E-5</v>
      </c>
      <c r="CS13" s="28">
        <v>-3.8365493333297751E-4</v>
      </c>
      <c r="CT13" s="28">
        <v>5.0037949474729568E-5</v>
      </c>
      <c r="CU13" s="34">
        <v>4.7536052000993097E-3</v>
      </c>
    </row>
    <row r="14" spans="1:99" x14ac:dyDescent="0.25">
      <c r="A14" s="24">
        <v>13</v>
      </c>
      <c r="B14" s="26">
        <v>6</v>
      </c>
      <c r="C14" s="28">
        <v>6.1055499998907692E-5</v>
      </c>
      <c r="D14" s="28">
        <v>-2.6159266666803132E-4</v>
      </c>
      <c r="E14" s="28">
        <v>-1.3262966666705009E-4</v>
      </c>
      <c r="F14" s="28">
        <v>8.1407333331839915E-5</v>
      </c>
      <c r="G14" s="28">
        <v>-2.4759266666807278E-4</v>
      </c>
      <c r="H14" s="28">
        <v>-4.9294450000114676E-4</v>
      </c>
      <c r="I14" s="28">
        <v>8.1407333331950937E-5</v>
      </c>
      <c r="J14" s="28">
        <v>6.1055499998907692E-5</v>
      </c>
      <c r="K14" s="28">
        <v>-4.3059266666811702E-4</v>
      </c>
      <c r="L14" s="28">
        <v>4.6140733333188688E-4</v>
      </c>
      <c r="M14" s="28">
        <v>1.147406666652806E-4</v>
      </c>
      <c r="N14" s="28">
        <v>8.1407333331950937E-5</v>
      </c>
      <c r="O14" s="28">
        <v>1.7103699999898581E-4</v>
      </c>
      <c r="P14" s="28">
        <v>-1.5894450000109031E-4</v>
      </c>
      <c r="Q14" s="28">
        <v>3.0527749999398328E-5</v>
      </c>
      <c r="R14" s="28">
        <v>-4.7259333335047948E-5</v>
      </c>
      <c r="S14" s="28">
        <v>8.1407333331950937E-5</v>
      </c>
      <c r="T14" s="28">
        <v>-1.3729633333403599E-4</v>
      </c>
      <c r="U14" s="28">
        <v>8.1407333331950937E-5</v>
      </c>
      <c r="V14" s="28">
        <v>-1.192600000110566E-5</v>
      </c>
      <c r="W14" s="28">
        <v>2.6340733333196642E-4</v>
      </c>
      <c r="X14" s="28">
        <v>3.7105549999882909E-4</v>
      </c>
      <c r="Y14" s="28">
        <v>1.2456474999833489E-4</v>
      </c>
      <c r="Z14" s="28">
        <v>3.9421291666552621E-4</v>
      </c>
      <c r="AA14" s="28">
        <v>-2.4480558333361818E-4</v>
      </c>
      <c r="AB14" s="28">
        <v>3.9052774999936979E-4</v>
      </c>
      <c r="AC14" s="28">
        <v>4.0703666665919958E-5</v>
      </c>
      <c r="AD14" s="28">
        <v>3.0527749999342817E-5</v>
      </c>
      <c r="AE14" s="28">
        <v>1.3274066666491E-4</v>
      </c>
      <c r="AF14" s="28">
        <v>1.9879583332493841E-5</v>
      </c>
      <c r="AG14" s="28">
        <v>-2.4392600000133771E-4</v>
      </c>
      <c r="AH14" s="28">
        <v>-3.2480558333361498E-4</v>
      </c>
      <c r="AI14" s="28">
        <v>-2.2859266666808151E-4</v>
      </c>
      <c r="AJ14" s="28">
        <v>-4.0192600000121809E-4</v>
      </c>
      <c r="AK14" s="28">
        <v>-3.6094450000123679E-4</v>
      </c>
      <c r="AL14" s="28">
        <v>4.0703666665919958E-5</v>
      </c>
      <c r="AM14" s="28">
        <v>8.1407333331950937E-5</v>
      </c>
      <c r="AN14" s="28">
        <v>8.1407333331950937E-5</v>
      </c>
      <c r="AO14" s="28">
        <v>2.2140733333186891E-4</v>
      </c>
      <c r="AP14" s="28">
        <v>6.1740666664866772E-5</v>
      </c>
      <c r="AQ14" s="28">
        <v>3.8254624999944919E-4</v>
      </c>
      <c r="AR14" s="28">
        <v>-3.6596300000102389E-4</v>
      </c>
      <c r="AS14" s="28">
        <v>-3.5059266666803701E-4</v>
      </c>
      <c r="AT14" s="28">
        <v>-2.096111666680667E-4</v>
      </c>
      <c r="AU14" s="28">
        <v>4.0703666665919958E-5</v>
      </c>
      <c r="AV14" s="28">
        <v>-1.5425933333479411E-4</v>
      </c>
      <c r="AW14" s="28">
        <v>-9.9259333334544841E-5</v>
      </c>
      <c r="AX14" s="28">
        <v>6.1055499998907692E-5</v>
      </c>
      <c r="AY14" s="28">
        <v>2.637221666658141E-4</v>
      </c>
      <c r="AZ14" s="28">
        <v>-2.7078708333450052E-4</v>
      </c>
      <c r="BA14" s="28">
        <v>7.1231416665429315E-5</v>
      </c>
      <c r="BB14" s="28">
        <v>6.1055499998907692E-5</v>
      </c>
      <c r="BC14" s="28">
        <v>-1.485926666681125E-4</v>
      </c>
      <c r="BD14" s="28">
        <v>-9.4101916667810315E-5</v>
      </c>
      <c r="BE14" s="28">
        <v>7.1231416665429315E-5</v>
      </c>
      <c r="BF14" s="28">
        <v>8.1407333331950937E-5</v>
      </c>
      <c r="BG14" s="28">
        <v>-5.6768583334587668E-5</v>
      </c>
      <c r="BH14" s="28">
        <v>8.1407333331728893E-5</v>
      </c>
      <c r="BI14" s="28">
        <v>4.5287958333245498E-4</v>
      </c>
      <c r="BJ14" s="28">
        <v>-1.8296300000103521E-4</v>
      </c>
      <c r="BK14" s="28">
        <v>6.1055499998907692E-5</v>
      </c>
      <c r="BL14" s="28">
        <v>3.0527749999398328E-5</v>
      </c>
      <c r="BM14" s="28">
        <v>5.7407333331926942E-5</v>
      </c>
      <c r="BN14" s="28">
        <v>7.0554999988536871E-6</v>
      </c>
      <c r="BO14" s="28">
        <v>5.0879583332497091E-5</v>
      </c>
      <c r="BP14" s="28">
        <v>8.1407333331950937E-5</v>
      </c>
      <c r="BQ14" s="28">
        <v>3.3456474999882252E-4</v>
      </c>
      <c r="BR14" s="28">
        <v>8.1407333331728893E-5</v>
      </c>
      <c r="BS14" s="28">
        <v>-1.6792600000115071E-4</v>
      </c>
      <c r="BT14" s="28">
        <v>5.0879583332497091E-5</v>
      </c>
      <c r="BU14" s="28">
        <v>2.2807399999891231E-4</v>
      </c>
      <c r="BV14" s="28">
        <v>4.0703666665919958E-5</v>
      </c>
      <c r="BW14" s="28">
        <v>1.273703333329324E-4</v>
      </c>
      <c r="BX14" s="28">
        <v>2.6038883333190382E-4</v>
      </c>
      <c r="BY14" s="28">
        <v>1.023141666534055E-5</v>
      </c>
      <c r="BZ14" s="28">
        <v>1.9772216666591461E-4</v>
      </c>
      <c r="CA14" s="28">
        <v>7.1231416665429315E-5</v>
      </c>
      <c r="CB14" s="28">
        <v>-1.017870833345258E-4</v>
      </c>
      <c r="CC14" s="28">
        <v>3.2507399999859299E-4</v>
      </c>
      <c r="CD14" s="28">
        <v>8.1407333331950937E-5</v>
      </c>
      <c r="CE14" s="28">
        <v>4.9221291666545763E-4</v>
      </c>
      <c r="CF14" s="28">
        <v>-3.219630000010909E-4</v>
      </c>
      <c r="CG14" s="28">
        <v>-1.267685833346022E-4</v>
      </c>
      <c r="CH14" s="28">
        <v>-4.2812041666756562E-4</v>
      </c>
      <c r="CI14" s="28">
        <v>4.0703666665975469E-5</v>
      </c>
      <c r="CJ14" s="28">
        <v>4.0703666665919958E-5</v>
      </c>
      <c r="CK14" s="28">
        <v>-4.4076858333463859E-4</v>
      </c>
      <c r="CL14" s="28">
        <v>-1.5776858333460539E-4</v>
      </c>
      <c r="CM14" s="28">
        <v>-9.4722500005861576E-6</v>
      </c>
      <c r="CN14" s="28">
        <v>1.145277499993991E-4</v>
      </c>
      <c r="CO14" s="28">
        <v>7.1231416665429315E-5</v>
      </c>
      <c r="CP14" s="28">
        <v>4.2019441666638069E-4</v>
      </c>
      <c r="CQ14" s="28">
        <v>8.140733333206196E-5</v>
      </c>
      <c r="CR14" s="28">
        <v>-2.6894450000103381E-4</v>
      </c>
      <c r="CS14" s="28">
        <v>-3.5963000001082428E-5</v>
      </c>
      <c r="CT14" s="28">
        <v>8.0904885953700824E-6</v>
      </c>
      <c r="CU14" s="34">
        <v>7.6859641656015776E-4</v>
      </c>
    </row>
    <row r="15" spans="1:99" x14ac:dyDescent="0.25">
      <c r="A15" s="24">
        <v>14</v>
      </c>
      <c r="B15" s="26">
        <v>6.5</v>
      </c>
      <c r="C15" s="28">
        <v>7.9124200001001732E-5</v>
      </c>
      <c r="D15" s="28">
        <v>5.5832266668165431E-5</v>
      </c>
      <c r="E15" s="28">
        <v>2.0741613333402631E-4</v>
      </c>
      <c r="F15" s="28">
        <v>3.9049893333475971E-4</v>
      </c>
      <c r="G15" s="28">
        <v>4.6776560000094669E-4</v>
      </c>
      <c r="H15" s="28">
        <v>-3.0587579999896702E-4</v>
      </c>
      <c r="I15" s="28">
        <v>2.5883226666811859E-4</v>
      </c>
      <c r="J15" s="28">
        <v>3.8612420000105901E-4</v>
      </c>
      <c r="K15" s="28">
        <v>3.3016560000098671E-4</v>
      </c>
      <c r="L15" s="28">
        <v>2.588322666678966E-4</v>
      </c>
      <c r="M15" s="28">
        <v>-4.0783439999891868E-4</v>
      </c>
      <c r="N15" s="28">
        <v>-1.3316773333205129E-4</v>
      </c>
      <c r="O15" s="28">
        <v>-3.5891719999936461E-4</v>
      </c>
      <c r="P15" s="28">
        <v>2.1579086666800859E-4</v>
      </c>
      <c r="Q15" s="28">
        <v>-1.5293789999948351E-4</v>
      </c>
      <c r="R15" s="28">
        <v>2.5883226666811859E-4</v>
      </c>
      <c r="S15" s="28">
        <v>2.588322666678966E-4</v>
      </c>
      <c r="T15" s="28">
        <v>1.294161333340593E-4</v>
      </c>
      <c r="U15" s="28">
        <v>2.5883226666811859E-4</v>
      </c>
      <c r="V15" s="28">
        <v>9.8832266667958635E-5</v>
      </c>
      <c r="W15" s="28">
        <v>2.588322666678966E-4</v>
      </c>
      <c r="X15" s="28">
        <v>-3.4720913333197162E-4</v>
      </c>
      <c r="Y15" s="28">
        <v>-3.8352176666500698E-4</v>
      </c>
      <c r="Z15" s="28">
        <v>-3.122298333324558E-4</v>
      </c>
      <c r="AA15" s="28">
        <v>-1.5293789999948351E-4</v>
      </c>
      <c r="AB15" s="28">
        <v>-1.5293789999948351E-4</v>
      </c>
      <c r="AC15" s="28">
        <v>-8.6317199999297323E-5</v>
      </c>
      <c r="AD15" s="28">
        <v>-3.1627123333277662E-4</v>
      </c>
      <c r="AE15" s="28">
        <v>2.5883226666811859E-4</v>
      </c>
      <c r="AF15" s="28">
        <v>-2.1656316666573969E-4</v>
      </c>
      <c r="AG15" s="28">
        <v>9.9165600001338561E-5</v>
      </c>
      <c r="AH15" s="28">
        <v>-1.5293789999948351E-4</v>
      </c>
      <c r="AI15" s="28">
        <v>8.6832266668057656E-5</v>
      </c>
      <c r="AJ15" s="28">
        <v>1.3549893333508761E-4</v>
      </c>
      <c r="AK15" s="28">
        <v>-4.1120913333203562E-4</v>
      </c>
      <c r="AL15" s="28">
        <v>1.294161333340593E-4</v>
      </c>
      <c r="AM15" s="28">
        <v>1.288322666679331E-4</v>
      </c>
      <c r="AN15" s="28">
        <v>-2.3716773333193331E-4</v>
      </c>
      <c r="AO15" s="28">
        <v>-3.9916773333192879E-4</v>
      </c>
      <c r="AP15" s="28">
        <v>1.4283226666811369E-4</v>
      </c>
      <c r="AQ15" s="28">
        <v>-2.5656316666544671E-4</v>
      </c>
      <c r="AR15" s="28">
        <v>1.294161333340593E-4</v>
      </c>
      <c r="AS15" s="28">
        <v>-6.3167733332036846E-5</v>
      </c>
      <c r="AT15" s="28">
        <v>4.9679086666798433E-4</v>
      </c>
      <c r="AU15" s="28">
        <v>1.294161333340593E-4</v>
      </c>
      <c r="AV15" s="28">
        <v>-1.205010666653905E-4</v>
      </c>
      <c r="AW15" s="28">
        <v>-4.681677333318035E-4</v>
      </c>
      <c r="AX15" s="28">
        <v>-3.0587579999896702E-4</v>
      </c>
      <c r="AY15" s="28">
        <v>-3.0587579999896702E-4</v>
      </c>
      <c r="AZ15" s="28">
        <v>1.6543683333447581E-4</v>
      </c>
      <c r="BA15" s="28">
        <v>4.5181156666795902E-4</v>
      </c>
      <c r="BB15" s="28">
        <v>-4.7209133332004598E-5</v>
      </c>
      <c r="BC15" s="28">
        <v>2.5883226666811859E-4</v>
      </c>
      <c r="BD15" s="28">
        <v>-1.8885509999844169E-4</v>
      </c>
      <c r="BE15" s="28">
        <v>-1.6188433331842941E-5</v>
      </c>
      <c r="BF15" s="28">
        <v>2.5883226666811859E-4</v>
      </c>
      <c r="BG15" s="28">
        <v>-2.3521766665091089E-5</v>
      </c>
      <c r="BH15" s="28">
        <v>2.5883226666811859E-4</v>
      </c>
      <c r="BI15" s="28">
        <v>-5.822983333247933E-5</v>
      </c>
      <c r="BJ15" s="28">
        <v>-3.9958386666594242E-4</v>
      </c>
      <c r="BK15" s="28">
        <v>-3.0587579999896702E-4</v>
      </c>
      <c r="BL15" s="28">
        <v>-1.5293789999948351E-4</v>
      </c>
      <c r="BM15" s="28">
        <v>-4.6916773333216533E-4</v>
      </c>
      <c r="BN15" s="28">
        <v>3.2412420000094139E-4</v>
      </c>
      <c r="BO15" s="28">
        <v>1.9777016666755459E-4</v>
      </c>
      <c r="BP15" s="28">
        <v>2.588322666678966E-4</v>
      </c>
      <c r="BQ15" s="28">
        <v>-2.018843333195797E-5</v>
      </c>
      <c r="BR15" s="28">
        <v>4.6416560000106521E-4</v>
      </c>
      <c r="BS15" s="28">
        <v>-4.7950106666187759E-4</v>
      </c>
      <c r="BT15" s="28">
        <v>4.1177016666749111E-4</v>
      </c>
      <c r="BU15" s="28">
        <v>1.5083226666812169E-4</v>
      </c>
      <c r="BV15" s="28">
        <v>-1.3725053333296661E-4</v>
      </c>
      <c r="BW15" s="28">
        <v>-2.9025053333608941E-4</v>
      </c>
      <c r="BX15" s="28">
        <v>-3.9887579999897671E-4</v>
      </c>
      <c r="BY15" s="28">
        <v>-2.3521766664869052E-5</v>
      </c>
      <c r="BZ15" s="28">
        <v>1.0412420000094349E-4</v>
      </c>
      <c r="CA15" s="28">
        <v>3.1114490000194728E-4</v>
      </c>
      <c r="CB15" s="28">
        <v>-1.9489649999859801E-4</v>
      </c>
      <c r="CC15" s="28">
        <v>1.4083226666783411E-4</v>
      </c>
      <c r="CD15" s="28">
        <v>6.4832266668091165E-5</v>
      </c>
      <c r="CE15" s="28">
        <v>8.177016666754966E-5</v>
      </c>
      <c r="CF15" s="28">
        <v>1.294161333340593E-4</v>
      </c>
      <c r="CG15" s="28">
        <v>-2.3521766665091089E-5</v>
      </c>
      <c r="CH15" s="28">
        <v>4.1177016666760208E-4</v>
      </c>
      <c r="CI15" s="28">
        <v>1.294161333339483E-4</v>
      </c>
      <c r="CJ15" s="28">
        <v>-1.5058386666594309E-4</v>
      </c>
      <c r="CK15" s="28">
        <v>3.0447823333501489E-4</v>
      </c>
      <c r="CL15" s="28">
        <v>4.7414490000197151E-4</v>
      </c>
      <c r="CM15" s="28">
        <v>-3.5293789999951702E-4</v>
      </c>
      <c r="CN15" s="28">
        <v>-1.4893789999947951E-4</v>
      </c>
      <c r="CO15" s="28">
        <v>-2.3521766665091089E-5</v>
      </c>
      <c r="CP15" s="28">
        <v>-1.993789999948925E-5</v>
      </c>
      <c r="CQ15" s="28">
        <v>-8.616773333192107E-5</v>
      </c>
      <c r="CR15" s="28">
        <v>-4.5087579999913968E-4</v>
      </c>
      <c r="CS15" s="28">
        <v>1.294161333340593E-4</v>
      </c>
      <c r="CT15" s="28">
        <v>6.5650971941083599E-6</v>
      </c>
      <c r="CU15" s="34">
        <v>6.2368423344029422E-4</v>
      </c>
    </row>
    <row r="16" spans="1:99" x14ac:dyDescent="0.25">
      <c r="A16" s="24">
        <v>15</v>
      </c>
      <c r="B16" s="26">
        <v>7</v>
      </c>
      <c r="C16" s="28">
        <v>-3.5659109999985889E-4</v>
      </c>
      <c r="D16" s="28">
        <v>6.5211866666414764E-5</v>
      </c>
      <c r="E16" s="28">
        <v>3.6727260000002371E-4</v>
      </c>
      <c r="F16" s="28">
        <v>4.732118666668228E-4</v>
      </c>
      <c r="G16" s="28">
        <v>4.0545199999852948E-5</v>
      </c>
      <c r="H16" s="28">
        <v>-2.3092443333316839E-4</v>
      </c>
      <c r="I16" s="28">
        <v>-1.334548000002655E-4</v>
      </c>
      <c r="J16" s="28">
        <v>-4.6959110000011067E-4</v>
      </c>
      <c r="K16" s="28">
        <v>4.7621186666702009E-4</v>
      </c>
      <c r="L16" s="28">
        <v>4.0545199999852948E-5</v>
      </c>
      <c r="M16" s="28">
        <v>4.0545199999852948E-5</v>
      </c>
      <c r="N16" s="28">
        <v>-1.4945480000005951E-4</v>
      </c>
      <c r="O16" s="28">
        <v>-1.470607333330376E-4</v>
      </c>
      <c r="P16" s="28">
        <v>-4.6959110000011067E-4</v>
      </c>
      <c r="Q16" s="28">
        <v>2.3320445000007961E-4</v>
      </c>
      <c r="R16" s="28">
        <v>-5.9454799999913988E-5</v>
      </c>
      <c r="S16" s="28">
        <v>4.0545200000074999E-5</v>
      </c>
      <c r="T16" s="28">
        <v>1.7760593333304711E-4</v>
      </c>
      <c r="U16" s="28">
        <v>4.0545200000074999E-5</v>
      </c>
      <c r="V16" s="28">
        <v>1.812118666666418E-4</v>
      </c>
      <c r="W16" s="28">
        <v>5.4520000003499547E-7</v>
      </c>
      <c r="X16" s="28">
        <v>-2.602577666666051E-4</v>
      </c>
      <c r="Y16" s="28">
        <v>2.8547705000003809E-4</v>
      </c>
      <c r="Z16" s="28">
        <v>-4.2339258333301538E-4</v>
      </c>
      <c r="AA16" s="28">
        <v>2.6520445000000059E-4</v>
      </c>
      <c r="AB16" s="28">
        <v>-1.4479554999990979E-4</v>
      </c>
      <c r="AC16" s="28">
        <v>-3.1972740000008049E-4</v>
      </c>
      <c r="AD16" s="28">
        <v>3.9120445000007109E-4</v>
      </c>
      <c r="AE16" s="28">
        <v>-3.0278813333328708E-4</v>
      </c>
      <c r="AF16" s="28">
        <v>-2.2465925000003659E-4</v>
      </c>
      <c r="AG16" s="28">
        <v>-1.131214666669766E-4</v>
      </c>
      <c r="AH16" s="28">
        <v>3.1687111666695023E-4</v>
      </c>
      <c r="AI16" s="28">
        <v>4.0545199999852948E-5</v>
      </c>
      <c r="AJ16" s="28">
        <v>1.4211866666835601E-5</v>
      </c>
      <c r="AK16" s="28">
        <v>1.3075566667186679E-5</v>
      </c>
      <c r="AL16" s="28">
        <v>2.02726000000375E-5</v>
      </c>
      <c r="AM16" s="28">
        <v>3.6054519999995088E-4</v>
      </c>
      <c r="AN16" s="28">
        <v>-2.1978813333300981E-4</v>
      </c>
      <c r="AO16" s="28">
        <v>2.8587853333283952E-4</v>
      </c>
      <c r="AP16" s="28">
        <v>4.0545199999852948E-5</v>
      </c>
      <c r="AQ16" s="28">
        <v>-2.2465925000003659E-4</v>
      </c>
      <c r="AR16" s="28">
        <v>2.02726000000375E-5</v>
      </c>
      <c r="AS16" s="28">
        <v>1.878533332888566E-6</v>
      </c>
      <c r="AT16" s="28">
        <v>3.7742233333082347E-5</v>
      </c>
      <c r="AU16" s="28">
        <v>-5.8274000000468904E-6</v>
      </c>
      <c r="AV16" s="28">
        <v>-2.9045480000000618E-4</v>
      </c>
      <c r="AW16" s="28">
        <v>6.5878533332952571E-5</v>
      </c>
      <c r="AX16" s="28">
        <v>-4.6959109999988868E-4</v>
      </c>
      <c r="AY16" s="28">
        <v>4.7707556666698459E-4</v>
      </c>
      <c r="AZ16" s="28">
        <v>7.3340749999761812E-5</v>
      </c>
      <c r="BA16" s="28">
        <v>2.8547705000003809E-4</v>
      </c>
      <c r="BB16" s="28">
        <v>4.9774223333320933E-4</v>
      </c>
      <c r="BC16" s="28">
        <v>2.9587853333290498E-4</v>
      </c>
      <c r="BD16" s="28">
        <v>-1.065229499999099E-4</v>
      </c>
      <c r="BE16" s="28">
        <v>4.2810383333202751E-5</v>
      </c>
      <c r="BF16" s="28">
        <v>-4.5945480000009198E-4</v>
      </c>
      <c r="BG16" s="28">
        <v>-2.5052294999983182E-4</v>
      </c>
      <c r="BH16" s="28">
        <v>4.0545199999852948E-5</v>
      </c>
      <c r="BI16" s="28">
        <v>-2.5865925000012607E-4</v>
      </c>
      <c r="BJ16" s="28">
        <v>2.89392666670274E-5</v>
      </c>
      <c r="BK16" s="28">
        <v>7.0755666667920991E-6</v>
      </c>
      <c r="BL16" s="28">
        <v>2.6520445000000059E-4</v>
      </c>
      <c r="BM16" s="28">
        <v>-3.3945480000019401E-4</v>
      </c>
      <c r="BN16" s="28">
        <v>9.74089000000955E-5</v>
      </c>
      <c r="BO16" s="28">
        <v>-2.0132591667021421E-4</v>
      </c>
      <c r="BP16" s="28">
        <v>3.8987853333294348E-4</v>
      </c>
      <c r="BQ16" s="28">
        <v>1.788103833328947E-4</v>
      </c>
      <c r="BR16" s="28">
        <v>4.0545199999852948E-5</v>
      </c>
      <c r="BS16" s="28">
        <v>-3.3245480000010369E-4</v>
      </c>
      <c r="BT16" s="28">
        <v>3.6534074999994282E-4</v>
      </c>
      <c r="BU16" s="28">
        <v>-4.9878813333359417E-4</v>
      </c>
      <c r="BV16" s="28">
        <v>-2.0639406666678181E-4</v>
      </c>
      <c r="BW16" s="28">
        <v>4.5893926666695778E-4</v>
      </c>
      <c r="BX16" s="28">
        <v>-4.3659109999993889E-4</v>
      </c>
      <c r="BY16" s="28">
        <v>-3.9785628333288692E-4</v>
      </c>
      <c r="BZ16" s="28">
        <v>-4.6959109999988868E-4</v>
      </c>
      <c r="CA16" s="28">
        <v>-2.6652294999984782E-4</v>
      </c>
      <c r="CB16" s="28">
        <v>-1.944592500000564E-4</v>
      </c>
      <c r="CC16" s="28">
        <v>-2.734548000000725E-4</v>
      </c>
      <c r="CD16" s="28">
        <v>4.0545199999852948E-5</v>
      </c>
      <c r="CE16" s="28">
        <v>-1.3259166670165361E-6</v>
      </c>
      <c r="CF16" s="28">
        <v>6.227259999991297E-5</v>
      </c>
      <c r="CG16" s="28">
        <v>3.2314371666708469E-4</v>
      </c>
      <c r="CH16" s="28">
        <v>2.8434074999994507E-4</v>
      </c>
      <c r="CI16" s="28">
        <v>-2.2972740000004599E-4</v>
      </c>
      <c r="CJ16" s="28">
        <v>-9.7274000000480143E-6</v>
      </c>
      <c r="CK16" s="28">
        <v>3.8347704999996962E-4</v>
      </c>
      <c r="CL16" s="28">
        <v>-3.318562833327654E-4</v>
      </c>
      <c r="CM16" s="28">
        <v>1.4520444999988061E-4</v>
      </c>
      <c r="CN16" s="28">
        <v>4.6620445000000732E-4</v>
      </c>
      <c r="CO16" s="28">
        <v>-1.1896166669522761E-6</v>
      </c>
      <c r="CP16" s="28">
        <v>2.6520445000000059E-4</v>
      </c>
      <c r="CQ16" s="28">
        <v>-2.5378813333309941E-4</v>
      </c>
      <c r="CR16" s="28">
        <v>-3.0859110000003298E-4</v>
      </c>
      <c r="CS16" s="28">
        <v>-1.637273999999245E-4</v>
      </c>
      <c r="CT16" s="28">
        <v>-1.2157501228119599E-5</v>
      </c>
      <c r="CU16" s="34">
        <v>-1.154962616671362E-3</v>
      </c>
    </row>
    <row r="17" spans="1:99" x14ac:dyDescent="0.25">
      <c r="A17" s="24">
        <v>16</v>
      </c>
      <c r="B17" s="26">
        <v>7.5</v>
      </c>
      <c r="C17" s="28">
        <v>-1.129008333331516E-4</v>
      </c>
      <c r="D17" s="28">
        <v>-0.29206345666666711</v>
      </c>
      <c r="E17" s="28">
        <v>3.3695500000008321E-4</v>
      </c>
      <c r="F17" s="28">
        <v>-1.05157609</v>
      </c>
      <c r="G17" s="28">
        <v>-2.3208999999990709E-4</v>
      </c>
      <c r="H17" s="28">
        <v>-3.3023416666733141E-4</v>
      </c>
      <c r="I17" s="28">
        <v>-1.29826259</v>
      </c>
      <c r="J17" s="28">
        <v>3.0432500000010521E-5</v>
      </c>
      <c r="K17" s="28">
        <v>-1.037566666670653E-4</v>
      </c>
      <c r="L17" s="28">
        <v>-0.43184942333333298</v>
      </c>
      <c r="M17" s="28">
        <v>-0.50655942333333326</v>
      </c>
      <c r="N17" s="28">
        <v>3.7391000000019941E-4</v>
      </c>
      <c r="O17" s="28">
        <v>4.962883333333723E-4</v>
      </c>
      <c r="P17" s="28">
        <v>3.0876583333316893E-4</v>
      </c>
      <c r="Q17" s="28">
        <v>4.9921625000015624E-4</v>
      </c>
      <c r="R17" s="28">
        <v>-3.4808999999991208E-4</v>
      </c>
      <c r="S17" s="28">
        <v>-1.37862609</v>
      </c>
      <c r="T17" s="28">
        <v>-1.6021166666668751E-4</v>
      </c>
      <c r="U17" s="28">
        <v>3.7390999999997732E-4</v>
      </c>
      <c r="V17" s="28">
        <v>-2.404233333300754E-4</v>
      </c>
      <c r="W17" s="28">
        <v>-1.0470794233333329</v>
      </c>
      <c r="X17" s="28">
        <v>-2.2823416666617469E-4</v>
      </c>
      <c r="Y17" s="28">
        <v>2.0217125000021599E-4</v>
      </c>
      <c r="Z17" s="28">
        <v>-1.4130625000019489E-4</v>
      </c>
      <c r="AA17" s="28">
        <v>2.3988291666698911E-4</v>
      </c>
      <c r="AB17" s="28">
        <v>-6.8117083332874806E-5</v>
      </c>
      <c r="AC17" s="28">
        <v>-3.1304499999995627E-4</v>
      </c>
      <c r="AD17" s="28">
        <v>6.9882916666985651E-5</v>
      </c>
      <c r="AE17" s="28">
        <v>-0.52537049000000002</v>
      </c>
      <c r="AF17" s="28">
        <v>-6.2639583332857462E-5</v>
      </c>
      <c r="AG17" s="28">
        <v>-0.71599142333333288</v>
      </c>
      <c r="AH17" s="28">
        <v>3.5954958333317411E-4</v>
      </c>
      <c r="AI17" s="28">
        <v>-3.5008999999974749E-4</v>
      </c>
      <c r="AJ17" s="28">
        <v>-3.2935666666689117E-4</v>
      </c>
      <c r="AK17" s="28">
        <v>2.7443250000014352E-4</v>
      </c>
      <c r="AL17" s="28">
        <v>-3.1304499999995627E-4</v>
      </c>
      <c r="AM17" s="28">
        <v>-0.27762608999999983</v>
      </c>
      <c r="AN17" s="28">
        <v>-0.20194608999999991</v>
      </c>
      <c r="AO17" s="28">
        <v>-3.600900000000351E-4</v>
      </c>
      <c r="AP17" s="28">
        <v>-0.53368408999999994</v>
      </c>
      <c r="AQ17" s="28">
        <v>2.8036041666701372E-4</v>
      </c>
      <c r="AR17" s="28">
        <v>1.8268833333345841E-4</v>
      </c>
      <c r="AS17" s="28">
        <v>4.3777666666722231E-4</v>
      </c>
      <c r="AT17" s="28">
        <v>-2.3356750000003151E-4</v>
      </c>
      <c r="AU17" s="28">
        <v>-1.7304500000003831E-4</v>
      </c>
      <c r="AV17" s="28">
        <v>-4.5408999999985161E-4</v>
      </c>
      <c r="AW17" s="28">
        <v>3.7391000000019941E-4</v>
      </c>
      <c r="AX17" s="28">
        <v>3.0432500000010521E-5</v>
      </c>
      <c r="AY17" s="28">
        <v>3.0432499999788479E-5</v>
      </c>
      <c r="AZ17" s="28">
        <v>2.3002708333308419E-4</v>
      </c>
      <c r="BA17" s="28">
        <v>-8.8495416666889426E-5</v>
      </c>
      <c r="BB17" s="28">
        <v>3.0432500000010521E-5</v>
      </c>
      <c r="BC17" s="28">
        <v>-2.5675666666691299E-4</v>
      </c>
      <c r="BD17" s="28">
        <v>2.0217124999999389E-4</v>
      </c>
      <c r="BE17" s="28">
        <v>2.9717124999995009E-4</v>
      </c>
      <c r="BF17" s="28">
        <v>-1.3080090900000001</v>
      </c>
      <c r="BG17" s="28">
        <v>1.9950458333317661E-4</v>
      </c>
      <c r="BH17" s="28">
        <v>-1.73362609</v>
      </c>
      <c r="BI17" s="28">
        <v>-1.7530624999984029E-4</v>
      </c>
      <c r="BJ17" s="28">
        <v>-7.4378333333013913E-5</v>
      </c>
      <c r="BK17" s="28">
        <v>-1.4356750000010801E-4</v>
      </c>
      <c r="BL17" s="28">
        <v>-1.3778374999984239E-4</v>
      </c>
      <c r="BM17" s="28">
        <v>3.7391000000019941E-4</v>
      </c>
      <c r="BN17" s="28">
        <v>-4.9770083333017245E-4</v>
      </c>
      <c r="BO17" s="28">
        <v>2.213604166701397E-4</v>
      </c>
      <c r="BP17" s="28">
        <v>-3.4242333333289737E-4</v>
      </c>
      <c r="BQ17" s="28">
        <v>-2.5916208333298663E-4</v>
      </c>
      <c r="BR17" s="28">
        <v>4.11243333333422E-4</v>
      </c>
      <c r="BS17" s="28">
        <v>4.0576666667124783E-5</v>
      </c>
      <c r="BT17" s="28">
        <v>-1.413062499999729E-4</v>
      </c>
      <c r="BU17" s="28">
        <v>-4.7942333333295117E-4</v>
      </c>
      <c r="BV17" s="28">
        <v>-3.1304499999984531E-4</v>
      </c>
      <c r="BW17" s="28">
        <v>-2.090449999999078E-4</v>
      </c>
      <c r="BX17" s="28">
        <v>2.4509916666715093E-4</v>
      </c>
      <c r="BY17" s="28">
        <v>2.0217124999999389E-4</v>
      </c>
      <c r="BZ17" s="28">
        <v>-4.1790083333292932E-4</v>
      </c>
      <c r="CA17" s="28">
        <v>4.1817124999998789E-4</v>
      </c>
      <c r="CB17" s="28">
        <v>3.2282708332997961E-4</v>
      </c>
      <c r="CC17" s="28">
        <v>3.1157666666703498E-4</v>
      </c>
      <c r="CD17" s="28">
        <v>-0.8032214233333328</v>
      </c>
      <c r="CE17" s="28">
        <v>-1.413062499999729E-4</v>
      </c>
      <c r="CF17" s="28">
        <v>-3.0114500000000271E-4</v>
      </c>
      <c r="CG17" s="28">
        <v>8.4837916666691271E-5</v>
      </c>
      <c r="CH17" s="28">
        <v>-2.9497291666680248E-4</v>
      </c>
      <c r="CI17" s="28">
        <v>-3.1304499999984531E-4</v>
      </c>
      <c r="CJ17" s="28">
        <v>-3.1304499999995627E-4</v>
      </c>
      <c r="CK17" s="28">
        <v>9.4171249999996931E-5</v>
      </c>
      <c r="CL17" s="28">
        <v>-8.9828750000187085E-5</v>
      </c>
      <c r="CM17" s="28">
        <v>3.952162499999412E-4</v>
      </c>
      <c r="CN17" s="28">
        <v>1.9121625000007031E-4</v>
      </c>
      <c r="CO17" s="28">
        <v>-8.4495416666774403E-5</v>
      </c>
      <c r="CP17" s="28">
        <v>-2.9045041666586607E-4</v>
      </c>
      <c r="CQ17" s="28">
        <v>-0.42862608999999979</v>
      </c>
      <c r="CR17" s="28">
        <v>3.5776583333291262E-4</v>
      </c>
      <c r="CS17" s="28">
        <v>1.276216666670216E-4</v>
      </c>
      <c r="CT17" s="28">
        <v>-0.13194082337280691</v>
      </c>
      <c r="CU17" s="34">
        <v>-12.534378220416651</v>
      </c>
    </row>
    <row r="18" spans="1:99" x14ac:dyDescent="0.25">
      <c r="A18" s="24">
        <v>17</v>
      </c>
      <c r="B18" s="26">
        <v>8</v>
      </c>
      <c r="C18" s="28">
        <v>-2.7204870000108178E-4</v>
      </c>
      <c r="D18" s="28">
        <v>-2.1019077316000012</v>
      </c>
      <c r="E18" s="28">
        <v>2.1396753333302601E-4</v>
      </c>
      <c r="F18" s="28">
        <v>-1.205571064933338</v>
      </c>
      <c r="G18" s="28">
        <v>-1.902329398266668</v>
      </c>
      <c r="H18" s="28">
        <v>-2.4704870000102908E-4</v>
      </c>
      <c r="I18" s="28">
        <v>-2.2183293982666679</v>
      </c>
      <c r="J18" s="28">
        <v>-0.26821504870000101</v>
      </c>
      <c r="K18" s="28">
        <v>-0.90276773160000112</v>
      </c>
      <c r="L18" s="28">
        <v>-2.2233293982666682</v>
      </c>
      <c r="M18" s="28">
        <v>-1.8220990649333351</v>
      </c>
      <c r="N18" s="28">
        <v>-1.7976800649333351</v>
      </c>
      <c r="O18" s="28">
        <v>4.7730086666597499E-4</v>
      </c>
      <c r="P18" s="28">
        <v>1.961796666583027E-5</v>
      </c>
      <c r="Q18" s="28">
        <v>-1.2352435000051451E-4</v>
      </c>
      <c r="R18" s="28">
        <v>-1.7677710649333349</v>
      </c>
      <c r="S18" s="28">
        <v>-2.1743293982666678</v>
      </c>
      <c r="T18" s="28">
        <v>1.9363419999895989E-4</v>
      </c>
      <c r="U18" s="28">
        <v>-1.3293293982666681</v>
      </c>
      <c r="V18" s="28">
        <v>-1.538641664933335</v>
      </c>
      <c r="W18" s="28">
        <v>-2.1679160649333351</v>
      </c>
      <c r="X18" s="28">
        <v>-2.6831536666804817E-4</v>
      </c>
      <c r="Y18" s="28">
        <v>3.3844318333198231E-4</v>
      </c>
      <c r="Z18" s="28">
        <v>3.845941666491548E-5</v>
      </c>
      <c r="AA18" s="28">
        <v>-1.752435000063057E-5</v>
      </c>
      <c r="AB18" s="28">
        <v>-1.2352435000051451E-4</v>
      </c>
      <c r="AC18" s="28">
        <v>3.5530086666601962E-4</v>
      </c>
      <c r="AD18" s="28">
        <v>4.9808983332844108E-5</v>
      </c>
      <c r="AE18" s="28">
        <v>-2.2106672649333352</v>
      </c>
      <c r="AF18" s="28">
        <v>4.5412608333195159E-4</v>
      </c>
      <c r="AG18" s="28">
        <v>-2.017003398266668</v>
      </c>
      <c r="AH18" s="28">
        <v>-1.2352435000051451E-4</v>
      </c>
      <c r="AI18" s="28">
        <v>-2.0410873982666682</v>
      </c>
      <c r="AJ18" s="28">
        <v>-1.957187998266668</v>
      </c>
      <c r="AK18" s="28">
        <v>3.5228463333192289E-4</v>
      </c>
      <c r="AL18" s="28">
        <v>-1.646991333339454E-4</v>
      </c>
      <c r="AM18" s="28">
        <v>-2.2163293982666681</v>
      </c>
      <c r="AN18" s="28">
        <v>-2.0475307316000011</v>
      </c>
      <c r="AO18" s="28">
        <v>-0.54951339826666823</v>
      </c>
      <c r="AP18" s="28">
        <v>-1.9941673982666679</v>
      </c>
      <c r="AQ18" s="28">
        <v>3.5792749998542213E-5</v>
      </c>
      <c r="AR18" s="28">
        <v>-7.1365800004025148E-5</v>
      </c>
      <c r="AS18" s="28">
        <v>-0.26121939826666818</v>
      </c>
      <c r="AT18" s="28">
        <v>-4.0571536666700331E-4</v>
      </c>
      <c r="AU18" s="28">
        <v>-3.8803246666707652E-4</v>
      </c>
      <c r="AV18" s="28">
        <v>-1.009329398266668</v>
      </c>
      <c r="AW18" s="28">
        <v>-1.5550323982666681</v>
      </c>
      <c r="AX18" s="28">
        <v>-0.27924704870000089</v>
      </c>
      <c r="AY18" s="28">
        <v>-0.15541821536666811</v>
      </c>
      <c r="AZ18" s="28">
        <v>-1.654058333500075E-5</v>
      </c>
      <c r="BA18" s="28">
        <v>-1.759522223483335</v>
      </c>
      <c r="BB18" s="28">
        <v>-4.3904870000099899E-4</v>
      </c>
      <c r="BC18" s="28">
        <v>-1.803329398266668</v>
      </c>
      <c r="BD18" s="28">
        <v>-0.54941422348333524</v>
      </c>
      <c r="BE18" s="28">
        <v>4.9577651666510292E-4</v>
      </c>
      <c r="BF18" s="28">
        <v>-2.2163293982666681</v>
      </c>
      <c r="BG18" s="28">
        <v>-1.206635556816668</v>
      </c>
      <c r="BH18" s="28">
        <v>-2.2353293982666682</v>
      </c>
      <c r="BI18" s="28">
        <v>-2.0587391666793131E-4</v>
      </c>
      <c r="BJ18" s="28">
        <v>1.6563419999937601E-4</v>
      </c>
      <c r="BK18" s="28">
        <v>-0.28024704870000111</v>
      </c>
      <c r="BL18" s="28">
        <v>-4.5002435000052188E-4</v>
      </c>
      <c r="BM18" s="28">
        <v>-0.8641933982666683</v>
      </c>
      <c r="BN18" s="28">
        <v>3.8711796666612841E-4</v>
      </c>
      <c r="BO18" s="28">
        <v>-2.3654058333510969E-4</v>
      </c>
      <c r="BP18" s="28">
        <v>-0.14317939826666801</v>
      </c>
      <c r="BQ18" s="28">
        <v>-3.6653223483335003E-2</v>
      </c>
      <c r="BR18" s="28">
        <v>-1.076161398266668</v>
      </c>
      <c r="BS18" s="28">
        <v>-3.473982666679643E-4</v>
      </c>
      <c r="BT18" s="28">
        <v>2.3732608333204561E-4</v>
      </c>
      <c r="BU18" s="28">
        <v>-1.7489233982666681</v>
      </c>
      <c r="BV18" s="28">
        <v>-1.646991333339454E-4</v>
      </c>
      <c r="BW18" s="28">
        <v>2.4930086666585799E-4</v>
      </c>
      <c r="BX18" s="28">
        <v>2.4295129999885029E-4</v>
      </c>
      <c r="BY18" s="28">
        <v>-1.419834223483335</v>
      </c>
      <c r="BZ18" s="28">
        <v>1.6461796666897291E-4</v>
      </c>
      <c r="CA18" s="28">
        <v>-0.45994555681666821</v>
      </c>
      <c r="CB18" s="28">
        <v>-5.8072500019878959E-6</v>
      </c>
      <c r="CC18" s="28">
        <v>-1.209598398266668</v>
      </c>
      <c r="CD18" s="28">
        <v>-1.644861398266668</v>
      </c>
      <c r="CE18" s="28">
        <v>-8.5540583334875464E-5</v>
      </c>
      <c r="CF18" s="28">
        <v>-4.2476580000105901E-4</v>
      </c>
      <c r="CG18" s="28">
        <v>-1.3169740568166679</v>
      </c>
      <c r="CH18" s="28">
        <v>-2.0587391666793131E-4</v>
      </c>
      <c r="CI18" s="28">
        <v>2.9530086666595961E-4</v>
      </c>
      <c r="CJ18" s="28">
        <v>2.0596753333301801E-4</v>
      </c>
      <c r="CK18" s="28">
        <v>1.957765166646919E-4</v>
      </c>
      <c r="CL18" s="28">
        <v>-0.63128822348333502</v>
      </c>
      <c r="CM18" s="28">
        <v>-4.8352435000065253E-4</v>
      </c>
      <c r="CN18" s="28">
        <v>-3.5524350000537552E-5</v>
      </c>
      <c r="CO18" s="28">
        <v>-1.782288223483335</v>
      </c>
      <c r="CP18" s="28">
        <v>-1.4319101666715459E-4</v>
      </c>
      <c r="CQ18" s="28">
        <v>-2.1308927316000008</v>
      </c>
      <c r="CR18" s="28">
        <v>1.2295129999895241E-4</v>
      </c>
      <c r="CS18" s="28">
        <v>-8.0699133334194428E-5</v>
      </c>
      <c r="CT18" s="28">
        <v>-0.69715568138052775</v>
      </c>
      <c r="CU18" s="34">
        <v>-66.229789731150134</v>
      </c>
    </row>
    <row r="19" spans="1:99" x14ac:dyDescent="0.25">
      <c r="A19" s="24">
        <v>18</v>
      </c>
      <c r="B19" s="26">
        <v>8.5</v>
      </c>
      <c r="C19" s="28">
        <v>-0.43316920019999999</v>
      </c>
      <c r="D19" s="28">
        <v>-2.3715949336</v>
      </c>
      <c r="E19" s="28">
        <v>-4.6146679999981011E-4</v>
      </c>
      <c r="F19" s="28">
        <v>-2.2971576002666669</v>
      </c>
      <c r="G19" s="28">
        <v>-2.3622559336000002</v>
      </c>
      <c r="H19" s="28">
        <v>-1.0706102002</v>
      </c>
      <c r="I19" s="28">
        <v>-2.4906509336</v>
      </c>
      <c r="J19" s="28">
        <v>-1.7893748668666669</v>
      </c>
      <c r="K19" s="28">
        <v>-2.411465266933333</v>
      </c>
      <c r="L19" s="28">
        <v>-1.695138266933333</v>
      </c>
      <c r="M19" s="28">
        <v>-2.1833839336</v>
      </c>
      <c r="N19" s="28">
        <v>-2.383882266933333</v>
      </c>
      <c r="O19" s="28">
        <v>-4.1746679999987713E-4</v>
      </c>
      <c r="P19" s="28">
        <v>-1.520446533533333</v>
      </c>
      <c r="Q19" s="28">
        <v>4.0123323333352001E-4</v>
      </c>
      <c r="R19" s="28">
        <v>-2.328031266933333</v>
      </c>
      <c r="S19" s="28">
        <v>-1.6845309336000001</v>
      </c>
      <c r="T19" s="28">
        <v>8.353320000017983E-5</v>
      </c>
      <c r="U19" s="28">
        <v>-2.4806509336000002</v>
      </c>
      <c r="V19" s="28">
        <v>-2.4870569335999999</v>
      </c>
      <c r="W19" s="28">
        <v>-2.4876509335999999</v>
      </c>
      <c r="X19" s="28">
        <v>-0.99345240020000003</v>
      </c>
      <c r="Y19" s="28">
        <v>-1.7805029002333339</v>
      </c>
      <c r="Z19" s="28">
        <v>3.6516649999995821E-4</v>
      </c>
      <c r="AA19" s="28">
        <v>6.5899900000054856E-5</v>
      </c>
      <c r="AB19" s="28">
        <v>-3.201000999999426E-4</v>
      </c>
      <c r="AC19" s="28">
        <v>2.345331999999978E-4</v>
      </c>
      <c r="AD19" s="28">
        <v>-1.3543343333288771E-4</v>
      </c>
      <c r="AE19" s="28">
        <v>-2.3231239335999998</v>
      </c>
      <c r="AF19" s="28">
        <v>4.5716649999993919E-4</v>
      </c>
      <c r="AG19" s="28">
        <v>-2.2351502669333332</v>
      </c>
      <c r="AH19" s="28">
        <v>3.3589990000004732E-4</v>
      </c>
      <c r="AI19" s="28">
        <v>-2.4846509336000002</v>
      </c>
      <c r="AJ19" s="28">
        <v>-2.3126269335999998</v>
      </c>
      <c r="AK19" s="28">
        <v>-1.308668666670787E-4</v>
      </c>
      <c r="AL19" s="28">
        <v>-3.2546679999989608E-4</v>
      </c>
      <c r="AM19" s="28">
        <v>-2.4886509335999998</v>
      </c>
      <c r="AN19" s="28">
        <v>-2.1551176002666672</v>
      </c>
      <c r="AO19" s="28">
        <v>-2.3431122669333329</v>
      </c>
      <c r="AP19" s="28">
        <v>-2.2761309336000002</v>
      </c>
      <c r="AQ19" s="28">
        <v>-0.34540683349999979</v>
      </c>
      <c r="AR19" s="28">
        <v>-3.5213346666596029E-4</v>
      </c>
      <c r="AS19" s="28">
        <v>-1.8805699335999999</v>
      </c>
      <c r="AT19" s="28">
        <v>-0.1480262002000001</v>
      </c>
      <c r="AU19" s="28">
        <v>3.8453320000009228E-4</v>
      </c>
      <c r="AV19" s="28">
        <v>-2.4460649336000002</v>
      </c>
      <c r="AW19" s="28">
        <v>-2.4906509336</v>
      </c>
      <c r="AX19" s="28">
        <v>-1.8424882002</v>
      </c>
      <c r="AY19" s="28">
        <v>-1.3619695335333331</v>
      </c>
      <c r="AZ19" s="28">
        <v>4.0649983333285178E-4</v>
      </c>
      <c r="BA19" s="28">
        <v>-2.1855695668999999</v>
      </c>
      <c r="BB19" s="28">
        <v>-1.4080748668666661</v>
      </c>
      <c r="BC19" s="28">
        <v>-2.3369270669333329</v>
      </c>
      <c r="BD19" s="28">
        <v>-1.7861483002333329</v>
      </c>
      <c r="BE19" s="28">
        <v>-2.1956690000013429E-4</v>
      </c>
      <c r="BF19" s="28">
        <v>-2.4886509335999998</v>
      </c>
      <c r="BG19" s="28">
        <v>-2.0794015669000001</v>
      </c>
      <c r="BH19" s="28">
        <v>-2.5076509335999999</v>
      </c>
      <c r="BI19" s="28">
        <v>1.2316649999988269E-4</v>
      </c>
      <c r="BJ19" s="28">
        <v>-7.9466799999927673E-5</v>
      </c>
      <c r="BK19" s="28">
        <v>-1.6861808668666669</v>
      </c>
      <c r="BL19" s="28">
        <v>-2.4410009999997759E-4</v>
      </c>
      <c r="BM19" s="28">
        <v>-2.3755389336000001</v>
      </c>
      <c r="BN19" s="28">
        <v>-4.7453353333315462E-4</v>
      </c>
      <c r="BO19" s="28">
        <v>4.118331666667085E-4</v>
      </c>
      <c r="BP19" s="28">
        <v>-2.4816509336000001</v>
      </c>
      <c r="BQ19" s="28">
        <v>-1.957406900233333</v>
      </c>
      <c r="BR19" s="28">
        <v>-2.5076509335999999</v>
      </c>
      <c r="BS19" s="28">
        <v>-1.8301202669333341</v>
      </c>
      <c r="BT19" s="28">
        <v>-1.9643349999995399E-4</v>
      </c>
      <c r="BU19" s="28">
        <v>-2.330008800266667</v>
      </c>
      <c r="BV19" s="28">
        <v>2.011998666671122E-4</v>
      </c>
      <c r="BW19" s="28">
        <v>-5.3466799999957182E-5</v>
      </c>
      <c r="BX19" s="28">
        <v>-3.8286686666699771E-4</v>
      </c>
      <c r="BY19" s="28">
        <v>-2.0254163669</v>
      </c>
      <c r="BZ19" s="28">
        <v>-2.722002000001833E-4</v>
      </c>
      <c r="CA19" s="28">
        <v>-2.1028615669000001</v>
      </c>
      <c r="CB19" s="28">
        <v>1.6683316666710191E-4</v>
      </c>
      <c r="CC19" s="28">
        <v>-2.1923016002666671</v>
      </c>
      <c r="CD19" s="28">
        <v>-1.797134266933333</v>
      </c>
      <c r="CE19" s="28">
        <v>-1.6483349999996119E-4</v>
      </c>
      <c r="CF19" s="28">
        <v>-4.4263346666695291E-4</v>
      </c>
      <c r="CG19" s="28">
        <v>-1.8679195668999999</v>
      </c>
      <c r="CH19" s="28">
        <v>-0.18205150016666691</v>
      </c>
      <c r="CI19" s="28">
        <v>-3.2546679999989608E-4</v>
      </c>
      <c r="CJ19" s="28">
        <v>3.702332000000419E-4</v>
      </c>
      <c r="CK19" s="28">
        <v>-1.9037355669</v>
      </c>
      <c r="CL19" s="28">
        <v>-2.0224979002333332</v>
      </c>
      <c r="CM19" s="28">
        <v>-1.241000999999686E-4</v>
      </c>
      <c r="CN19" s="28">
        <v>-2.4410009999986659E-4</v>
      </c>
      <c r="CO19" s="28">
        <v>-2.002432900233333</v>
      </c>
      <c r="CP19" s="28">
        <v>3.6256656666711068E-4</v>
      </c>
      <c r="CQ19" s="28">
        <v>-2.3867269335999999</v>
      </c>
      <c r="CR19" s="28">
        <v>-1.2534882002000001</v>
      </c>
      <c r="CS19" s="28">
        <v>3.3866533333926092E-5</v>
      </c>
      <c r="CT19" s="28">
        <v>-1.2219290145919299</v>
      </c>
      <c r="CU19" s="34">
        <v>-116.0832563862333</v>
      </c>
    </row>
    <row r="20" spans="1:99" x14ac:dyDescent="0.25">
      <c r="A20" s="24">
        <v>19</v>
      </c>
      <c r="B20" s="26">
        <v>9</v>
      </c>
      <c r="C20" s="28">
        <v>-0.7112978553333309</v>
      </c>
      <c r="D20" s="28">
        <v>-2.482060862666668</v>
      </c>
      <c r="E20" s="28">
        <v>-2.6968133333406252E-4</v>
      </c>
      <c r="F20" s="28">
        <v>-2.572115362666668</v>
      </c>
      <c r="G20" s="28">
        <v>-2.5579970293333352</v>
      </c>
      <c r="H20" s="28">
        <v>-1.8159115220000011</v>
      </c>
      <c r="I20" s="28">
        <v>-2.7225753626666682</v>
      </c>
      <c r="J20" s="28">
        <v>-1.836703522000001</v>
      </c>
      <c r="K20" s="28">
        <v>-2.7295753626666679</v>
      </c>
      <c r="L20" s="28">
        <v>-1.1260083626666679</v>
      </c>
      <c r="M20" s="28">
        <v>-2.0581293626666679</v>
      </c>
      <c r="N20" s="28">
        <v>-2.6336120293333352</v>
      </c>
      <c r="O20" s="28">
        <v>-0.1496306813333339</v>
      </c>
      <c r="P20" s="28">
        <v>-1.866366188666668</v>
      </c>
      <c r="Q20" s="28">
        <v>9.0905666666585283E-5</v>
      </c>
      <c r="R20" s="28">
        <v>-2.704759029333335</v>
      </c>
      <c r="S20" s="28">
        <v>-2.4211253626666678</v>
      </c>
      <c r="T20" s="28">
        <v>1.889853333327807E-4</v>
      </c>
      <c r="U20" s="28">
        <v>-2.712575362666668</v>
      </c>
      <c r="V20" s="28">
        <v>-2.5090201960000011</v>
      </c>
      <c r="W20" s="28">
        <v>-2.6755486960000008</v>
      </c>
      <c r="X20" s="28">
        <v>-1.2236835220000011</v>
      </c>
      <c r="Y20" s="28">
        <v>-2.2650341090000019</v>
      </c>
      <c r="Z20" s="28">
        <v>-1.4709078016666679</v>
      </c>
      <c r="AA20" s="28">
        <v>4.8057233333298482E-4</v>
      </c>
      <c r="AB20" s="28">
        <v>2.2023900000001101E-4</v>
      </c>
      <c r="AC20" s="28">
        <v>-2.768133333397316E-5</v>
      </c>
      <c r="AD20" s="28">
        <v>-1.6176100000003801E-4</v>
      </c>
      <c r="AE20" s="28">
        <v>-2.6849650293333349</v>
      </c>
      <c r="AF20" s="28">
        <v>-0.57871260166666805</v>
      </c>
      <c r="AG20" s="28">
        <v>-2.6738020293333351</v>
      </c>
      <c r="AH20" s="28">
        <v>1.7757233333293149E-4</v>
      </c>
      <c r="AI20" s="28">
        <v>-2.716575362666668</v>
      </c>
      <c r="AJ20" s="28">
        <v>-2.5975317293333351</v>
      </c>
      <c r="AK20" s="28">
        <v>-1.3964044553333339</v>
      </c>
      <c r="AL20" s="28">
        <v>-1.203287681333334</v>
      </c>
      <c r="AM20" s="28">
        <v>-2.5413853626666678</v>
      </c>
      <c r="AN20" s="28">
        <v>-2.6539473626666679</v>
      </c>
      <c r="AO20" s="28">
        <v>-2.5649808960000011</v>
      </c>
      <c r="AP20" s="28">
        <v>-2.3469870293333348</v>
      </c>
      <c r="AQ20" s="28">
        <v>-1.521696268333335</v>
      </c>
      <c r="AR20" s="28">
        <v>-6.7681333334096427E-5</v>
      </c>
      <c r="AS20" s="28">
        <v>-2.446150696000001</v>
      </c>
      <c r="AT20" s="28">
        <v>-2.019431522000001</v>
      </c>
      <c r="AU20" s="28">
        <v>-2.8268133333431139E-4</v>
      </c>
      <c r="AV20" s="28">
        <v>-2.5943460293333351</v>
      </c>
      <c r="AW20" s="28">
        <v>-1.628481029333338</v>
      </c>
      <c r="AX20" s="28">
        <v>-2.0164315220000009</v>
      </c>
      <c r="AY20" s="28">
        <v>-1.785127655333334</v>
      </c>
      <c r="AZ20" s="28">
        <v>-0.86892293500000106</v>
      </c>
      <c r="BA20" s="28">
        <v>-2.077081442333335</v>
      </c>
      <c r="BB20" s="28">
        <v>-2.0384315220000011</v>
      </c>
      <c r="BC20" s="28">
        <v>-2.7082693626666678</v>
      </c>
      <c r="BD20" s="28">
        <v>-2.1581211090000019</v>
      </c>
      <c r="BE20" s="28">
        <v>-0.89390344233333507</v>
      </c>
      <c r="BF20" s="28">
        <v>-2.720575362666668</v>
      </c>
      <c r="BG20" s="28">
        <v>-2.2859654423333349</v>
      </c>
      <c r="BH20" s="28">
        <v>-2.7395753626666681</v>
      </c>
      <c r="BI20" s="28">
        <v>-0.35095760166666801</v>
      </c>
      <c r="BJ20" s="28">
        <v>1.543186666659313E-4</v>
      </c>
      <c r="BK20" s="28">
        <v>-2.0384315220000011</v>
      </c>
      <c r="BL20" s="28">
        <v>-2.1576100000009199E-4</v>
      </c>
      <c r="BM20" s="28">
        <v>-2.720575362666668</v>
      </c>
      <c r="BN20" s="28">
        <v>-1.3917821886666679</v>
      </c>
      <c r="BO20" s="28">
        <v>3.9833333209671201E-7</v>
      </c>
      <c r="BP20" s="28">
        <v>-2.4780256960000009</v>
      </c>
      <c r="BQ20" s="28">
        <v>-2.2224801090000019</v>
      </c>
      <c r="BR20" s="28">
        <v>-2.7395753626666681</v>
      </c>
      <c r="BS20" s="28">
        <v>-2.5166853626666681</v>
      </c>
      <c r="BT20" s="28">
        <v>-0.71015960166666814</v>
      </c>
      <c r="BU20" s="28">
        <v>-2.6800910293333349</v>
      </c>
      <c r="BV20" s="28">
        <v>1.649853333357543E-4</v>
      </c>
      <c r="BW20" s="28">
        <v>-5.3681333333943648E-5</v>
      </c>
      <c r="BX20" s="28">
        <v>-1.6262975220000011</v>
      </c>
      <c r="BY20" s="28">
        <v>-0.7565998423333351</v>
      </c>
      <c r="BZ20" s="28">
        <v>4.8914466666616363E-4</v>
      </c>
      <c r="CA20" s="28">
        <v>-2.1779361090000018</v>
      </c>
      <c r="CB20" s="28">
        <v>8.3398333331929919E-5</v>
      </c>
      <c r="CC20" s="28">
        <v>-2.6716096960000009</v>
      </c>
      <c r="CD20" s="28">
        <v>-2.453108696000001</v>
      </c>
      <c r="CE20" s="28">
        <v>-0.58901760166666806</v>
      </c>
      <c r="CF20" s="28">
        <v>-1.166813333342009E-4</v>
      </c>
      <c r="CG20" s="28">
        <v>-2.2119727756666681</v>
      </c>
      <c r="CH20" s="28">
        <v>-1.680359601666668</v>
      </c>
      <c r="CI20" s="28">
        <v>-0.81528768133333407</v>
      </c>
      <c r="CJ20" s="28">
        <v>-3.1351466666729172E-4</v>
      </c>
      <c r="CK20" s="28">
        <v>-2.3745034423333351</v>
      </c>
      <c r="CL20" s="28">
        <v>-2.2010664423333348</v>
      </c>
      <c r="CM20" s="28">
        <v>-2.15760999999981E-4</v>
      </c>
      <c r="CN20" s="28">
        <v>2.9623900000008701E-4</v>
      </c>
      <c r="CO20" s="28">
        <v>-2.1613734423333351</v>
      </c>
      <c r="CP20" s="28">
        <v>3.6323900000001519E-4</v>
      </c>
      <c r="CQ20" s="28">
        <v>-2.6079383626666681</v>
      </c>
      <c r="CR20" s="28">
        <v>-1.912236522000001</v>
      </c>
      <c r="CS20" s="28">
        <v>-4.7434800000090149E-4</v>
      </c>
      <c r="CT20" s="28">
        <v>-1.534666196164914</v>
      </c>
      <c r="CU20" s="34">
        <v>-145.79328863566681</v>
      </c>
    </row>
    <row r="21" spans="1:99" x14ac:dyDescent="0.25">
      <c r="A21" s="24">
        <v>20</v>
      </c>
      <c r="B21" s="26">
        <v>9.5</v>
      </c>
      <c r="C21" s="28">
        <v>-1.725545999987643E-4</v>
      </c>
      <c r="D21" s="28">
        <v>-2.9148624394666651</v>
      </c>
      <c r="E21" s="28">
        <v>-3.3370306666591348E-4</v>
      </c>
      <c r="F21" s="28">
        <v>-2.779923406133332</v>
      </c>
      <c r="G21" s="28">
        <v>-2.912383406133332</v>
      </c>
      <c r="H21" s="28">
        <v>-1.9864605545999989</v>
      </c>
      <c r="I21" s="28">
        <v>-2.920383406133332</v>
      </c>
      <c r="J21" s="28">
        <v>-2.0814281545999989</v>
      </c>
      <c r="K21" s="28">
        <v>-2.841197739466665</v>
      </c>
      <c r="L21" s="28">
        <v>-1.6058179394666621</v>
      </c>
      <c r="M21" s="28">
        <v>-2.3283300727999992</v>
      </c>
      <c r="N21" s="28">
        <v>-2.7459287394666649</v>
      </c>
      <c r="O21" s="28">
        <v>-0.51464370306666596</v>
      </c>
      <c r="P21" s="28">
        <v>-2.140529954599999</v>
      </c>
      <c r="Q21" s="28">
        <v>4.0288936666743602E-4</v>
      </c>
      <c r="R21" s="28">
        <v>-2.3651024061333321</v>
      </c>
      <c r="S21" s="28">
        <v>-2.8163834061333319</v>
      </c>
      <c r="T21" s="28">
        <v>-3.0036973333302802E-4</v>
      </c>
      <c r="U21" s="28">
        <v>-2.906288072799998</v>
      </c>
      <c r="V21" s="28">
        <v>-2.8168667394666649</v>
      </c>
      <c r="W21" s="28">
        <v>-2.9004500727999991</v>
      </c>
      <c r="X21" s="28">
        <v>-1.923922221266666</v>
      </c>
      <c r="Y21" s="28">
        <v>-2.4221721470333319</v>
      </c>
      <c r="Z21" s="28">
        <v>-3.9096216666179018E-4</v>
      </c>
      <c r="AA21" s="28">
        <v>2.555603333398437E-5</v>
      </c>
      <c r="AB21" s="28">
        <v>-1.4077729999895089E-4</v>
      </c>
      <c r="AC21" s="28">
        <v>-1.064371703066666</v>
      </c>
      <c r="AD21" s="28">
        <v>-4.2044396666907069E-4</v>
      </c>
      <c r="AE21" s="28">
        <v>-2.6633867394666648</v>
      </c>
      <c r="AF21" s="28">
        <v>-1.5764216288333319</v>
      </c>
      <c r="AG21" s="28">
        <v>-2.813696739466665</v>
      </c>
      <c r="AH21" s="28">
        <v>-3.4711063333203729E-4</v>
      </c>
      <c r="AI21" s="28">
        <v>-2.825343406133332</v>
      </c>
      <c r="AJ21" s="28">
        <v>-2.8292908727999988</v>
      </c>
      <c r="AK21" s="28">
        <v>-1.9887068879333321</v>
      </c>
      <c r="AL21" s="28">
        <v>-1.4311917030666661</v>
      </c>
      <c r="AM21" s="28">
        <v>-2.9183834061333318</v>
      </c>
      <c r="AN21" s="28">
        <v>-0.89407673946666177</v>
      </c>
      <c r="AO21" s="28">
        <v>-3.0440096727999988</v>
      </c>
      <c r="AP21" s="28">
        <v>-2.7160234061333322</v>
      </c>
      <c r="AQ21" s="28">
        <v>-1.642650962166665</v>
      </c>
      <c r="AR21" s="28">
        <v>-1.9170306666604911E-4</v>
      </c>
      <c r="AS21" s="28">
        <v>-2.7808020727999989</v>
      </c>
      <c r="AT21" s="28">
        <v>-2.055550554599999</v>
      </c>
      <c r="AU21" s="28">
        <v>-0.7730173697333329</v>
      </c>
      <c r="AV21" s="28">
        <v>-1.252390739466662</v>
      </c>
      <c r="AW21" s="28">
        <v>-1.4416274061333321</v>
      </c>
      <c r="AX21" s="28">
        <v>-2.1647875545999988</v>
      </c>
      <c r="AY21" s="28">
        <v>-1.9690955545999991</v>
      </c>
      <c r="AZ21" s="28">
        <v>-1.5833049621666651</v>
      </c>
      <c r="BA21" s="28">
        <v>-2.5615854803666651</v>
      </c>
      <c r="BB21" s="28">
        <v>-2.1330252212666649</v>
      </c>
      <c r="BC21" s="28">
        <v>-2.8094057394666652</v>
      </c>
      <c r="BD21" s="28">
        <v>-2.2923654803666649</v>
      </c>
      <c r="BE21" s="28">
        <v>-1.905298480366665</v>
      </c>
      <c r="BF21" s="28">
        <v>-2.9183834061333318</v>
      </c>
      <c r="BG21" s="28">
        <v>-2.012222813699998</v>
      </c>
      <c r="BH21" s="28">
        <v>-2.9373834061333319</v>
      </c>
      <c r="BI21" s="28">
        <v>-1.8059896288333319</v>
      </c>
      <c r="BJ21" s="28">
        <v>-9.8169036399998966E-2</v>
      </c>
      <c r="BK21" s="28">
        <v>-2.137297554599999</v>
      </c>
      <c r="BL21" s="28">
        <v>-0.45939377729999908</v>
      </c>
      <c r="BM21" s="28">
        <v>-2.750201406133332</v>
      </c>
      <c r="BN21" s="28">
        <v>-2.0759709212666659</v>
      </c>
      <c r="BO21" s="28">
        <v>-1.2262883333180599E-4</v>
      </c>
      <c r="BP21" s="28">
        <v>-2.7646134061333321</v>
      </c>
      <c r="BQ21" s="28">
        <v>-2.2900894803666652</v>
      </c>
      <c r="BR21" s="28">
        <v>-2.888318072799998</v>
      </c>
      <c r="BS21" s="28">
        <v>-2.5967427394666651</v>
      </c>
      <c r="BT21" s="28">
        <v>-1.376922962166665</v>
      </c>
      <c r="BU21" s="28">
        <v>-2.8054417394666649</v>
      </c>
      <c r="BV21" s="28">
        <v>-4.819697333338091E-4</v>
      </c>
      <c r="BW21" s="28">
        <v>3.1663026666706168E-4</v>
      </c>
      <c r="BX21" s="28">
        <v>-1.863497554599999</v>
      </c>
      <c r="BY21" s="28">
        <v>-1.1414571803666651</v>
      </c>
      <c r="BZ21" s="28">
        <v>-1.442740221266666</v>
      </c>
      <c r="CA21" s="28">
        <v>-2.380820513699998</v>
      </c>
      <c r="CB21" s="28">
        <v>2.7037833334908609E-5</v>
      </c>
      <c r="CC21" s="28">
        <v>-2.8139720727999991</v>
      </c>
      <c r="CD21" s="28">
        <v>-2.6819134061333321</v>
      </c>
      <c r="CE21" s="28">
        <v>-1.663009628833332</v>
      </c>
      <c r="CF21" s="28">
        <v>4.8296933333968888E-5</v>
      </c>
      <c r="CG21" s="28">
        <v>-2.3874598136999978</v>
      </c>
      <c r="CH21" s="28">
        <v>-1.7021432954999991</v>
      </c>
      <c r="CI21" s="28">
        <v>-0.39985836973333599</v>
      </c>
      <c r="CJ21" s="28">
        <v>1.8263026666409671E-4</v>
      </c>
      <c r="CK21" s="28">
        <v>-2.3302674803666652</v>
      </c>
      <c r="CL21" s="28">
        <v>-2.515462147033332</v>
      </c>
      <c r="CM21" s="28">
        <v>-3.9377729999889871E-4</v>
      </c>
      <c r="CN21" s="28">
        <v>-2.977729999886769E-5</v>
      </c>
      <c r="CO21" s="28">
        <v>-2.2402388136999982</v>
      </c>
      <c r="CP21" s="28">
        <v>-1.8511063332896091E-4</v>
      </c>
      <c r="CQ21" s="28">
        <v>-2.7381590727999989</v>
      </c>
      <c r="CR21" s="28">
        <v>-2.0116392212666661</v>
      </c>
      <c r="CS21" s="28">
        <v>-8.3862363999991363E-3</v>
      </c>
      <c r="CT21" s="28">
        <v>-1.7083532451757879</v>
      </c>
      <c r="CU21" s="34">
        <v>-162.29355829169981</v>
      </c>
    </row>
    <row r="22" spans="1:99" x14ac:dyDescent="0.25">
      <c r="A22" s="24">
        <v>21</v>
      </c>
      <c r="B22" s="26">
        <v>10</v>
      </c>
      <c r="C22" s="28">
        <v>-1.6037396667106801E-4</v>
      </c>
      <c r="D22" s="28">
        <v>-3.0970089430666681</v>
      </c>
      <c r="E22" s="28">
        <v>-2.3380486666368941E-4</v>
      </c>
      <c r="F22" s="28">
        <v>-3.0830089430666678</v>
      </c>
      <c r="G22" s="28">
        <v>-2.7803146097333351</v>
      </c>
      <c r="H22" s="28">
        <v>-2.2444557073000011</v>
      </c>
      <c r="I22" s="28">
        <v>-3.094008943066668</v>
      </c>
      <c r="J22" s="28">
        <v>-2.2951520406333339</v>
      </c>
      <c r="K22" s="28">
        <v>-2.928635276400001</v>
      </c>
      <c r="L22" s="28">
        <v>-2.180142276400002</v>
      </c>
      <c r="M22" s="28">
        <v>-2.902932276400001</v>
      </c>
      <c r="N22" s="28">
        <v>-3.0621622764000009</v>
      </c>
      <c r="O22" s="28">
        <v>-1.2876291382000009</v>
      </c>
      <c r="P22" s="28">
        <v>-2.199711673966668</v>
      </c>
      <c r="Q22" s="28">
        <v>-0.83850335364999995</v>
      </c>
      <c r="R22" s="28">
        <v>-3.054255609733334</v>
      </c>
      <c r="S22" s="28">
        <v>-2.9602406097333351</v>
      </c>
      <c r="T22" s="28">
        <v>-0.22062880486666669</v>
      </c>
      <c r="U22" s="28">
        <v>-3.0620937430666682</v>
      </c>
      <c r="V22" s="28">
        <v>-2.9199376097333349</v>
      </c>
      <c r="W22" s="28">
        <v>-3.0910089430666678</v>
      </c>
      <c r="X22" s="28">
        <v>-2.2040113739666678</v>
      </c>
      <c r="Y22" s="28">
        <v>-2.689507825183334</v>
      </c>
      <c r="Z22" s="28">
        <v>-1.22807982275</v>
      </c>
      <c r="AA22" s="28">
        <v>4.3664634999995838E-4</v>
      </c>
      <c r="AB22" s="28">
        <v>4.0564635000017718E-4</v>
      </c>
      <c r="AC22" s="28">
        <v>-1.4690283382000009</v>
      </c>
      <c r="AD22" s="28">
        <v>4.966463499997964E-4</v>
      </c>
      <c r="AE22" s="28">
        <v>-3.0138209430666678</v>
      </c>
      <c r="AF22" s="28">
        <v>-1.6232695894166671</v>
      </c>
      <c r="AG22" s="28">
        <v>-3.1040089430666682</v>
      </c>
      <c r="AH22" s="28">
        <v>3.4597968333305312E-4</v>
      </c>
      <c r="AI22" s="28">
        <v>-2.8079406097333348</v>
      </c>
      <c r="AJ22" s="28">
        <v>-1.905584843066668</v>
      </c>
      <c r="AK22" s="28">
        <v>-1.044974040633331</v>
      </c>
      <c r="AL22" s="28">
        <v>-1.5180044715333341</v>
      </c>
      <c r="AM22" s="28">
        <v>-2.1188589430666682</v>
      </c>
      <c r="AN22" s="28">
        <v>-2.530145743066667</v>
      </c>
      <c r="AO22" s="28">
        <v>-3.3350840097333352</v>
      </c>
      <c r="AP22" s="28">
        <v>-2.8106616097333341</v>
      </c>
      <c r="AQ22" s="28">
        <v>-1.5957465894166669</v>
      </c>
      <c r="AR22" s="28">
        <v>-1.0194111382000011</v>
      </c>
      <c r="AS22" s="28">
        <v>-2.8625169430666682</v>
      </c>
      <c r="AT22" s="28">
        <v>-2.0014750406333341</v>
      </c>
      <c r="AU22" s="28">
        <v>-1.373094471533334</v>
      </c>
      <c r="AV22" s="28">
        <v>-2.8739449430666681</v>
      </c>
      <c r="AW22" s="28">
        <v>-1.253278943066668</v>
      </c>
      <c r="AX22" s="28">
        <v>-2.2950067073000011</v>
      </c>
      <c r="AY22" s="28">
        <v>-2.3060067073000008</v>
      </c>
      <c r="AZ22" s="28">
        <v>-1.632108256083334</v>
      </c>
      <c r="BA22" s="28">
        <v>-2.557621158516667</v>
      </c>
      <c r="BB22" s="28">
        <v>-2.123027040633334</v>
      </c>
      <c r="BC22" s="28">
        <v>-1.461917609733338</v>
      </c>
      <c r="BD22" s="28">
        <v>-2.4182004918500009</v>
      </c>
      <c r="BE22" s="28">
        <v>-2.6112194918500009</v>
      </c>
      <c r="BF22" s="28">
        <v>-2.8042527430666682</v>
      </c>
      <c r="BG22" s="28">
        <v>-1.7765444918500011</v>
      </c>
      <c r="BH22" s="28">
        <v>-3.1110089430666679</v>
      </c>
      <c r="BI22" s="28">
        <v>-1.9145055894166669</v>
      </c>
      <c r="BJ22" s="28">
        <v>-1.3450571382000009</v>
      </c>
      <c r="BK22" s="28">
        <v>-2.2196070406333339</v>
      </c>
      <c r="BL22" s="28">
        <v>-1.13050335365</v>
      </c>
      <c r="BM22" s="28">
        <v>-3.026071809733335</v>
      </c>
      <c r="BN22" s="28">
        <v>-1.916836040633334</v>
      </c>
      <c r="BO22" s="28">
        <v>-0.27150558941666691</v>
      </c>
      <c r="BP22" s="28">
        <v>-2.9385076097333349</v>
      </c>
      <c r="BQ22" s="28">
        <v>-2.317722491850001</v>
      </c>
      <c r="BR22" s="28">
        <v>-3.0058689430666679</v>
      </c>
      <c r="BS22" s="28">
        <v>-1.645273609733338</v>
      </c>
      <c r="BT22" s="28">
        <v>4.944105833329937E-4</v>
      </c>
      <c r="BU22" s="28">
        <v>-3.0102709430666681</v>
      </c>
      <c r="BV22" s="28">
        <v>-0.49000900486666682</v>
      </c>
      <c r="BW22" s="28">
        <v>3.0552846666620498E-4</v>
      </c>
      <c r="BX22" s="28">
        <v>-1.9080313739666681</v>
      </c>
      <c r="BY22" s="28">
        <v>-1.6041734918500039</v>
      </c>
      <c r="BZ22" s="28">
        <v>-2.2890067073000009</v>
      </c>
      <c r="CA22" s="28">
        <v>-1.613849025183334</v>
      </c>
      <c r="CB22" s="28">
        <v>-0.2154729227500001</v>
      </c>
      <c r="CC22" s="28">
        <v>-2.8201359430666679</v>
      </c>
      <c r="CD22" s="28">
        <v>-3.0542062764000009</v>
      </c>
      <c r="CE22" s="28">
        <v>-1.298142922750001</v>
      </c>
      <c r="CF22" s="28">
        <v>-1.1817704715333339</v>
      </c>
      <c r="CG22" s="28">
        <v>-2.6773898251833339</v>
      </c>
      <c r="CH22" s="28">
        <v>-1.841996589416667</v>
      </c>
      <c r="CI22" s="28">
        <v>-0.8108044715333339</v>
      </c>
      <c r="CJ22" s="28">
        <v>2.9552846666608401E-4</v>
      </c>
      <c r="CK22" s="28">
        <v>-2.6995078251833342</v>
      </c>
      <c r="CL22" s="28">
        <v>-2.4156818251833339</v>
      </c>
      <c r="CM22" s="28">
        <v>-0.91650335364999991</v>
      </c>
      <c r="CN22" s="28">
        <v>-1.260335365000009E-2</v>
      </c>
      <c r="CO22" s="28">
        <v>-2.4488994918500011</v>
      </c>
      <c r="CP22" s="28">
        <v>-3.8772031666700618E-4</v>
      </c>
      <c r="CQ22" s="28">
        <v>-1.9647909430666679</v>
      </c>
      <c r="CR22" s="28">
        <v>-2.3070067073000011</v>
      </c>
      <c r="CS22" s="28">
        <v>-0.53417813820000393</v>
      </c>
      <c r="CT22" s="28">
        <v>-1.88026406243</v>
      </c>
      <c r="CU22" s="34">
        <v>-178.62508593084999</v>
      </c>
    </row>
    <row r="23" spans="1:99" x14ac:dyDescent="0.25">
      <c r="A23" s="24">
        <v>22</v>
      </c>
      <c r="B23" s="26">
        <v>10.5</v>
      </c>
      <c r="C23" s="28">
        <v>-0.45788417423332989</v>
      </c>
      <c r="D23" s="28">
        <v>-3.1867061211999999</v>
      </c>
      <c r="E23" s="28">
        <v>9.5439399999897034E-5</v>
      </c>
      <c r="F23" s="28">
        <v>-3.2263051211999998</v>
      </c>
      <c r="G23" s="28">
        <v>-2.9851011212</v>
      </c>
      <c r="H23" s="28">
        <v>-2.3989968409000002</v>
      </c>
      <c r="I23" s="28">
        <v>-3.2373051211999999</v>
      </c>
      <c r="J23" s="28">
        <v>-2.3406415075666671</v>
      </c>
      <c r="K23" s="28">
        <v>-3.2111567878666669</v>
      </c>
      <c r="L23" s="28">
        <v>-2.3330884545333328</v>
      </c>
      <c r="M23" s="28">
        <v>-3.1661051212000002</v>
      </c>
      <c r="N23" s="28">
        <v>-3.1711884545333331</v>
      </c>
      <c r="O23" s="28">
        <v>-1.403785893933333</v>
      </c>
      <c r="P23" s="28">
        <v>-2.3633721742333331</v>
      </c>
      <c r="Q23" s="28">
        <v>-1.1772394204500001</v>
      </c>
      <c r="R23" s="28">
        <v>-2.2439397878666698</v>
      </c>
      <c r="S23" s="28">
        <v>-3.1996051211999998</v>
      </c>
      <c r="T23" s="28">
        <v>-1.5495988939333329</v>
      </c>
      <c r="U23" s="28">
        <v>-3.1745479211999998</v>
      </c>
      <c r="V23" s="28">
        <v>-2.970818454533334</v>
      </c>
      <c r="W23" s="28">
        <v>-3.2292141212000001</v>
      </c>
      <c r="X23" s="28">
        <v>-2.210099507566667</v>
      </c>
      <c r="Y23" s="28">
        <v>-2.62171078105</v>
      </c>
      <c r="Z23" s="28">
        <v>-1.6384033007500001</v>
      </c>
      <c r="AA23" s="28">
        <v>-0.15849342044999989</v>
      </c>
      <c r="AB23" s="28">
        <v>-0.88777275378333287</v>
      </c>
      <c r="AC23" s="28">
        <v>-1.3324254272666669</v>
      </c>
      <c r="AD23" s="28">
        <v>-2.394204500000274E-4</v>
      </c>
      <c r="AE23" s="28">
        <v>-3.221323787866667</v>
      </c>
      <c r="AF23" s="28">
        <v>-1.884663034083333</v>
      </c>
      <c r="AG23" s="28">
        <v>-1.53488145453333</v>
      </c>
      <c r="AH23" s="28">
        <v>-0.1062394204499999</v>
      </c>
      <c r="AI23" s="28">
        <v>-1.9171511212000001</v>
      </c>
      <c r="AJ23" s="28">
        <v>-2.7199971212</v>
      </c>
      <c r="AK23" s="28">
        <v>-2.2862051742333329</v>
      </c>
      <c r="AL23" s="28">
        <v>-1.5896525606</v>
      </c>
      <c r="AM23" s="28">
        <v>-3.1864351212000002</v>
      </c>
      <c r="AN23" s="28">
        <v>-3.0802677878666671</v>
      </c>
      <c r="AO23" s="28">
        <v>-3.3557431212000002</v>
      </c>
      <c r="AP23" s="28">
        <v>-3.2189911212000002</v>
      </c>
      <c r="AQ23" s="28">
        <v>-1.6242730340833329</v>
      </c>
      <c r="AR23" s="28">
        <v>-1.6186525606</v>
      </c>
      <c r="AS23" s="28">
        <v>-3.0575851211999998</v>
      </c>
      <c r="AT23" s="28">
        <v>-2.4054788408999999</v>
      </c>
      <c r="AU23" s="28">
        <v>-1.3328498939333331</v>
      </c>
      <c r="AV23" s="28">
        <v>-3.1944322878666669</v>
      </c>
      <c r="AW23" s="28">
        <v>-2.9909257878666669</v>
      </c>
      <c r="AX23" s="28">
        <v>-2.4024788409000002</v>
      </c>
      <c r="AY23" s="28">
        <v>-2.351763507566667</v>
      </c>
      <c r="AZ23" s="28">
        <v>-1.7932397007500001</v>
      </c>
      <c r="BA23" s="28">
        <v>-2.7238386477166672</v>
      </c>
      <c r="BB23" s="28">
        <v>-2.4029948408999999</v>
      </c>
      <c r="BC23" s="28">
        <v>-2.648107787866667</v>
      </c>
      <c r="BD23" s="28">
        <v>-1.79743904771667</v>
      </c>
      <c r="BE23" s="28">
        <v>-2.4815886477166669</v>
      </c>
      <c r="BF23" s="28">
        <v>-0.25309178786667008</v>
      </c>
      <c r="BG23" s="28">
        <v>-2.8258919810499998</v>
      </c>
      <c r="BH23" s="28">
        <v>-3.2543051211999998</v>
      </c>
      <c r="BI23" s="28">
        <v>-2.00406570075</v>
      </c>
      <c r="BJ23" s="28">
        <v>-1.3926325606000001</v>
      </c>
      <c r="BK23" s="28">
        <v>-2.3930658408999999</v>
      </c>
      <c r="BL23" s="28">
        <v>-1.17623942045</v>
      </c>
      <c r="BM23" s="28">
        <v>-2.2493604545333299</v>
      </c>
      <c r="BN23" s="28">
        <v>-2.1990845742333329</v>
      </c>
      <c r="BO23" s="28">
        <v>-1.8072797007500001</v>
      </c>
      <c r="BP23" s="28">
        <v>-3.0210711211999999</v>
      </c>
      <c r="BQ23" s="28">
        <v>-2.5039173143833331</v>
      </c>
      <c r="BR23" s="28">
        <v>-3.2543051211999998</v>
      </c>
      <c r="BS23" s="28">
        <v>-3.0644151212000001</v>
      </c>
      <c r="BT23" s="28">
        <v>-4.990340833301854E-4</v>
      </c>
      <c r="BU23" s="28">
        <v>-2.5252003545333328</v>
      </c>
      <c r="BV23" s="28">
        <v>-1.3870558939333331</v>
      </c>
      <c r="BW23" s="28">
        <v>-0.66828162726666607</v>
      </c>
      <c r="BX23" s="28">
        <v>-0.25302450756666989</v>
      </c>
      <c r="BY23" s="28">
        <v>-2.6755266477166662</v>
      </c>
      <c r="BZ23" s="28">
        <v>-2.1079255075666672</v>
      </c>
      <c r="CA23" s="28">
        <v>-1.9564686477166671</v>
      </c>
      <c r="CB23" s="28">
        <v>-1.95072020075</v>
      </c>
      <c r="CC23" s="28">
        <v>-3.1339574545333329</v>
      </c>
      <c r="CD23" s="28">
        <v>-3.5999037878666669</v>
      </c>
      <c r="CE23" s="28">
        <v>-1.5290557007500001</v>
      </c>
      <c r="CF23" s="28">
        <v>-1.5946525605999999</v>
      </c>
      <c r="CG23" s="28">
        <v>-2.6617086477166669</v>
      </c>
      <c r="CH23" s="28">
        <v>-1.68880770075</v>
      </c>
      <c r="CI23" s="28">
        <v>-0.29175256059999999</v>
      </c>
      <c r="CJ23" s="28">
        <v>-2.5122726666726441E-4</v>
      </c>
      <c r="CK23" s="28">
        <v>-2.70813398105</v>
      </c>
      <c r="CL23" s="28">
        <v>-2.8203309810500001</v>
      </c>
      <c r="CM23" s="28">
        <v>-1.12275942045</v>
      </c>
      <c r="CN23" s="28">
        <v>-1.028540087116667</v>
      </c>
      <c r="CO23" s="28">
        <v>-2.5941086477166668</v>
      </c>
      <c r="CP23" s="28">
        <v>4.6857955000012552E-4</v>
      </c>
      <c r="CQ23" s="28">
        <v>-2.4145921212000001</v>
      </c>
      <c r="CR23" s="28">
        <v>-2.2823588409000002</v>
      </c>
      <c r="CS23" s="28">
        <v>-1.5587725606</v>
      </c>
      <c r="CT23" s="28">
        <v>-2.092163106330351</v>
      </c>
      <c r="CU23" s="34">
        <v>-198.75549510138339</v>
      </c>
    </row>
    <row r="24" spans="1:99" x14ac:dyDescent="0.25">
      <c r="A24" s="24">
        <v>23</v>
      </c>
      <c r="B24" s="26">
        <v>11</v>
      </c>
      <c r="C24" s="28">
        <v>-2.454029443500001</v>
      </c>
      <c r="D24" s="28">
        <v>-3.2271229246666682</v>
      </c>
      <c r="E24" s="28">
        <v>4.3770433333600872E-4</v>
      </c>
      <c r="F24" s="28">
        <v>-3.3279779246666679</v>
      </c>
      <c r="G24" s="28">
        <v>-3.1861962580000012</v>
      </c>
      <c r="H24" s="28">
        <v>-2.1712407768333342</v>
      </c>
      <c r="I24" s="28">
        <v>-3.338977924666668</v>
      </c>
      <c r="J24" s="28">
        <v>-2.4877334435000011</v>
      </c>
      <c r="K24" s="28">
        <v>-3.1205669246666679</v>
      </c>
      <c r="L24" s="28">
        <v>-3.2620816580000009</v>
      </c>
      <c r="M24" s="28">
        <v>-3.215127924666668</v>
      </c>
      <c r="N24" s="28">
        <v>-3.3299779246666681</v>
      </c>
      <c r="O24" s="28">
        <v>-1.5168036290000011</v>
      </c>
      <c r="P24" s="28">
        <v>-2.4917334435000011</v>
      </c>
      <c r="Q24" s="28">
        <v>-1.100615388416667</v>
      </c>
      <c r="R24" s="28">
        <v>-3.191013924666668</v>
      </c>
      <c r="S24" s="28">
        <v>-3.0625279246666679</v>
      </c>
      <c r="T24" s="28">
        <v>-1.5993969623333339</v>
      </c>
      <c r="U24" s="28">
        <v>-3.293634158000001</v>
      </c>
      <c r="V24" s="28">
        <v>-1.471782591333338</v>
      </c>
      <c r="W24" s="28">
        <v>-3.3054319246666681</v>
      </c>
      <c r="X24" s="28">
        <v>-2.4848921101666681</v>
      </c>
      <c r="Y24" s="28">
        <v>-2.8328084840833339</v>
      </c>
      <c r="Z24" s="28">
        <v>-1.90703513625</v>
      </c>
      <c r="AA24" s="28">
        <v>-1.1649213884166669</v>
      </c>
      <c r="AB24" s="28">
        <v>-1.01936072175</v>
      </c>
      <c r="AC24" s="28">
        <v>-0.14457362900000389</v>
      </c>
      <c r="AD24" s="28">
        <v>-3.5405508333297142E-4</v>
      </c>
      <c r="AE24" s="28">
        <v>-3.2036301246666681</v>
      </c>
      <c r="AF24" s="28">
        <v>-1.9630732029166671</v>
      </c>
      <c r="AG24" s="28">
        <v>-3.1693769246666679</v>
      </c>
      <c r="AH24" s="28">
        <v>-1.143961055083333</v>
      </c>
      <c r="AI24" s="28">
        <v>-3.0510769246666678</v>
      </c>
      <c r="AJ24" s="28">
        <v>-3.2309779246666679</v>
      </c>
      <c r="AK24" s="28">
        <v>-1.3945647768333309</v>
      </c>
      <c r="AL24" s="28">
        <v>-1.6404889623333341</v>
      </c>
      <c r="AM24" s="28">
        <v>-3.3206879246666681</v>
      </c>
      <c r="AN24" s="28">
        <v>-3.2988283246666681</v>
      </c>
      <c r="AO24" s="28">
        <v>-2.2114975913333348</v>
      </c>
      <c r="AP24" s="28">
        <v>-3.316892591333334</v>
      </c>
      <c r="AQ24" s="28">
        <v>-1.6906872029166671</v>
      </c>
      <c r="AR24" s="28">
        <v>-1.152614295666667</v>
      </c>
      <c r="AS24" s="28">
        <v>-3.2587405913333352</v>
      </c>
      <c r="AT24" s="28">
        <v>-2.3748257768333341</v>
      </c>
      <c r="AU24" s="28">
        <v>-1.454376629</v>
      </c>
      <c r="AV24" s="28">
        <v>-3.2264412580000008</v>
      </c>
      <c r="AW24" s="28">
        <v>-3.2089339246666682</v>
      </c>
      <c r="AX24" s="28">
        <v>-2.449070443500001</v>
      </c>
      <c r="AY24" s="28">
        <v>-2.147557776833334</v>
      </c>
      <c r="AZ24" s="28">
        <v>-1.8325205362500001</v>
      </c>
      <c r="BA24" s="28">
        <v>-2.9278556840833341</v>
      </c>
      <c r="BB24" s="28">
        <v>-2.3317661101666678</v>
      </c>
      <c r="BC24" s="28">
        <v>-2.7117819246666679</v>
      </c>
      <c r="BD24" s="28">
        <v>-2.794764017416667</v>
      </c>
      <c r="BE24" s="28">
        <v>-2.5777190174166682</v>
      </c>
      <c r="BF24" s="28">
        <v>-1.0501179246666681</v>
      </c>
      <c r="BG24" s="28">
        <v>-2.806159684083334</v>
      </c>
      <c r="BH24" s="28">
        <v>-3.3559779246666679</v>
      </c>
      <c r="BI24" s="28">
        <v>-1.9156792029166669</v>
      </c>
      <c r="BJ24" s="28">
        <v>-1.5049789623333341</v>
      </c>
      <c r="BK24" s="28">
        <v>-2.3852567768333341</v>
      </c>
      <c r="BL24" s="28">
        <v>-1.1874007884166671</v>
      </c>
      <c r="BM24" s="28">
        <v>-2.5302652580000009</v>
      </c>
      <c r="BN24" s="28">
        <v>-0.28045011016667099</v>
      </c>
      <c r="BO24" s="28">
        <v>-1.8821712029166671</v>
      </c>
      <c r="BP24" s="28">
        <v>-3.2237763580000012</v>
      </c>
      <c r="BQ24" s="28">
        <v>-2.499285684083334</v>
      </c>
      <c r="BR24" s="28">
        <v>-3.0440805913333349</v>
      </c>
      <c r="BS24" s="28">
        <v>-2.684619258000001</v>
      </c>
      <c r="BT24" s="28">
        <v>-0.37211120291666711</v>
      </c>
      <c r="BU24" s="28">
        <v>-0.86206459133333802</v>
      </c>
      <c r="BV24" s="28">
        <v>-1.504534295666667</v>
      </c>
      <c r="BW24" s="28">
        <v>-3.1962900000048761E-4</v>
      </c>
      <c r="BX24" s="28">
        <v>6.6556499999141649E-5</v>
      </c>
      <c r="BY24" s="28">
        <v>-2.7271116840833338</v>
      </c>
      <c r="BZ24" s="28">
        <v>-2.480733443500001</v>
      </c>
      <c r="CA24" s="28">
        <v>-2.7482023507500011</v>
      </c>
      <c r="CB24" s="28">
        <v>-1.749156702916667</v>
      </c>
      <c r="CC24" s="28">
        <v>-3.2905159246666682</v>
      </c>
      <c r="CD24" s="28">
        <v>-3.2045732580000008</v>
      </c>
      <c r="CE24" s="28">
        <v>-1.632547536250001</v>
      </c>
      <c r="CF24" s="28">
        <v>-1.5884259623333341</v>
      </c>
      <c r="CG24" s="28">
        <v>-0.1351650174166639</v>
      </c>
      <c r="CH24" s="28">
        <v>-0.31418520291666702</v>
      </c>
      <c r="CI24" s="28">
        <v>-1.639288962333334</v>
      </c>
      <c r="CJ24" s="28">
        <v>-0.19579629566666679</v>
      </c>
      <c r="CK24" s="28">
        <v>-2.8132956840833341</v>
      </c>
      <c r="CL24" s="28">
        <v>-2.6943203507500009</v>
      </c>
      <c r="CM24" s="28">
        <v>-1.20408672175</v>
      </c>
      <c r="CN24" s="28">
        <v>-1.2113587217499999</v>
      </c>
      <c r="CO24" s="28">
        <v>-2.497349017416667</v>
      </c>
      <c r="CP24" s="28">
        <v>-3.2338841666701418E-4</v>
      </c>
      <c r="CQ24" s="28">
        <v>-2.1846129246666681</v>
      </c>
      <c r="CR24" s="28">
        <v>-2.3415074435000012</v>
      </c>
      <c r="CS24" s="28">
        <v>-1.539848962333334</v>
      </c>
      <c r="CT24" s="28">
        <v>-2.127092430060527</v>
      </c>
      <c r="CU24" s="34">
        <v>-202.0737808557501</v>
      </c>
    </row>
    <row r="25" spans="1:99" x14ac:dyDescent="0.25">
      <c r="A25" s="24">
        <v>24</v>
      </c>
      <c r="B25" s="26">
        <v>11.5</v>
      </c>
      <c r="C25" s="28">
        <v>-2.2913250316</v>
      </c>
      <c r="D25" s="28">
        <v>-3.3865667088000002</v>
      </c>
      <c r="E25" s="28">
        <v>-0.48256602106666691</v>
      </c>
      <c r="F25" s="28">
        <v>-3.3725667088</v>
      </c>
      <c r="G25" s="28">
        <v>-2.9875147088</v>
      </c>
      <c r="H25" s="28">
        <v>-1.0163550316000001</v>
      </c>
      <c r="I25" s="28">
        <v>-3.3835667088000001</v>
      </c>
      <c r="J25" s="28">
        <v>-2.3100864982666658</v>
      </c>
      <c r="K25" s="28">
        <v>-3.3905667088000002</v>
      </c>
      <c r="L25" s="28">
        <v>-3.3293267088</v>
      </c>
      <c r="M25" s="28">
        <v>-3.3700500421333328</v>
      </c>
      <c r="N25" s="28">
        <v>-3.2269173754666669</v>
      </c>
      <c r="O25" s="28">
        <v>-1.526536021066667</v>
      </c>
      <c r="P25" s="28">
        <v>-2.2041050316000002</v>
      </c>
      <c r="Q25" s="28">
        <v>-1.2320875158</v>
      </c>
      <c r="R25" s="28">
        <v>-2.814420275466667</v>
      </c>
      <c r="S25" s="28">
        <v>-3.3218299421333328</v>
      </c>
      <c r="T25" s="28">
        <v>-1.4777793544</v>
      </c>
      <c r="U25" s="28">
        <v>-3.2835295754666669</v>
      </c>
      <c r="V25" s="28">
        <v>-2.3227693754666698</v>
      </c>
      <c r="W25" s="28">
        <v>-3.0482629087999999</v>
      </c>
      <c r="X25" s="28">
        <v>-2.222641698266667</v>
      </c>
      <c r="Y25" s="28">
        <v>-2.7520438702000001</v>
      </c>
      <c r="Z25" s="28">
        <v>-1.04427652633333</v>
      </c>
      <c r="AA25" s="28">
        <v>-1.1879478491333331</v>
      </c>
      <c r="AB25" s="28">
        <v>-0.72029451580000003</v>
      </c>
      <c r="AC25" s="28">
        <v>-1.180886021066667</v>
      </c>
      <c r="AD25" s="28">
        <v>-1.1180875158000001</v>
      </c>
      <c r="AE25" s="28">
        <v>-3.2925846421333329</v>
      </c>
      <c r="AF25" s="28">
        <v>-2.078530526333334</v>
      </c>
      <c r="AG25" s="28">
        <v>-3.1472347088000001</v>
      </c>
      <c r="AH25" s="28">
        <v>-1.035597182466667</v>
      </c>
      <c r="AI25" s="28">
        <v>-3.3247507754666672</v>
      </c>
      <c r="AJ25" s="28">
        <v>-3.1125680421333328</v>
      </c>
      <c r="AK25" s="28">
        <v>-0.91307636493333</v>
      </c>
      <c r="AL25" s="28">
        <v>-1.6627833543999999</v>
      </c>
      <c r="AM25" s="28">
        <v>-3.2186667087999998</v>
      </c>
      <c r="AN25" s="28">
        <v>-3.2920627088000001</v>
      </c>
      <c r="AO25" s="28">
        <v>-3.3788427088000001</v>
      </c>
      <c r="AP25" s="28">
        <v>-3.3237680421333331</v>
      </c>
      <c r="AQ25" s="28">
        <v>-4.4585966667032301E-4</v>
      </c>
      <c r="AR25" s="28">
        <v>-1.756064687733333</v>
      </c>
      <c r="AS25" s="28">
        <v>-3.0585600421333332</v>
      </c>
      <c r="AT25" s="28">
        <v>-2.3167593649333331</v>
      </c>
      <c r="AU25" s="28">
        <v>-1.6607833543999999</v>
      </c>
      <c r="AV25" s="28">
        <v>-3.1855457087999999</v>
      </c>
      <c r="AW25" s="28">
        <v>-3.3638747088000001</v>
      </c>
      <c r="AX25" s="28">
        <v>-2.4735009982666671</v>
      </c>
      <c r="AY25" s="28">
        <v>-2.5231750316000001</v>
      </c>
      <c r="AZ25" s="28">
        <v>-1.9927005263333331</v>
      </c>
      <c r="BA25" s="28">
        <v>-2.744922536866667</v>
      </c>
      <c r="BB25" s="28">
        <v>-2.3853063649333328</v>
      </c>
      <c r="BC25" s="28">
        <v>-3.0556980421333328</v>
      </c>
      <c r="BD25" s="28">
        <v>-1.8426728701999999</v>
      </c>
      <c r="BE25" s="28">
        <v>-0.90834953686667008</v>
      </c>
      <c r="BF25" s="28">
        <v>-2.7592585087999999</v>
      </c>
      <c r="BG25" s="28">
        <v>-2.8591568702000001</v>
      </c>
      <c r="BH25" s="28">
        <v>-3.4005667088</v>
      </c>
      <c r="BI25" s="28">
        <v>-2.0954791930000001</v>
      </c>
      <c r="BJ25" s="28">
        <v>-1.1620676877333329</v>
      </c>
      <c r="BK25" s="28">
        <v>-2.5341750315999998</v>
      </c>
      <c r="BL25" s="28">
        <v>-1.2264345158000001</v>
      </c>
      <c r="BM25" s="28">
        <v>-1.98893337546667</v>
      </c>
      <c r="BN25" s="28">
        <v>1.949684000000784E-4</v>
      </c>
      <c r="BO25" s="28">
        <v>-1.941219193</v>
      </c>
      <c r="BP25" s="28">
        <v>-2.8909791754666672</v>
      </c>
      <c r="BQ25" s="28">
        <v>-2.7243468702000002</v>
      </c>
      <c r="BR25" s="28">
        <v>-3.1241597088000002</v>
      </c>
      <c r="BS25" s="28">
        <v>-1.5485600421333301</v>
      </c>
      <c r="BT25" s="28">
        <v>-2.1054791929999999</v>
      </c>
      <c r="BU25" s="28">
        <v>-1.6443528087999999</v>
      </c>
      <c r="BV25" s="28">
        <v>-1.3793683543999999</v>
      </c>
      <c r="BW25" s="28">
        <v>-1.0207833544</v>
      </c>
      <c r="BX25" s="28">
        <v>-0.55619203160000019</v>
      </c>
      <c r="BY25" s="28">
        <v>-2.3813532035333331</v>
      </c>
      <c r="BZ25" s="28">
        <v>-2.4371823649333328</v>
      </c>
      <c r="CA25" s="28">
        <v>-1.9863775368666701</v>
      </c>
      <c r="CB25" s="28">
        <v>-1.961648359666667</v>
      </c>
      <c r="CC25" s="28">
        <v>-3.3624073754666668</v>
      </c>
      <c r="CD25" s="28">
        <v>-3.0185667087999999</v>
      </c>
      <c r="CE25" s="28">
        <v>-1.3251538596666661</v>
      </c>
      <c r="CF25" s="28">
        <v>-1.4238993544</v>
      </c>
      <c r="CG25" s="28">
        <v>-2.7598289368666671</v>
      </c>
      <c r="CH25" s="28">
        <v>-2.0778105263333329</v>
      </c>
      <c r="CI25" s="28">
        <v>-1.6657833544</v>
      </c>
      <c r="CJ25" s="28">
        <v>-0.38955468773333002</v>
      </c>
      <c r="CK25" s="28">
        <v>-2.9106508702</v>
      </c>
      <c r="CL25" s="28">
        <v>-2.8498948702</v>
      </c>
      <c r="CM25" s="28">
        <v>-1.2251275157999999</v>
      </c>
      <c r="CN25" s="28">
        <v>-1.2420875158</v>
      </c>
      <c r="CO25" s="28">
        <v>-2.6777835368666669</v>
      </c>
      <c r="CP25" s="28">
        <v>9.7717533329877426E-5</v>
      </c>
      <c r="CQ25" s="28">
        <v>-2.3584887087999999</v>
      </c>
      <c r="CR25" s="28">
        <v>-2.5176263649333328</v>
      </c>
      <c r="CS25" s="28">
        <v>-1.5334536877333329</v>
      </c>
      <c r="CT25" s="28">
        <v>-2.190732957103859</v>
      </c>
      <c r="CU25" s="34">
        <v>-208.11963092486661</v>
      </c>
    </row>
    <row r="26" spans="1:99" x14ac:dyDescent="0.25">
      <c r="A26" s="24">
        <v>25</v>
      </c>
      <c r="B26" s="26">
        <v>12</v>
      </c>
      <c r="C26" s="28">
        <v>-2.4352013301333342</v>
      </c>
      <c r="D26" s="28">
        <v>-3.1753893290666682</v>
      </c>
      <c r="E26" s="28">
        <v>-1.122438664533334</v>
      </c>
      <c r="F26" s="28">
        <v>-3.3854813290666681</v>
      </c>
      <c r="G26" s="28">
        <v>-3.1886399957333351</v>
      </c>
      <c r="H26" s="28">
        <v>-2.3273409968000012</v>
      </c>
      <c r="I26" s="28">
        <v>-3.3964813290666682</v>
      </c>
      <c r="J26" s="28">
        <v>-2.4227573301333338</v>
      </c>
      <c r="K26" s="28">
        <v>-3.2384009957333348</v>
      </c>
      <c r="L26" s="28">
        <v>-3.2418773290666678</v>
      </c>
      <c r="M26" s="28">
        <v>-3.3884813290666682</v>
      </c>
      <c r="N26" s="28">
        <v>-3.2897126624000008</v>
      </c>
      <c r="O26" s="28">
        <v>-1.572780664533334</v>
      </c>
      <c r="P26" s="28">
        <v>-2.4854509968000009</v>
      </c>
      <c r="Q26" s="28">
        <v>-1.1552431650666679</v>
      </c>
      <c r="R26" s="28">
        <v>-0.69851466239999782</v>
      </c>
      <c r="S26" s="28">
        <v>-3.3807523290666679</v>
      </c>
      <c r="T26" s="28">
        <v>-1.611125531200001</v>
      </c>
      <c r="U26" s="28">
        <v>-3.222584662400001</v>
      </c>
      <c r="V26" s="28">
        <v>-2.0959819957333381</v>
      </c>
      <c r="W26" s="28">
        <v>-3.3720013290666682</v>
      </c>
      <c r="X26" s="28">
        <v>-2.5428609968000009</v>
      </c>
      <c r="Y26" s="28">
        <v>-2.9023678296000019</v>
      </c>
      <c r="Z26" s="28">
        <v>-1.1432908306666669</v>
      </c>
      <c r="AA26" s="28">
        <v>-0.97053549840000097</v>
      </c>
      <c r="AB26" s="28">
        <v>-1.054846498400001</v>
      </c>
      <c r="AC26" s="28">
        <v>-1.292272997866668</v>
      </c>
      <c r="AD26" s="28">
        <v>-1.163014498400001</v>
      </c>
      <c r="AE26" s="28">
        <v>-3.2095213290666682</v>
      </c>
      <c r="AF26" s="28">
        <v>-1.933298830666667</v>
      </c>
      <c r="AG26" s="28">
        <v>-3.1834866624000009</v>
      </c>
      <c r="AH26" s="28">
        <v>-1.2323608317333341</v>
      </c>
      <c r="AI26" s="28">
        <v>-2.7688567290666679</v>
      </c>
      <c r="AJ26" s="28">
        <v>-3.1095889957333349</v>
      </c>
      <c r="AK26" s="28">
        <v>5.2336533329033763E-5</v>
      </c>
      <c r="AL26" s="28">
        <v>-1.669240664533334</v>
      </c>
      <c r="AM26" s="28">
        <v>-3.394481329066668</v>
      </c>
      <c r="AN26" s="28">
        <v>-3.3202279957333349</v>
      </c>
      <c r="AO26" s="28">
        <v>-3.6167326624000009</v>
      </c>
      <c r="AP26" s="28">
        <v>-3.1091093290666678</v>
      </c>
      <c r="AQ26" s="28">
        <v>-3.2416399999712908E-4</v>
      </c>
      <c r="AR26" s="28">
        <v>-1.8172406645333341</v>
      </c>
      <c r="AS26" s="28">
        <v>-3.374958662400001</v>
      </c>
      <c r="AT26" s="28">
        <v>-2.3546723301333339</v>
      </c>
      <c r="AU26" s="28">
        <v>-1.464076997866667</v>
      </c>
      <c r="AV26" s="28">
        <v>-3.071011662400001</v>
      </c>
      <c r="AW26" s="28">
        <v>-3.131579329066668</v>
      </c>
      <c r="AX26" s="28">
        <v>-2.521860996800001</v>
      </c>
      <c r="AY26" s="28">
        <v>-2.4996296634666679</v>
      </c>
      <c r="AZ26" s="28">
        <v>-1.147296163999997</v>
      </c>
      <c r="BA26" s="28">
        <v>-2.6766357629333348</v>
      </c>
      <c r="BB26" s="28">
        <v>-2.285353996800001</v>
      </c>
      <c r="BC26" s="28">
        <v>-3.1429739957333349</v>
      </c>
      <c r="BD26" s="28">
        <v>-0.84444449626666529</v>
      </c>
      <c r="BE26" s="28">
        <v>-1.9210784962666649</v>
      </c>
      <c r="BF26" s="28">
        <v>-3.3613393290666682</v>
      </c>
      <c r="BG26" s="28">
        <v>-2.965171162933335</v>
      </c>
      <c r="BH26" s="28">
        <v>-3.4134813290666681</v>
      </c>
      <c r="BI26" s="28">
        <v>-2.006866830666667</v>
      </c>
      <c r="BJ26" s="28">
        <v>-1.533730664533334</v>
      </c>
      <c r="BK26" s="28">
        <v>-2.4861226634666682</v>
      </c>
      <c r="BL26" s="28">
        <v>-1.2264606650666681</v>
      </c>
      <c r="BM26" s="28">
        <v>-3.394481329066668</v>
      </c>
      <c r="BN26" s="28">
        <v>-1.084708996800001</v>
      </c>
      <c r="BO26" s="28">
        <v>-1.9000848306666669</v>
      </c>
      <c r="BP26" s="28">
        <v>-3.379337429066668</v>
      </c>
      <c r="BQ26" s="28">
        <v>-2.7194878296000011</v>
      </c>
      <c r="BR26" s="28">
        <v>-3.4064719957333351</v>
      </c>
      <c r="BS26" s="28">
        <v>-3.362526662400001</v>
      </c>
      <c r="BT26" s="28">
        <v>-2.113550830666667</v>
      </c>
      <c r="BU26" s="28">
        <v>-3.2805190624000011</v>
      </c>
      <c r="BV26" s="28">
        <v>-1.3082762978666671</v>
      </c>
      <c r="BW26" s="28">
        <v>-1.4065267312000009</v>
      </c>
      <c r="BX26" s="28">
        <v>-2.3728633301333342</v>
      </c>
      <c r="BY26" s="28">
        <v>-2.457325829600002</v>
      </c>
      <c r="BZ26" s="28">
        <v>-2.2963013301333342</v>
      </c>
      <c r="CA26" s="28">
        <v>-1.650863162933335</v>
      </c>
      <c r="CB26" s="28">
        <v>-1.793042830666667</v>
      </c>
      <c r="CC26" s="28">
        <v>-3.0875373290666679</v>
      </c>
      <c r="CD26" s="28">
        <v>-3.8374813290666681</v>
      </c>
      <c r="CE26" s="28">
        <v>-1.738859164</v>
      </c>
      <c r="CF26" s="28">
        <v>-1.4590659312000009</v>
      </c>
      <c r="CG26" s="28">
        <v>-1.494014862933335</v>
      </c>
      <c r="CH26" s="28">
        <v>-2.0232074973333338</v>
      </c>
      <c r="CI26" s="28">
        <v>-1.6569073312000011</v>
      </c>
      <c r="CJ26" s="28">
        <v>-1.192312064533334</v>
      </c>
      <c r="CK26" s="28">
        <v>-2.7392331629333349</v>
      </c>
      <c r="CL26" s="28">
        <v>-2.784000496266668</v>
      </c>
      <c r="CM26" s="28">
        <v>-1.1781304984000009</v>
      </c>
      <c r="CN26" s="28">
        <v>-1.069721165066668</v>
      </c>
      <c r="CO26" s="28">
        <v>-2.5979974962666681</v>
      </c>
      <c r="CP26" s="28">
        <v>-4.9498400001013472E-5</v>
      </c>
      <c r="CQ26" s="28">
        <v>-2.5182893290666679</v>
      </c>
      <c r="CR26" s="28">
        <v>-2.2727333301333341</v>
      </c>
      <c r="CS26" s="28">
        <v>-0.16128266453333409</v>
      </c>
      <c r="CT26" s="28">
        <v>-2.2611177030203509</v>
      </c>
      <c r="CU26" s="34">
        <v>-214.80618178693339</v>
      </c>
    </row>
    <row r="27" spans="1:99" x14ac:dyDescent="0.25">
      <c r="A27" s="24">
        <v>26</v>
      </c>
      <c r="B27" s="26">
        <v>12.5</v>
      </c>
      <c r="C27" s="28">
        <v>-2.2577549206666672</v>
      </c>
      <c r="D27" s="28">
        <v>-3.2958316719999998</v>
      </c>
      <c r="E27" s="28">
        <v>-1.3753268359999999</v>
      </c>
      <c r="F27" s="28">
        <v>-3.3613216719999999</v>
      </c>
      <c r="G27" s="28">
        <v>-3.0920826720000001</v>
      </c>
      <c r="H27" s="28">
        <v>-2.2578632540000001</v>
      </c>
      <c r="I27" s="28">
        <v>-3.372321672</v>
      </c>
      <c r="J27" s="28">
        <v>-2.4127412540000002</v>
      </c>
      <c r="K27" s="28">
        <v>-3.2858426719999998</v>
      </c>
      <c r="L27" s="28">
        <v>-3.3598376719999998</v>
      </c>
      <c r="M27" s="28">
        <v>-3.303638338666667</v>
      </c>
      <c r="N27" s="28">
        <v>-3.3290516719999999</v>
      </c>
      <c r="O27" s="28">
        <v>-1.3723196360000001</v>
      </c>
      <c r="P27" s="28">
        <v>-2.281916254</v>
      </c>
      <c r="Q27" s="28">
        <v>-0.79914629366666701</v>
      </c>
      <c r="R27" s="28">
        <v>-0.73830167199999996</v>
      </c>
      <c r="S27" s="28">
        <v>-2.0230793720000002</v>
      </c>
      <c r="T27" s="28">
        <v>-0.22395350266666991</v>
      </c>
      <c r="U27" s="28">
        <v>-3.1638330053333328</v>
      </c>
      <c r="V27" s="28">
        <v>-3.2555816719999999</v>
      </c>
      <c r="W27" s="28">
        <v>-3.3083616720000002</v>
      </c>
      <c r="X27" s="28">
        <v>-2.5247412539999998</v>
      </c>
      <c r="Y27" s="28">
        <v>-2.7743381296666669</v>
      </c>
      <c r="Z27" s="28">
        <v>-1.9129827116666669</v>
      </c>
      <c r="AA27" s="28">
        <v>-1.1266039603333331</v>
      </c>
      <c r="AB27" s="28">
        <v>-1.119917293666667</v>
      </c>
      <c r="AC27" s="28">
        <v>-1.318393836</v>
      </c>
      <c r="AD27" s="28">
        <v>-1.167773960333333</v>
      </c>
      <c r="AE27" s="28">
        <v>-3.1193616720000001</v>
      </c>
      <c r="AF27" s="28">
        <v>-1.972964378333333</v>
      </c>
      <c r="AG27" s="28">
        <v>-3.1600676719999998</v>
      </c>
      <c r="AH27" s="28">
        <v>-1.1230469603333331</v>
      </c>
      <c r="AI27" s="28">
        <v>-2.1889916720000002</v>
      </c>
      <c r="AJ27" s="28">
        <v>-3.2719843386666669</v>
      </c>
      <c r="AK27" s="28">
        <v>-1.005873333298907E-4</v>
      </c>
      <c r="AL27" s="28">
        <v>-1.6571608360000001</v>
      </c>
      <c r="AM27" s="28">
        <v>-3.191131672</v>
      </c>
      <c r="AN27" s="28">
        <v>-3.372321672</v>
      </c>
      <c r="AO27" s="28">
        <v>-3.4368985053333332</v>
      </c>
      <c r="AP27" s="28">
        <v>-3.3351510053333331</v>
      </c>
      <c r="AQ27" s="28">
        <v>-3.7116666666836551E-6</v>
      </c>
      <c r="AR27" s="28">
        <v>-1.6879031693333331</v>
      </c>
      <c r="AS27" s="28">
        <v>-3.2678726720000002</v>
      </c>
      <c r="AT27" s="28">
        <v>-2.185796254</v>
      </c>
      <c r="AU27" s="28">
        <v>-1.3976468360000001</v>
      </c>
      <c r="AV27" s="28">
        <v>-3.1597600053333328</v>
      </c>
      <c r="AW27" s="28">
        <v>-3.3568766719999998</v>
      </c>
      <c r="AX27" s="28">
        <v>-2.4620835873333329</v>
      </c>
      <c r="AY27" s="28">
        <v>-2.4530259206666671</v>
      </c>
      <c r="AZ27" s="28">
        <v>-2.0103070449999998</v>
      </c>
      <c r="BA27" s="28">
        <v>-1.66116479633333</v>
      </c>
      <c r="BB27" s="28">
        <v>-2.4392862540000002</v>
      </c>
      <c r="BC27" s="28">
        <v>-3.1668753386666668</v>
      </c>
      <c r="BD27" s="28">
        <v>-1.3446727296666701</v>
      </c>
      <c r="BE27" s="28">
        <v>-2.631201463</v>
      </c>
      <c r="BF27" s="28">
        <v>-3.3351797386666671</v>
      </c>
      <c r="BG27" s="28">
        <v>-2.808826129666667</v>
      </c>
      <c r="BH27" s="28">
        <v>-2.739521672</v>
      </c>
      <c r="BI27" s="28">
        <v>-2.033203045</v>
      </c>
      <c r="BJ27" s="28">
        <v>-1.170810836</v>
      </c>
      <c r="BK27" s="28">
        <v>-2.4051769206666669</v>
      </c>
      <c r="BL27" s="28">
        <v>-1.2348706270000001</v>
      </c>
      <c r="BM27" s="28">
        <v>-3.217361672</v>
      </c>
      <c r="BN27" s="28">
        <v>-2.1777279206666669</v>
      </c>
      <c r="BO27" s="28">
        <v>-2.0700078450000001</v>
      </c>
      <c r="BP27" s="28">
        <v>-3.0837496720000002</v>
      </c>
      <c r="BQ27" s="28">
        <v>-2.6900521296666668</v>
      </c>
      <c r="BR27" s="28">
        <v>-3.2421256719999998</v>
      </c>
      <c r="BS27" s="28">
        <v>-3.0525043386666662</v>
      </c>
      <c r="BT27" s="28">
        <v>-1.9978610450000001</v>
      </c>
      <c r="BU27" s="28">
        <v>-3.126907272</v>
      </c>
      <c r="BV27" s="28">
        <v>-1.6551608360000001</v>
      </c>
      <c r="BW27" s="28">
        <v>-1.1967281693333329</v>
      </c>
      <c r="BX27" s="28">
        <v>-2.2998415873333329</v>
      </c>
      <c r="BY27" s="28">
        <v>-2.2636581296666658</v>
      </c>
      <c r="BZ27" s="28">
        <v>-2.5057412540000001</v>
      </c>
      <c r="CA27" s="28">
        <v>-2.5838621296666671</v>
      </c>
      <c r="CB27" s="28">
        <v>-0.74527971166666984</v>
      </c>
      <c r="CC27" s="28">
        <v>-3.326380672</v>
      </c>
      <c r="CD27" s="28">
        <v>-2.9195156720000002</v>
      </c>
      <c r="CE27" s="28">
        <v>-1.7313340450000001</v>
      </c>
      <c r="CF27" s="28">
        <v>-1.205017502666667</v>
      </c>
      <c r="CG27" s="28">
        <v>-2.360188763</v>
      </c>
      <c r="CH27" s="28">
        <v>-1.992439045</v>
      </c>
      <c r="CI27" s="28">
        <v>-1.625544102666667</v>
      </c>
      <c r="CJ27" s="28">
        <v>-1.3292168360000001</v>
      </c>
      <c r="CK27" s="28">
        <v>-2.7642087963333331</v>
      </c>
      <c r="CL27" s="28">
        <v>-2.8006894629999999</v>
      </c>
      <c r="CM27" s="28">
        <v>-1.2338706269999999</v>
      </c>
      <c r="CN27" s="28">
        <v>-0.989777293666666</v>
      </c>
      <c r="CO27" s="28">
        <v>-2.6247941296666659</v>
      </c>
      <c r="CP27" s="28">
        <v>4.4403966667005967E-4</v>
      </c>
      <c r="CQ27" s="28">
        <v>2.5832799999997441E-4</v>
      </c>
      <c r="CR27" s="28">
        <v>-2.5020712540000001</v>
      </c>
      <c r="CS27" s="28">
        <v>-0.8261608360000009</v>
      </c>
      <c r="CT27" s="28">
        <v>-2.2182650629789471</v>
      </c>
      <c r="CU27" s="34">
        <v>-210.73518098299991</v>
      </c>
    </row>
    <row r="28" spans="1:99" x14ac:dyDescent="0.25">
      <c r="A28" s="24">
        <v>27</v>
      </c>
      <c r="B28" s="26">
        <v>13</v>
      </c>
      <c r="C28" s="28">
        <v>-2.2793648615</v>
      </c>
      <c r="D28" s="28">
        <v>-2.2247454819999999</v>
      </c>
      <c r="E28" s="28">
        <v>-1.3167595743333329</v>
      </c>
      <c r="F28" s="28">
        <v>-3.280158482</v>
      </c>
      <c r="G28" s="28">
        <v>-2.5965494819999999</v>
      </c>
      <c r="H28" s="28">
        <v>-2.3959755281666668</v>
      </c>
      <c r="I28" s="28">
        <v>-3.2911584820000002</v>
      </c>
      <c r="J28" s="28">
        <v>-2.041302194833333</v>
      </c>
      <c r="K28" s="28">
        <v>-3.2981584819999998</v>
      </c>
      <c r="L28" s="28">
        <v>-3.2961584820000001</v>
      </c>
      <c r="M28" s="28">
        <v>-3.2224751486666672</v>
      </c>
      <c r="N28" s="28">
        <v>-3.0860518153333332</v>
      </c>
      <c r="O28" s="28">
        <v>-1.422914607666667</v>
      </c>
      <c r="P28" s="28">
        <v>-2.4329339948333328</v>
      </c>
      <c r="Q28" s="28">
        <v>-1.0064104307499999</v>
      </c>
      <c r="R28" s="28">
        <v>-2.4964701486666669</v>
      </c>
      <c r="S28" s="28">
        <v>-2.2848584820000002</v>
      </c>
      <c r="T28" s="28">
        <v>-1.5810577743333329</v>
      </c>
      <c r="U28" s="28">
        <v>-3.1322084819999998</v>
      </c>
      <c r="V28" s="28">
        <v>-3.007222482</v>
      </c>
      <c r="W28" s="28">
        <v>-3.288158482</v>
      </c>
      <c r="X28" s="28">
        <v>-2.3990208614999999</v>
      </c>
      <c r="Y28" s="28">
        <v>-2.8620136717500002</v>
      </c>
      <c r="Z28" s="28">
        <v>-1.91740305125</v>
      </c>
      <c r="AA28" s="28">
        <v>-1.0537038640833329</v>
      </c>
      <c r="AB28" s="28">
        <v>-1.19743443075</v>
      </c>
      <c r="AC28" s="28">
        <v>-1.4716159076666671</v>
      </c>
      <c r="AD28" s="28">
        <v>-1.1995247640833331</v>
      </c>
      <c r="AE28" s="28">
        <v>-2.991753815333333</v>
      </c>
      <c r="AF28" s="28">
        <v>-2.0317240512499999</v>
      </c>
      <c r="AG28" s="28">
        <v>-2.978622815333333</v>
      </c>
      <c r="AH28" s="28">
        <v>-1.13359243075</v>
      </c>
      <c r="AI28" s="28">
        <v>-3.0007391486666668</v>
      </c>
      <c r="AJ28" s="28">
        <v>-3.0879444820000002</v>
      </c>
      <c r="AK28" s="28">
        <v>-1.7282185281666671</v>
      </c>
      <c r="AL28" s="28">
        <v>-1.6165792409999999</v>
      </c>
      <c r="AM28" s="28">
        <v>-3.2891584819999999</v>
      </c>
      <c r="AN28" s="28">
        <v>-3.146277148666667</v>
      </c>
      <c r="AO28" s="28">
        <v>-2.500283215333333</v>
      </c>
      <c r="AP28" s="28">
        <v>-3.284158482</v>
      </c>
      <c r="AQ28" s="28">
        <v>-2.290512500000563E-4</v>
      </c>
      <c r="AR28" s="28">
        <v>-1.4172435743333329</v>
      </c>
      <c r="AS28" s="28">
        <v>-3.0011274819999998</v>
      </c>
      <c r="AT28" s="28">
        <v>-1.9654368615</v>
      </c>
      <c r="AU28" s="28">
        <v>-1.6145792409999999</v>
      </c>
      <c r="AV28" s="28">
        <v>-3.133372482</v>
      </c>
      <c r="AW28" s="28">
        <v>-3.1511269820000001</v>
      </c>
      <c r="AX28" s="28">
        <v>-2.4428688615</v>
      </c>
      <c r="AY28" s="28">
        <v>-2.4538688615000002</v>
      </c>
      <c r="AZ28" s="28">
        <v>-1.97745205125</v>
      </c>
      <c r="BA28" s="28">
        <v>-2.7332771384166672</v>
      </c>
      <c r="BB28" s="28">
        <v>-2.4357045281666672</v>
      </c>
      <c r="BC28" s="28">
        <v>-2.938638482</v>
      </c>
      <c r="BD28" s="28">
        <v>-2.7083064717499998</v>
      </c>
      <c r="BE28" s="28">
        <v>-2.5085103384166669</v>
      </c>
      <c r="BF28" s="28">
        <v>-3.0915284820000002</v>
      </c>
      <c r="BG28" s="28">
        <v>-2.7434756717500002</v>
      </c>
      <c r="BH28" s="28">
        <v>-2.5456171486666661</v>
      </c>
      <c r="BI28" s="28">
        <v>-2.0377240512500001</v>
      </c>
      <c r="BJ28" s="28">
        <v>-1.414867574333333</v>
      </c>
      <c r="BK28" s="28">
        <v>-2.4648688614999998</v>
      </c>
      <c r="BL28" s="28">
        <v>-1.1901344307499999</v>
      </c>
      <c r="BM28" s="28">
        <v>-3.2021384820000001</v>
      </c>
      <c r="BN28" s="28">
        <v>-2.4528021948333341</v>
      </c>
      <c r="BO28" s="28">
        <v>-1.0161611179166701</v>
      </c>
      <c r="BP28" s="28">
        <v>-3.0048418153333332</v>
      </c>
      <c r="BQ28" s="28">
        <v>-2.7412570050833329</v>
      </c>
      <c r="BR28" s="28">
        <v>-3.3081584820000001</v>
      </c>
      <c r="BS28" s="28">
        <v>-3.2784918153333331</v>
      </c>
      <c r="BT28" s="28">
        <v>-2.0477240512499999</v>
      </c>
      <c r="BU28" s="28">
        <v>-3.2856447819999999</v>
      </c>
      <c r="BV28" s="28">
        <v>-1.5043925743333331</v>
      </c>
      <c r="BW28" s="28">
        <v>-1.6205792409999999</v>
      </c>
      <c r="BX28" s="28">
        <v>-2.2630228615000001</v>
      </c>
      <c r="BY28" s="28">
        <v>-2.5191156717499998</v>
      </c>
      <c r="BZ28" s="28">
        <v>-2.1611708615</v>
      </c>
      <c r="CA28" s="28">
        <v>-2.5903030050833329</v>
      </c>
      <c r="CB28" s="28">
        <v>-1.9997473845833329</v>
      </c>
      <c r="CC28" s="28">
        <v>-3.1154671486666672</v>
      </c>
      <c r="CD28" s="28">
        <v>-3.234891815333333</v>
      </c>
      <c r="CE28" s="28">
        <v>-1.91835005125</v>
      </c>
      <c r="CF28" s="28">
        <v>-1.6215792410000001</v>
      </c>
      <c r="CG28" s="28">
        <v>-2.7481114050833328</v>
      </c>
      <c r="CH28" s="28">
        <v>-2.0357240512499999</v>
      </c>
      <c r="CI28" s="28">
        <v>-1.2960701743333329</v>
      </c>
      <c r="CJ28" s="28">
        <v>-1.4727192410000001</v>
      </c>
      <c r="CK28" s="28">
        <v>-2.7739096717499998</v>
      </c>
      <c r="CL28" s="28">
        <v>-2.8401596717499999</v>
      </c>
      <c r="CM28" s="28">
        <v>-1.1904744307499999</v>
      </c>
      <c r="CN28" s="28">
        <v>-1.20743443075</v>
      </c>
      <c r="CO28" s="28">
        <v>-2.80574567175</v>
      </c>
      <c r="CP28" s="28">
        <v>-2.9843075000002273E-4</v>
      </c>
      <c r="CQ28" s="28">
        <v>-0.37665848200000002</v>
      </c>
      <c r="CR28" s="28">
        <v>-2.2282028614999998</v>
      </c>
      <c r="CS28" s="28">
        <v>4.0075899999991732E-4</v>
      </c>
      <c r="CT28" s="28">
        <v>-2.2705449187728068</v>
      </c>
      <c r="CU28" s="34">
        <v>-215.7017672834167</v>
      </c>
    </row>
    <row r="29" spans="1:99" x14ac:dyDescent="0.25">
      <c r="A29" s="24">
        <v>28</v>
      </c>
      <c r="B29" s="26">
        <v>13.5</v>
      </c>
      <c r="C29" s="28">
        <v>-0.68141907893333098</v>
      </c>
      <c r="D29" s="28">
        <v>-3.1090783274666678</v>
      </c>
      <c r="E29" s="28">
        <v>-1.045738497066667</v>
      </c>
      <c r="F29" s="28">
        <v>-3.1563343274666682</v>
      </c>
      <c r="G29" s="28">
        <v>-2.9154943274666678</v>
      </c>
      <c r="H29" s="28">
        <v>-2.1877807456000009</v>
      </c>
      <c r="I29" s="28">
        <v>-3.1673343274666679</v>
      </c>
      <c r="J29" s="28">
        <v>-2.1836054122666679</v>
      </c>
      <c r="K29" s="28">
        <v>-3.0059403274666678</v>
      </c>
      <c r="L29" s="28">
        <v>-3.0785576608000009</v>
      </c>
      <c r="M29" s="28">
        <v>-3.1593343274666679</v>
      </c>
      <c r="N29" s="28">
        <v>-3.143292994133335</v>
      </c>
      <c r="O29" s="28">
        <v>-1.4257589970666671</v>
      </c>
      <c r="P29" s="28">
        <v>-2.348714745600001</v>
      </c>
      <c r="Q29" s="28">
        <v>-1.0209310394666671</v>
      </c>
      <c r="R29" s="28">
        <v>-2.7127946608000011</v>
      </c>
      <c r="S29" s="28">
        <v>-2.4628676608000011</v>
      </c>
      <c r="T29" s="28">
        <v>-1.1572886304000001</v>
      </c>
      <c r="U29" s="28">
        <v>-2.9838643274666681</v>
      </c>
      <c r="V29" s="28">
        <v>-2.8177089941333349</v>
      </c>
      <c r="W29" s="28">
        <v>-3.1033743274666681</v>
      </c>
      <c r="X29" s="28">
        <v>-2.1104740789333341</v>
      </c>
      <c r="Y29" s="28">
        <v>-2.724814203200002</v>
      </c>
      <c r="Z29" s="28">
        <v>-1.905780888</v>
      </c>
      <c r="AA29" s="28">
        <v>-1.0005681728</v>
      </c>
      <c r="AB29" s="28">
        <v>-1.1510003728</v>
      </c>
      <c r="AC29" s="28">
        <v>3.8683626666602411E-4</v>
      </c>
      <c r="AD29" s="28">
        <v>-1.0148973727999999</v>
      </c>
      <c r="AE29" s="28">
        <v>-2.8390303274666682</v>
      </c>
      <c r="AF29" s="28">
        <v>-1.8353786213333341</v>
      </c>
      <c r="AG29" s="28">
        <v>-3.0359479941333349</v>
      </c>
      <c r="AH29" s="28">
        <v>-1.0583397061333331</v>
      </c>
      <c r="AI29" s="28">
        <v>-2.8282076608000009</v>
      </c>
      <c r="AJ29" s="28">
        <v>-3.141918327466668</v>
      </c>
      <c r="AK29" s="28">
        <v>-1.9568754122666681</v>
      </c>
      <c r="AL29" s="28">
        <v>-1.554667163733334</v>
      </c>
      <c r="AM29" s="28">
        <v>-3.1653343274666681</v>
      </c>
      <c r="AN29" s="28">
        <v>-2.0837556607999979</v>
      </c>
      <c r="AO29" s="28">
        <v>-2.5998136608000011</v>
      </c>
      <c r="AP29" s="28">
        <v>-3.0924503274666679</v>
      </c>
      <c r="AQ29" s="28">
        <v>-0.83887495466666684</v>
      </c>
      <c r="AR29" s="28">
        <v>-1.274409497066668</v>
      </c>
      <c r="AS29" s="28">
        <v>-3.0539303274666678</v>
      </c>
      <c r="AT29" s="28">
        <v>-2.0753637456000011</v>
      </c>
      <c r="AU29" s="28">
        <v>-1.4426458304000009</v>
      </c>
      <c r="AV29" s="28">
        <v>-2.9260349941333348</v>
      </c>
      <c r="AW29" s="28">
        <v>-3.1621859941333348</v>
      </c>
      <c r="AX29" s="28">
        <v>-2.3500007456000009</v>
      </c>
      <c r="AY29" s="28">
        <v>-2.0573774122666681</v>
      </c>
      <c r="AZ29" s="28">
        <v>-1.8749606213333341</v>
      </c>
      <c r="BA29" s="28">
        <v>-2.562077536533335</v>
      </c>
      <c r="BB29" s="28">
        <v>-2.210713745600001</v>
      </c>
      <c r="BC29" s="28">
        <v>-2.711540994133335</v>
      </c>
      <c r="BD29" s="28">
        <v>-2.5644157365333351</v>
      </c>
      <c r="BE29" s="28">
        <v>-2.323209536533335</v>
      </c>
      <c r="BF29" s="28">
        <v>-3.1653343274666681</v>
      </c>
      <c r="BG29" s="28">
        <v>-2.6945998698666682</v>
      </c>
      <c r="BH29" s="28">
        <v>-3.154201660800001</v>
      </c>
      <c r="BI29" s="28">
        <v>-1.9188979546666669</v>
      </c>
      <c r="BJ29" s="28">
        <v>-1.546489163733334</v>
      </c>
      <c r="BK29" s="28">
        <v>-2.2473190789333342</v>
      </c>
      <c r="BL29" s="28">
        <v>-1.137333706133334</v>
      </c>
      <c r="BM29" s="28">
        <v>-3.0514106608000011</v>
      </c>
      <c r="BN29" s="28">
        <v>-2.2519155122666681</v>
      </c>
      <c r="BO29" s="28">
        <v>-1.8562895546666669</v>
      </c>
      <c r="BP29" s="28">
        <v>-3.046139460800001</v>
      </c>
      <c r="BQ29" s="28">
        <v>-2.7113422032000019</v>
      </c>
      <c r="BR29" s="28">
        <v>-3.051156994133335</v>
      </c>
      <c r="BS29" s="28">
        <v>-2.668806327466668</v>
      </c>
      <c r="BT29" s="28">
        <v>-1.905668954666667</v>
      </c>
      <c r="BU29" s="28">
        <v>-3.0382023274666681</v>
      </c>
      <c r="BV29" s="28">
        <v>-1.511347163733334</v>
      </c>
      <c r="BW29" s="28">
        <v>-1.322842497066667</v>
      </c>
      <c r="BX29" s="28">
        <v>-1.2764984122666709</v>
      </c>
      <c r="BY29" s="28">
        <v>-2.7027715365333349</v>
      </c>
      <c r="BZ29" s="28">
        <v>-2.286409078933334</v>
      </c>
      <c r="CA29" s="28">
        <v>-2.2559905365333361</v>
      </c>
      <c r="CB29" s="28">
        <v>-0.88303235466666696</v>
      </c>
      <c r="CC29" s="28">
        <v>-3.0226853274666681</v>
      </c>
      <c r="CD29" s="28">
        <v>-2.8740643274666682</v>
      </c>
      <c r="CE29" s="28">
        <v>-1.418034621333333</v>
      </c>
      <c r="CF29" s="28">
        <v>-1.542527563733334</v>
      </c>
      <c r="CG29" s="28">
        <v>-2.6937051365333349</v>
      </c>
      <c r="CH29" s="28">
        <v>-1.953468954666667</v>
      </c>
      <c r="CI29" s="28">
        <v>-1.352687163733334</v>
      </c>
      <c r="CJ29" s="28">
        <v>-1.421334497066667</v>
      </c>
      <c r="CK29" s="28">
        <v>-2.6593455365333352</v>
      </c>
      <c r="CL29" s="28">
        <v>-2.5578755365333352</v>
      </c>
      <c r="CM29" s="28">
        <v>-1.0922003728</v>
      </c>
      <c r="CN29" s="28">
        <v>-1.1381950394666669</v>
      </c>
      <c r="CO29" s="28">
        <v>-2.5655509365333349</v>
      </c>
      <c r="CP29" s="28">
        <v>-4.5370613333306498E-4</v>
      </c>
      <c r="CQ29" s="28">
        <v>-2.744167660800001</v>
      </c>
      <c r="CR29" s="28">
        <v>-2.2932432122666682</v>
      </c>
      <c r="CS29" s="28">
        <v>-0.92643049706666725</v>
      </c>
      <c r="CT29" s="28">
        <v>-2.1824609713459662</v>
      </c>
      <c r="CU29" s="34">
        <v>-207.33379227786679</v>
      </c>
    </row>
    <row r="30" spans="1:99" x14ac:dyDescent="0.25">
      <c r="A30" s="24">
        <v>29</v>
      </c>
      <c r="B30" s="26">
        <v>14</v>
      </c>
      <c r="C30" s="28">
        <v>4.8708010000012009E-4</v>
      </c>
      <c r="D30" s="28">
        <v>-3.0225078931999998</v>
      </c>
      <c r="E30" s="28">
        <v>-1.2157267132666669</v>
      </c>
      <c r="F30" s="28">
        <v>-3.0085078932</v>
      </c>
      <c r="G30" s="28">
        <v>-2.7034705598666671</v>
      </c>
      <c r="H30" s="28">
        <v>-1.9950955865666671</v>
      </c>
      <c r="I30" s="28">
        <v>-3.0195078932000001</v>
      </c>
      <c r="J30" s="28">
        <v>-1.944004253233333</v>
      </c>
      <c r="K30" s="28">
        <v>-2.936342559866667</v>
      </c>
      <c r="L30" s="28">
        <v>-3.0245078932</v>
      </c>
      <c r="M30" s="28">
        <v>-2.9342745598666671</v>
      </c>
      <c r="N30" s="28">
        <v>-2.9287355598666669</v>
      </c>
      <c r="O30" s="28">
        <v>-1.429622613266667</v>
      </c>
      <c r="P30" s="28">
        <v>-2.1551889865666669</v>
      </c>
      <c r="Q30" s="28">
        <v>-0.69094045994999997</v>
      </c>
      <c r="R30" s="28">
        <v>-1.8021175598666701</v>
      </c>
      <c r="S30" s="28">
        <v>-3.0155078932000001</v>
      </c>
      <c r="T30" s="28">
        <v>-1.3986466132666671</v>
      </c>
      <c r="U30" s="28">
        <v>-3.0095078931999999</v>
      </c>
      <c r="V30" s="28">
        <v>-2.6709628932</v>
      </c>
      <c r="W30" s="28">
        <v>-3.0165078932</v>
      </c>
      <c r="X30" s="28">
        <v>-2.2601309198999999</v>
      </c>
      <c r="Y30" s="28">
        <v>-2.49447940655</v>
      </c>
      <c r="Z30" s="28">
        <v>-1.58234503325</v>
      </c>
      <c r="AA30" s="28">
        <v>-0.83973245995000001</v>
      </c>
      <c r="AB30" s="28">
        <v>-0.80529545994999996</v>
      </c>
      <c r="AC30" s="28">
        <v>-1.005510613266666</v>
      </c>
      <c r="AD30" s="28">
        <v>-1.1045654599500001</v>
      </c>
      <c r="AE30" s="28">
        <v>-2.7797658932</v>
      </c>
      <c r="AF30" s="28">
        <v>-1.7071590999166659</v>
      </c>
      <c r="AG30" s="28">
        <v>-2.7818182265333329</v>
      </c>
      <c r="AH30" s="28">
        <v>-1.0965654599500001</v>
      </c>
      <c r="AI30" s="28">
        <v>-2.8385578932</v>
      </c>
      <c r="AJ30" s="28">
        <v>-2.9716758932</v>
      </c>
      <c r="AK30" s="28">
        <v>-1.1794545865666699</v>
      </c>
      <c r="AL30" s="28">
        <v>-1.4807539465999999</v>
      </c>
      <c r="AM30" s="28">
        <v>-2.7377971598666671</v>
      </c>
      <c r="AN30" s="28">
        <v>-2.8587814265333331</v>
      </c>
      <c r="AO30" s="28">
        <v>-2.7891825598666671</v>
      </c>
      <c r="AP30" s="28">
        <v>-3.0011938932</v>
      </c>
      <c r="AQ30" s="28">
        <v>-0.98158343324999986</v>
      </c>
      <c r="AR30" s="28">
        <v>-1.369418279933333</v>
      </c>
      <c r="AS30" s="28">
        <v>-2.9106392265333332</v>
      </c>
      <c r="AT30" s="28">
        <v>-0.52248691990000018</v>
      </c>
      <c r="AU30" s="28">
        <v>-1.4787539465999999</v>
      </c>
      <c r="AV30" s="28">
        <v>-2.6688578932000002</v>
      </c>
      <c r="AW30" s="28">
        <v>-2.7452102265333331</v>
      </c>
      <c r="AX30" s="28">
        <v>-2.2391309199</v>
      </c>
      <c r="AY30" s="28">
        <v>-2.0425122532333329</v>
      </c>
      <c r="AZ30" s="28">
        <v>-1.798329099916667</v>
      </c>
      <c r="BA30" s="28">
        <v>-2.2778250732166669</v>
      </c>
      <c r="BB30" s="28">
        <v>-2.1608722532333329</v>
      </c>
      <c r="BC30" s="28">
        <v>-2.7845378932</v>
      </c>
      <c r="BD30" s="28">
        <v>-2.5818248065499998</v>
      </c>
      <c r="BE30" s="28">
        <v>-2.3291314065500002</v>
      </c>
      <c r="BF30" s="28">
        <v>-3.0175078931999999</v>
      </c>
      <c r="BG30" s="28">
        <v>-2.488643739883333</v>
      </c>
      <c r="BH30" s="28">
        <v>-3.0165078932</v>
      </c>
      <c r="BI30" s="28">
        <v>-1.7574464332499999</v>
      </c>
      <c r="BJ30" s="28">
        <v>-1.2566846132666669</v>
      </c>
      <c r="BK30" s="28">
        <v>-2.2075079198999998</v>
      </c>
      <c r="BL30" s="28">
        <v>-1.1025654599500001</v>
      </c>
      <c r="BM30" s="28">
        <v>-2.5973438932000001</v>
      </c>
      <c r="BN30" s="28">
        <v>-1.374868586566667</v>
      </c>
      <c r="BO30" s="28">
        <v>-1.556744566583333</v>
      </c>
      <c r="BP30" s="28">
        <v>-2.7040897598666671</v>
      </c>
      <c r="BQ30" s="28">
        <v>-2.4529314065499999</v>
      </c>
      <c r="BR30" s="28">
        <v>-2.763563226533333</v>
      </c>
      <c r="BS30" s="28">
        <v>-2.9546892265333331</v>
      </c>
      <c r="BT30" s="28">
        <v>-1.8420174332499999</v>
      </c>
      <c r="BU30" s="28">
        <v>-2.9954785598666671</v>
      </c>
      <c r="BV30" s="28">
        <v>-1.4787539465999999</v>
      </c>
      <c r="BW30" s="28">
        <v>-1.3834919466</v>
      </c>
      <c r="BX30" s="28">
        <v>-1.693492586566667</v>
      </c>
      <c r="BY30" s="28">
        <v>-2.5170324065499998</v>
      </c>
      <c r="BZ30" s="28">
        <v>-2.0079649199</v>
      </c>
      <c r="CA30" s="28">
        <v>-2.5004172065499999</v>
      </c>
      <c r="CB30" s="28">
        <v>-0.73852843324999995</v>
      </c>
      <c r="CC30" s="28">
        <v>-2.9638022265333328</v>
      </c>
      <c r="CD30" s="28">
        <v>-1.6458345598666699</v>
      </c>
      <c r="CE30" s="28">
        <v>-0.73163056658332981</v>
      </c>
      <c r="CF30" s="28">
        <v>-1.0350297466</v>
      </c>
      <c r="CG30" s="28">
        <v>-2.54359740655</v>
      </c>
      <c r="CH30" s="28">
        <v>-1.418193266583333</v>
      </c>
      <c r="CI30" s="28">
        <v>-1.214443279933334</v>
      </c>
      <c r="CJ30" s="28">
        <v>-1.1744759466000001</v>
      </c>
      <c r="CK30" s="28">
        <v>-2.58964340655</v>
      </c>
      <c r="CL30" s="28">
        <v>-2.5413910732166669</v>
      </c>
      <c r="CM30" s="28">
        <v>-1.0713254599499999</v>
      </c>
      <c r="CN30" s="28">
        <v>-1.0660087266166669</v>
      </c>
      <c r="CO30" s="28">
        <v>-2.6115520065500002</v>
      </c>
      <c r="CP30" s="28">
        <v>-0.24100012661666681</v>
      </c>
      <c r="CQ30" s="28">
        <v>-2.8331472265333328</v>
      </c>
      <c r="CR30" s="28">
        <v>-1.9680751198999999</v>
      </c>
      <c r="CS30" s="28">
        <v>3.5386733330367022E-5</v>
      </c>
      <c r="CT30" s="28">
        <v>-2.033520662423332</v>
      </c>
      <c r="CU30" s="34">
        <v>-193.1844629302166</v>
      </c>
    </row>
    <row r="31" spans="1:99" x14ac:dyDescent="0.25">
      <c r="A31" s="24">
        <v>30</v>
      </c>
      <c r="B31" s="26">
        <v>14.5</v>
      </c>
      <c r="C31" s="28">
        <v>-1.0472479631333349</v>
      </c>
      <c r="D31" s="28">
        <v>-2.835190173066668</v>
      </c>
      <c r="E31" s="28">
        <v>-1.1783607532000011</v>
      </c>
      <c r="F31" s="28">
        <v>-2.6673025064000009</v>
      </c>
      <c r="G31" s="28">
        <v>-2.4297408397333351</v>
      </c>
      <c r="H31" s="28">
        <v>-2.101202763133335</v>
      </c>
      <c r="I31" s="28">
        <v>-2.8321901730666679</v>
      </c>
      <c r="J31" s="28">
        <v>-2.0124140964666681</v>
      </c>
      <c r="K31" s="28">
        <v>-2.8166488397333351</v>
      </c>
      <c r="L31" s="28">
        <v>-2.7501118397333348</v>
      </c>
      <c r="M31" s="28">
        <v>-2.780056839733335</v>
      </c>
      <c r="N31" s="28">
        <v>-2.659544506400001</v>
      </c>
      <c r="O31" s="28">
        <v>-1.1789932532</v>
      </c>
      <c r="P31" s="28">
        <v>-1.7789831631333339</v>
      </c>
      <c r="Q31" s="28">
        <v>-0.79274431489999997</v>
      </c>
      <c r="R31" s="28">
        <v>-2.3801261730666678</v>
      </c>
      <c r="S31" s="28">
        <v>-2.8281901730666679</v>
      </c>
      <c r="T31" s="28">
        <v>-1.195045086533334</v>
      </c>
      <c r="U31" s="28">
        <v>-2.8221901730666681</v>
      </c>
      <c r="V31" s="28">
        <v>-2.7053721730666682</v>
      </c>
      <c r="W31" s="28">
        <v>-2.8291901730666682</v>
      </c>
      <c r="X31" s="28">
        <v>-1.957522629800001</v>
      </c>
      <c r="Y31" s="28">
        <v>-2.460416401433335</v>
      </c>
      <c r="Z31" s="28">
        <v>-1.6747660581666679</v>
      </c>
      <c r="AA31" s="28">
        <v>-0.90551364823333302</v>
      </c>
      <c r="AB31" s="28">
        <v>-0.71188064823333397</v>
      </c>
      <c r="AC31" s="28">
        <v>-1.383095086533334</v>
      </c>
      <c r="AD31" s="28">
        <v>-0.8823086482333331</v>
      </c>
      <c r="AE31" s="28">
        <v>-2.6744008397333352</v>
      </c>
      <c r="AF31" s="28">
        <v>-1.744868858166668</v>
      </c>
      <c r="AG31" s="28">
        <v>-2.8421901730666681</v>
      </c>
      <c r="AH31" s="28">
        <v>-0.78427364823333301</v>
      </c>
      <c r="AI31" s="28">
        <v>-2.4578135064000008</v>
      </c>
      <c r="AJ31" s="28">
        <v>-2.688756839733335</v>
      </c>
      <c r="AK31" s="28">
        <v>-0.29308262980000088</v>
      </c>
      <c r="AL31" s="28">
        <v>-1.387095086533334</v>
      </c>
      <c r="AM31" s="28">
        <v>-2.6809281730666679</v>
      </c>
      <c r="AN31" s="28">
        <v>-2.5502982397333351</v>
      </c>
      <c r="AO31" s="28">
        <v>-2.815120173066668</v>
      </c>
      <c r="AP31" s="28">
        <v>-2.768620173066668</v>
      </c>
      <c r="AQ31" s="28">
        <v>-1.4235281915000011</v>
      </c>
      <c r="AR31" s="28">
        <v>-1.1650670865333339</v>
      </c>
      <c r="AS31" s="28">
        <v>-2.7245768397333352</v>
      </c>
      <c r="AT31" s="28">
        <v>-1.9615445298000009</v>
      </c>
      <c r="AU31" s="28">
        <v>-1.385095086533334</v>
      </c>
      <c r="AV31" s="28">
        <v>-2.467942173066668</v>
      </c>
      <c r="AW31" s="28">
        <v>-2.8321901730666679</v>
      </c>
      <c r="AX31" s="28">
        <v>-2.0986426298000009</v>
      </c>
      <c r="AY31" s="28">
        <v>-1.9379469631333339</v>
      </c>
      <c r="AZ31" s="28">
        <v>-1.6844428581666679</v>
      </c>
      <c r="BA31" s="28">
        <v>-1.9887727347666679</v>
      </c>
      <c r="BB31" s="28">
        <v>-1.9977572964666681</v>
      </c>
      <c r="BC31" s="28">
        <v>-2.4890721730666678</v>
      </c>
      <c r="BD31" s="28">
        <v>-2.202885868100001</v>
      </c>
      <c r="BE31" s="28">
        <v>-1.590862734766668</v>
      </c>
      <c r="BF31" s="28">
        <v>-2.736573173066668</v>
      </c>
      <c r="BG31" s="28">
        <v>-2.4279164014333352</v>
      </c>
      <c r="BH31" s="28">
        <v>-2.8491901730666682</v>
      </c>
      <c r="BI31" s="28">
        <v>-1.750868858166668</v>
      </c>
      <c r="BJ31" s="28">
        <v>-1.4000950865333339</v>
      </c>
      <c r="BK31" s="28">
        <v>-2.0962102964666678</v>
      </c>
      <c r="BL31" s="28">
        <v>-1.0323213148999999</v>
      </c>
      <c r="BM31" s="28">
        <v>-2.8301901730666681</v>
      </c>
      <c r="BN31" s="28">
        <v>9.0703533328906349E-5</v>
      </c>
      <c r="BO31" s="28">
        <v>-1.620603524833335</v>
      </c>
      <c r="BP31" s="28">
        <v>-2.7899515064000009</v>
      </c>
      <c r="BQ31" s="28">
        <v>-2.403330401433335</v>
      </c>
      <c r="BR31" s="28">
        <v>-2.6222441730666679</v>
      </c>
      <c r="BS31" s="28">
        <v>-2.4878161730666681</v>
      </c>
      <c r="BT31" s="28">
        <v>-1.760868858166668</v>
      </c>
      <c r="BU31" s="28">
        <v>-2.7556095064000008</v>
      </c>
      <c r="BV31" s="28">
        <v>-1.2335884198666669</v>
      </c>
      <c r="BW31" s="28">
        <v>-1.391095086533334</v>
      </c>
      <c r="BX31" s="28">
        <v>-1.759022296466668</v>
      </c>
      <c r="BY31" s="28">
        <v>-2.4162764014333349</v>
      </c>
      <c r="BZ31" s="28">
        <v>-1.7900326298000011</v>
      </c>
      <c r="CA31" s="28">
        <v>-2.3222534347666679</v>
      </c>
      <c r="CB31" s="28">
        <v>-0.1142478581666682</v>
      </c>
      <c r="CC31" s="28">
        <v>-1.344845173066668</v>
      </c>
      <c r="CD31" s="28">
        <v>-0.46570183973333812</v>
      </c>
      <c r="CE31" s="28">
        <v>-1.1119291248333349</v>
      </c>
      <c r="CF31" s="28">
        <v>-0.73396175320000012</v>
      </c>
      <c r="CG31" s="28">
        <v>-2.2755764014333351</v>
      </c>
      <c r="CH31" s="28">
        <v>-0.78761069149999807</v>
      </c>
      <c r="CI31" s="28">
        <v>-1.3900950865333339</v>
      </c>
      <c r="CJ31" s="28">
        <v>-1.3551788865333341</v>
      </c>
      <c r="CK31" s="28">
        <v>-2.244091734766668</v>
      </c>
      <c r="CL31" s="28">
        <v>-2.1334632347666691</v>
      </c>
      <c r="CM31" s="28">
        <v>-0.93853731490000003</v>
      </c>
      <c r="CN31" s="28">
        <v>-0.95890484823333311</v>
      </c>
      <c r="CO31" s="28">
        <v>-2.091611068100002</v>
      </c>
      <c r="CP31" s="28">
        <v>-1.0088706482333329</v>
      </c>
      <c r="CQ31" s="28">
        <v>-2.827190173066668</v>
      </c>
      <c r="CR31" s="28">
        <v>-1.8886634631333341</v>
      </c>
      <c r="CS31" s="28">
        <v>3.1824679999603589E-4</v>
      </c>
      <c r="CT31" s="28">
        <v>-1.8987395054256151</v>
      </c>
      <c r="CU31" s="34">
        <v>-180.38025301543351</v>
      </c>
    </row>
    <row r="32" spans="1:99" x14ac:dyDescent="0.25">
      <c r="A32" s="24">
        <v>31</v>
      </c>
      <c r="B32" s="26">
        <v>15</v>
      </c>
      <c r="C32" s="28">
        <v>-0.18248603776666991</v>
      </c>
      <c r="D32" s="28">
        <v>-2.5136164947999999</v>
      </c>
      <c r="E32" s="28">
        <v>-1.0860606474000001</v>
      </c>
      <c r="F32" s="28">
        <v>-2.4736284947999998</v>
      </c>
      <c r="G32" s="28">
        <v>-2.1837661614666661</v>
      </c>
      <c r="H32" s="28">
        <v>-1.8617180377666671</v>
      </c>
      <c r="I32" s="28">
        <v>-2.6331284948000002</v>
      </c>
      <c r="J32" s="28">
        <v>-1.8236051711000001</v>
      </c>
      <c r="K32" s="28">
        <v>-1.4861764948</v>
      </c>
      <c r="L32" s="28">
        <v>-2.6314301614666671</v>
      </c>
      <c r="M32" s="28">
        <v>-2.6196118281333329</v>
      </c>
      <c r="N32" s="28">
        <v>-2.6241284947999999</v>
      </c>
      <c r="O32" s="28">
        <v>-1.2009222474000001</v>
      </c>
      <c r="P32" s="28">
        <v>-1.917384937766667</v>
      </c>
      <c r="Q32" s="28">
        <v>-0.7590595188833329</v>
      </c>
      <c r="R32" s="28">
        <v>-2.357613161466666</v>
      </c>
      <c r="S32" s="28">
        <v>-2.6291284948000002</v>
      </c>
      <c r="T32" s="28">
        <v>-1.223479914066667</v>
      </c>
      <c r="U32" s="28">
        <v>-2.6231284948</v>
      </c>
      <c r="V32" s="28">
        <v>-2.6020326614666671</v>
      </c>
      <c r="W32" s="28">
        <v>-2.5691684948</v>
      </c>
      <c r="X32" s="28">
        <v>-1.9666227710999999</v>
      </c>
      <c r="Y32" s="28">
        <v>-2.2862374329500001</v>
      </c>
      <c r="Z32" s="28">
        <v>-1.4017576425833329</v>
      </c>
      <c r="AA32" s="28">
        <v>-0.87861545221666693</v>
      </c>
      <c r="AB32" s="28">
        <v>2.6814778333000833E-4</v>
      </c>
      <c r="AC32" s="28">
        <v>-1.0402409140666671</v>
      </c>
      <c r="AD32" s="28">
        <v>-0.95967318554999992</v>
      </c>
      <c r="AE32" s="28">
        <v>-2.4612088281333331</v>
      </c>
      <c r="AF32" s="28">
        <v>-1.4885706425833329</v>
      </c>
      <c r="AG32" s="28">
        <v>-2.6431284948</v>
      </c>
      <c r="AH32" s="28">
        <v>-0.92382485221666666</v>
      </c>
      <c r="AI32" s="28">
        <v>-0.15328682813332989</v>
      </c>
      <c r="AJ32" s="28">
        <v>-2.5628804947999999</v>
      </c>
      <c r="AK32" s="28">
        <v>-1.3050550377666661</v>
      </c>
      <c r="AL32" s="28">
        <v>-1.2875642474</v>
      </c>
      <c r="AM32" s="28">
        <v>-2.5281911614666668</v>
      </c>
      <c r="AN32" s="28">
        <v>-2.5712371614666671</v>
      </c>
      <c r="AO32" s="28">
        <v>-2.4915591614666668</v>
      </c>
      <c r="AP32" s="28">
        <v>-2.6035004948</v>
      </c>
      <c r="AQ32" s="28">
        <v>-1.3185073092499999</v>
      </c>
      <c r="AR32" s="28">
        <v>-0.85157091406666718</v>
      </c>
      <c r="AS32" s="28">
        <v>-2.5685474948000002</v>
      </c>
      <c r="AT32" s="28">
        <v>-1.5540549711</v>
      </c>
      <c r="AU32" s="28">
        <v>-1.2855642474</v>
      </c>
      <c r="AV32" s="28">
        <v>-2.2770864947999998</v>
      </c>
      <c r="AW32" s="28">
        <v>-2.5147444948</v>
      </c>
      <c r="AX32" s="28">
        <v>-1.9493463711000001</v>
      </c>
      <c r="AY32" s="28">
        <v>-1.719513037766667</v>
      </c>
      <c r="AZ32" s="28">
        <v>-1.541081975916667</v>
      </c>
      <c r="BA32" s="28">
        <v>-1.97695943295</v>
      </c>
      <c r="BB32" s="28">
        <v>-1.9252643710999999</v>
      </c>
      <c r="BC32" s="28">
        <v>-2.5147804948000001</v>
      </c>
      <c r="BD32" s="28">
        <v>-2.2506940996166671</v>
      </c>
      <c r="BE32" s="28">
        <v>-1.1136284329499999</v>
      </c>
      <c r="BF32" s="28">
        <v>-2.617453128133334</v>
      </c>
      <c r="BG32" s="28">
        <v>-2.1382194329500002</v>
      </c>
      <c r="BH32" s="28">
        <v>-2.6501284948000001</v>
      </c>
      <c r="BI32" s="28">
        <v>-1.62645530925</v>
      </c>
      <c r="BJ32" s="28">
        <v>-1.1358502474000001</v>
      </c>
      <c r="BK32" s="28">
        <v>-1.858717704433333</v>
      </c>
      <c r="BL32" s="28">
        <v>-0.90617318554999993</v>
      </c>
      <c r="BM32" s="28">
        <v>-2.5305844947999998</v>
      </c>
      <c r="BN32" s="28">
        <v>4.7696223332982512E-4</v>
      </c>
      <c r="BO32" s="28">
        <v>-1.3973540425833331</v>
      </c>
      <c r="BP32" s="28">
        <v>-2.3251351614666671</v>
      </c>
      <c r="BQ32" s="28">
        <v>-2.0879420996166669</v>
      </c>
      <c r="BR32" s="28">
        <v>-2.4915424948</v>
      </c>
      <c r="BS32" s="28">
        <v>-1.2792744948000001</v>
      </c>
      <c r="BT32" s="28">
        <v>-1.5358653092500001</v>
      </c>
      <c r="BU32" s="28">
        <v>-2.5433248281333332</v>
      </c>
      <c r="BV32" s="28">
        <v>-1.2855642474</v>
      </c>
      <c r="BW32" s="28">
        <v>-0.97617658073333302</v>
      </c>
      <c r="BX32" s="28">
        <v>-1.763365037766667</v>
      </c>
      <c r="BY32" s="28">
        <v>-2.042200766283333</v>
      </c>
      <c r="BZ32" s="28">
        <v>-1.8130003711</v>
      </c>
      <c r="CA32" s="28">
        <v>-2.0294980996166658</v>
      </c>
      <c r="CB32" s="28">
        <v>-1.2014996425833331</v>
      </c>
      <c r="CC32" s="28">
        <v>-1.7082884947999999</v>
      </c>
      <c r="CD32" s="28">
        <v>-2.3883731614666668</v>
      </c>
      <c r="CE32" s="28">
        <v>-1.2817785759166671</v>
      </c>
      <c r="CF32" s="28">
        <v>-1.0686442474</v>
      </c>
      <c r="CG32" s="28">
        <v>-1.8893784329500001</v>
      </c>
      <c r="CH32" s="28">
        <v>-1.4048966425833329</v>
      </c>
      <c r="CI32" s="28">
        <v>-1.2905642474000001</v>
      </c>
      <c r="CJ32" s="28">
        <v>-1.0564076473999999</v>
      </c>
      <c r="CK32" s="28">
        <v>-2.0802974329500001</v>
      </c>
      <c r="CL32" s="28">
        <v>-2.058802599616667</v>
      </c>
      <c r="CM32" s="28">
        <v>-0.95667318554999992</v>
      </c>
      <c r="CN32" s="28">
        <v>-0.48038618555000001</v>
      </c>
      <c r="CO32" s="28">
        <v>-1.862633766283333</v>
      </c>
      <c r="CP32" s="28">
        <v>-0.80461451888333291</v>
      </c>
      <c r="CQ32" s="28">
        <v>-2.6116411614666668</v>
      </c>
      <c r="CR32" s="28">
        <v>-1.9242513711</v>
      </c>
      <c r="CS32" s="28">
        <v>-4.4558073333400561E-4</v>
      </c>
      <c r="CT32" s="28">
        <v>-1.7475624284836839</v>
      </c>
      <c r="CU32" s="34">
        <v>-166.01843070595001</v>
      </c>
    </row>
    <row r="33" spans="1:99" x14ac:dyDescent="0.25">
      <c r="A33" s="24">
        <v>32</v>
      </c>
      <c r="B33" s="26">
        <v>15.5</v>
      </c>
      <c r="C33" s="28">
        <v>-1.4728578904000009</v>
      </c>
      <c r="D33" s="28">
        <v>-1.691541853866668</v>
      </c>
      <c r="E33" s="28">
        <v>-0.95030582693333399</v>
      </c>
      <c r="F33" s="28">
        <v>-2.2314278538666681</v>
      </c>
      <c r="G33" s="28">
        <v>-2.1539385205333339</v>
      </c>
      <c r="H33" s="28">
        <v>-1.778639557066668</v>
      </c>
      <c r="I33" s="28">
        <v>-2.3935838538666681</v>
      </c>
      <c r="J33" s="28">
        <v>-1.7215685570666679</v>
      </c>
      <c r="K33" s="28">
        <v>-1.8558671872000021</v>
      </c>
      <c r="L33" s="28">
        <v>-2.3985838538666679</v>
      </c>
      <c r="M33" s="28">
        <v>-2.269733853866668</v>
      </c>
      <c r="N33" s="28">
        <v>-2.304620520533335</v>
      </c>
      <c r="O33" s="28">
        <v>-1.1657919269333341</v>
      </c>
      <c r="P33" s="28">
        <v>-1.5939834237333339</v>
      </c>
      <c r="Q33" s="28">
        <v>-0.72521194520000043</v>
      </c>
      <c r="R33" s="28">
        <v>-2.2439598538666679</v>
      </c>
      <c r="S33" s="28">
        <v>-2.3895838538666681</v>
      </c>
      <c r="T33" s="28">
        <v>-1.0295389269333339</v>
      </c>
      <c r="U33" s="28">
        <v>-2.3835838538666678</v>
      </c>
      <c r="V33" s="28">
        <v>-1.8648755205333349</v>
      </c>
      <c r="W33" s="28">
        <v>-2.3905838538666679</v>
      </c>
      <c r="X33" s="28">
        <v>-1.6285678904000009</v>
      </c>
      <c r="Y33" s="28">
        <v>-1.932369205466667</v>
      </c>
      <c r="Z33" s="28">
        <v>-1.0207535753333341</v>
      </c>
      <c r="AA33" s="28">
        <v>-0.66422594520000044</v>
      </c>
      <c r="AB33" s="28">
        <v>1.5838813333254881E-4</v>
      </c>
      <c r="AC33" s="28">
        <v>-1.0370619269333341</v>
      </c>
      <c r="AD33" s="28">
        <v>-0.827963611866667</v>
      </c>
      <c r="AE33" s="28">
        <v>-1.926515853866668</v>
      </c>
      <c r="AF33" s="28">
        <v>-1.300885908666668</v>
      </c>
      <c r="AG33" s="28">
        <v>-2.4035838538666678</v>
      </c>
      <c r="AH33" s="28">
        <v>-0.86184394520000041</v>
      </c>
      <c r="AI33" s="28">
        <v>-1.049711187199998</v>
      </c>
      <c r="AJ33" s="28">
        <v>-2.2095434538666678</v>
      </c>
      <c r="AK33" s="28">
        <v>-0.96778589040000096</v>
      </c>
      <c r="AL33" s="28">
        <v>-1.1677919269333339</v>
      </c>
      <c r="AM33" s="28">
        <v>-2.1971906538666679</v>
      </c>
      <c r="AN33" s="28">
        <v>-2.2909178872000009</v>
      </c>
      <c r="AO33" s="28">
        <v>-2.3007058538666678</v>
      </c>
      <c r="AP33" s="28">
        <v>-2.3413278538666682</v>
      </c>
      <c r="AQ33" s="28">
        <v>-0.69531124200000094</v>
      </c>
      <c r="AR33" s="28">
        <v>-9.8593600003860082E-5</v>
      </c>
      <c r="AS33" s="28">
        <v>-2.2010778538666682</v>
      </c>
      <c r="AT33" s="28">
        <v>-1.6429452570666681</v>
      </c>
      <c r="AU33" s="28">
        <v>-1.055770593600001</v>
      </c>
      <c r="AV33" s="28">
        <v>-2.130644187200001</v>
      </c>
      <c r="AW33" s="28">
        <v>-2.2376698538666679</v>
      </c>
      <c r="AX33" s="28">
        <v>-1.7696878904000011</v>
      </c>
      <c r="AY33" s="28">
        <v>-1.742168223733334</v>
      </c>
      <c r="AZ33" s="28">
        <v>-1.3779195753333351</v>
      </c>
      <c r="BA33" s="28">
        <v>-0.46222587213333388</v>
      </c>
      <c r="BB33" s="28">
        <v>-1.6914292237333339</v>
      </c>
      <c r="BC33" s="28">
        <v>-2.1501678538666682</v>
      </c>
      <c r="BD33" s="28">
        <v>-2.0333838721333342</v>
      </c>
      <c r="BE33" s="28">
        <v>-6.4124205466663753E-2</v>
      </c>
      <c r="BF33" s="28">
        <v>-2.2873477538666682</v>
      </c>
      <c r="BG33" s="28">
        <v>-1.9595078721333341</v>
      </c>
      <c r="BH33" s="28">
        <v>-2.410583853866668</v>
      </c>
      <c r="BI33" s="28">
        <v>-1.324807908666668</v>
      </c>
      <c r="BJ33" s="28">
        <v>-1.087258593600001</v>
      </c>
      <c r="BK33" s="28">
        <v>-1.750446223733334</v>
      </c>
      <c r="BL33" s="28">
        <v>-0.69949194520000046</v>
      </c>
      <c r="BM33" s="28">
        <v>-2.3538798538666681</v>
      </c>
      <c r="BN33" s="28">
        <v>-0.10878522373333489</v>
      </c>
      <c r="BO33" s="28">
        <v>-1.476524708666668</v>
      </c>
      <c r="BP33" s="28">
        <v>-1.863055187200001</v>
      </c>
      <c r="BQ33" s="28">
        <v>-1.7197918721333341</v>
      </c>
      <c r="BR33" s="28">
        <v>-2.1277011872000009</v>
      </c>
      <c r="BS33" s="28">
        <v>-1.652464187200001</v>
      </c>
      <c r="BT33" s="28">
        <v>-1.4867399086666679</v>
      </c>
      <c r="BU33" s="28">
        <v>-2.3334688538666679</v>
      </c>
      <c r="BV33" s="28">
        <v>-1.1657919269333341</v>
      </c>
      <c r="BW33" s="28">
        <v>-1.150092926933334</v>
      </c>
      <c r="BX33" s="28">
        <v>-1.6870205570666681</v>
      </c>
      <c r="BY33" s="28">
        <v>-1.4153405388000011</v>
      </c>
      <c r="BZ33" s="28">
        <v>-1.4245338904000009</v>
      </c>
      <c r="CA33" s="28">
        <v>-0.83573053880000381</v>
      </c>
      <c r="CB33" s="28">
        <v>-1.167331908666668</v>
      </c>
      <c r="CC33" s="28">
        <v>-0.78386852053333778</v>
      </c>
      <c r="CD33" s="28">
        <v>-1.123537853866668</v>
      </c>
      <c r="CE33" s="28">
        <v>-1.281268508666668</v>
      </c>
      <c r="CF33" s="28">
        <v>-1.1242585936</v>
      </c>
      <c r="CG33" s="28">
        <v>-2.0091665388000011</v>
      </c>
      <c r="CH33" s="28">
        <v>-1.412308908666668</v>
      </c>
      <c r="CI33" s="28">
        <v>-1.170791926933334</v>
      </c>
      <c r="CJ33" s="28">
        <v>-0.95879326026666689</v>
      </c>
      <c r="CK33" s="28">
        <v>-1.7768965388000011</v>
      </c>
      <c r="CL33" s="28">
        <v>-2.0231632054666671</v>
      </c>
      <c r="CM33" s="28">
        <v>-0.76581654520000042</v>
      </c>
      <c r="CN33" s="28">
        <v>-0.64278081186666747</v>
      </c>
      <c r="CO33" s="28">
        <v>-1.7960212054666671</v>
      </c>
      <c r="CP33" s="28">
        <v>-0.80138527853333341</v>
      </c>
      <c r="CQ33" s="28">
        <v>-2.2237105205333352</v>
      </c>
      <c r="CR33" s="28">
        <v>-1.674434057066668</v>
      </c>
      <c r="CS33" s="28">
        <v>-5.5260266666801172E-5</v>
      </c>
      <c r="CT33" s="28">
        <v>-1.531041576604913</v>
      </c>
      <c r="CU33" s="34">
        <v>-145.44894977746671</v>
      </c>
    </row>
    <row r="34" spans="1:99" x14ac:dyDescent="0.25">
      <c r="A34" s="24">
        <v>33</v>
      </c>
      <c r="B34" s="26">
        <v>16</v>
      </c>
      <c r="C34" s="28">
        <v>-1.2738900429999991</v>
      </c>
      <c r="D34" s="28">
        <v>-1.8947187906666649</v>
      </c>
      <c r="E34" s="28">
        <v>-0.78921169533333291</v>
      </c>
      <c r="F34" s="28">
        <v>-1.984036057333332</v>
      </c>
      <c r="G34" s="28">
        <v>-1.864962390666665</v>
      </c>
      <c r="H34" s="28">
        <v>-1.4819400429999989</v>
      </c>
      <c r="I34" s="28">
        <v>-2.123800057333332</v>
      </c>
      <c r="J34" s="28">
        <v>-1.509940042999999</v>
      </c>
      <c r="K34" s="28">
        <v>-2.106895090666665</v>
      </c>
      <c r="L34" s="28">
        <v>-2.0175380573333319</v>
      </c>
      <c r="M34" s="28">
        <v>-2.115800057333332</v>
      </c>
      <c r="N34" s="28">
        <v>-1.9493453906666649</v>
      </c>
      <c r="O34" s="28">
        <v>-1.0309000286666661</v>
      </c>
      <c r="P34" s="28">
        <v>-1.5522090429999991</v>
      </c>
      <c r="Q34" s="28">
        <v>-0.62952668816666646</v>
      </c>
      <c r="R34" s="28">
        <v>-1.8056007239999989</v>
      </c>
      <c r="S34" s="28">
        <v>-2.119800057333332</v>
      </c>
      <c r="T34" s="28">
        <v>-0.96308002866666587</v>
      </c>
      <c r="U34" s="28">
        <v>-2.1138000573333322</v>
      </c>
      <c r="V34" s="28">
        <v>-2.0949820906666652</v>
      </c>
      <c r="W34" s="28">
        <v>-2.1190000573333321</v>
      </c>
      <c r="X34" s="28">
        <v>-1.432516042999999</v>
      </c>
      <c r="Y34" s="28">
        <v>-1.7743450501666651</v>
      </c>
      <c r="Z34" s="28">
        <v>-1.142544369166665</v>
      </c>
      <c r="AA34" s="28">
        <v>-0.59781502149999954</v>
      </c>
      <c r="AB34" s="28">
        <v>-3.076881666695952E-4</v>
      </c>
      <c r="AC34" s="28">
        <v>-0.81995936199999897</v>
      </c>
      <c r="AD34" s="28">
        <v>-0.57953668816666648</v>
      </c>
      <c r="AE34" s="28">
        <v>-1.9355640573333319</v>
      </c>
      <c r="AF34" s="28">
        <v>-1.175652702499999</v>
      </c>
      <c r="AG34" s="28">
        <v>-2.017113390666665</v>
      </c>
      <c r="AH34" s="28">
        <v>-0.68786935483333245</v>
      </c>
      <c r="AI34" s="28">
        <v>-9.2381057333331906E-2</v>
      </c>
      <c r="AJ34" s="28">
        <v>-2.0418920573333321</v>
      </c>
      <c r="AK34" s="28">
        <v>-1.2054293763333319</v>
      </c>
      <c r="AL34" s="28">
        <v>-1.0329000286666661</v>
      </c>
      <c r="AM34" s="28">
        <v>-2.1055810573333318</v>
      </c>
      <c r="AN34" s="28">
        <v>-1.793785723999999</v>
      </c>
      <c r="AO34" s="28">
        <v>-2.0713760573333322</v>
      </c>
      <c r="AP34" s="28">
        <v>-2.1168000573333319</v>
      </c>
      <c r="AQ34" s="28">
        <v>-1.0864210358333319</v>
      </c>
      <c r="AR34" s="28">
        <v>1.5997133333400801E-4</v>
      </c>
      <c r="AS34" s="28">
        <v>-1.919817057333332</v>
      </c>
      <c r="AT34" s="28">
        <v>-1.570350042999999</v>
      </c>
      <c r="AU34" s="28">
        <v>-1.0309000286666661</v>
      </c>
      <c r="AV34" s="28">
        <v>-1.9334000573333321</v>
      </c>
      <c r="AW34" s="28">
        <v>-2.117158723999998</v>
      </c>
      <c r="AX34" s="28">
        <v>-1.5673500429999989</v>
      </c>
      <c r="AY34" s="28">
        <v>-1.534714042999999</v>
      </c>
      <c r="AZ34" s="28">
        <v>-1.257200035833332</v>
      </c>
      <c r="BA34" s="28">
        <v>-0.72724171683333494</v>
      </c>
      <c r="BB34" s="28">
        <v>-1.435743376333332</v>
      </c>
      <c r="BC34" s="28">
        <v>-1.9045167239999981</v>
      </c>
      <c r="BD34" s="28">
        <v>-1.659526383499998</v>
      </c>
      <c r="BE34" s="28">
        <v>-1.5510797168333319</v>
      </c>
      <c r="BF34" s="28">
        <v>-2.0373915239999989</v>
      </c>
      <c r="BG34" s="28">
        <v>-1.767928816833332</v>
      </c>
      <c r="BH34" s="28">
        <v>-2.1408000573333319</v>
      </c>
      <c r="BI34" s="28">
        <v>-1.3081250358333321</v>
      </c>
      <c r="BJ34" s="28">
        <v>-1.045900028666666</v>
      </c>
      <c r="BK34" s="28">
        <v>-1.557937042999999</v>
      </c>
      <c r="BL34" s="28">
        <v>-0.56231835483333248</v>
      </c>
      <c r="BM34" s="28">
        <v>-2.1218000573333322</v>
      </c>
      <c r="BN34" s="28">
        <v>-1.522592709666666</v>
      </c>
      <c r="BO34" s="28">
        <v>-1.204472702499999</v>
      </c>
      <c r="BP34" s="28">
        <v>-1.6964850573333321</v>
      </c>
      <c r="BQ34" s="28">
        <v>-1.689241050166665</v>
      </c>
      <c r="BR34" s="28">
        <v>-1.7744633906666649</v>
      </c>
      <c r="BS34" s="28">
        <v>-1.6066207239999979</v>
      </c>
      <c r="BT34" s="28">
        <v>-1.2893850358333321</v>
      </c>
      <c r="BU34" s="28">
        <v>-1.9796533906666649</v>
      </c>
      <c r="BV34" s="28">
        <v>-0.86885416199999888</v>
      </c>
      <c r="BW34" s="28">
        <v>-1.0369000286666661</v>
      </c>
      <c r="BX34" s="28">
        <v>-1.485510709666666</v>
      </c>
      <c r="BY34" s="28">
        <v>-1.741666050166665</v>
      </c>
      <c r="BZ34" s="28">
        <v>-1.366980042999999</v>
      </c>
      <c r="CA34" s="28">
        <v>-1.457256383499999</v>
      </c>
      <c r="CB34" s="28">
        <v>1.795641666677561E-4</v>
      </c>
      <c r="CC34" s="28">
        <v>-1.8437800573333321</v>
      </c>
      <c r="CD34" s="28">
        <v>-2.1168000573333319</v>
      </c>
      <c r="CE34" s="28">
        <v>-1.110643635833332</v>
      </c>
      <c r="CF34" s="28">
        <v>-0.77142602866666588</v>
      </c>
      <c r="CG34" s="28">
        <v>-1.7876392501666649</v>
      </c>
      <c r="CH34" s="28">
        <v>-1.251531702499999</v>
      </c>
      <c r="CI34" s="28">
        <v>-0.88286002866666591</v>
      </c>
      <c r="CJ34" s="28">
        <v>-0.86375736199999897</v>
      </c>
      <c r="CK34" s="28">
        <v>3.2194983333500021E-4</v>
      </c>
      <c r="CL34" s="28">
        <v>-1.848723716833331</v>
      </c>
      <c r="CM34" s="28">
        <v>-0.71629685483333283</v>
      </c>
      <c r="CN34" s="28">
        <v>-0.50714548816666549</v>
      </c>
      <c r="CO34" s="28">
        <v>-1.6345950501666651</v>
      </c>
      <c r="CP34" s="28">
        <v>-0.51723502149999945</v>
      </c>
      <c r="CQ34" s="28">
        <v>-2.1188000573333321</v>
      </c>
      <c r="CR34" s="28">
        <v>-1.3712457096666659</v>
      </c>
      <c r="CS34" s="28">
        <v>-4.9802866666592838E-4</v>
      </c>
      <c r="CT34" s="28">
        <v>-1.411203826738596</v>
      </c>
      <c r="CU34" s="34">
        <v>-134.0643635401666</v>
      </c>
    </row>
    <row r="35" spans="1:99" x14ac:dyDescent="0.25">
      <c r="A35" s="24">
        <v>34</v>
      </c>
      <c r="B35" s="26">
        <v>16.5</v>
      </c>
      <c r="C35" s="28">
        <v>-0.93557878803333205</v>
      </c>
      <c r="D35" s="28">
        <v>-1.5162314729333319</v>
      </c>
      <c r="E35" s="28">
        <v>-0.50361230313333305</v>
      </c>
      <c r="F35" s="28">
        <v>-1.6023062729333319</v>
      </c>
      <c r="G35" s="28">
        <v>-1.6937537395999991</v>
      </c>
      <c r="H35" s="28">
        <v>-1.235923788033332</v>
      </c>
      <c r="I35" s="28">
        <v>-1.7980712729333319</v>
      </c>
      <c r="J35" s="28">
        <v>-1.327626121366666</v>
      </c>
      <c r="K35" s="28">
        <v>-1.569586606266665</v>
      </c>
      <c r="L35" s="28">
        <v>-1.6662661729333319</v>
      </c>
      <c r="M35" s="28">
        <v>-1.7432539395999991</v>
      </c>
      <c r="N35" s="28">
        <v>-1.7041832729333319</v>
      </c>
      <c r="O35" s="28">
        <v>-0.78339363646666604</v>
      </c>
      <c r="P35" s="28">
        <v>-1.1980236880333319</v>
      </c>
      <c r="Q35" s="28">
        <v>-0.60803366068333287</v>
      </c>
      <c r="R35" s="28">
        <v>-1.427739939599999</v>
      </c>
      <c r="S35" s="28">
        <v>-1.7940712729333319</v>
      </c>
      <c r="T35" s="28">
        <v>-0.87203563646666593</v>
      </c>
      <c r="U35" s="28">
        <v>-1.7880712729333319</v>
      </c>
      <c r="V35" s="28">
        <v>-1.6050812729333319</v>
      </c>
      <c r="W35" s="28">
        <v>-1.7305112729333321</v>
      </c>
      <c r="X35" s="28">
        <v>-1.336632788033332</v>
      </c>
      <c r="Y35" s="28">
        <v>-1.228070363816665</v>
      </c>
      <c r="Z35" s="28">
        <v>-1.029044545583333</v>
      </c>
      <c r="AA35" s="28">
        <v>1.8660598333458681E-4</v>
      </c>
      <c r="AB35" s="28">
        <v>2.5260598333054501E-4</v>
      </c>
      <c r="AC35" s="28">
        <v>-0.499041303133333</v>
      </c>
      <c r="AD35" s="28">
        <v>1.6127265000065449E-4</v>
      </c>
      <c r="AE35" s="28">
        <v>-1.4970226062666649</v>
      </c>
      <c r="AF35" s="28">
        <v>-0.77310521224999895</v>
      </c>
      <c r="AG35" s="28">
        <v>-1.8080712729333319</v>
      </c>
      <c r="AH35" s="28">
        <v>-0.59953906068333285</v>
      </c>
      <c r="AI35" s="28">
        <v>-0.83932827293333201</v>
      </c>
      <c r="AJ35" s="28">
        <v>-1.793071272933332</v>
      </c>
      <c r="AK35" s="28">
        <v>-1.262078454699999</v>
      </c>
      <c r="AL35" s="28">
        <v>-0.87003563646666593</v>
      </c>
      <c r="AM35" s="28">
        <v>-1.7589811062666649</v>
      </c>
      <c r="AN35" s="28">
        <v>-1.547451606266665</v>
      </c>
      <c r="AO35" s="28">
        <v>-1.7856779395999991</v>
      </c>
      <c r="AP35" s="28">
        <v>-1.791071272933332</v>
      </c>
      <c r="AQ35" s="28">
        <v>-0.8658405455833329</v>
      </c>
      <c r="AR35" s="28">
        <v>-3.356364666662337E-4</v>
      </c>
      <c r="AS35" s="28">
        <v>-1.4184889395999991</v>
      </c>
      <c r="AT35" s="28">
        <v>-1.0606687880333321</v>
      </c>
      <c r="AU35" s="28">
        <v>-0.82874230313333253</v>
      </c>
      <c r="AV35" s="28">
        <v>-1.5248089395999991</v>
      </c>
      <c r="AW35" s="28">
        <v>-1.530415939599999</v>
      </c>
      <c r="AX35" s="28">
        <v>-1.323053454699999</v>
      </c>
      <c r="AY35" s="28">
        <v>-1.148477588033332</v>
      </c>
      <c r="AZ35" s="28">
        <v>-0.95555921224999996</v>
      </c>
      <c r="BA35" s="28">
        <v>3.4130285000513738E-4</v>
      </c>
      <c r="BB35" s="28">
        <v>-1.279563454699999</v>
      </c>
      <c r="BC35" s="28">
        <v>-1.723909906266665</v>
      </c>
      <c r="BD35" s="28">
        <v>-1.5464203638166649</v>
      </c>
      <c r="BE35" s="28">
        <v>-1.113347697149998</v>
      </c>
      <c r="BF35" s="28">
        <v>3.4686039999820562E-4</v>
      </c>
      <c r="BG35" s="28">
        <v>-1.4860754304833319</v>
      </c>
      <c r="BH35" s="28">
        <v>-1.815071272933332</v>
      </c>
      <c r="BI35" s="28">
        <v>-0.96642454558333291</v>
      </c>
      <c r="BJ35" s="28">
        <v>-0.653025636466666</v>
      </c>
      <c r="BK35" s="28">
        <v>-1.2888954546999991</v>
      </c>
      <c r="BL35" s="28">
        <v>-0.4388387273499994</v>
      </c>
      <c r="BM35" s="28">
        <v>-1.7646512729333319</v>
      </c>
      <c r="BN35" s="28">
        <v>-1.150984454699999</v>
      </c>
      <c r="BO35" s="28">
        <v>-1.0356775455833329</v>
      </c>
      <c r="BP35" s="28">
        <v>-1.683608739599999</v>
      </c>
      <c r="BQ35" s="28">
        <v>-1.190191363816665</v>
      </c>
      <c r="BR35" s="28">
        <v>-1.6010982729333321</v>
      </c>
      <c r="BS35" s="28">
        <v>-1.4011106062666649</v>
      </c>
      <c r="BT35" s="28">
        <v>-1.042694545583333</v>
      </c>
      <c r="BU35" s="28">
        <v>-1.755681006266665</v>
      </c>
      <c r="BV35" s="28">
        <v>-0.81808636979999894</v>
      </c>
      <c r="BW35" s="28">
        <v>-0.76050363646666597</v>
      </c>
      <c r="BX35" s="28">
        <v>-0.67486345469999909</v>
      </c>
      <c r="BY35" s="28">
        <v>-1.4695623638166651</v>
      </c>
      <c r="BZ35" s="28">
        <v>-0.98885612136666601</v>
      </c>
      <c r="CA35" s="28">
        <v>-1.3735523638166649</v>
      </c>
      <c r="CB35" s="28">
        <v>-4.3477891666598989E-4</v>
      </c>
      <c r="CC35" s="28">
        <v>-1.709784772933332</v>
      </c>
      <c r="CD35" s="28">
        <v>-1.699909939599999</v>
      </c>
      <c r="CE35" s="28">
        <v>-0.49054007891666601</v>
      </c>
      <c r="CF35" s="28">
        <v>-0.87503563646666593</v>
      </c>
      <c r="CG35" s="28">
        <v>-1.1040094304833321</v>
      </c>
      <c r="CH35" s="28">
        <v>-0.90343671225</v>
      </c>
      <c r="CI35" s="28">
        <v>-0.67724163646666602</v>
      </c>
      <c r="CJ35" s="28">
        <v>-0.59157196979999904</v>
      </c>
      <c r="CK35" s="28">
        <v>-0.62585336381666501</v>
      </c>
      <c r="CL35" s="28">
        <v>-1.515969430483332</v>
      </c>
      <c r="CM35" s="28">
        <v>-0.5192687273499994</v>
      </c>
      <c r="CN35" s="28">
        <v>-0.32310239401666641</v>
      </c>
      <c r="CO35" s="28">
        <v>-0.93735736381666501</v>
      </c>
      <c r="CP35" s="28">
        <v>-0.36047706068333241</v>
      </c>
      <c r="CQ35" s="28">
        <v>-1.685903606266665</v>
      </c>
      <c r="CR35" s="28">
        <v>-0.94078012136666511</v>
      </c>
      <c r="CS35" s="28">
        <v>-0.56003563646666588</v>
      </c>
      <c r="CT35" s="28">
        <v>-1.123369348261227</v>
      </c>
      <c r="CU35" s="34">
        <v>-106.7200880848166</v>
      </c>
    </row>
    <row r="36" spans="1:99" x14ac:dyDescent="0.25">
      <c r="A36" s="24">
        <v>35</v>
      </c>
      <c r="B36" s="26">
        <v>17</v>
      </c>
      <c r="C36" s="28">
        <v>-0.54045212883333205</v>
      </c>
      <c r="D36" s="28">
        <v>-1.378180393999999</v>
      </c>
      <c r="E36" s="28">
        <v>-0.48795253033333302</v>
      </c>
      <c r="F36" s="28">
        <v>-1.286819393999999</v>
      </c>
      <c r="G36" s="28">
        <v>-1.3459691939999989</v>
      </c>
      <c r="H36" s="28">
        <v>-1.055070462166666</v>
      </c>
      <c r="I36" s="28">
        <v>-1.4932117273333321</v>
      </c>
      <c r="J36" s="28">
        <v>-1.0226834621666661</v>
      </c>
      <c r="K36" s="28">
        <v>-1.2593467273333321</v>
      </c>
      <c r="L36" s="28">
        <v>-1.447940727333332</v>
      </c>
      <c r="M36" s="28">
        <v>-1.3665252606666649</v>
      </c>
      <c r="N36" s="28">
        <v>-1.1700693939999991</v>
      </c>
      <c r="O36" s="28">
        <v>-0.70796533033333264</v>
      </c>
      <c r="P36" s="28">
        <v>-1.052008795499999</v>
      </c>
      <c r="Q36" s="28">
        <v>-0.3336292644166664</v>
      </c>
      <c r="R36" s="28">
        <v>-0.76909406066666586</v>
      </c>
      <c r="S36" s="28">
        <v>-1.4892117273333321</v>
      </c>
      <c r="T36" s="28">
        <v>-0.5994525303333329</v>
      </c>
      <c r="U36" s="28">
        <v>-1.363187060666665</v>
      </c>
      <c r="V36" s="28">
        <v>-1.2253483939999981</v>
      </c>
      <c r="W36" s="28">
        <v>-1.490211727333332</v>
      </c>
      <c r="X36" s="28">
        <v>-0.93102679549999912</v>
      </c>
      <c r="Y36" s="28">
        <v>-0.70383192808333206</v>
      </c>
      <c r="Z36" s="28">
        <v>-0.83980332958333248</v>
      </c>
      <c r="AA36" s="28">
        <v>6.6935583330651749E-5</v>
      </c>
      <c r="AB36" s="28">
        <v>-4.5939774999942401E-4</v>
      </c>
      <c r="AC36" s="28">
        <v>-0.51881819699999898</v>
      </c>
      <c r="AD36" s="28">
        <v>-4.7173108333345431E-4</v>
      </c>
      <c r="AE36" s="28">
        <v>-3.3039400000195451E-4</v>
      </c>
      <c r="AF36" s="28">
        <v>-0.36646062958333248</v>
      </c>
      <c r="AG36" s="28">
        <v>-1.351678060666665</v>
      </c>
      <c r="AH36" s="28">
        <v>-0.31884473108333239</v>
      </c>
      <c r="AI36" s="28">
        <v>-0.74584506066666589</v>
      </c>
      <c r="AJ36" s="28">
        <v>-1.230208393999999</v>
      </c>
      <c r="AK36" s="28">
        <v>-0.81997512883333212</v>
      </c>
      <c r="AL36" s="28">
        <v>-0.7176058636666659</v>
      </c>
      <c r="AM36" s="28">
        <v>-1.260500060666665</v>
      </c>
      <c r="AN36" s="28">
        <v>-1.2332003939999989</v>
      </c>
      <c r="AO36" s="28">
        <v>-1.241372393999999</v>
      </c>
      <c r="AP36" s="28">
        <v>-1.4447270606666649</v>
      </c>
      <c r="AQ36" s="28">
        <v>-0.59763199624999941</v>
      </c>
      <c r="AR36" s="28">
        <v>-1.56496999998923E-4</v>
      </c>
      <c r="AS36" s="28">
        <v>-1.427386227333332</v>
      </c>
      <c r="AT36" s="28">
        <v>-1.0833314621666661</v>
      </c>
      <c r="AU36" s="28">
        <v>-0.64487786366666588</v>
      </c>
      <c r="AV36" s="28">
        <v>-1.3336573939999989</v>
      </c>
      <c r="AW36" s="28">
        <v>-1.4932117273333321</v>
      </c>
      <c r="AX36" s="28">
        <v>-0.99755162883333215</v>
      </c>
      <c r="AY36" s="28">
        <v>-4.6901862166669028E-2</v>
      </c>
      <c r="AZ36" s="28">
        <v>-0.81057666291666552</v>
      </c>
      <c r="BA36" s="28">
        <v>-0.9259855947499982</v>
      </c>
      <c r="BB36" s="28">
        <v>-1.035558128833332</v>
      </c>
      <c r="BC36" s="28">
        <v>-1.3117757606666649</v>
      </c>
      <c r="BD36" s="28">
        <v>-1.097163594749998</v>
      </c>
      <c r="BE36" s="28">
        <v>-0.31977626141666499</v>
      </c>
      <c r="BF36" s="28">
        <v>-0.98182762733333195</v>
      </c>
      <c r="BG36" s="28">
        <v>-1.148626061416665</v>
      </c>
      <c r="BH36" s="28">
        <v>-1.510211727333332</v>
      </c>
      <c r="BI36" s="28">
        <v>-0.90019532958333248</v>
      </c>
      <c r="BJ36" s="28">
        <v>-0.70236853033333269</v>
      </c>
      <c r="BK36" s="28">
        <v>-0.98379312883333214</v>
      </c>
      <c r="BL36" s="28">
        <v>-0.36585439774999939</v>
      </c>
      <c r="BM36" s="28">
        <v>-1.3843837273333319</v>
      </c>
      <c r="BN36" s="28">
        <v>-0.92890179549999907</v>
      </c>
      <c r="BO36" s="28">
        <v>-0.91500732958333242</v>
      </c>
      <c r="BP36" s="28">
        <v>-1.3728700606666651</v>
      </c>
      <c r="BQ36" s="28">
        <v>-1.0841162614166651</v>
      </c>
      <c r="BR36" s="28">
        <v>-1.3558455273333321</v>
      </c>
      <c r="BS36" s="28">
        <v>-0.85148072733333191</v>
      </c>
      <c r="BT36" s="28">
        <v>-0.92400732958333243</v>
      </c>
      <c r="BU36" s="28">
        <v>-1.3518083273333319</v>
      </c>
      <c r="BV36" s="28">
        <v>-0.46552953033333289</v>
      </c>
      <c r="BW36" s="28">
        <v>-0.45020569699999902</v>
      </c>
      <c r="BX36" s="28">
        <v>-0.44843379549999912</v>
      </c>
      <c r="BY36" s="28">
        <v>-1.097037261416665</v>
      </c>
      <c r="BZ36" s="28">
        <v>-0.87727579549999901</v>
      </c>
      <c r="CA36" s="28">
        <v>-0.93742026141666512</v>
      </c>
      <c r="CB36" s="28">
        <v>-0.19651199624999841</v>
      </c>
      <c r="CC36" s="28">
        <v>-1.1308667273333319</v>
      </c>
      <c r="CD36" s="28">
        <v>-1.1935083939999991</v>
      </c>
      <c r="CE36" s="28">
        <v>-0.40786712958333249</v>
      </c>
      <c r="CF36" s="28">
        <v>-0.69720853033333263</v>
      </c>
      <c r="CG36" s="28">
        <v>-1.075687928083332</v>
      </c>
      <c r="CH36" s="28">
        <v>-0.50974066291666542</v>
      </c>
      <c r="CI36" s="28">
        <v>-0.26338853033333298</v>
      </c>
      <c r="CJ36" s="28">
        <v>-0.10159186366666589</v>
      </c>
      <c r="CK36" s="28">
        <v>-0.93900526141666507</v>
      </c>
      <c r="CL36" s="28">
        <v>-1.0665639947499981</v>
      </c>
      <c r="CM36" s="28">
        <v>-0.51491373108333272</v>
      </c>
      <c r="CN36" s="28">
        <v>-0.4595543977499994</v>
      </c>
      <c r="CO36" s="28">
        <v>-1.0521049280833319</v>
      </c>
      <c r="CP36" s="28">
        <v>-0.38381553108333238</v>
      </c>
      <c r="CQ36" s="28">
        <v>-1.414018727333332</v>
      </c>
      <c r="CR36" s="28">
        <v>-0.69761479549999916</v>
      </c>
      <c r="CS36" s="28">
        <v>-0.59308586366666594</v>
      </c>
      <c r="CT36" s="28">
        <v>-0.87862331361140256</v>
      </c>
      <c r="CU36" s="34">
        <v>-83.469214793083239</v>
      </c>
    </row>
    <row r="37" spans="1:99" x14ac:dyDescent="0.25">
      <c r="A37" s="24">
        <v>36</v>
      </c>
      <c r="B37" s="26">
        <v>17.5</v>
      </c>
      <c r="C37" s="28">
        <v>4.9011743332988411E-4</v>
      </c>
      <c r="D37" s="28">
        <v>-0.99183028786666705</v>
      </c>
      <c r="E37" s="28">
        <v>1.252273332991161E-5</v>
      </c>
      <c r="F37" s="28">
        <v>-1.0058496212000001</v>
      </c>
      <c r="G37" s="28">
        <v>-0.92849682119999999</v>
      </c>
      <c r="H37" s="28">
        <v>-0.7958815492333331</v>
      </c>
      <c r="I37" s="28">
        <v>-1.1799496212</v>
      </c>
      <c r="J37" s="28">
        <v>-8.7038549233333096E-2</v>
      </c>
      <c r="K37" s="28">
        <v>1.5378800000021009E-5</v>
      </c>
      <c r="L37" s="28">
        <v>-0.98776402120000006</v>
      </c>
      <c r="M37" s="28">
        <v>-1.0931362878666671</v>
      </c>
      <c r="N37" s="28">
        <v>-1.0418089545333331</v>
      </c>
      <c r="O37" s="28">
        <v>-0.41685934393333302</v>
      </c>
      <c r="P37" s="28">
        <v>-0.72501274923333314</v>
      </c>
      <c r="Q37" s="28">
        <v>-0.4032829079500001</v>
      </c>
      <c r="R37" s="28">
        <v>-0.67502828786666702</v>
      </c>
      <c r="S37" s="28">
        <v>-1.1759496212</v>
      </c>
      <c r="T37" s="28">
        <v>-0.56297481059999999</v>
      </c>
      <c r="U37" s="28">
        <v>-0.95979962120000006</v>
      </c>
      <c r="V37" s="28">
        <v>-1.0861042878666669</v>
      </c>
      <c r="W37" s="28">
        <v>-1.1159896212</v>
      </c>
      <c r="X37" s="28">
        <v>-0.73946954923333308</v>
      </c>
      <c r="Y37" s="28">
        <v>-0.7481655852166671</v>
      </c>
      <c r="Z37" s="28">
        <v>-0.42675691324999998</v>
      </c>
      <c r="AA37" s="28">
        <v>2.6889204999991367E-4</v>
      </c>
      <c r="AB37" s="28">
        <v>-3.5844128333309411E-4</v>
      </c>
      <c r="AC37" s="28">
        <v>-0.31920381060000003</v>
      </c>
      <c r="AD37" s="28">
        <v>4.6222538333287599E-4</v>
      </c>
      <c r="AE37" s="28">
        <v>2.0037879999990069E-4</v>
      </c>
      <c r="AF37" s="28">
        <v>-3.8017991666994272E-4</v>
      </c>
      <c r="AG37" s="28">
        <v>-1.157716954533333</v>
      </c>
      <c r="AH37" s="28">
        <v>-0.34219477461666709</v>
      </c>
      <c r="AI37" s="28">
        <v>-1.0184316212</v>
      </c>
      <c r="AJ37" s="28">
        <v>-0.85484595453333401</v>
      </c>
      <c r="AK37" s="28">
        <v>-0.38447521590000011</v>
      </c>
      <c r="AL37" s="28">
        <v>-0.56097481059999998</v>
      </c>
      <c r="AM37" s="28">
        <v>-0.92218935453333306</v>
      </c>
      <c r="AN37" s="28">
        <v>-1.1028208211999999</v>
      </c>
      <c r="AO37" s="28">
        <v>-1.0703196211999999</v>
      </c>
      <c r="AP37" s="28">
        <v>-1.1465502878666669</v>
      </c>
      <c r="AQ37" s="28">
        <v>-0.53195851324999999</v>
      </c>
      <c r="AR37" s="28">
        <v>2.8285606666700319E-4</v>
      </c>
      <c r="AS37" s="28">
        <v>-0.88175328786666707</v>
      </c>
      <c r="AT37" s="28">
        <v>-0.79134354923333317</v>
      </c>
      <c r="AU37" s="28">
        <v>-0.55897481059999998</v>
      </c>
      <c r="AV37" s="28">
        <v>-0.92703028786666708</v>
      </c>
      <c r="AW37" s="28">
        <v>-0.90565328786666699</v>
      </c>
      <c r="AX37" s="28">
        <v>-0.80646104923333306</v>
      </c>
      <c r="AY37" s="28">
        <v>-0.52480714923333416</v>
      </c>
      <c r="AZ37" s="28">
        <v>-0.58404451325000006</v>
      </c>
      <c r="BA37" s="28">
        <v>4.540814500000045E-4</v>
      </c>
      <c r="BB37" s="28">
        <v>-0.74321621590000009</v>
      </c>
      <c r="BC37" s="28">
        <v>-1.1302181878666671</v>
      </c>
      <c r="BD37" s="28">
        <v>-0.96990991855000008</v>
      </c>
      <c r="BE37" s="28">
        <v>-0.28270725188333312</v>
      </c>
      <c r="BF37" s="28">
        <v>-1.122664254533333</v>
      </c>
      <c r="BG37" s="28">
        <v>-0.95437271855000005</v>
      </c>
      <c r="BH37" s="28">
        <v>-1.1969496211999999</v>
      </c>
      <c r="BI37" s="28">
        <v>-0.70744164658333331</v>
      </c>
      <c r="BJ37" s="28">
        <v>-0.32858547726666698</v>
      </c>
      <c r="BK37" s="28">
        <v>-0.52777221590000012</v>
      </c>
      <c r="BL37" s="28">
        <v>-0.1737061079500001</v>
      </c>
      <c r="BM37" s="28">
        <v>-1.1779496212</v>
      </c>
      <c r="BN37" s="28">
        <v>-0.80714821590000008</v>
      </c>
      <c r="BO37" s="28">
        <v>-0.36199151325000001</v>
      </c>
      <c r="BP37" s="28">
        <v>-0.94223495453333306</v>
      </c>
      <c r="BQ37" s="28">
        <v>-0.77463225188333307</v>
      </c>
      <c r="BR37" s="28">
        <v>-1.1124946212</v>
      </c>
      <c r="BS37" s="28">
        <v>-0.79582428786666704</v>
      </c>
      <c r="BT37" s="28">
        <v>-0.62762851325000002</v>
      </c>
      <c r="BU37" s="28">
        <v>-0.90224595453333301</v>
      </c>
      <c r="BV37" s="28">
        <v>-0.55897481059999998</v>
      </c>
      <c r="BW37" s="28">
        <v>-0.51869981060000003</v>
      </c>
      <c r="BX37" s="28">
        <v>-0.20027821590000011</v>
      </c>
      <c r="BY37" s="28">
        <v>-1.01870591855</v>
      </c>
      <c r="BZ37" s="28">
        <v>-0.71929221590000014</v>
      </c>
      <c r="CA37" s="28">
        <v>-0.80107125188333306</v>
      </c>
      <c r="CB37" s="28">
        <v>3.9082008333002349E-4</v>
      </c>
      <c r="CC37" s="28">
        <v>-0.85257695453333304</v>
      </c>
      <c r="CD37" s="28">
        <v>-0.5568056212000001</v>
      </c>
      <c r="CE37" s="28">
        <v>-0.42842184658333299</v>
      </c>
      <c r="CF37" s="28">
        <v>-0.39464181059999998</v>
      </c>
      <c r="CG37" s="28">
        <v>-0.81124391855</v>
      </c>
      <c r="CH37" s="28">
        <v>-1.6551325000001461E-4</v>
      </c>
      <c r="CI37" s="28">
        <v>-2.614772666702514E-4</v>
      </c>
      <c r="CJ37" s="28">
        <v>2.0818940000000291E-4</v>
      </c>
      <c r="CK37" s="28">
        <v>-0.88227291855000012</v>
      </c>
      <c r="CL37" s="28">
        <v>-0.82933991855000011</v>
      </c>
      <c r="CM37" s="28">
        <v>-0.41173110795000012</v>
      </c>
      <c r="CN37" s="28">
        <v>2.568920499997907E-4</v>
      </c>
      <c r="CO37" s="28">
        <v>-0.82576291855000006</v>
      </c>
      <c r="CP37" s="28">
        <v>-0.39504117461666682</v>
      </c>
      <c r="CQ37" s="28">
        <v>-1.133731287866667</v>
      </c>
      <c r="CR37" s="28">
        <v>-0.8293668825666668</v>
      </c>
      <c r="CS37" s="28">
        <v>-0.34214521060000003</v>
      </c>
      <c r="CT37" s="28">
        <v>-0.6388086240935088</v>
      </c>
      <c r="CU37" s="34">
        <v>-60.686819288883328</v>
      </c>
    </row>
    <row r="38" spans="1:99" x14ac:dyDescent="0.25">
      <c r="A38" s="24">
        <v>37</v>
      </c>
      <c r="B38" s="26">
        <v>18</v>
      </c>
      <c r="C38" s="28">
        <v>-4.7383433333098019E-4</v>
      </c>
      <c r="D38" s="28">
        <v>-0.779780901333335</v>
      </c>
      <c r="E38" s="28">
        <v>-2.3746733333401829E-4</v>
      </c>
      <c r="F38" s="28">
        <v>-0.80654793466666796</v>
      </c>
      <c r="G38" s="28">
        <v>-0.58306460133333504</v>
      </c>
      <c r="H38" s="28">
        <v>-0.44637903433333398</v>
      </c>
      <c r="I38" s="28">
        <v>-0.87691693466666798</v>
      </c>
      <c r="J38" s="28">
        <v>1.046323333289689E-4</v>
      </c>
      <c r="K38" s="28">
        <v>3.343986666660137E-4</v>
      </c>
      <c r="L38" s="28">
        <v>-0.74953626800000106</v>
      </c>
      <c r="M38" s="28">
        <v>-0.62979026800000104</v>
      </c>
      <c r="N38" s="28">
        <v>-0.76039026800000098</v>
      </c>
      <c r="O38" s="28">
        <v>-9.9173800666667034E-2</v>
      </c>
      <c r="P38" s="28">
        <v>-0.40034160100000099</v>
      </c>
      <c r="Q38" s="28">
        <v>-0.29209385050000047</v>
      </c>
      <c r="R38" s="28">
        <v>-0.72247260133333502</v>
      </c>
      <c r="S38" s="28">
        <v>-0.87291693466666798</v>
      </c>
      <c r="T38" s="28">
        <v>-0.11332980066666699</v>
      </c>
      <c r="U38" s="28">
        <v>-0.47933193466666801</v>
      </c>
      <c r="V38" s="28">
        <v>-0.80249383466666802</v>
      </c>
      <c r="W38" s="28">
        <v>-0.76886226800000101</v>
      </c>
      <c r="X38" s="28">
        <v>-0.65318770100000101</v>
      </c>
      <c r="Y38" s="28">
        <v>-0.56570231783333447</v>
      </c>
      <c r="Z38" s="28">
        <v>-0.22940695083333451</v>
      </c>
      <c r="AA38" s="28">
        <v>-4.8251716666708472E-4</v>
      </c>
      <c r="AB38" s="28">
        <v>-5.2183833333524499E-5</v>
      </c>
      <c r="AC38" s="28">
        <v>-0.22264966733333399</v>
      </c>
      <c r="AD38" s="28">
        <v>-4.8818383333387732E-4</v>
      </c>
      <c r="AE38" s="28">
        <v>1.777319999990423E-4</v>
      </c>
      <c r="AF38" s="28">
        <v>1.0091583333249329E-4</v>
      </c>
      <c r="AG38" s="28">
        <v>-0.71659260133333502</v>
      </c>
      <c r="AH38" s="28">
        <v>-0.19580418383333351</v>
      </c>
      <c r="AI38" s="28">
        <v>-0.87091693466666797</v>
      </c>
      <c r="AJ38" s="28">
        <v>-0.61572793466666798</v>
      </c>
      <c r="AK38" s="28">
        <v>-0.40360970100000099</v>
      </c>
      <c r="AL38" s="28">
        <v>-0.40945846733333402</v>
      </c>
      <c r="AM38" s="28">
        <v>-0.86453826800000133</v>
      </c>
      <c r="AN38" s="28">
        <v>-0.79930506800000101</v>
      </c>
      <c r="AO38" s="28">
        <v>-0.50677826800000103</v>
      </c>
      <c r="AP38" s="28">
        <v>-0.76790226800000105</v>
      </c>
      <c r="AQ38" s="28">
        <v>-0.1907824175000005</v>
      </c>
      <c r="AR38" s="28">
        <v>1.0486599999900979E-4</v>
      </c>
      <c r="AS38" s="28">
        <v>-0.76904726800000101</v>
      </c>
      <c r="AT38" s="28">
        <v>-0.39622170100000098</v>
      </c>
      <c r="AU38" s="28">
        <v>-0.16514380066666701</v>
      </c>
      <c r="AV38" s="28">
        <v>-0.59327293466666808</v>
      </c>
      <c r="AW38" s="28">
        <v>-0.86662026800000136</v>
      </c>
      <c r="AX38" s="28">
        <v>-0.60718770100000108</v>
      </c>
      <c r="AY38" s="28">
        <v>-0.40821270100000112</v>
      </c>
      <c r="AZ38" s="28">
        <v>-0.38994175083333449</v>
      </c>
      <c r="BA38" s="28">
        <v>4.9348833332574227E-5</v>
      </c>
      <c r="BB38" s="28">
        <v>-0.41526036766666802</v>
      </c>
      <c r="BC38" s="28">
        <v>-0.61885903466666803</v>
      </c>
      <c r="BD38" s="28">
        <v>-0.75255231783333443</v>
      </c>
      <c r="BE38" s="28">
        <v>-0.36092498450000149</v>
      </c>
      <c r="BF38" s="28">
        <v>-0.82718426800000133</v>
      </c>
      <c r="BG38" s="28">
        <v>-0.53787131783333453</v>
      </c>
      <c r="BH38" s="28">
        <v>-0.89391693466666799</v>
      </c>
      <c r="BI38" s="28">
        <v>-0.52882308416666746</v>
      </c>
      <c r="BJ38" s="28">
        <v>-1.8186467333334011E-2</v>
      </c>
      <c r="BK38" s="28">
        <v>-0.38720936766666803</v>
      </c>
      <c r="BL38" s="28">
        <v>-5.7493850500000498E-2</v>
      </c>
      <c r="BM38" s="28">
        <v>-0.87491693466666798</v>
      </c>
      <c r="BN38" s="28">
        <v>-0.34692570100000097</v>
      </c>
      <c r="BO38" s="28">
        <v>-0.52141148416666749</v>
      </c>
      <c r="BP38" s="28">
        <v>-0.86791693466666797</v>
      </c>
      <c r="BQ38" s="28">
        <v>-0.29822065116666752</v>
      </c>
      <c r="BR38" s="28">
        <v>-0.16872293466666799</v>
      </c>
      <c r="BS38" s="28">
        <v>-0.28297660133333502</v>
      </c>
      <c r="BT38" s="28">
        <v>-0.53882308416666747</v>
      </c>
      <c r="BU38" s="28">
        <v>-1.389346666680891E-4</v>
      </c>
      <c r="BV38" s="28">
        <v>-0.338591800666667</v>
      </c>
      <c r="BW38" s="28">
        <v>-2.9134000003927522E-5</v>
      </c>
      <c r="BX38" s="28">
        <v>8.163233333194353E-5</v>
      </c>
      <c r="BY38" s="28">
        <v>-0.52206965116666748</v>
      </c>
      <c r="BZ38" s="28">
        <v>-0.55418770100000103</v>
      </c>
      <c r="CA38" s="28">
        <v>-2.5698450000455342E-4</v>
      </c>
      <c r="CB38" s="28">
        <v>1.367158333324126E-4</v>
      </c>
      <c r="CC38" s="28">
        <v>-0.59720793466666799</v>
      </c>
      <c r="CD38" s="28">
        <v>-0.81571293466666805</v>
      </c>
      <c r="CE38" s="28">
        <v>-0.24322541750000051</v>
      </c>
      <c r="CF38" s="28">
        <v>-0.34471480066666699</v>
      </c>
      <c r="CG38" s="28">
        <v>-0.64407131783333449</v>
      </c>
      <c r="CH38" s="28">
        <v>-0.32375658416666753</v>
      </c>
      <c r="CI38" s="28">
        <v>-7.1134000000999675E-5</v>
      </c>
      <c r="CJ38" s="28">
        <v>9.0865999998995806E-5</v>
      </c>
      <c r="CK38" s="28">
        <v>-0.47501631783333448</v>
      </c>
      <c r="CL38" s="28">
        <v>-0.41508331783333452</v>
      </c>
      <c r="CM38" s="28">
        <v>-0.2452811838333335</v>
      </c>
      <c r="CN38" s="28">
        <v>-5.0317166667535052E-5</v>
      </c>
      <c r="CO38" s="28">
        <v>-0.24592865116666751</v>
      </c>
      <c r="CP38" s="28">
        <v>1.8248283332944479E-4</v>
      </c>
      <c r="CQ38" s="28">
        <v>-0.73177460133333505</v>
      </c>
      <c r="CR38" s="28">
        <v>-0.39229786766666802</v>
      </c>
      <c r="CS38" s="28">
        <v>-0.38648806733333402</v>
      </c>
      <c r="CT38" s="28">
        <v>-0.4101679503280713</v>
      </c>
      <c r="CU38" s="34">
        <v>-38.965955281166771</v>
      </c>
    </row>
    <row r="39" spans="1:99" x14ac:dyDescent="0.25">
      <c r="A39" s="24">
        <v>38</v>
      </c>
      <c r="B39" s="26">
        <v>18.5</v>
      </c>
      <c r="C39" s="28">
        <v>1.286888333330016E-4</v>
      </c>
      <c r="D39" s="28">
        <v>-0.24897672600000001</v>
      </c>
      <c r="E39" s="28">
        <v>2.2763700000005829E-4</v>
      </c>
      <c r="F39" s="28">
        <v>-0.48443525933333298</v>
      </c>
      <c r="G39" s="28">
        <v>-0.34085705933333299</v>
      </c>
      <c r="H39" s="28">
        <v>-0.41589637783333328</v>
      </c>
      <c r="I39" s="28">
        <v>-0.584750726</v>
      </c>
      <c r="J39" s="28">
        <v>-2.1044499999955949E-5</v>
      </c>
      <c r="K39" s="28">
        <v>1.47940666669899E-4</v>
      </c>
      <c r="L39" s="28">
        <v>-0.37647205933333311</v>
      </c>
      <c r="M39" s="28">
        <v>-0.50074472599999997</v>
      </c>
      <c r="N39" s="28">
        <v>-0.25349405933333302</v>
      </c>
      <c r="O39" s="28">
        <v>-1.4495363000000041E-2</v>
      </c>
      <c r="P39" s="28">
        <v>-0.41572604449999989</v>
      </c>
      <c r="Q39" s="28">
        <v>-9.0093522249999974E-2</v>
      </c>
      <c r="R39" s="28">
        <v>-0.23713505933333309</v>
      </c>
      <c r="S39" s="28">
        <v>-0.57566815933333337</v>
      </c>
      <c r="T39" s="28">
        <v>-0.24803476299999999</v>
      </c>
      <c r="U39" s="28">
        <v>-0.34111405933333311</v>
      </c>
      <c r="V39" s="28">
        <v>-0.15916469266666711</v>
      </c>
      <c r="W39" s="28">
        <v>-0.41087072600000007</v>
      </c>
      <c r="X39" s="28">
        <v>-0.36385037783333302</v>
      </c>
      <c r="Y39" s="28">
        <v>-0.29989021858333298</v>
      </c>
      <c r="Z39" s="28">
        <v>-4.838704166670107E-4</v>
      </c>
      <c r="AA39" s="28">
        <v>-4.0418188916667E-2</v>
      </c>
      <c r="AB39" s="28">
        <v>3.2914441666699601E-4</v>
      </c>
      <c r="AC39" s="28">
        <v>-0.20799456299999999</v>
      </c>
      <c r="AD39" s="28">
        <v>3.3487775000000213E-4</v>
      </c>
      <c r="AE39" s="28">
        <v>3.592739999999095E-4</v>
      </c>
      <c r="AF39" s="28">
        <v>-1.858704166670111E-4</v>
      </c>
      <c r="AG39" s="28">
        <v>-0.27301072599999998</v>
      </c>
      <c r="AH39" s="28">
        <v>-1.0925188916666989E-2</v>
      </c>
      <c r="AI39" s="28">
        <v>-0.48971072599999999</v>
      </c>
      <c r="AJ39" s="28">
        <v>-0.53380139266666671</v>
      </c>
      <c r="AK39" s="28">
        <v>-6.7707377833332971E-2</v>
      </c>
      <c r="AL39" s="28">
        <v>-0.26337536299999997</v>
      </c>
      <c r="AM39" s="28">
        <v>-0.485395992666667</v>
      </c>
      <c r="AN39" s="28">
        <v>-0.584750726</v>
      </c>
      <c r="AO39" s="28">
        <v>-0.38053465933333303</v>
      </c>
      <c r="AP39" s="28">
        <v>-0.27852172600000003</v>
      </c>
      <c r="AQ39" s="28">
        <v>-4.765370833330132E-4</v>
      </c>
      <c r="AR39" s="28">
        <v>-3.7536300000001738E-4</v>
      </c>
      <c r="AS39" s="28">
        <v>-0.39193352599999998</v>
      </c>
      <c r="AT39" s="28">
        <v>-0.29151771116666703</v>
      </c>
      <c r="AU39" s="28">
        <v>4.6997033332996102E-4</v>
      </c>
      <c r="AV39" s="28">
        <v>-0.31011339266666699</v>
      </c>
      <c r="AW39" s="28">
        <v>-0.57445405933333338</v>
      </c>
      <c r="AX39" s="28">
        <v>-0.38410837783333329</v>
      </c>
      <c r="AY39" s="28">
        <v>-0.21902604449999999</v>
      </c>
      <c r="AZ39" s="28">
        <v>-9.8773370416667006E-2</v>
      </c>
      <c r="BA39" s="28">
        <v>1.3111474999982781E-4</v>
      </c>
      <c r="BB39" s="28">
        <v>-0.116637711166667</v>
      </c>
      <c r="BC39" s="28">
        <v>-0.45614072600000011</v>
      </c>
      <c r="BD39" s="28">
        <v>-0.44506355191666702</v>
      </c>
      <c r="BE39" s="28">
        <v>-0.36546121858333303</v>
      </c>
      <c r="BF39" s="28">
        <v>-0.34512072599999999</v>
      </c>
      <c r="BG39" s="28">
        <v>-0.18684755191666699</v>
      </c>
      <c r="BH39" s="28">
        <v>-0.56275072599999998</v>
      </c>
      <c r="BI39" s="28">
        <v>-5.8870416667022862E-5</v>
      </c>
      <c r="BJ39" s="28">
        <v>1.083036666700288E-4</v>
      </c>
      <c r="BK39" s="28">
        <v>-0.1967220445</v>
      </c>
      <c r="BL39" s="28">
        <v>6.8477750000038584E-5</v>
      </c>
      <c r="BM39" s="28">
        <v>-0.44450272600000013</v>
      </c>
      <c r="BN39" s="28">
        <v>-0.42406304449999999</v>
      </c>
      <c r="BO39" s="28">
        <v>-0.20377720375</v>
      </c>
      <c r="BP39" s="28">
        <v>-0.50767605933333304</v>
      </c>
      <c r="BQ39" s="28">
        <v>-0.37175855191666701</v>
      </c>
      <c r="BR39" s="28">
        <v>-4.0724059333333007E-2</v>
      </c>
      <c r="BS39" s="28">
        <v>-4.4392666670223242E-5</v>
      </c>
      <c r="BT39" s="28">
        <v>-0.30070587041666669</v>
      </c>
      <c r="BU39" s="28">
        <v>-0.21109475933333299</v>
      </c>
      <c r="BV39" s="28">
        <v>2.7497033333295778E-4</v>
      </c>
      <c r="BW39" s="28">
        <v>-4.320296666670137E-4</v>
      </c>
      <c r="BX39" s="28">
        <v>2.0695550000001531E-4</v>
      </c>
      <c r="BY39" s="28">
        <v>-0.49790688524999999</v>
      </c>
      <c r="BZ39" s="28">
        <v>6.2622166667081203E-5</v>
      </c>
      <c r="CA39" s="28">
        <v>-7.4218583332952281E-5</v>
      </c>
      <c r="CB39" s="28">
        <v>3.776291666990339E-5</v>
      </c>
      <c r="CC39" s="28">
        <v>-0.35300105933333298</v>
      </c>
      <c r="CD39" s="28">
        <v>-0.55016482600000005</v>
      </c>
      <c r="CE39" s="28">
        <v>-0.12942053708333301</v>
      </c>
      <c r="CF39" s="28">
        <v>-0.22393002966666661</v>
      </c>
      <c r="CG39" s="28">
        <v>-0.34668221858333298</v>
      </c>
      <c r="CH39" s="28">
        <v>-0.110380870416667</v>
      </c>
      <c r="CI39" s="28">
        <v>-3.3336300000002048E-4</v>
      </c>
      <c r="CJ39" s="28">
        <v>-2.029666670066987E-6</v>
      </c>
      <c r="CK39" s="28">
        <v>-0.32545521858333298</v>
      </c>
      <c r="CL39" s="28">
        <v>-0.31303568524999997</v>
      </c>
      <c r="CM39" s="28">
        <v>-0.11077152225</v>
      </c>
      <c r="CN39" s="28">
        <v>-8.6588916666990867E-5</v>
      </c>
      <c r="CO39" s="28">
        <v>-3.6099218583332982E-2</v>
      </c>
      <c r="CP39" s="28">
        <v>-7.1522249999997345E-5</v>
      </c>
      <c r="CQ39" s="28">
        <v>-0.57975072599999999</v>
      </c>
      <c r="CR39" s="28">
        <v>-0.14642204449999999</v>
      </c>
      <c r="CS39" s="28">
        <v>-0.109600829666667</v>
      </c>
      <c r="CT39" s="28">
        <v>-0.22378072898508769</v>
      </c>
      <c r="CU39" s="34">
        <v>-21.25916925358333</v>
      </c>
    </row>
    <row r="40" spans="1:99" x14ac:dyDescent="0.25">
      <c r="A40" s="24">
        <v>39</v>
      </c>
      <c r="B40" s="26">
        <v>19</v>
      </c>
      <c r="C40" s="28">
        <v>-4.5322746666691388E-4</v>
      </c>
      <c r="D40" s="28">
        <v>2.668189333338844E-4</v>
      </c>
      <c r="E40" s="28">
        <v>2.0029280000042129E-4</v>
      </c>
      <c r="F40" s="28">
        <v>-3.5309014400000172E-2</v>
      </c>
      <c r="G40" s="28">
        <v>7.025226666684814E-5</v>
      </c>
      <c r="H40" s="28">
        <v>1.9277253333405131E-4</v>
      </c>
      <c r="I40" s="28">
        <v>-0.32232074773333319</v>
      </c>
      <c r="J40" s="28">
        <v>-1.1989413333290951E-4</v>
      </c>
      <c r="K40" s="28">
        <v>-4.9408106666337659E-4</v>
      </c>
      <c r="L40" s="28">
        <v>4.3825226666681372E-4</v>
      </c>
      <c r="M40" s="28">
        <v>-0.1214274144000002</v>
      </c>
      <c r="N40" s="28">
        <v>-0.18801274773333321</v>
      </c>
      <c r="O40" s="28">
        <v>-7.0373866666556539E-5</v>
      </c>
      <c r="P40" s="28">
        <v>-4.8746079999990172E-4</v>
      </c>
      <c r="Q40" s="28">
        <v>-3.6828039999992068E-4</v>
      </c>
      <c r="R40" s="28">
        <v>-4.4741440000017901E-4</v>
      </c>
      <c r="S40" s="28">
        <v>-0.30815408106666647</v>
      </c>
      <c r="T40" s="28">
        <v>-7.6092373866666591E-2</v>
      </c>
      <c r="U40" s="28">
        <v>-0.2179840810666662</v>
      </c>
      <c r="V40" s="28">
        <v>-0.21249341440000019</v>
      </c>
      <c r="W40" s="28">
        <v>-0.21475224773333321</v>
      </c>
      <c r="X40" s="28">
        <v>-7.8560799999946584E-5</v>
      </c>
      <c r="Y40" s="28">
        <v>-4.1365426666650768E-4</v>
      </c>
      <c r="Z40" s="28">
        <v>-4.6729467333333191E-2</v>
      </c>
      <c r="AA40" s="28">
        <v>-8.4120280399999914E-2</v>
      </c>
      <c r="AB40" s="28">
        <v>1.4638626666679119E-4</v>
      </c>
      <c r="AC40" s="28">
        <v>-2.1576573866666591E-2</v>
      </c>
      <c r="AD40" s="28">
        <v>-3.6488039999990618E-4</v>
      </c>
      <c r="AE40" s="28">
        <v>2.3335226666681969E-4</v>
      </c>
      <c r="AF40" s="28">
        <v>-2.6846733333318879E-4</v>
      </c>
      <c r="AG40" s="28">
        <v>-0.10681708106666619</v>
      </c>
      <c r="AH40" s="28">
        <v>-2.0453280399999909E-2</v>
      </c>
      <c r="AI40" s="28">
        <v>-0.21735474773333319</v>
      </c>
      <c r="AJ40" s="28">
        <v>-0.1900627477333332</v>
      </c>
      <c r="AK40" s="28">
        <v>2.1110586667005829E-4</v>
      </c>
      <c r="AL40" s="28">
        <v>-0.1321603738666666</v>
      </c>
      <c r="AM40" s="28">
        <v>-0.30403074773333322</v>
      </c>
      <c r="AN40" s="28">
        <v>-0.32232074773333319</v>
      </c>
      <c r="AO40" s="28">
        <v>-7.2322747733333193E-2</v>
      </c>
      <c r="AP40" s="28">
        <v>-0.28497808106666639</v>
      </c>
      <c r="AQ40" s="28">
        <v>-2.4020467333333181E-2</v>
      </c>
      <c r="AR40" s="28">
        <v>-1.6037386666656331E-4</v>
      </c>
      <c r="AS40" s="28">
        <v>-1.9560747733333161E-2</v>
      </c>
      <c r="AT40" s="28">
        <v>-1.7253894133332951E-2</v>
      </c>
      <c r="AU40" s="28">
        <v>-1.6704053333604921E-4</v>
      </c>
      <c r="AV40" s="28">
        <v>-2.2364081066666149E-2</v>
      </c>
      <c r="AW40" s="28">
        <v>-0.1178990810666662</v>
      </c>
      <c r="AX40" s="28">
        <v>-3.3777894133332931E-2</v>
      </c>
      <c r="AY40" s="28">
        <v>-2.0922746666696129E-4</v>
      </c>
      <c r="AZ40" s="28">
        <v>4.7993266666679363E-4</v>
      </c>
      <c r="BA40" s="28">
        <v>1.5767906666649961E-4</v>
      </c>
      <c r="BB40" s="28">
        <v>2.1077253333309789E-4</v>
      </c>
      <c r="BC40" s="28">
        <v>-0.22719308106666619</v>
      </c>
      <c r="BD40" s="28">
        <v>-7.6681320933333519E-2</v>
      </c>
      <c r="BE40" s="28">
        <v>-4.7932093333352688E-4</v>
      </c>
      <c r="BF40" s="28">
        <v>-0.27228241439999978</v>
      </c>
      <c r="BG40" s="28">
        <v>-6.6570654266666529E-2</v>
      </c>
      <c r="BH40" s="28">
        <v>-0.19617741440000019</v>
      </c>
      <c r="BI40" s="28">
        <v>-7.2467333333183642E-5</v>
      </c>
      <c r="BJ40" s="28">
        <v>3.4329280000036649E-4</v>
      </c>
      <c r="BK40" s="28">
        <v>-7.0795607999999399E-3</v>
      </c>
      <c r="BL40" s="28">
        <v>-2.702803999999337E-4</v>
      </c>
      <c r="BM40" s="28">
        <v>-0.32032074773333319</v>
      </c>
      <c r="BN40" s="28">
        <v>-2.8924560799999919E-2</v>
      </c>
      <c r="BO40" s="28">
        <v>-6.2371267333333168E-2</v>
      </c>
      <c r="BP40" s="28">
        <v>2.7191893333383682E-4</v>
      </c>
      <c r="BQ40" s="28">
        <v>-4.5496320933333501E-2</v>
      </c>
      <c r="BR40" s="28">
        <v>-3.4774773333316739E-4</v>
      </c>
      <c r="BS40" s="28">
        <v>-2.8741440000290552E-4</v>
      </c>
      <c r="BT40" s="28">
        <v>3.0753266666682521E-4</v>
      </c>
      <c r="BU40" s="28">
        <v>-0.1803787144000002</v>
      </c>
      <c r="BV40" s="28">
        <v>2.9594666664523039E-6</v>
      </c>
      <c r="BW40" s="28">
        <v>9.7892800000415336E-5</v>
      </c>
      <c r="BX40" s="28">
        <v>-3.7689413333291682E-4</v>
      </c>
      <c r="BY40" s="28">
        <v>-0.17996398759999949</v>
      </c>
      <c r="BZ40" s="28">
        <v>-3.1894133329712908E-5</v>
      </c>
      <c r="CA40" s="28">
        <v>-4.6465426666650322E-4</v>
      </c>
      <c r="CB40" s="28">
        <v>3.2153266666679059E-4</v>
      </c>
      <c r="CC40" s="28">
        <v>-3.9474773333308949E-4</v>
      </c>
      <c r="CD40" s="28">
        <v>-0.2484682477333332</v>
      </c>
      <c r="CE40" s="28">
        <v>4.5486599999700061E-4</v>
      </c>
      <c r="CF40" s="28">
        <v>-4.9304053333357883E-4</v>
      </c>
      <c r="CG40" s="28">
        <v>-0.19197665426666649</v>
      </c>
      <c r="CH40" s="28">
        <v>1.113659999998316E-4</v>
      </c>
      <c r="CI40" s="28">
        <v>2.989594666633622E-4</v>
      </c>
      <c r="CJ40" s="28">
        <v>-4.7604053333366592E-4</v>
      </c>
      <c r="CK40" s="28">
        <v>-0.13211465426666649</v>
      </c>
      <c r="CL40" s="28">
        <v>-0.1381641209333335</v>
      </c>
      <c r="CM40" s="28">
        <v>-8.0908613733333204E-2</v>
      </c>
      <c r="CN40" s="28">
        <v>4.7971960000003921E-4</v>
      </c>
      <c r="CO40" s="28">
        <v>-2.871532093333351E-2</v>
      </c>
      <c r="CP40" s="28">
        <v>2.5838626666709053E-4</v>
      </c>
      <c r="CQ40" s="28">
        <v>-0.13596008106666621</v>
      </c>
      <c r="CR40" s="28">
        <v>-0.1202078941333329</v>
      </c>
      <c r="CS40" s="28">
        <v>-1.329999958391915E-8</v>
      </c>
      <c r="CT40" s="28">
        <v>-6.8174170572280604E-2</v>
      </c>
      <c r="CU40" s="34">
        <v>-6.4765462043666568</v>
      </c>
    </row>
    <row r="41" spans="1:99" x14ac:dyDescent="0.25">
      <c r="A41" s="24">
        <v>40</v>
      </c>
      <c r="B41" s="26">
        <v>19.5</v>
      </c>
      <c r="C41" s="28">
        <v>1.7403870000000379E-4</v>
      </c>
      <c r="D41" s="28">
        <v>-6.1948399999955939E-5</v>
      </c>
      <c r="E41" s="28">
        <v>3.5602580000004819E-4</v>
      </c>
      <c r="F41" s="28">
        <v>-7.6948399999998696E-5</v>
      </c>
      <c r="G41" s="28">
        <v>4.5805159999967587E-4</v>
      </c>
      <c r="H41" s="28">
        <v>-4.9496129999992977E-4</v>
      </c>
      <c r="I41" s="28">
        <v>-6.1159948399999997E-2</v>
      </c>
      <c r="J41" s="28">
        <v>-1.712946333329857E-4</v>
      </c>
      <c r="K41" s="28">
        <v>-8.6615066669848417E-5</v>
      </c>
      <c r="L41" s="28">
        <v>-4.6328173333295969E-4</v>
      </c>
      <c r="M41" s="28">
        <v>-4.3948399999993448E-5</v>
      </c>
      <c r="N41" s="28">
        <v>-2.928173333299755E-5</v>
      </c>
      <c r="O41" s="28">
        <v>-1.4764086666696491E-4</v>
      </c>
      <c r="P41" s="28">
        <v>-1.6596130000007259E-4</v>
      </c>
      <c r="Q41" s="28">
        <v>2.7268601666699532E-4</v>
      </c>
      <c r="R41" s="28">
        <v>-2.8461506666699332E-4</v>
      </c>
      <c r="S41" s="28">
        <v>-3.2581506666700538E-4</v>
      </c>
      <c r="T41" s="28">
        <v>-3.2330753333298379E-4</v>
      </c>
      <c r="U41" s="28">
        <v>-5.1159948400000002E-2</v>
      </c>
      <c r="V41" s="28">
        <v>-4.5281733333013552E-5</v>
      </c>
      <c r="W41" s="28">
        <v>4.00451600000018E-4</v>
      </c>
      <c r="X41" s="28">
        <v>-2.13699613E-2</v>
      </c>
      <c r="Y41" s="28">
        <v>-3.1621516667024168E-5</v>
      </c>
      <c r="Z41" s="28">
        <v>-8.3063010833333006E-3</v>
      </c>
      <c r="AA41" s="28">
        <v>-4.603139833330161E-4</v>
      </c>
      <c r="AB41" s="28">
        <v>4.5001934999999721E-4</v>
      </c>
      <c r="AC41" s="28">
        <v>9.6692466666992161E-5</v>
      </c>
      <c r="AD41" s="28">
        <v>-1.333139833329389E-4</v>
      </c>
      <c r="AE41" s="28">
        <v>-1.5994839999999841E-4</v>
      </c>
      <c r="AF41" s="28">
        <v>-1.6830108333301669E-4</v>
      </c>
      <c r="AG41" s="28">
        <v>-1.052817333329903E-4</v>
      </c>
      <c r="AH41" s="28">
        <v>1.130193499999932E-4</v>
      </c>
      <c r="AI41" s="28">
        <v>2.8538493333300432E-4</v>
      </c>
      <c r="AJ41" s="28">
        <v>1.173849333298005E-4</v>
      </c>
      <c r="AK41" s="28">
        <v>3.0403869999995342E-4</v>
      </c>
      <c r="AL41" s="28">
        <v>-1.579974200000001E-3</v>
      </c>
      <c r="AM41" s="28">
        <v>4.7895160000002712E-4</v>
      </c>
      <c r="AN41" s="28">
        <v>-6.1159948399999997E-2</v>
      </c>
      <c r="AO41" s="28">
        <v>-3.7528173333301051E-4</v>
      </c>
      <c r="AP41" s="28">
        <v>-3.2794839999994441E-4</v>
      </c>
      <c r="AQ41" s="28">
        <v>-8.97496775E-3</v>
      </c>
      <c r="AR41" s="28">
        <v>-3.4597420000000162E-4</v>
      </c>
      <c r="AS41" s="28">
        <v>-3.4161506666707808E-4</v>
      </c>
      <c r="AT41" s="28">
        <v>-4.4929463333301389E-4</v>
      </c>
      <c r="AU41" s="28">
        <v>7.9359133330014764E-5</v>
      </c>
      <c r="AV41" s="28">
        <v>-3.6261506666696031E-4</v>
      </c>
      <c r="AW41" s="28">
        <v>-2.5615066666984099E-5</v>
      </c>
      <c r="AX41" s="28">
        <v>2.4937203333397218E-4</v>
      </c>
      <c r="AY41" s="28">
        <v>-3.9294633330078099E-5</v>
      </c>
      <c r="AZ41" s="28">
        <v>-4.2296775000003062E-4</v>
      </c>
      <c r="BA41" s="28">
        <v>4.9537848333297552E-4</v>
      </c>
      <c r="BB41" s="28">
        <v>2.170386999999496E-4</v>
      </c>
      <c r="BC41" s="28">
        <v>-2.7615066666986099E-5</v>
      </c>
      <c r="BD41" s="28">
        <v>-3.8764954849999998E-2</v>
      </c>
      <c r="BE41" s="28">
        <v>2.604515000004248E-5</v>
      </c>
      <c r="BF41" s="28">
        <v>-7.3615066667004347E-5</v>
      </c>
      <c r="BG41" s="28">
        <v>4.1837848333298178E-4</v>
      </c>
      <c r="BH41" s="28">
        <v>-1.332817333301595E-4</v>
      </c>
      <c r="BI41" s="28">
        <v>4.1703225000000449E-4</v>
      </c>
      <c r="BJ41" s="28">
        <v>-7.2307533333010321E-5</v>
      </c>
      <c r="BK41" s="28">
        <v>-4.7162796666599949E-4</v>
      </c>
      <c r="BL41" s="28">
        <v>-4.2664731666697259E-4</v>
      </c>
      <c r="BM41" s="28">
        <v>-3.236150666698911E-4</v>
      </c>
      <c r="BN41" s="28">
        <v>-1.099612999999888E-4</v>
      </c>
      <c r="BO41" s="28">
        <v>-6.9677500000309136E-6</v>
      </c>
      <c r="BP41" s="28">
        <v>2.1138493333305861E-4</v>
      </c>
      <c r="BQ41" s="28">
        <v>2.1371181666701711E-4</v>
      </c>
      <c r="BR41" s="28">
        <v>-3.1028173332980907E-4</v>
      </c>
      <c r="BS41" s="28">
        <v>2.1805159999988E-4</v>
      </c>
      <c r="BT41" s="28">
        <v>-3.4163441666695832E-4</v>
      </c>
      <c r="BU41" s="28">
        <v>3.2471826666702341E-4</v>
      </c>
      <c r="BV41" s="28">
        <v>-2.7640866667066891E-5</v>
      </c>
      <c r="BW41" s="28">
        <v>-5.730753333299532E-5</v>
      </c>
      <c r="BX41" s="28">
        <v>-2.6862796666704552E-4</v>
      </c>
      <c r="BY41" s="28">
        <v>-3.1095485000001011E-4</v>
      </c>
      <c r="BZ41" s="28">
        <v>3.6463869999997511E-4</v>
      </c>
      <c r="CA41" s="28">
        <v>2.350451500000017E-4</v>
      </c>
      <c r="CB41" s="28">
        <v>-1.056344166669998E-4</v>
      </c>
      <c r="CC41" s="28">
        <v>4.3384933334000841E-5</v>
      </c>
      <c r="CD41" s="28">
        <v>4.6838493333306591E-4</v>
      </c>
      <c r="CE41" s="28">
        <v>2.176989166700061E-4</v>
      </c>
      <c r="CF41" s="28">
        <v>-2.1864086666669241E-4</v>
      </c>
      <c r="CG41" s="28">
        <v>-4.7828818333300882E-4</v>
      </c>
      <c r="CH41" s="28">
        <v>2.8503224999998361E-4</v>
      </c>
      <c r="CI41" s="28">
        <v>2.8869246666984871E-4</v>
      </c>
      <c r="CJ41" s="28">
        <v>-1.9430753333330149E-4</v>
      </c>
      <c r="CK41" s="28">
        <v>3.8704514999999759E-4</v>
      </c>
      <c r="CL41" s="28">
        <v>-1.19954849999937E-4</v>
      </c>
      <c r="CM41" s="28">
        <v>2.8835268333299302E-4</v>
      </c>
      <c r="CN41" s="28">
        <v>-2.9806500000117971E-6</v>
      </c>
      <c r="CO41" s="28">
        <v>3.9037848333300929E-4</v>
      </c>
      <c r="CP41" s="28">
        <v>1.8568601666701931E-4</v>
      </c>
      <c r="CQ41" s="28">
        <v>-5.61599484E-2</v>
      </c>
      <c r="CR41" s="28">
        <v>-1.716279666670317E-4</v>
      </c>
      <c r="CS41" s="28">
        <v>-3.5764086666700828E-4</v>
      </c>
      <c r="CT41" s="28">
        <v>-3.265114180877153E-3</v>
      </c>
      <c r="CU41" s="34">
        <v>-0.31018584718332959</v>
      </c>
    </row>
    <row r="42" spans="1:99" x14ac:dyDescent="0.25">
      <c r="A42" s="24">
        <v>41</v>
      </c>
      <c r="B42" s="26">
        <v>20</v>
      </c>
      <c r="C42" s="28">
        <v>1.771677999999888E-4</v>
      </c>
      <c r="D42" s="28">
        <v>-3.7010959999683729E-4</v>
      </c>
      <c r="E42" s="28">
        <v>4.6477853333365399E-4</v>
      </c>
      <c r="F42" s="28">
        <v>-5.1442933333700758E-5</v>
      </c>
      <c r="G42" s="28">
        <v>-3.4244293333368653E-4</v>
      </c>
      <c r="H42" s="28">
        <v>-1.2416553333299829E-4</v>
      </c>
      <c r="I42" s="28">
        <v>2.3622373333332181E-4</v>
      </c>
      <c r="J42" s="28">
        <v>-4.7549886666703461E-4</v>
      </c>
      <c r="K42" s="28">
        <v>-1.2877626666674141E-4</v>
      </c>
      <c r="L42" s="28">
        <v>1.215570666663057E-4</v>
      </c>
      <c r="M42" s="28">
        <v>4.4122373333332909E-4</v>
      </c>
      <c r="N42" s="28">
        <v>4.0890399999271583E-5</v>
      </c>
      <c r="O42" s="28">
        <v>-1.9222146666636461E-4</v>
      </c>
      <c r="P42" s="28">
        <v>4.7167799999914273E-5</v>
      </c>
      <c r="Q42" s="28">
        <v>1.2691723333302371E-4</v>
      </c>
      <c r="R42" s="28">
        <v>-6.9442933333718759E-5</v>
      </c>
      <c r="S42" s="28">
        <v>2.3622373333332181E-4</v>
      </c>
      <c r="T42" s="28">
        <v>1.011186666666219E-5</v>
      </c>
      <c r="U42" s="28">
        <v>2.3622373333331839E-4</v>
      </c>
      <c r="V42" s="28">
        <v>2.3689040000030029E-4</v>
      </c>
      <c r="W42" s="28">
        <v>-5.109599999664205E-6</v>
      </c>
      <c r="X42" s="28">
        <v>4.265677999999995E-4</v>
      </c>
      <c r="Y42" s="28">
        <v>3.9029099999643442E-5</v>
      </c>
      <c r="Z42" s="28">
        <v>-3.0268333326977088E-6</v>
      </c>
      <c r="AA42" s="28">
        <v>-4.1141610000000611E-4</v>
      </c>
      <c r="AB42" s="28">
        <v>-3.1416099999959091E-5</v>
      </c>
      <c r="AC42" s="28">
        <v>-3.5855480000357431E-4</v>
      </c>
      <c r="AD42" s="28">
        <v>6.4917233333017244E-5</v>
      </c>
      <c r="AE42" s="28">
        <v>-1.610959999964745E-5</v>
      </c>
      <c r="AF42" s="28">
        <v>-3.5236016666666259E-4</v>
      </c>
      <c r="AG42" s="28">
        <v>-2.28442933333739E-4</v>
      </c>
      <c r="AH42" s="28">
        <v>1.865838999999814E-4</v>
      </c>
      <c r="AI42" s="28">
        <v>3.8289040000032137E-4</v>
      </c>
      <c r="AJ42" s="28">
        <v>4.3289040000027418E-4</v>
      </c>
      <c r="AK42" s="28">
        <v>-4.8783220000014888E-4</v>
      </c>
      <c r="AL42" s="28">
        <v>1.181118666666592E-4</v>
      </c>
      <c r="AM42" s="28">
        <v>4.1749039999991472E-4</v>
      </c>
      <c r="AN42" s="28">
        <v>-6.4429333336835093E-6</v>
      </c>
      <c r="AO42" s="28">
        <v>6.455706666630423E-5</v>
      </c>
      <c r="AP42" s="28">
        <v>-1.4177626666667109E-4</v>
      </c>
      <c r="AQ42" s="28">
        <v>3.7263983333335471E-4</v>
      </c>
      <c r="AR42" s="28">
        <v>4.7744519999996099E-4</v>
      </c>
      <c r="AS42" s="28">
        <v>-4.3710959999976318E-4</v>
      </c>
      <c r="AT42" s="28">
        <v>-3.8016553333301839E-4</v>
      </c>
      <c r="AU42" s="28">
        <v>-4.5355480000036641E-4</v>
      </c>
      <c r="AV42" s="28">
        <v>2.1955706666731969E-4</v>
      </c>
      <c r="AW42" s="28">
        <v>2.7489040000028281E-4</v>
      </c>
      <c r="AX42" s="28">
        <v>3.6183446666698821E-4</v>
      </c>
      <c r="AY42" s="28">
        <v>-1.204988666700935E-4</v>
      </c>
      <c r="AZ42" s="28">
        <v>4.9097316666635304E-4</v>
      </c>
      <c r="BA42" s="28">
        <v>-2.8897089999935233E-4</v>
      </c>
      <c r="BB42" s="28">
        <v>-3.6016553333301232E-4</v>
      </c>
      <c r="BC42" s="28">
        <v>-2.4244293333369751E-4</v>
      </c>
      <c r="BD42" s="28">
        <v>-2.6797090000035828E-4</v>
      </c>
      <c r="BE42" s="28">
        <v>-3.7697090000365918E-4</v>
      </c>
      <c r="BF42" s="28">
        <v>1.628904000003373E-4</v>
      </c>
      <c r="BG42" s="28">
        <v>3.0769576666678228E-4</v>
      </c>
      <c r="BH42" s="28">
        <v>-2.087762666666548E-4</v>
      </c>
      <c r="BI42" s="28">
        <v>-3.5026833333673402E-5</v>
      </c>
      <c r="BJ42" s="28">
        <v>1.181118666666592E-4</v>
      </c>
      <c r="BK42" s="28">
        <v>1.468344666669674E-4</v>
      </c>
      <c r="BL42" s="28">
        <v>3.8583899999999893E-5</v>
      </c>
      <c r="BM42" s="28">
        <v>1.3155706666623251E-4</v>
      </c>
      <c r="BN42" s="28">
        <v>1.771677999999888E-4</v>
      </c>
      <c r="BO42" s="28">
        <v>-3.313601666665722E-4</v>
      </c>
      <c r="BP42" s="28">
        <v>7.7557066667344188E-5</v>
      </c>
      <c r="BQ42" s="28">
        <v>3.6669576666667481E-4</v>
      </c>
      <c r="BR42" s="28">
        <v>-4.5910959999972972E-4</v>
      </c>
      <c r="BS42" s="28">
        <v>1.3290223733333269E-2</v>
      </c>
      <c r="BT42" s="28">
        <v>4.0973166666291583E-5</v>
      </c>
      <c r="BU42" s="28">
        <v>3.4089040000034881E-4</v>
      </c>
      <c r="BV42" s="28">
        <v>-1.188881333333835E-4</v>
      </c>
      <c r="BW42" s="28">
        <v>-1.935548000003284E-4</v>
      </c>
      <c r="BX42" s="28">
        <v>2.4450113333396312E-4</v>
      </c>
      <c r="BY42" s="28">
        <v>-3.6830423333333862E-4</v>
      </c>
      <c r="BZ42" s="28">
        <v>-1.788321999999232E-4</v>
      </c>
      <c r="CA42" s="28">
        <v>-2.306375666663307E-4</v>
      </c>
      <c r="CB42" s="28">
        <v>-7.2026833333682649E-5</v>
      </c>
      <c r="CC42" s="28">
        <v>4.8155706666630488E-4</v>
      </c>
      <c r="CD42" s="28">
        <v>-6.5442933333659248E-5</v>
      </c>
      <c r="CE42" s="28">
        <v>2.7763983333328751E-4</v>
      </c>
      <c r="CF42" s="28">
        <v>1.0477853333365481E-4</v>
      </c>
      <c r="CG42" s="28">
        <v>-2.7163756666637168E-4</v>
      </c>
      <c r="CH42" s="28">
        <v>-4.3602683333354708E-4</v>
      </c>
      <c r="CI42" s="28">
        <v>-4.7221466666358403E-5</v>
      </c>
      <c r="CJ42" s="28">
        <v>-4.5622146666346453E-4</v>
      </c>
      <c r="CK42" s="28">
        <v>-2.7930423333333287E-4</v>
      </c>
      <c r="CL42" s="28">
        <v>4.5769576666665479E-4</v>
      </c>
      <c r="CM42" s="28">
        <v>3.6583899999942382E-5</v>
      </c>
      <c r="CN42" s="28">
        <v>-2.1508276666593049E-4</v>
      </c>
      <c r="CO42" s="28">
        <v>-1.497090000035506E-5</v>
      </c>
      <c r="CP42" s="28">
        <v>3.2505666670012978E-6</v>
      </c>
      <c r="CQ42" s="28">
        <v>-8.3442933333677249E-5</v>
      </c>
      <c r="CR42" s="28">
        <v>-4.0926553333302251E-4</v>
      </c>
      <c r="CS42" s="28">
        <v>-4.1155480000037992E-4</v>
      </c>
      <c r="CT42" s="28">
        <v>1.2526122561399921E-4</v>
      </c>
      <c r="CU42" s="34">
        <v>1.1899816433329919E-2</v>
      </c>
    </row>
    <row r="43" spans="1:99" x14ac:dyDescent="0.25">
      <c r="A43" s="24">
        <v>42</v>
      </c>
      <c r="B43" s="26">
        <v>20.5</v>
      </c>
      <c r="C43" s="28">
        <v>4.9799999999999844E-4</v>
      </c>
      <c r="D43" s="28">
        <v>2.7233333333298582E-4</v>
      </c>
      <c r="E43" s="28">
        <v>2.4800000000002598E-4</v>
      </c>
      <c r="F43" s="28">
        <v>2.6666666666699812E-4</v>
      </c>
      <c r="G43" s="28">
        <v>0</v>
      </c>
      <c r="H43" s="28">
        <v>-1.5133333333305909E-4</v>
      </c>
      <c r="I43" s="28">
        <v>0</v>
      </c>
      <c r="J43" s="28">
        <v>-2.9933333333320711E-4</v>
      </c>
      <c r="K43" s="28">
        <v>1.660000000001105E-4</v>
      </c>
      <c r="L43" s="28">
        <v>9.1666666666989638E-5</v>
      </c>
      <c r="M43" s="28">
        <v>4.6999999999997039E-4</v>
      </c>
      <c r="N43" s="28">
        <v>1.77999999999956E-4</v>
      </c>
      <c r="O43" s="28">
        <v>2.050000000000107E-4</v>
      </c>
      <c r="P43" s="28">
        <v>1.166666666669869E-4</v>
      </c>
      <c r="Q43" s="28">
        <v>3.7999999999982492E-5</v>
      </c>
      <c r="R43" s="28">
        <v>9.2666666666962882E-5</v>
      </c>
      <c r="S43" s="28">
        <v>0</v>
      </c>
      <c r="T43" s="28">
        <v>4.7166666666598189E-4</v>
      </c>
      <c r="U43" s="28">
        <v>0</v>
      </c>
      <c r="V43" s="28">
        <v>3.1666666665985943E-5</v>
      </c>
      <c r="W43" s="28">
        <v>-3.9999999999995589E-4</v>
      </c>
      <c r="X43" s="28">
        <v>1.266666666669414E-4</v>
      </c>
      <c r="Y43" s="28">
        <v>-2.290000000000347E-4</v>
      </c>
      <c r="Z43" s="28">
        <v>0</v>
      </c>
      <c r="AA43" s="28">
        <v>0</v>
      </c>
      <c r="AB43" s="28">
        <v>3.2833333333304182E-4</v>
      </c>
      <c r="AC43" s="28">
        <v>-2.4666666669892479E-5</v>
      </c>
      <c r="AD43" s="28">
        <v>3.0333333333298912E-4</v>
      </c>
      <c r="AE43" s="28">
        <v>-3.0299999999999772E-4</v>
      </c>
      <c r="AF43" s="28">
        <v>0</v>
      </c>
      <c r="AG43" s="28">
        <v>-1.2533333333297761E-4</v>
      </c>
      <c r="AH43" s="28">
        <v>2.279999999999921E-4</v>
      </c>
      <c r="AI43" s="28">
        <v>2.4200000000002E-4</v>
      </c>
      <c r="AJ43" s="28">
        <v>-7.1666666666997392E-5</v>
      </c>
      <c r="AK43" s="28">
        <v>-2.4299999999999319E-4</v>
      </c>
      <c r="AL43" s="28">
        <v>0</v>
      </c>
      <c r="AM43" s="28">
        <v>-4.7666666666695828E-4</v>
      </c>
      <c r="AN43" s="28">
        <v>0</v>
      </c>
      <c r="AO43" s="28">
        <v>2.4566666666692161E-4</v>
      </c>
      <c r="AP43" s="28">
        <v>-5.5999999999944983E-5</v>
      </c>
      <c r="AQ43" s="28">
        <v>-6.1666666667001269E-5</v>
      </c>
      <c r="AR43" s="28">
        <v>1.7966666666670289E-4</v>
      </c>
      <c r="AS43" s="28">
        <v>-1.0333333333001351E-5</v>
      </c>
      <c r="AT43" s="28">
        <v>1.0233333333398149E-4</v>
      </c>
      <c r="AU43" s="28">
        <v>4.4866666666987243E-4</v>
      </c>
      <c r="AV43" s="28">
        <v>-2.9933333333287399E-4</v>
      </c>
      <c r="AW43" s="28">
        <v>-2.9066666666699442E-4</v>
      </c>
      <c r="AX43" s="28">
        <v>-3.9666666666704492E-4</v>
      </c>
      <c r="AY43" s="28">
        <v>-4.7000000000019249E-5</v>
      </c>
      <c r="AZ43" s="28">
        <v>1.2400000000001299E-4</v>
      </c>
      <c r="BA43" s="28">
        <v>9.0666666666017193E-5</v>
      </c>
      <c r="BB43" s="28">
        <v>-2.1833333333301511E-4</v>
      </c>
      <c r="BC43" s="28">
        <v>-1.20000000000009E-4</v>
      </c>
      <c r="BD43" s="28">
        <v>4.1733333333331119E-4</v>
      </c>
      <c r="BE43" s="28">
        <v>1.8666666666966589E-4</v>
      </c>
      <c r="BF43" s="28">
        <v>-1.093333333299085E-5</v>
      </c>
      <c r="BG43" s="28">
        <v>3.1266666666696091E-4</v>
      </c>
      <c r="BH43" s="28">
        <v>-2.9033333333305927E-4</v>
      </c>
      <c r="BI43" s="28">
        <v>1.5999999999999351E-4</v>
      </c>
      <c r="BJ43" s="28">
        <v>-5.8000000000002487E-5</v>
      </c>
      <c r="BK43" s="28">
        <v>-1.749999999999807E-4</v>
      </c>
      <c r="BL43" s="28">
        <v>-4.3500000000001871E-4</v>
      </c>
      <c r="BM43" s="28">
        <v>-3.5066666666705443E-4</v>
      </c>
      <c r="BN43" s="28">
        <v>-2.5599999999997852E-4</v>
      </c>
      <c r="BO43" s="28">
        <v>3.6766666666698811E-4</v>
      </c>
      <c r="BP43" s="28">
        <v>-1.1733333333296959E-4</v>
      </c>
      <c r="BQ43" s="28">
        <v>-2.6733333333295311E-4</v>
      </c>
      <c r="BR43" s="28">
        <v>-3.5366666666702962E-4</v>
      </c>
      <c r="BS43" s="28">
        <v>0.50479333333333298</v>
      </c>
      <c r="BT43" s="28">
        <v>3.0766666666703912E-4</v>
      </c>
      <c r="BU43" s="28">
        <v>8.3599999999989238E-5</v>
      </c>
      <c r="BV43" s="28">
        <v>-1.753333333298634E-4</v>
      </c>
      <c r="BW43" s="28">
        <v>3.2499999999996421E-4</v>
      </c>
      <c r="BX43" s="28">
        <v>3.0266666666697861E-4</v>
      </c>
      <c r="BY43" s="28">
        <v>-1.5166666666702189E-4</v>
      </c>
      <c r="BZ43" s="28">
        <v>3.603333333329628E-4</v>
      </c>
      <c r="CA43" s="28">
        <v>4.0800000000000558E-4</v>
      </c>
      <c r="CB43" s="28">
        <v>-6.466666666693488E-5</v>
      </c>
      <c r="CC43" s="28">
        <v>-4.056666666669706E-4</v>
      </c>
      <c r="CD43" s="28">
        <v>-2.5666666666601667E-4</v>
      </c>
      <c r="CE43" s="28">
        <v>-1.210000000000377E-4</v>
      </c>
      <c r="CF43" s="28">
        <v>4.8733333333300649E-4</v>
      </c>
      <c r="CG43" s="28">
        <v>-3.6799999999992389E-4</v>
      </c>
      <c r="CH43" s="28">
        <v>3.7133333333405632E-4</v>
      </c>
      <c r="CI43" s="28">
        <v>-2.7933333333302063E-4</v>
      </c>
      <c r="CJ43" s="28">
        <v>-4.033333333297584E-5</v>
      </c>
      <c r="CK43" s="28">
        <v>3.0400000000002653E-4</v>
      </c>
      <c r="CL43" s="28">
        <v>3.2300000000001772E-4</v>
      </c>
      <c r="CM43" s="28">
        <v>4.0000000000001151E-4</v>
      </c>
      <c r="CN43" s="28">
        <v>-8.1999999999915474E-5</v>
      </c>
      <c r="CO43" s="28">
        <v>-4.379999999999939E-4</v>
      </c>
      <c r="CP43" s="28">
        <v>-3.3999999999978492E-5</v>
      </c>
      <c r="CQ43" s="28">
        <v>-3.1966666666702342E-4</v>
      </c>
      <c r="CR43" s="28">
        <v>-3.7339999999999601E-4</v>
      </c>
      <c r="CS43" s="28">
        <v>-4.5133333333302611E-4</v>
      </c>
      <c r="CT43" s="28">
        <v>5.3239677192983351E-3</v>
      </c>
      <c r="CU43" s="34">
        <v>0.50577693333334184</v>
      </c>
    </row>
    <row r="44" spans="1:99" x14ac:dyDescent="0.25">
      <c r="A44" s="24">
        <v>43</v>
      </c>
      <c r="B44" s="26">
        <v>21</v>
      </c>
      <c r="C44" s="28">
        <v>0</v>
      </c>
      <c r="D44" s="28">
        <v>-3.7266666666696541E-4</v>
      </c>
      <c r="E44" s="28">
        <v>-1.833333333300935E-5</v>
      </c>
      <c r="F44" s="28">
        <v>3.4533333333297561E-4</v>
      </c>
      <c r="G44" s="28">
        <v>4.473333333329943E-4</v>
      </c>
      <c r="H44" s="28">
        <v>1.16000000000005E-4</v>
      </c>
      <c r="I44" s="28">
        <v>0</v>
      </c>
      <c r="J44" s="28">
        <v>-2.9933333333330431E-4</v>
      </c>
      <c r="K44" s="28">
        <v>3.5333333333339989E-4</v>
      </c>
      <c r="L44" s="28">
        <v>-1.939999999999997E-4</v>
      </c>
      <c r="M44" s="28">
        <v>5.0666666667087412E-5</v>
      </c>
      <c r="N44" s="28">
        <v>2.296666666670166E-4</v>
      </c>
      <c r="O44" s="28">
        <v>1.3033333333299649E-4</v>
      </c>
      <c r="P44" s="28">
        <v>1.163333333329963E-4</v>
      </c>
      <c r="Q44" s="28">
        <v>5.333333333024104E-6</v>
      </c>
      <c r="R44" s="28">
        <v>0</v>
      </c>
      <c r="S44" s="28">
        <v>0</v>
      </c>
      <c r="T44" s="28">
        <v>3.4866666666699691E-4</v>
      </c>
      <c r="U44" s="28">
        <v>0</v>
      </c>
      <c r="V44" s="28">
        <v>3.4000000000000702E-4</v>
      </c>
      <c r="W44" s="28">
        <v>-1.7333333333002801E-4</v>
      </c>
      <c r="X44" s="28">
        <v>3.1433333333302782E-4</v>
      </c>
      <c r="Y44" s="28">
        <v>3.4400000000001102E-4</v>
      </c>
      <c r="Z44" s="28">
        <v>2.6499999999998752E-4</v>
      </c>
      <c r="AA44" s="28">
        <v>3.6233333333299261E-4</v>
      </c>
      <c r="AB44" s="28">
        <v>-1.050000000000217E-4</v>
      </c>
      <c r="AC44" s="28">
        <v>-3.4866666666699691E-4</v>
      </c>
      <c r="AD44" s="28">
        <v>1.3333333333975791E-5</v>
      </c>
      <c r="AE44" s="28">
        <v>0</v>
      </c>
      <c r="AF44" s="28">
        <v>2.5199999999997452E-4</v>
      </c>
      <c r="AG44" s="28">
        <v>-2.5200000000002998E-4</v>
      </c>
      <c r="AH44" s="28">
        <v>2.7466666666700612E-4</v>
      </c>
      <c r="AI44" s="28">
        <v>2.7599999999999852E-4</v>
      </c>
      <c r="AJ44" s="28">
        <v>4.850000000000132E-4</v>
      </c>
      <c r="AK44" s="28">
        <v>4.0700000000004621E-4</v>
      </c>
      <c r="AL44" s="28">
        <v>0</v>
      </c>
      <c r="AM44" s="28">
        <v>-2.1999999999966491E-5</v>
      </c>
      <c r="AN44" s="28">
        <v>1.2933333333300931E-4</v>
      </c>
      <c r="AO44" s="28">
        <v>2.2600000000005949E-4</v>
      </c>
      <c r="AP44" s="28">
        <v>3.809999999999647E-4</v>
      </c>
      <c r="AQ44" s="28">
        <v>6.2566666670038629E-5</v>
      </c>
      <c r="AR44" s="28">
        <v>4.136666666669786E-4</v>
      </c>
      <c r="AS44" s="28">
        <v>3.6300000000000221E-4</v>
      </c>
      <c r="AT44" s="28">
        <v>8.5000000000001741E-5</v>
      </c>
      <c r="AU44" s="28">
        <v>3.4533333333297561E-4</v>
      </c>
      <c r="AV44" s="28">
        <v>1.050000000000217E-4</v>
      </c>
      <c r="AW44" s="28">
        <v>-4.7533333333299449E-4</v>
      </c>
      <c r="AX44" s="28">
        <v>-1.4066666666701089E-4</v>
      </c>
      <c r="AY44" s="28">
        <v>-4.46000000000002E-4</v>
      </c>
      <c r="AZ44" s="28">
        <v>1.513333333329481E-4</v>
      </c>
      <c r="BA44" s="28">
        <v>-2.7299999999996771E-4</v>
      </c>
      <c r="BB44" s="28">
        <v>0</v>
      </c>
      <c r="BC44" s="28">
        <v>4.866666666670239E-4</v>
      </c>
      <c r="BD44" s="28">
        <v>-4.6666666667027901E-5</v>
      </c>
      <c r="BE44" s="28">
        <v>7.1666666670022749E-5</v>
      </c>
      <c r="BF44" s="28">
        <v>4.2366666666701641E-4</v>
      </c>
      <c r="BG44" s="28">
        <v>0</v>
      </c>
      <c r="BH44" s="28">
        <v>4.2333333333288698E-4</v>
      </c>
      <c r="BI44" s="28">
        <v>1.1533333333296759E-4</v>
      </c>
      <c r="BJ44" s="28">
        <v>3.0533333333299112E-4</v>
      </c>
      <c r="BK44" s="28">
        <v>-6.066666666693088E-5</v>
      </c>
      <c r="BL44" s="28">
        <v>4.4666666666698379E-4</v>
      </c>
      <c r="BM44" s="28">
        <v>-4.3966666666706011E-4</v>
      </c>
      <c r="BN44" s="28">
        <v>-1.6800000000000151E-4</v>
      </c>
      <c r="BO44" s="28">
        <v>-3.8199999999999351E-4</v>
      </c>
      <c r="BP44" s="28">
        <v>-1.260000000000705E-4</v>
      </c>
      <c r="BQ44" s="28">
        <v>9.133333333399829E-5</v>
      </c>
      <c r="BR44" s="28">
        <v>2.6399999999998652E-4</v>
      </c>
      <c r="BS44" s="28">
        <v>1.6946383333333299</v>
      </c>
      <c r="BT44" s="28">
        <v>7.2666666666998392E-5</v>
      </c>
      <c r="BU44" s="28">
        <v>-3.8319999999997251E-4</v>
      </c>
      <c r="BV44" s="28">
        <v>-4.183333333329653E-4</v>
      </c>
      <c r="BW44" s="28">
        <v>-2.4733333333304408E-4</v>
      </c>
      <c r="BX44" s="28">
        <v>-2.6866666666697242E-4</v>
      </c>
      <c r="BY44" s="28">
        <v>3.0299999999999772E-4</v>
      </c>
      <c r="BZ44" s="28">
        <v>-2.8733333333297312E-4</v>
      </c>
      <c r="CA44" s="28">
        <v>4.1999999999997589E-4</v>
      </c>
      <c r="CB44" s="28">
        <v>9.7333333333060601E-5</v>
      </c>
      <c r="CC44" s="28">
        <v>3.0433333333301782E-4</v>
      </c>
      <c r="CD44" s="28">
        <v>5.5666666667064657E-5</v>
      </c>
      <c r="CE44" s="28">
        <v>2.7499999999980318E-4</v>
      </c>
      <c r="CF44" s="28">
        <v>-1.333333333297659E-5</v>
      </c>
      <c r="CG44" s="28">
        <v>-2.3233333332983719E-4</v>
      </c>
      <c r="CH44" s="28">
        <v>-4.056666666659714E-4</v>
      </c>
      <c r="CI44" s="28">
        <v>-3.6300000000000221E-4</v>
      </c>
      <c r="CJ44" s="28">
        <v>4.7133333332993738E-4</v>
      </c>
      <c r="CK44" s="28">
        <v>-4.976666666670071E-4</v>
      </c>
      <c r="CL44" s="28">
        <v>-3.8400000000005102E-4</v>
      </c>
      <c r="CM44" s="28">
        <v>1.100000000000545E-4</v>
      </c>
      <c r="CN44" s="28">
        <v>-2.146666666669739E-4</v>
      </c>
      <c r="CO44" s="28">
        <v>-2.5599999999992301E-4</v>
      </c>
      <c r="CP44" s="28">
        <v>-1.506666666670764E-4</v>
      </c>
      <c r="CQ44" s="28">
        <v>0</v>
      </c>
      <c r="CR44" s="28">
        <v>-2.5133333333299262E-4</v>
      </c>
      <c r="CS44" s="28">
        <v>-2.1333333332984591E-5</v>
      </c>
      <c r="CT44" s="28">
        <v>1.7877645964912349E-2</v>
      </c>
      <c r="CU44" s="34">
        <v>1.698376366666674</v>
      </c>
    </row>
    <row r="45" spans="1:99" x14ac:dyDescent="0.25">
      <c r="A45" s="24">
        <v>44</v>
      </c>
      <c r="B45" s="26">
        <v>21.5</v>
      </c>
      <c r="C45" s="28">
        <v>0</v>
      </c>
      <c r="D45" s="28">
        <v>3.2366666666699961E-4</v>
      </c>
      <c r="E45" s="28">
        <v>4.6266666666705541E-4</v>
      </c>
      <c r="F45" s="28">
        <v>-1.4399999999997751E-4</v>
      </c>
      <c r="G45" s="28">
        <v>-4.740000000000022E-4</v>
      </c>
      <c r="H45" s="28">
        <v>4.9466666666703185E-4</v>
      </c>
      <c r="I45" s="28">
        <v>-3.3066666666700661E-4</v>
      </c>
      <c r="J45" s="28">
        <v>-8.6666666666013192E-6</v>
      </c>
      <c r="K45" s="28">
        <v>5.7666666667011153E-5</v>
      </c>
      <c r="L45" s="28">
        <v>4.7633333333296779E-4</v>
      </c>
      <c r="M45" s="28">
        <v>8.6666666667012393E-5</v>
      </c>
      <c r="N45" s="28">
        <v>-2.5433333333302333E-4</v>
      </c>
      <c r="O45" s="28">
        <v>3.2100000000000179E-4</v>
      </c>
      <c r="P45" s="28">
        <v>0</v>
      </c>
      <c r="Q45" s="28">
        <v>7.9999999999524896E-6</v>
      </c>
      <c r="R45" s="28">
        <v>-2.086666666669956E-4</v>
      </c>
      <c r="S45" s="28">
        <v>0</v>
      </c>
      <c r="T45" s="28">
        <v>1.0533333333295761E-4</v>
      </c>
      <c r="U45" s="28">
        <v>0</v>
      </c>
      <c r="V45" s="28">
        <v>2.0833333333292181E-4</v>
      </c>
      <c r="W45" s="28">
        <v>8.8785999999999976E-2</v>
      </c>
      <c r="X45" s="28">
        <v>2.5999999999998252E-4</v>
      </c>
      <c r="Y45" s="28">
        <v>1.5799999999999151E-4</v>
      </c>
      <c r="Z45" s="28">
        <v>-2.4899999999999922E-4</v>
      </c>
      <c r="AA45" s="28">
        <v>3.6233333333299261E-4</v>
      </c>
      <c r="AB45" s="28">
        <v>-4.2400000000009102E-4</v>
      </c>
      <c r="AC45" s="28">
        <v>3.5666666666600571E-4</v>
      </c>
      <c r="AD45" s="28">
        <v>-4.2433333333302681E-4</v>
      </c>
      <c r="AE45" s="28">
        <v>-3.5920000000000401E-4</v>
      </c>
      <c r="AF45" s="28">
        <v>4.866666666669961E-4</v>
      </c>
      <c r="AG45" s="28">
        <v>4.376666666670026E-4</v>
      </c>
      <c r="AH45" s="28">
        <v>0</v>
      </c>
      <c r="AI45" s="28">
        <v>4.3666666666697379E-4</v>
      </c>
      <c r="AJ45" s="28">
        <v>-2.6400000000004198E-4</v>
      </c>
      <c r="AK45" s="28">
        <v>1.816666666698552E-4</v>
      </c>
      <c r="AL45" s="28">
        <v>1.46666666669959E-5</v>
      </c>
      <c r="AM45" s="28">
        <v>-8.3633333332999715E-5</v>
      </c>
      <c r="AN45" s="28">
        <v>-3.7200000000001121E-4</v>
      </c>
      <c r="AO45" s="28">
        <v>-2.0366666666604691E-4</v>
      </c>
      <c r="AP45" s="28">
        <v>-3.029999999999422E-4</v>
      </c>
      <c r="AQ45" s="28">
        <v>-2.5206666667010319E-4</v>
      </c>
      <c r="AR45" s="28">
        <v>1.7966666666670289E-4</v>
      </c>
      <c r="AS45" s="28">
        <v>1.736666666669606E-4</v>
      </c>
      <c r="AT45" s="28">
        <v>-1.33333333330321E-5</v>
      </c>
      <c r="AU45" s="28">
        <v>0.373875666666666</v>
      </c>
      <c r="AV45" s="28">
        <v>7.6999999999882718E-5</v>
      </c>
      <c r="AW45" s="28">
        <v>1.003333333329248E-4</v>
      </c>
      <c r="AX45" s="28">
        <v>-2.8000000000005798E-4</v>
      </c>
      <c r="AY45" s="28">
        <v>3.6333333333304912E-4</v>
      </c>
      <c r="AZ45" s="28">
        <v>-3.6033333333299061E-4</v>
      </c>
      <c r="BA45" s="28">
        <v>-3.8333333333029351E-5</v>
      </c>
      <c r="BB45" s="28">
        <v>-3.5466666666660041E-4</v>
      </c>
      <c r="BC45" s="28">
        <v>4.1866666666712238E-4</v>
      </c>
      <c r="BD45" s="28">
        <v>4.8933333333300855E-4</v>
      </c>
      <c r="BE45" s="28">
        <v>1.52525333333333</v>
      </c>
      <c r="BF45" s="28">
        <v>4.426666666670076E-4</v>
      </c>
      <c r="BG45" s="28">
        <v>4.639999999999922E-4</v>
      </c>
      <c r="BH45" s="28">
        <v>6.1333333333024598E-5</v>
      </c>
      <c r="BI45" s="28">
        <v>4.616666666670266E-4</v>
      </c>
      <c r="BJ45" s="28">
        <v>1.179999999999931E-4</v>
      </c>
      <c r="BK45" s="28">
        <v>-1.0233333333298229E-4</v>
      </c>
      <c r="BL45" s="28">
        <v>-3.649999999999487E-4</v>
      </c>
      <c r="BM45" s="28">
        <v>1.936666666669806E-4</v>
      </c>
      <c r="BN45" s="28">
        <v>3.1500000000000972E-4</v>
      </c>
      <c r="BO45" s="28">
        <v>-2.8799999999995501E-4</v>
      </c>
      <c r="BP45" s="28">
        <v>-1.403333333329648E-4</v>
      </c>
      <c r="BQ45" s="28">
        <v>-2.090000000000147E-4</v>
      </c>
      <c r="BR45" s="28">
        <v>4.5000000000000601E-4</v>
      </c>
      <c r="BS45" s="28">
        <v>0.88264866666666697</v>
      </c>
      <c r="BT45" s="28">
        <v>2.8600000000000852E-4</v>
      </c>
      <c r="BU45" s="28">
        <v>4.359999999999919E-4</v>
      </c>
      <c r="BV45" s="28">
        <v>-2.186666666669779E-4</v>
      </c>
      <c r="BW45" s="28">
        <v>-3.41333333330196E-4</v>
      </c>
      <c r="BX45" s="28">
        <v>-7.2666666666609814E-5</v>
      </c>
      <c r="BY45" s="28">
        <v>3.869999999999707E-4</v>
      </c>
      <c r="BZ45" s="28">
        <v>0</v>
      </c>
      <c r="CA45" s="28">
        <v>3.6266666666698311E-4</v>
      </c>
      <c r="CB45" s="28">
        <v>0.13292733333333309</v>
      </c>
      <c r="CC45" s="28">
        <v>-5.8999999999892472E-5</v>
      </c>
      <c r="CD45" s="28">
        <v>-1.4900000000001021E-4</v>
      </c>
      <c r="CE45" s="28">
        <v>0.49279233333333311</v>
      </c>
      <c r="CF45" s="28">
        <v>4.2433333333299911E-4</v>
      </c>
      <c r="CG45" s="28">
        <v>-3.219999999999335E-4</v>
      </c>
      <c r="CH45" s="28">
        <v>1.883333333330128E-4</v>
      </c>
      <c r="CI45" s="28">
        <v>-9.3333333330836155E-6</v>
      </c>
      <c r="CJ45" s="28">
        <v>-3.9000000000000151E-4</v>
      </c>
      <c r="CK45" s="28">
        <v>-4.41999999999998E-4</v>
      </c>
      <c r="CL45" s="28">
        <v>4.2533333333305562E-4</v>
      </c>
      <c r="CM45" s="28">
        <v>1.6000000000000741E-4</v>
      </c>
      <c r="CN45" s="28">
        <v>4.7533333333305011E-4</v>
      </c>
      <c r="CO45" s="28">
        <v>-3.1733333333305858E-4</v>
      </c>
      <c r="CP45" s="28">
        <v>-7.9666666666977637E-5</v>
      </c>
      <c r="CQ45" s="28">
        <v>1.4233333333299461E-4</v>
      </c>
      <c r="CR45" s="28">
        <v>2.8599999999989739E-4</v>
      </c>
      <c r="CS45" s="28">
        <v>4.750000000000032E-4</v>
      </c>
      <c r="CT45" s="28">
        <v>3.6852327368421083E-2</v>
      </c>
      <c r="CU45" s="34">
        <v>3.5009711000000028</v>
      </c>
    </row>
    <row r="46" spans="1:99" x14ac:dyDescent="0.25">
      <c r="A46" s="24">
        <v>45</v>
      </c>
      <c r="B46" s="26">
        <v>22</v>
      </c>
      <c r="C46" s="28">
        <v>-3.9133333333302161E-4</v>
      </c>
      <c r="D46" s="28">
        <v>-4.243333333329713E-4</v>
      </c>
      <c r="E46" s="28">
        <v>3.5899999999999821E-4</v>
      </c>
      <c r="F46" s="28">
        <v>4.3933333333301411E-4</v>
      </c>
      <c r="G46" s="28">
        <v>0</v>
      </c>
      <c r="H46" s="28">
        <v>2.013333333329981E-4</v>
      </c>
      <c r="I46" s="28">
        <v>1.7333333333302561E-4</v>
      </c>
      <c r="J46" s="28">
        <v>0</v>
      </c>
      <c r="K46" s="28">
        <v>7.4230999999999991E-2</v>
      </c>
      <c r="L46" s="28">
        <v>-7.3333333332981088E-5</v>
      </c>
      <c r="M46" s="28">
        <v>-4.3199999999998789E-4</v>
      </c>
      <c r="N46" s="28">
        <v>-1.889999999999947E-4</v>
      </c>
      <c r="O46" s="28">
        <v>3.2099999999990469E-4</v>
      </c>
      <c r="P46" s="28">
        <v>-4.0666666666669399E-4</v>
      </c>
      <c r="Q46" s="28">
        <v>-4.2000000000003151E-4</v>
      </c>
      <c r="R46" s="28">
        <v>3.8666666666697941E-4</v>
      </c>
      <c r="S46" s="28">
        <v>0</v>
      </c>
      <c r="T46" s="28">
        <v>2.5933333333300062E-4</v>
      </c>
      <c r="U46" s="28">
        <v>-3.1133333333305258E-4</v>
      </c>
      <c r="V46" s="28">
        <v>4.5333333333008603E-5</v>
      </c>
      <c r="W46" s="28">
        <v>0.25866866666666699</v>
      </c>
      <c r="X46" s="28">
        <v>5.866666666598519E-5</v>
      </c>
      <c r="Y46" s="28">
        <v>7.2000000000016495E-5</v>
      </c>
      <c r="Z46" s="28">
        <v>2.4433333333299939E-4</v>
      </c>
      <c r="AA46" s="28">
        <v>-2.8300000000000552E-4</v>
      </c>
      <c r="AB46" s="28">
        <v>-1.136666666659014E-4</v>
      </c>
      <c r="AC46" s="28">
        <v>-1.4666666666701689E-4</v>
      </c>
      <c r="AD46" s="28">
        <v>1.593333333340663E-4</v>
      </c>
      <c r="AE46" s="28">
        <v>-4.6000000000001601E-4</v>
      </c>
      <c r="AF46" s="28">
        <v>-6.7999999999998617E-5</v>
      </c>
      <c r="AG46" s="28">
        <v>2.9666666666600122E-4</v>
      </c>
      <c r="AH46" s="28">
        <v>-2.186666666669779E-4</v>
      </c>
      <c r="AI46" s="28">
        <v>-4.41999999999998E-4</v>
      </c>
      <c r="AJ46" s="28">
        <v>-4.1066666666700341E-4</v>
      </c>
      <c r="AK46" s="28">
        <v>0.12270566666667</v>
      </c>
      <c r="AL46" s="28">
        <v>4.7400000000003001E-4</v>
      </c>
      <c r="AM46" s="28">
        <v>-4.9766666667028225E-4</v>
      </c>
      <c r="AN46" s="28">
        <v>0</v>
      </c>
      <c r="AO46" s="28">
        <v>-1.4400000000000521E-4</v>
      </c>
      <c r="AP46" s="28">
        <v>4.6533333333298449E-4</v>
      </c>
      <c r="AQ46" s="28">
        <v>0</v>
      </c>
      <c r="AR46" s="28">
        <v>4.136666666669786E-4</v>
      </c>
      <c r="AS46" s="28">
        <v>-3.000000000086267E-6</v>
      </c>
      <c r="AT46" s="28">
        <v>-7.9333333333014844E-5</v>
      </c>
      <c r="AU46" s="28">
        <v>0.63255799999999995</v>
      </c>
      <c r="AV46" s="28">
        <v>3.8766666666689709E-4</v>
      </c>
      <c r="AW46" s="28">
        <v>-4.9633333333298779E-4</v>
      </c>
      <c r="AX46" s="28">
        <v>3.4100000000003572E-4</v>
      </c>
      <c r="AY46" s="28">
        <v>2.09999999999988E-4</v>
      </c>
      <c r="AZ46" s="28">
        <v>9.0000000000006741E-5</v>
      </c>
      <c r="BA46" s="28">
        <v>-1.090000000000257E-4</v>
      </c>
      <c r="BB46" s="28">
        <v>1.789999999999847E-4</v>
      </c>
      <c r="BC46" s="28">
        <v>1.033333333330111E-4</v>
      </c>
      <c r="BD46" s="28">
        <v>0</v>
      </c>
      <c r="BE46" s="28">
        <v>1.1790273333333301</v>
      </c>
      <c r="BF46" s="28">
        <v>0</v>
      </c>
      <c r="BG46" s="28">
        <v>4.0800000000000558E-4</v>
      </c>
      <c r="BH46" s="28">
        <v>-9.3333333333001089E-5</v>
      </c>
      <c r="BI46" s="28">
        <v>-7.0000000000014495E-5</v>
      </c>
      <c r="BJ46" s="28">
        <v>1.999999999988122E-6</v>
      </c>
      <c r="BK46" s="28">
        <v>-1.6599999999999951E-4</v>
      </c>
      <c r="BL46" s="28">
        <v>-4.9833333333298979E-4</v>
      </c>
      <c r="BM46" s="28">
        <v>-4.4133333333296049E-4</v>
      </c>
      <c r="BN46" s="28">
        <v>2.6100000000001122E-4</v>
      </c>
      <c r="BO46" s="28">
        <v>1.113333333330191E-4</v>
      </c>
      <c r="BP46" s="28">
        <v>-1.2999999999996351E-4</v>
      </c>
      <c r="BQ46" s="28">
        <v>3.6500000000017069E-4</v>
      </c>
      <c r="BR46" s="28">
        <v>6.5333333334027799E-5</v>
      </c>
      <c r="BS46" s="28">
        <v>0.87443666666666697</v>
      </c>
      <c r="BT46" s="28">
        <v>4.049999999999887E-4</v>
      </c>
      <c r="BU46" s="28">
        <v>-8.6000000000030496E-5</v>
      </c>
      <c r="BV46" s="28">
        <v>-2.7399999999988539E-4</v>
      </c>
      <c r="BW46" s="28">
        <v>-4.2433333333391499E-4</v>
      </c>
      <c r="BX46" s="28">
        <v>-4.1600000000002751E-4</v>
      </c>
      <c r="BY46" s="28">
        <v>4.556666666670206E-4</v>
      </c>
      <c r="BZ46" s="28">
        <v>0</v>
      </c>
      <c r="CA46" s="28">
        <v>3.1200000000000672E-4</v>
      </c>
      <c r="CB46" s="28">
        <v>1.0649153333333301</v>
      </c>
      <c r="CC46" s="28">
        <v>-7.599999999999274E-5</v>
      </c>
      <c r="CD46" s="28">
        <v>-2.0233333333297129E-4</v>
      </c>
      <c r="CE46" s="28">
        <v>0.70525633333333304</v>
      </c>
      <c r="CF46" s="28">
        <v>-1.903333333330148E-4</v>
      </c>
      <c r="CG46" s="28">
        <v>3.4800000000001502E-4</v>
      </c>
      <c r="CH46" s="28">
        <v>-4.7333333333010603E-5</v>
      </c>
      <c r="CI46" s="28">
        <v>-1.893333333329861E-4</v>
      </c>
      <c r="CJ46" s="28">
        <v>0.29474400000000012</v>
      </c>
      <c r="CK46" s="28">
        <v>1.8299999999993319E-4</v>
      </c>
      <c r="CL46" s="28">
        <v>-2.6666666670394079E-6</v>
      </c>
      <c r="CM46" s="28">
        <v>0</v>
      </c>
      <c r="CN46" s="28">
        <v>-8.2666666667008393E-5</v>
      </c>
      <c r="CO46" s="28">
        <v>4.846666666670219E-4</v>
      </c>
      <c r="CP46" s="28">
        <v>-2.1466666666702941E-4</v>
      </c>
      <c r="CQ46" s="28">
        <v>2.1833333333340371E-4</v>
      </c>
      <c r="CR46" s="28">
        <v>4.8333333333300249E-4</v>
      </c>
      <c r="CS46" s="28">
        <v>-1.6033333333304031E-4</v>
      </c>
      <c r="CT46" s="28">
        <v>5.4804642105263097E-2</v>
      </c>
      <c r="CU46" s="34">
        <v>5.2064409999999954</v>
      </c>
    </row>
    <row r="47" spans="1:99" x14ac:dyDescent="0.25">
      <c r="A47" s="24">
        <v>46</v>
      </c>
      <c r="B47" s="26">
        <v>22.5</v>
      </c>
      <c r="C47" s="28">
        <v>-3.2666666666958388E-5</v>
      </c>
      <c r="D47" s="28">
        <v>-1.6000000000016001E-5</v>
      </c>
      <c r="E47" s="28">
        <v>-3.3466666666698291E-4</v>
      </c>
      <c r="F47" s="28">
        <v>7.6666666667002392E-5</v>
      </c>
      <c r="G47" s="28">
        <v>2.8933333333297512E-4</v>
      </c>
      <c r="H47" s="28">
        <v>-3.2333333333300912E-4</v>
      </c>
      <c r="I47" s="28">
        <v>-3.729999999999567E-4</v>
      </c>
      <c r="J47" s="28">
        <v>3.3000000000005247E-5</v>
      </c>
      <c r="K47" s="28">
        <v>0.106624</v>
      </c>
      <c r="L47" s="28">
        <v>1.500000000000945E-4</v>
      </c>
      <c r="M47" s="28">
        <v>-4.6666666666705941E-4</v>
      </c>
      <c r="N47" s="28">
        <v>-1.113333333329081E-4</v>
      </c>
      <c r="O47" s="28">
        <v>1.2666666666699691E-4</v>
      </c>
      <c r="P47" s="28">
        <v>-2.9999999999999472E-4</v>
      </c>
      <c r="Q47" s="28">
        <v>2.7800000000000052E-4</v>
      </c>
      <c r="R47" s="28">
        <v>0</v>
      </c>
      <c r="S47" s="28">
        <v>0</v>
      </c>
      <c r="T47" s="28">
        <v>3.8933333333290848E-4</v>
      </c>
      <c r="U47" s="28">
        <v>2.186666666669779E-4</v>
      </c>
      <c r="V47" s="28">
        <v>-1.2966666666991419E-4</v>
      </c>
      <c r="W47" s="28">
        <v>0.231713</v>
      </c>
      <c r="X47" s="28">
        <v>-1.106666666670086E-4</v>
      </c>
      <c r="Y47" s="28">
        <v>3.9999999999984492E-5</v>
      </c>
      <c r="Z47" s="28">
        <v>1.0099999999999E-4</v>
      </c>
      <c r="AA47" s="28">
        <v>-3.4266666666604722E-4</v>
      </c>
      <c r="AB47" s="28">
        <v>-1.1499999999997621E-4</v>
      </c>
      <c r="AC47" s="28">
        <v>0</v>
      </c>
      <c r="AD47" s="28">
        <v>7.2333333333007843E-5</v>
      </c>
      <c r="AE47" s="28">
        <v>-1.4199999999997551E-4</v>
      </c>
      <c r="AF47" s="28">
        <v>-1.933333333329901E-4</v>
      </c>
      <c r="AG47" s="28">
        <v>-3.1333333333299912E-4</v>
      </c>
      <c r="AH47" s="28">
        <v>1.146666666669849E-4</v>
      </c>
      <c r="AI47" s="28">
        <v>-5.3333333333301092E-5</v>
      </c>
      <c r="AJ47" s="28">
        <v>-3.2299999999996221E-4</v>
      </c>
      <c r="AK47" s="28">
        <v>1.0089366666666699</v>
      </c>
      <c r="AL47" s="28">
        <v>-3.9999999999995589E-4</v>
      </c>
      <c r="AM47" s="28">
        <v>-1.386666666659542E-4</v>
      </c>
      <c r="AN47" s="28">
        <v>0</v>
      </c>
      <c r="AO47" s="28">
        <v>-1.6266666666700511E-4</v>
      </c>
      <c r="AP47" s="28">
        <v>3.4866666666699691E-4</v>
      </c>
      <c r="AQ47" s="28">
        <v>1.183333333329983E-4</v>
      </c>
      <c r="AR47" s="28">
        <v>0</v>
      </c>
      <c r="AS47" s="28">
        <v>-1.569999999999627E-4</v>
      </c>
      <c r="AT47" s="28">
        <v>-4.3066666666702341E-4</v>
      </c>
      <c r="AU47" s="28">
        <v>0.61160999999999999</v>
      </c>
      <c r="AV47" s="28">
        <v>4.2533333333405482E-4</v>
      </c>
      <c r="AW47" s="28">
        <v>1.6766666666701011E-4</v>
      </c>
      <c r="AX47" s="28">
        <v>0</v>
      </c>
      <c r="AY47" s="28">
        <v>0</v>
      </c>
      <c r="AZ47" s="28">
        <v>3.9333333333002603E-5</v>
      </c>
      <c r="BA47" s="28">
        <v>4.276666666669926E-4</v>
      </c>
      <c r="BB47" s="28">
        <v>4.0166666666670292E-4</v>
      </c>
      <c r="BC47" s="28">
        <v>-2.1533333333330351E-4</v>
      </c>
      <c r="BD47" s="28">
        <v>1.6666666666997901E-5</v>
      </c>
      <c r="BE47" s="28">
        <v>0.39536666666666698</v>
      </c>
      <c r="BF47" s="28">
        <v>-4.129999999999967E-4</v>
      </c>
      <c r="BG47" s="28">
        <v>-7.7000000000000679E-5</v>
      </c>
      <c r="BH47" s="28">
        <v>-1.8166666666702411E-4</v>
      </c>
      <c r="BI47" s="28">
        <v>4.0666666666699941E-4</v>
      </c>
      <c r="BJ47" s="28">
        <v>1.2733333333297961E-4</v>
      </c>
      <c r="BK47" s="28">
        <v>-1.140000000000585E-4</v>
      </c>
      <c r="BL47" s="28">
        <v>4.333333333329803E-4</v>
      </c>
      <c r="BM47" s="28">
        <v>3.1666666669982753E-5</v>
      </c>
      <c r="BN47" s="28">
        <v>0</v>
      </c>
      <c r="BO47" s="28">
        <v>1.2633333333300631E-4</v>
      </c>
      <c r="BP47" s="28">
        <v>-4.0333333333086863E-5</v>
      </c>
      <c r="BQ47" s="28">
        <v>4.8499999999995769E-4</v>
      </c>
      <c r="BR47" s="28">
        <v>-4.06666666670219E-5</v>
      </c>
      <c r="BS47" s="28">
        <v>0.170231666666666</v>
      </c>
      <c r="BT47" s="28">
        <v>0</v>
      </c>
      <c r="BU47" s="28">
        <v>9.1666666666045948E-5</v>
      </c>
      <c r="BV47" s="28">
        <v>-1.0000000000009999E-5</v>
      </c>
      <c r="BW47" s="28">
        <v>-1.4866666666701889E-4</v>
      </c>
      <c r="BX47" s="28">
        <v>0</v>
      </c>
      <c r="BY47" s="28">
        <v>-2.600000000008151E-5</v>
      </c>
      <c r="BZ47" s="28">
        <v>-4.3600000000004751E-4</v>
      </c>
      <c r="CA47" s="28">
        <v>5.3999999999998487E-5</v>
      </c>
      <c r="CB47" s="28">
        <v>0.93361666666666598</v>
      </c>
      <c r="CC47" s="28">
        <v>-4.770000000000052E-4</v>
      </c>
      <c r="CD47" s="28">
        <v>-2.8500000000003523E-4</v>
      </c>
      <c r="CE47" s="28">
        <v>0.81346399999999996</v>
      </c>
      <c r="CF47" s="28">
        <v>2.3999999999999019E-4</v>
      </c>
      <c r="CG47" s="28">
        <v>8.1999999999998741E-5</v>
      </c>
      <c r="CH47" s="28">
        <v>-4.9699999999999744E-4</v>
      </c>
      <c r="CI47" s="28">
        <v>-1.6499999999999851E-4</v>
      </c>
      <c r="CJ47" s="28">
        <v>0.78822499999999995</v>
      </c>
      <c r="CK47" s="28">
        <v>-4.399999999999959E-4</v>
      </c>
      <c r="CL47" s="28">
        <v>4.536666666670186E-4</v>
      </c>
      <c r="CM47" s="28">
        <v>2.8000000000001629E-4</v>
      </c>
      <c r="CN47" s="28">
        <v>-5.0999999999912227E-5</v>
      </c>
      <c r="CO47" s="28">
        <v>3.7799999999998951E-4</v>
      </c>
      <c r="CP47" s="28">
        <v>-1.076666666669501E-4</v>
      </c>
      <c r="CQ47" s="28">
        <v>0</v>
      </c>
      <c r="CR47" s="28">
        <v>-4.1333333333298811E-4</v>
      </c>
      <c r="CS47" s="28">
        <v>-2.1666666666975139E-5</v>
      </c>
      <c r="CT47" s="28">
        <v>5.3238761403508791E-2</v>
      </c>
      <c r="CU47" s="34">
        <v>5.0576823333333349</v>
      </c>
    </row>
    <row r="48" spans="1:99" x14ac:dyDescent="0.25">
      <c r="A48" s="24">
        <v>47</v>
      </c>
      <c r="B48" s="26">
        <v>23</v>
      </c>
      <c r="C48" s="28">
        <v>-1.5333333333300561E-4</v>
      </c>
      <c r="D48" s="28">
        <v>-4.4933333333302411E-4</v>
      </c>
      <c r="E48" s="28">
        <v>-2.6400000000001422E-4</v>
      </c>
      <c r="F48" s="28">
        <v>0</v>
      </c>
      <c r="G48" s="28">
        <v>-3.1600000000001072E-4</v>
      </c>
      <c r="H48" s="28">
        <v>-1.7266666666670291E-4</v>
      </c>
      <c r="I48" s="28">
        <v>2.30000000000008E-4</v>
      </c>
      <c r="J48" s="28">
        <v>2.253333333330082E-4</v>
      </c>
      <c r="K48" s="28">
        <v>0.2243</v>
      </c>
      <c r="L48" s="28">
        <v>-1.6199999999999551E-4</v>
      </c>
      <c r="M48" s="28">
        <v>1.4866666666701889E-4</v>
      </c>
      <c r="N48" s="28">
        <v>-1.4999999999987251E-5</v>
      </c>
      <c r="O48" s="28">
        <v>-1.5799999999999151E-4</v>
      </c>
      <c r="P48" s="28">
        <v>0</v>
      </c>
      <c r="Q48" s="28">
        <v>-4.1866666666701141E-4</v>
      </c>
      <c r="R48" s="28">
        <v>0</v>
      </c>
      <c r="S48" s="28">
        <v>0</v>
      </c>
      <c r="T48" s="28">
        <v>3.3700000000003172E-4</v>
      </c>
      <c r="U48" s="28">
        <v>-6.6666666669767949E-5</v>
      </c>
      <c r="V48" s="28">
        <v>-6.0000000000004487E-5</v>
      </c>
      <c r="W48" s="28">
        <v>0.52397333333333296</v>
      </c>
      <c r="X48" s="28">
        <v>4.840000000000122E-4</v>
      </c>
      <c r="Y48" s="28">
        <v>-3.0666666666701042E-4</v>
      </c>
      <c r="Z48" s="28">
        <v>2.210000000000267E-4</v>
      </c>
      <c r="AA48" s="28">
        <v>0</v>
      </c>
      <c r="AB48" s="28">
        <v>2.2699999999997719E-4</v>
      </c>
      <c r="AC48" s="28">
        <v>0</v>
      </c>
      <c r="AD48" s="28">
        <v>-7.4000000000018495E-5</v>
      </c>
      <c r="AE48" s="28">
        <v>3.5600000000002302E-4</v>
      </c>
      <c r="AF48" s="28">
        <v>0</v>
      </c>
      <c r="AG48" s="28">
        <v>-6.9388939039072284E-18</v>
      </c>
      <c r="AH48" s="28">
        <v>9.3333333333028845E-5</v>
      </c>
      <c r="AI48" s="28">
        <v>-3.5466666666700292E-4</v>
      </c>
      <c r="AJ48" s="28">
        <v>1.1333333333296559E-4</v>
      </c>
      <c r="AK48" s="28">
        <v>0.92588066666666702</v>
      </c>
      <c r="AL48" s="28">
        <v>-3.633333333297184E-5</v>
      </c>
      <c r="AM48" s="28">
        <v>3.4899999999998821E-4</v>
      </c>
      <c r="AN48" s="28">
        <v>3.6420000000000902E-4</v>
      </c>
      <c r="AO48" s="28">
        <v>3.8000000000038003E-5</v>
      </c>
      <c r="AP48" s="28">
        <v>1.9333333333293459E-4</v>
      </c>
      <c r="AQ48" s="28">
        <v>-4.5499999999999707E-4</v>
      </c>
      <c r="AR48" s="28">
        <v>0</v>
      </c>
      <c r="AS48" s="28">
        <v>4.8099999999995369E-4</v>
      </c>
      <c r="AT48" s="28">
        <v>-1.4266666666701289E-4</v>
      </c>
      <c r="AU48" s="28">
        <v>0.33025933333333302</v>
      </c>
      <c r="AV48" s="28">
        <v>3.9233333333310583E-4</v>
      </c>
      <c r="AW48" s="28">
        <v>-2.386666666669979E-4</v>
      </c>
      <c r="AX48" s="28">
        <v>-1.666666666670924E-4</v>
      </c>
      <c r="AY48" s="28">
        <v>-5.3333333333016597E-5</v>
      </c>
      <c r="AZ48" s="28">
        <v>3.7333333333300361E-4</v>
      </c>
      <c r="BA48" s="28">
        <v>3.3133333333296161E-4</v>
      </c>
      <c r="BB48" s="28">
        <v>2.5866666666701787E-4</v>
      </c>
      <c r="BC48" s="28">
        <v>-1.749999999999807E-4</v>
      </c>
      <c r="BD48" s="28">
        <v>4.2600000000010679E-4</v>
      </c>
      <c r="BE48" s="28">
        <v>0.12631400000000001</v>
      </c>
      <c r="BF48" s="28">
        <v>4.866666666670239E-4</v>
      </c>
      <c r="BG48" s="28">
        <v>4.870000000000152E-4</v>
      </c>
      <c r="BH48" s="28">
        <v>-2.066666666669936E-4</v>
      </c>
      <c r="BI48" s="28">
        <v>0</v>
      </c>
      <c r="BJ48" s="28">
        <v>-5.8000000000002487E-5</v>
      </c>
      <c r="BK48" s="28">
        <v>0</v>
      </c>
      <c r="BL48" s="28">
        <v>1.6666666666700911E-4</v>
      </c>
      <c r="BM48" s="28">
        <v>-2.3400000000006749E-4</v>
      </c>
      <c r="BN48" s="28">
        <v>-2.9466666666699842E-4</v>
      </c>
      <c r="BO48" s="28">
        <v>3.9300000000000451E-4</v>
      </c>
      <c r="BP48" s="28">
        <v>-1.569999999999627E-4</v>
      </c>
      <c r="BQ48" s="28">
        <v>-2.8600000000000852E-4</v>
      </c>
      <c r="BR48" s="28">
        <v>-1.5300000000001421E-4</v>
      </c>
      <c r="BS48" s="28">
        <v>5.1999999999999998E-2</v>
      </c>
      <c r="BT48" s="28">
        <v>-4.099999999999937E-4</v>
      </c>
      <c r="BU48" s="28">
        <v>2.8066666666703988E-4</v>
      </c>
      <c r="BV48" s="28">
        <v>4.1566666666703611E-4</v>
      </c>
      <c r="BW48" s="28">
        <v>4.7766666666693158E-4</v>
      </c>
      <c r="BX48" s="28">
        <v>-1.070000000000237E-4</v>
      </c>
      <c r="BY48" s="28">
        <v>-3.7900000000001821E-4</v>
      </c>
      <c r="BZ48" s="28">
        <v>-1.733333333298059E-5</v>
      </c>
      <c r="CA48" s="28">
        <v>-2.7133333333395632E-4</v>
      </c>
      <c r="CB48" s="28">
        <v>0.22395200000000001</v>
      </c>
      <c r="CC48" s="28">
        <v>-4.009999999999847E-4</v>
      </c>
      <c r="CD48" s="28">
        <v>0</v>
      </c>
      <c r="CE48" s="28">
        <v>0.55689866666666699</v>
      </c>
      <c r="CF48" s="28">
        <v>1.04999999999994E-4</v>
      </c>
      <c r="CG48" s="28">
        <v>4.2466666666669822E-4</v>
      </c>
      <c r="CH48" s="28">
        <v>-1.4766666666701789E-4</v>
      </c>
      <c r="CI48" s="28">
        <v>3.3266666666698091E-4</v>
      </c>
      <c r="CJ48" s="28">
        <v>0.81100933333333403</v>
      </c>
      <c r="CK48" s="28">
        <v>-6.7333333332975087E-5</v>
      </c>
      <c r="CL48" s="28">
        <v>-4.6066666666699779E-4</v>
      </c>
      <c r="CM48" s="28">
        <v>4.7999999999999432E-4</v>
      </c>
      <c r="CN48" s="28">
        <v>-4.7399999999997439E-4</v>
      </c>
      <c r="CO48" s="28">
        <v>0</v>
      </c>
      <c r="CP48" s="28">
        <v>4.9666666666697834E-4</v>
      </c>
      <c r="CQ48" s="28">
        <v>4.1133333333298611E-4</v>
      </c>
      <c r="CR48" s="28">
        <v>1.4450000000001961E-4</v>
      </c>
      <c r="CS48" s="28">
        <v>1.6800000000000151E-4</v>
      </c>
      <c r="CT48" s="28">
        <v>3.97593371929824E-2</v>
      </c>
      <c r="CU48" s="34">
        <v>3.7771370333333278</v>
      </c>
    </row>
    <row r="49" spans="1:99" x14ac:dyDescent="0.25">
      <c r="A49" s="25">
        <v>48</v>
      </c>
      <c r="B49" s="27">
        <v>23.5</v>
      </c>
      <c r="C49" s="29">
        <v>4.4299999999997119E-4</v>
      </c>
      <c r="D49" s="29">
        <v>-6.9388939039072284E-18</v>
      </c>
      <c r="E49" s="29">
        <v>-1.7933333333303161E-4</v>
      </c>
      <c r="F49" s="29">
        <v>0</v>
      </c>
      <c r="G49" s="29">
        <v>0</v>
      </c>
      <c r="H49" s="29">
        <v>4.2233333333299711E-4</v>
      </c>
      <c r="I49" s="29">
        <v>-1.2033333333340281E-4</v>
      </c>
      <c r="J49" s="29">
        <v>4.2733333333330042E-4</v>
      </c>
      <c r="K49" s="29">
        <v>0.112259333333333</v>
      </c>
      <c r="L49" s="29">
        <v>0</v>
      </c>
      <c r="M49" s="29">
        <v>-5.9999999999990623E-5</v>
      </c>
      <c r="N49" s="29">
        <v>0</v>
      </c>
      <c r="O49" s="29">
        <v>-1.073333333330151E-4</v>
      </c>
      <c r="P49" s="29">
        <v>0</v>
      </c>
      <c r="Q49" s="29">
        <v>0</v>
      </c>
      <c r="R49" s="29">
        <v>1.7800000000001151E-4</v>
      </c>
      <c r="S49" s="29">
        <v>0</v>
      </c>
      <c r="T49" s="29">
        <v>1.5733333333300961E-4</v>
      </c>
      <c r="U49" s="29">
        <v>-2.2666666667003899E-5</v>
      </c>
      <c r="V49" s="29">
        <v>0</v>
      </c>
      <c r="W49" s="29">
        <v>0.3624</v>
      </c>
      <c r="X49" s="29">
        <v>-3.6399999999989219E-4</v>
      </c>
      <c r="Y49" s="29">
        <v>0</v>
      </c>
      <c r="Z49" s="29">
        <v>1.116666666669541E-4</v>
      </c>
      <c r="AA49" s="29">
        <v>-1.923333333329891E-4</v>
      </c>
      <c r="AB49" s="29">
        <v>-1.01999999999991E-4</v>
      </c>
      <c r="AC49" s="29">
        <v>1.20000000000009E-4</v>
      </c>
      <c r="AD49" s="29">
        <v>-5.9999999999948983E-5</v>
      </c>
      <c r="AE49" s="29">
        <v>2.5666666666596122E-4</v>
      </c>
      <c r="AF49" s="29">
        <v>2.7266666666697642E-4</v>
      </c>
      <c r="AG49" s="29">
        <v>-3.3133333333330161E-4</v>
      </c>
      <c r="AH49" s="29">
        <v>-1.973333333329941E-4</v>
      </c>
      <c r="AI49" s="29">
        <v>-3.4000000000034003E-5</v>
      </c>
      <c r="AJ49" s="29">
        <v>4.2799999999998389E-4</v>
      </c>
      <c r="AK49" s="29">
        <v>0.93216066666666697</v>
      </c>
      <c r="AL49" s="29">
        <v>2.5300000000000322E-4</v>
      </c>
      <c r="AM49" s="29">
        <v>3.000000000000225E-5</v>
      </c>
      <c r="AN49" s="29">
        <v>2.2333333333302011E-4</v>
      </c>
      <c r="AO49" s="29">
        <v>7.0000000000000617E-5</v>
      </c>
      <c r="AP49" s="29">
        <v>3.9466666666698741E-4</v>
      </c>
      <c r="AQ49" s="29">
        <v>0</v>
      </c>
      <c r="AR49" s="29">
        <v>-4.6100000000000307E-4</v>
      </c>
      <c r="AS49" s="29">
        <v>6.6333333333057354E-5</v>
      </c>
      <c r="AT49" s="29">
        <v>-2.05999999999984E-4</v>
      </c>
      <c r="AU49" s="29">
        <v>0.70146533333333405</v>
      </c>
      <c r="AV49" s="29">
        <v>-5.3333333334015798E-5</v>
      </c>
      <c r="AW49" s="29">
        <v>1.6299999999999651E-4</v>
      </c>
      <c r="AX49" s="29">
        <v>-9.3333333329725932E-6</v>
      </c>
      <c r="AY49" s="29">
        <v>0</v>
      </c>
      <c r="AZ49" s="29">
        <v>-2.7799999999998659E-4</v>
      </c>
      <c r="BA49" s="29">
        <v>6.1666666666959635E-5</v>
      </c>
      <c r="BB49" s="29">
        <v>-3.2666666666986137E-5</v>
      </c>
      <c r="BC49" s="29">
        <v>-2.6399999999998652E-4</v>
      </c>
      <c r="BD49" s="29">
        <v>1.3133333333301131E-4</v>
      </c>
      <c r="BE49" s="29">
        <v>0.17909600000000001</v>
      </c>
      <c r="BF49" s="29">
        <v>0</v>
      </c>
      <c r="BG49" s="29">
        <v>0</v>
      </c>
      <c r="BH49" s="29">
        <v>0</v>
      </c>
      <c r="BI49" s="29">
        <v>2.146666666669739E-4</v>
      </c>
      <c r="BJ49" s="29">
        <v>-1.09999999999999E-4</v>
      </c>
      <c r="BK49" s="29">
        <v>4.766666666670138E-4</v>
      </c>
      <c r="BL49" s="29">
        <v>-2.1333333333295459E-4</v>
      </c>
      <c r="BM49" s="29">
        <v>0.258755333333333</v>
      </c>
      <c r="BN49" s="29">
        <v>3.6866666666698911E-4</v>
      </c>
      <c r="BO49" s="29">
        <v>0</v>
      </c>
      <c r="BP49" s="29">
        <v>3.4933333333329869E-4</v>
      </c>
      <c r="BQ49" s="29">
        <v>2.6333333333340009E-4</v>
      </c>
      <c r="BR49" s="29">
        <v>2.8466666666668311E-4</v>
      </c>
      <c r="BS49" s="29">
        <v>0.205750666666667</v>
      </c>
      <c r="BT49" s="29">
        <v>0</v>
      </c>
      <c r="BU49" s="29">
        <v>-3.5666666666700492E-4</v>
      </c>
      <c r="BV49" s="29">
        <v>4.7133333333299049E-4</v>
      </c>
      <c r="BW49" s="29">
        <v>-4.7299999999994569E-4</v>
      </c>
      <c r="BX49" s="29">
        <v>-4.7000000000005371E-5</v>
      </c>
      <c r="BY49" s="29">
        <v>-2.8833333333300182E-4</v>
      </c>
      <c r="BZ49" s="29">
        <v>0</v>
      </c>
      <c r="CA49" s="29">
        <v>0</v>
      </c>
      <c r="CB49" s="29">
        <v>0.29528866666666698</v>
      </c>
      <c r="CC49" s="29">
        <v>-1.903333333330148E-4</v>
      </c>
      <c r="CD49" s="29">
        <v>0</v>
      </c>
      <c r="CE49" s="29">
        <v>5.6000000000000001E-2</v>
      </c>
      <c r="CF49" s="29">
        <v>3.6899999999998051E-4</v>
      </c>
      <c r="CG49" s="29">
        <v>-4.5533333333297449E-4</v>
      </c>
      <c r="CH49" s="29">
        <v>0</v>
      </c>
      <c r="CI49" s="29">
        <v>4.4999999999999998E-2</v>
      </c>
      <c r="CJ49" s="29">
        <v>0.22821533333333299</v>
      </c>
      <c r="CK49" s="29">
        <v>3.2800000000000879E-4</v>
      </c>
      <c r="CL49" s="29">
        <v>4.386666666670036E-4</v>
      </c>
      <c r="CM49" s="29">
        <v>2.400000000000041E-4</v>
      </c>
      <c r="CN49" s="29">
        <v>1.5999999999988249E-5</v>
      </c>
      <c r="CO49" s="29">
        <v>-4.0066666666668799E-4</v>
      </c>
      <c r="CP49" s="29">
        <v>4.133333333297684E-5</v>
      </c>
      <c r="CQ49" s="29">
        <v>-5.0666666666990268E-5</v>
      </c>
      <c r="CR49" s="29">
        <v>-4.3533333333301011E-4</v>
      </c>
      <c r="CS49" s="29">
        <v>8.8666666666986638E-5</v>
      </c>
      <c r="CT49" s="29">
        <v>3.5562698245614061E-2</v>
      </c>
      <c r="CU49" s="35">
        <v>3.3784563333333359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6"/>
  <sheetViews>
    <sheetView showGridLines="0" workbookViewId="0"/>
  </sheetViews>
  <sheetFormatPr defaultRowHeight="15" x14ac:dyDescent="0.25"/>
  <cols>
    <col min="1" max="1" width="26" customWidth="1"/>
    <col min="2" max="2" width="16" customWidth="1"/>
    <col min="3" max="3" width="8" customWidth="1"/>
    <col min="4" max="11" width="13" customWidth="1"/>
  </cols>
  <sheetData>
    <row r="1" spans="1:11" ht="30" customHeight="1" x14ac:dyDescent="0.25">
      <c r="A1" s="8" t="s">
        <v>134</v>
      </c>
      <c r="B1" s="21" t="s">
        <v>135</v>
      </c>
      <c r="C1" s="21" t="s">
        <v>136</v>
      </c>
      <c r="D1" s="21" t="s">
        <v>137</v>
      </c>
      <c r="E1" s="21" t="s">
        <v>138</v>
      </c>
      <c r="F1" s="21" t="s">
        <v>139</v>
      </c>
      <c r="G1" s="21" t="s">
        <v>140</v>
      </c>
      <c r="H1" s="21" t="s">
        <v>141</v>
      </c>
      <c r="I1" s="21" t="s">
        <v>142</v>
      </c>
      <c r="J1" s="21" t="s">
        <v>143</v>
      </c>
      <c r="K1" s="9" t="s">
        <v>144</v>
      </c>
    </row>
    <row r="2" spans="1:11" x14ac:dyDescent="0.25">
      <c r="A2" s="10" t="s">
        <v>37</v>
      </c>
      <c r="B2" s="22" t="s">
        <v>145</v>
      </c>
      <c r="C2" s="36">
        <v>1</v>
      </c>
      <c r="D2" s="28">
        <v>3.6</v>
      </c>
      <c r="E2" s="28">
        <v>4.2</v>
      </c>
      <c r="F2" s="28">
        <v>24.23</v>
      </c>
      <c r="G2" s="28">
        <v>12.8</v>
      </c>
      <c r="H2" s="28">
        <v>9.73</v>
      </c>
      <c r="I2" s="28">
        <v>2E-3</v>
      </c>
      <c r="J2" s="26">
        <v>59.8</v>
      </c>
      <c r="K2" s="17">
        <v>100</v>
      </c>
    </row>
    <row r="3" spans="1:11" x14ac:dyDescent="0.25">
      <c r="A3" s="10" t="s">
        <v>38</v>
      </c>
      <c r="B3" s="22" t="s">
        <v>146</v>
      </c>
      <c r="C3" s="36">
        <v>2</v>
      </c>
      <c r="D3" s="28">
        <v>3.6</v>
      </c>
      <c r="E3" s="28">
        <v>4.2</v>
      </c>
      <c r="F3" s="28">
        <v>32.31</v>
      </c>
      <c r="G3" s="28">
        <v>5.5</v>
      </c>
      <c r="H3" s="28">
        <v>25.87</v>
      </c>
      <c r="I3" s="28">
        <v>1E-3</v>
      </c>
      <c r="J3" s="26">
        <v>19.899999999999999</v>
      </c>
      <c r="K3" s="17">
        <v>100</v>
      </c>
    </row>
    <row r="4" spans="1:11" x14ac:dyDescent="0.25">
      <c r="A4" s="10" t="s">
        <v>39</v>
      </c>
      <c r="B4" s="22" t="s">
        <v>147</v>
      </c>
      <c r="C4" s="36">
        <v>1</v>
      </c>
      <c r="D4" s="28">
        <v>3.6</v>
      </c>
      <c r="E4" s="28">
        <v>4.2</v>
      </c>
      <c r="F4" s="28">
        <v>16.149999999999999</v>
      </c>
      <c r="G4" s="28">
        <v>9.8000000000000007</v>
      </c>
      <c r="H4" s="28">
        <v>5.78</v>
      </c>
      <c r="I4" s="28">
        <v>2E-3</v>
      </c>
      <c r="J4" s="26">
        <v>64.2</v>
      </c>
      <c r="K4" s="17">
        <v>100</v>
      </c>
    </row>
    <row r="5" spans="1:11" x14ac:dyDescent="0.25">
      <c r="A5" s="10" t="s">
        <v>40</v>
      </c>
      <c r="B5" s="22" t="s">
        <v>148</v>
      </c>
      <c r="C5" s="36">
        <v>1</v>
      </c>
      <c r="D5" s="28">
        <v>3.6</v>
      </c>
      <c r="E5" s="28">
        <v>4.2</v>
      </c>
      <c r="F5" s="28">
        <v>32.31</v>
      </c>
      <c r="G5" s="28">
        <v>3.84</v>
      </c>
      <c r="H5" s="28">
        <v>26.84</v>
      </c>
      <c r="I5" s="28">
        <v>1E-3</v>
      </c>
      <c r="J5" s="26">
        <v>16.899999999999999</v>
      </c>
      <c r="K5" s="17">
        <v>100</v>
      </c>
    </row>
    <row r="6" spans="1:11" x14ac:dyDescent="0.25">
      <c r="A6" s="10" t="s">
        <v>41</v>
      </c>
      <c r="B6" s="22" t="s">
        <v>149</v>
      </c>
      <c r="C6" s="36">
        <v>3</v>
      </c>
      <c r="D6" s="28">
        <v>3.6</v>
      </c>
      <c r="E6" s="28">
        <v>4.2</v>
      </c>
      <c r="F6" s="28">
        <v>32.31</v>
      </c>
      <c r="G6" s="28">
        <v>6.36</v>
      </c>
      <c r="H6" s="28">
        <v>24.85</v>
      </c>
      <c r="I6" s="28">
        <v>2E-3</v>
      </c>
      <c r="J6" s="26">
        <v>23.1</v>
      </c>
      <c r="K6" s="17">
        <v>100</v>
      </c>
    </row>
    <row r="7" spans="1:11" x14ac:dyDescent="0.25">
      <c r="A7" s="10" t="s">
        <v>42</v>
      </c>
      <c r="B7" s="22" t="s">
        <v>150</v>
      </c>
      <c r="C7" s="36">
        <v>2</v>
      </c>
      <c r="D7" s="28">
        <v>3.6</v>
      </c>
      <c r="E7" s="28">
        <v>4.2</v>
      </c>
      <c r="F7" s="28">
        <v>24.23</v>
      </c>
      <c r="G7" s="28">
        <v>6.19</v>
      </c>
      <c r="H7" s="28">
        <v>17.52</v>
      </c>
      <c r="I7" s="28">
        <v>1E-3</v>
      </c>
      <c r="J7" s="26">
        <v>27.7</v>
      </c>
      <c r="K7" s="17">
        <v>100</v>
      </c>
    </row>
    <row r="8" spans="1:11" x14ac:dyDescent="0.25">
      <c r="A8" s="10" t="s">
        <v>43</v>
      </c>
      <c r="B8" s="22" t="s">
        <v>151</v>
      </c>
      <c r="C8" s="36">
        <v>2</v>
      </c>
      <c r="D8" s="28">
        <v>3.6</v>
      </c>
      <c r="E8" s="28">
        <v>4.2</v>
      </c>
      <c r="F8" s="28">
        <v>32.31</v>
      </c>
      <c r="G8" s="28">
        <v>1.51</v>
      </c>
      <c r="H8" s="28">
        <v>28.63</v>
      </c>
      <c r="I8" s="28">
        <v>1E-3</v>
      </c>
      <c r="J8" s="26">
        <v>11.4</v>
      </c>
      <c r="K8" s="17">
        <v>99.9</v>
      </c>
    </row>
    <row r="9" spans="1:11" x14ac:dyDescent="0.25">
      <c r="A9" s="10" t="s">
        <v>44</v>
      </c>
      <c r="B9" s="22" t="s">
        <v>152</v>
      </c>
      <c r="C9" s="36">
        <v>3</v>
      </c>
      <c r="D9" s="28">
        <v>3.6</v>
      </c>
      <c r="E9" s="28">
        <v>4.2</v>
      </c>
      <c r="F9" s="28">
        <v>24.23</v>
      </c>
      <c r="G9" s="28">
        <v>5.12</v>
      </c>
      <c r="H9" s="28">
        <v>17.96</v>
      </c>
      <c r="I9" s="28">
        <v>1E-3</v>
      </c>
      <c r="J9" s="26">
        <v>25.9</v>
      </c>
      <c r="K9" s="17">
        <v>100</v>
      </c>
    </row>
    <row r="10" spans="1:11" x14ac:dyDescent="0.25">
      <c r="A10" s="10" t="s">
        <v>45</v>
      </c>
      <c r="B10" s="22" t="s">
        <v>153</v>
      </c>
      <c r="C10" s="36">
        <v>3</v>
      </c>
      <c r="D10" s="28">
        <v>3.6</v>
      </c>
      <c r="E10" s="28">
        <v>4.2</v>
      </c>
      <c r="F10" s="28">
        <v>32.31</v>
      </c>
      <c r="G10" s="28">
        <v>9.18</v>
      </c>
      <c r="H10" s="28">
        <v>24.2</v>
      </c>
      <c r="I10" s="28">
        <v>0.26</v>
      </c>
      <c r="J10" s="26">
        <v>25.1</v>
      </c>
      <c r="K10" s="17">
        <v>97.2</v>
      </c>
    </row>
    <row r="11" spans="1:11" x14ac:dyDescent="0.25">
      <c r="A11" s="10" t="s">
        <v>46</v>
      </c>
      <c r="B11" s="22" t="s">
        <v>154</v>
      </c>
      <c r="C11" s="36">
        <v>3</v>
      </c>
      <c r="D11" s="28">
        <v>3.6</v>
      </c>
      <c r="E11" s="28">
        <v>4.2</v>
      </c>
      <c r="F11" s="28">
        <v>32.31</v>
      </c>
      <c r="G11" s="28">
        <v>6.27</v>
      </c>
      <c r="H11" s="28">
        <v>24.61</v>
      </c>
      <c r="I11" s="28">
        <v>1E-3</v>
      </c>
      <c r="J11" s="26">
        <v>23.8</v>
      </c>
      <c r="K11" s="17">
        <v>100</v>
      </c>
    </row>
    <row r="12" spans="1:11" x14ac:dyDescent="0.25">
      <c r="A12" s="10" t="s">
        <v>47</v>
      </c>
      <c r="B12" s="22" t="s">
        <v>155</v>
      </c>
      <c r="C12" s="36">
        <v>3</v>
      </c>
      <c r="D12" s="28">
        <v>3.6</v>
      </c>
      <c r="E12" s="28">
        <v>4.2</v>
      </c>
      <c r="F12" s="28">
        <v>32.31</v>
      </c>
      <c r="G12" s="28">
        <v>5.14</v>
      </c>
      <c r="H12" s="28">
        <v>26.4</v>
      </c>
      <c r="I12" s="28">
        <v>1E-3</v>
      </c>
      <c r="J12" s="26">
        <v>18.3</v>
      </c>
      <c r="K12" s="17">
        <v>100</v>
      </c>
    </row>
    <row r="13" spans="1:11" x14ac:dyDescent="0.25">
      <c r="A13" s="10" t="s">
        <v>48</v>
      </c>
      <c r="B13" s="22" t="s">
        <v>156</v>
      </c>
      <c r="C13" s="36">
        <v>1</v>
      </c>
      <c r="D13" s="28">
        <v>3.6</v>
      </c>
      <c r="E13" s="28">
        <v>4.2</v>
      </c>
      <c r="F13" s="28">
        <v>32.31</v>
      </c>
      <c r="G13" s="28">
        <v>5.2</v>
      </c>
      <c r="H13" s="28">
        <v>26.39</v>
      </c>
      <c r="I13" s="28">
        <v>2E-3</v>
      </c>
      <c r="J13" s="26">
        <v>18.3</v>
      </c>
      <c r="K13" s="17">
        <v>100</v>
      </c>
    </row>
    <row r="14" spans="1:11" x14ac:dyDescent="0.25">
      <c r="A14" s="10" t="s">
        <v>49</v>
      </c>
      <c r="B14" s="22" t="s">
        <v>157</v>
      </c>
      <c r="C14" s="36">
        <v>3</v>
      </c>
      <c r="D14" s="28">
        <v>3.6</v>
      </c>
      <c r="E14" s="28">
        <v>4.2</v>
      </c>
      <c r="F14" s="28">
        <v>16.149999999999999</v>
      </c>
      <c r="G14" s="28">
        <v>4.6500000000000004</v>
      </c>
      <c r="H14" s="28">
        <v>10.11</v>
      </c>
      <c r="I14" s="28">
        <v>2E-3</v>
      </c>
      <c r="J14" s="26">
        <v>37.4</v>
      </c>
      <c r="K14" s="17">
        <v>100</v>
      </c>
    </row>
    <row r="15" spans="1:11" x14ac:dyDescent="0.25">
      <c r="A15" s="10" t="s">
        <v>50</v>
      </c>
      <c r="B15" s="22" t="s">
        <v>158</v>
      </c>
      <c r="C15" s="36">
        <v>1</v>
      </c>
      <c r="D15" s="28">
        <v>3.6</v>
      </c>
      <c r="E15" s="28">
        <v>4.2</v>
      </c>
      <c r="F15" s="28">
        <v>24.23</v>
      </c>
      <c r="G15" s="28">
        <v>3.95</v>
      </c>
      <c r="H15" s="28">
        <v>18.559999999999999</v>
      </c>
      <c r="I15" s="28">
        <v>1E-3</v>
      </c>
      <c r="J15" s="26">
        <v>23.4</v>
      </c>
      <c r="K15" s="17">
        <v>100</v>
      </c>
    </row>
    <row r="16" spans="1:11" x14ac:dyDescent="0.25">
      <c r="A16" s="10" t="s">
        <v>51</v>
      </c>
      <c r="B16" s="22" t="s">
        <v>159</v>
      </c>
      <c r="C16" s="36">
        <v>1</v>
      </c>
      <c r="D16" s="28">
        <v>3.6</v>
      </c>
      <c r="E16" s="28">
        <v>4.2</v>
      </c>
      <c r="F16" s="28">
        <v>12.11</v>
      </c>
      <c r="G16" s="28">
        <v>3.96</v>
      </c>
      <c r="H16" s="28">
        <v>6.83</v>
      </c>
      <c r="I16" s="28">
        <v>2E-3</v>
      </c>
      <c r="J16" s="26">
        <v>43.6</v>
      </c>
      <c r="K16" s="17">
        <v>100</v>
      </c>
    </row>
    <row r="17" spans="1:11" x14ac:dyDescent="0.25">
      <c r="A17" s="10" t="s">
        <v>52</v>
      </c>
      <c r="B17" s="22" t="s">
        <v>160</v>
      </c>
      <c r="C17" s="36">
        <v>3</v>
      </c>
      <c r="D17" s="28">
        <v>3.6</v>
      </c>
      <c r="E17" s="28">
        <v>4.2</v>
      </c>
      <c r="F17" s="28">
        <v>32.31</v>
      </c>
      <c r="G17" s="28">
        <v>9.77</v>
      </c>
      <c r="H17" s="28">
        <v>20.77</v>
      </c>
      <c r="I17" s="28">
        <v>1E-3</v>
      </c>
      <c r="J17" s="26">
        <v>35.700000000000003</v>
      </c>
      <c r="K17" s="17">
        <v>100</v>
      </c>
    </row>
    <row r="18" spans="1:11" x14ac:dyDescent="0.25">
      <c r="A18" s="10" t="s">
        <v>53</v>
      </c>
      <c r="B18" s="22" t="s">
        <v>161</v>
      </c>
      <c r="C18" s="36">
        <v>2</v>
      </c>
      <c r="D18" s="28">
        <v>3.6</v>
      </c>
      <c r="E18" s="28">
        <v>4.2</v>
      </c>
      <c r="F18" s="28">
        <v>32.31</v>
      </c>
      <c r="G18" s="28">
        <v>3.66</v>
      </c>
      <c r="H18" s="28">
        <v>26.19</v>
      </c>
      <c r="I18" s="28">
        <v>1E-3</v>
      </c>
      <c r="J18" s="26">
        <v>18.899999999999999</v>
      </c>
      <c r="K18" s="17">
        <v>100</v>
      </c>
    </row>
    <row r="19" spans="1:11" x14ac:dyDescent="0.25">
      <c r="A19" s="10" t="s">
        <v>54</v>
      </c>
      <c r="B19" s="22" t="s">
        <v>162</v>
      </c>
      <c r="C19" s="36">
        <v>3</v>
      </c>
      <c r="D19" s="28">
        <v>3.6</v>
      </c>
      <c r="E19" s="28">
        <v>4.2</v>
      </c>
      <c r="F19" s="28">
        <v>16.149999999999999</v>
      </c>
      <c r="G19" s="28">
        <v>6.79</v>
      </c>
      <c r="H19" s="28">
        <v>8.85</v>
      </c>
      <c r="I19" s="28">
        <v>2E-3</v>
      </c>
      <c r="J19" s="26">
        <v>45.2</v>
      </c>
      <c r="K19" s="17">
        <v>100</v>
      </c>
    </row>
    <row r="20" spans="1:11" x14ac:dyDescent="0.25">
      <c r="A20" s="10" t="s">
        <v>55</v>
      </c>
      <c r="B20" s="22" t="s">
        <v>163</v>
      </c>
      <c r="C20" s="36">
        <v>2</v>
      </c>
      <c r="D20" s="28">
        <v>3.6</v>
      </c>
      <c r="E20" s="28">
        <v>4.2</v>
      </c>
      <c r="F20" s="28">
        <v>32.31</v>
      </c>
      <c r="G20" s="28">
        <v>4.9000000000000004</v>
      </c>
      <c r="H20" s="28">
        <v>26.45</v>
      </c>
      <c r="I20" s="28">
        <v>3.6999999999999998E-2</v>
      </c>
      <c r="J20" s="26">
        <v>18.100000000000001</v>
      </c>
      <c r="K20" s="17">
        <v>99.2</v>
      </c>
    </row>
    <row r="21" spans="1:11" x14ac:dyDescent="0.25">
      <c r="A21" s="10" t="s">
        <v>56</v>
      </c>
      <c r="B21" s="22" t="s">
        <v>164</v>
      </c>
      <c r="C21" s="36">
        <v>2</v>
      </c>
      <c r="D21" s="28">
        <v>3.6</v>
      </c>
      <c r="E21" s="28">
        <v>4.2</v>
      </c>
      <c r="F21" s="28">
        <v>32.31</v>
      </c>
      <c r="G21" s="28">
        <v>8.77</v>
      </c>
      <c r="H21" s="28">
        <v>23.62</v>
      </c>
      <c r="I21" s="28">
        <v>1E-3</v>
      </c>
      <c r="J21" s="26">
        <v>26.9</v>
      </c>
      <c r="K21" s="17">
        <v>100</v>
      </c>
    </row>
    <row r="22" spans="1:11" x14ac:dyDescent="0.25">
      <c r="A22" s="10" t="s">
        <v>57</v>
      </c>
      <c r="B22" s="22" t="s">
        <v>165</v>
      </c>
      <c r="C22" s="36">
        <v>2</v>
      </c>
      <c r="D22" s="28">
        <v>3.6</v>
      </c>
      <c r="E22" s="28">
        <v>4.2</v>
      </c>
      <c r="F22" s="28">
        <v>32.31</v>
      </c>
      <c r="G22" s="28">
        <v>6.1</v>
      </c>
      <c r="H22" s="28">
        <v>27.84</v>
      </c>
      <c r="I22" s="28">
        <v>0.73399999999999999</v>
      </c>
      <c r="J22" s="26">
        <v>13.8</v>
      </c>
      <c r="K22" s="17">
        <v>88</v>
      </c>
    </row>
    <row r="23" spans="1:11" x14ac:dyDescent="0.25">
      <c r="A23" s="10" t="s">
        <v>58</v>
      </c>
      <c r="B23" s="22" t="s">
        <v>166</v>
      </c>
      <c r="C23" s="36">
        <v>1</v>
      </c>
      <c r="D23" s="28">
        <v>3.6</v>
      </c>
      <c r="E23" s="28">
        <v>4.2</v>
      </c>
      <c r="F23" s="28">
        <v>24.23</v>
      </c>
      <c r="G23" s="28">
        <v>4.49</v>
      </c>
      <c r="H23" s="28">
        <v>18.07</v>
      </c>
      <c r="I23" s="28">
        <v>1E-3</v>
      </c>
      <c r="J23" s="26">
        <v>25.4</v>
      </c>
      <c r="K23" s="17">
        <v>100</v>
      </c>
    </row>
    <row r="24" spans="1:11" x14ac:dyDescent="0.25">
      <c r="A24" s="10" t="s">
        <v>59</v>
      </c>
      <c r="B24" s="22" t="s">
        <v>167</v>
      </c>
      <c r="C24" s="36">
        <v>3</v>
      </c>
      <c r="D24" s="28">
        <v>3.6</v>
      </c>
      <c r="E24" s="28">
        <v>4.2</v>
      </c>
      <c r="F24" s="28">
        <v>28.27</v>
      </c>
      <c r="G24" s="28">
        <v>5.91</v>
      </c>
      <c r="H24" s="28">
        <v>21.56</v>
      </c>
      <c r="I24" s="28">
        <v>3.5999999999999997E-2</v>
      </c>
      <c r="J24" s="26">
        <v>23.7</v>
      </c>
      <c r="K24" s="17">
        <v>99.4</v>
      </c>
    </row>
    <row r="25" spans="1:11" x14ac:dyDescent="0.25">
      <c r="A25" s="10" t="s">
        <v>60</v>
      </c>
      <c r="B25" s="22" t="s">
        <v>168</v>
      </c>
      <c r="C25" s="36">
        <v>1</v>
      </c>
      <c r="D25" s="28">
        <v>3.6</v>
      </c>
      <c r="E25" s="28">
        <v>4.2</v>
      </c>
      <c r="F25" s="28">
        <v>20.190000000000001</v>
      </c>
      <c r="G25" s="28">
        <v>6.57</v>
      </c>
      <c r="H25" s="28">
        <v>11.79</v>
      </c>
      <c r="I25" s="28">
        <v>1E-3</v>
      </c>
      <c r="J25" s="26">
        <v>41.6</v>
      </c>
      <c r="K25" s="17">
        <v>100</v>
      </c>
    </row>
    <row r="26" spans="1:11" x14ac:dyDescent="0.25">
      <c r="A26" s="10" t="s">
        <v>61</v>
      </c>
      <c r="B26" s="22" t="s">
        <v>169</v>
      </c>
      <c r="C26" s="36">
        <v>1</v>
      </c>
      <c r="D26" s="28">
        <v>3.6</v>
      </c>
      <c r="E26" s="28">
        <v>4.2</v>
      </c>
      <c r="F26" s="28">
        <v>12.11</v>
      </c>
      <c r="G26" s="28">
        <v>4.72</v>
      </c>
      <c r="H26" s="28">
        <v>5.34</v>
      </c>
      <c r="I26" s="28">
        <v>2E-3</v>
      </c>
      <c r="J26" s="26">
        <v>55.9</v>
      </c>
      <c r="K26" s="17">
        <v>100</v>
      </c>
    </row>
    <row r="27" spans="1:11" x14ac:dyDescent="0.25">
      <c r="A27" s="10" t="s">
        <v>62</v>
      </c>
      <c r="B27" s="22" t="s">
        <v>170</v>
      </c>
      <c r="C27" s="36">
        <v>2</v>
      </c>
      <c r="D27" s="28">
        <v>3.6</v>
      </c>
      <c r="E27" s="28">
        <v>4.2</v>
      </c>
      <c r="F27" s="28">
        <v>12.11</v>
      </c>
      <c r="G27" s="28">
        <v>7.53</v>
      </c>
      <c r="H27" s="28">
        <v>4.34</v>
      </c>
      <c r="I27" s="28">
        <v>2E-3</v>
      </c>
      <c r="J27" s="26">
        <v>64.2</v>
      </c>
      <c r="K27" s="17">
        <v>100</v>
      </c>
    </row>
    <row r="28" spans="1:11" x14ac:dyDescent="0.25">
      <c r="A28" s="10" t="s">
        <v>63</v>
      </c>
      <c r="B28" s="22" t="s">
        <v>171</v>
      </c>
      <c r="C28" s="36">
        <v>1</v>
      </c>
      <c r="D28" s="28">
        <v>3.6</v>
      </c>
      <c r="E28" s="28">
        <v>4.2</v>
      </c>
      <c r="F28" s="28">
        <v>16.149999999999999</v>
      </c>
      <c r="G28" s="28">
        <v>7.74</v>
      </c>
      <c r="H28" s="28">
        <v>8.18</v>
      </c>
      <c r="I28" s="28">
        <v>1E-3</v>
      </c>
      <c r="J28" s="26">
        <v>49.4</v>
      </c>
      <c r="K28" s="17">
        <v>100</v>
      </c>
    </row>
    <row r="29" spans="1:11" x14ac:dyDescent="0.25">
      <c r="A29" s="10" t="s">
        <v>64</v>
      </c>
      <c r="B29" s="22" t="s">
        <v>172</v>
      </c>
      <c r="C29" s="36">
        <v>3</v>
      </c>
      <c r="D29" s="28">
        <v>3.6</v>
      </c>
      <c r="E29" s="28">
        <v>4.2</v>
      </c>
      <c r="F29" s="28">
        <v>12.11</v>
      </c>
      <c r="G29" s="28">
        <v>7.19</v>
      </c>
      <c r="H29" s="28">
        <v>5.01</v>
      </c>
      <c r="I29" s="28">
        <v>2E-3</v>
      </c>
      <c r="J29" s="26">
        <v>58.6</v>
      </c>
      <c r="K29" s="17">
        <v>100</v>
      </c>
    </row>
    <row r="30" spans="1:11" x14ac:dyDescent="0.25">
      <c r="A30" s="10" t="s">
        <v>65</v>
      </c>
      <c r="B30" s="22" t="s">
        <v>173</v>
      </c>
      <c r="C30" s="36">
        <v>1</v>
      </c>
      <c r="D30" s="28">
        <v>3.6</v>
      </c>
      <c r="E30" s="28">
        <v>4.2</v>
      </c>
      <c r="F30" s="28">
        <v>32.31</v>
      </c>
      <c r="G30" s="28">
        <v>6.25</v>
      </c>
      <c r="H30" s="28">
        <v>24.29</v>
      </c>
      <c r="I30" s="28">
        <v>2E-3</v>
      </c>
      <c r="J30" s="26">
        <v>24.8</v>
      </c>
      <c r="K30" s="17">
        <v>100</v>
      </c>
    </row>
    <row r="31" spans="1:11" x14ac:dyDescent="0.25">
      <c r="A31" s="10" t="s">
        <v>66</v>
      </c>
      <c r="B31" s="22" t="s">
        <v>174</v>
      </c>
      <c r="C31" s="36">
        <v>1</v>
      </c>
      <c r="D31" s="28">
        <v>3.6</v>
      </c>
      <c r="E31" s="28">
        <v>4.2</v>
      </c>
      <c r="F31" s="28">
        <v>20.190000000000001</v>
      </c>
      <c r="G31" s="28">
        <v>6.82</v>
      </c>
      <c r="H31" s="28">
        <v>13.02</v>
      </c>
      <c r="I31" s="28">
        <v>2E-3</v>
      </c>
      <c r="J31" s="26">
        <v>35.5</v>
      </c>
      <c r="K31" s="17">
        <v>100</v>
      </c>
    </row>
    <row r="32" spans="1:11" x14ac:dyDescent="0.25">
      <c r="A32" s="10" t="s">
        <v>67</v>
      </c>
      <c r="B32" s="22" t="s">
        <v>175</v>
      </c>
      <c r="C32" s="36">
        <v>1</v>
      </c>
      <c r="D32" s="28">
        <v>3.6</v>
      </c>
      <c r="E32" s="28">
        <v>4.2</v>
      </c>
      <c r="F32" s="28">
        <v>32.31</v>
      </c>
      <c r="G32" s="28">
        <v>4.8499999999999996</v>
      </c>
      <c r="H32" s="28">
        <v>25.94</v>
      </c>
      <c r="I32" s="28">
        <v>1E-3</v>
      </c>
      <c r="J32" s="26">
        <v>19.7</v>
      </c>
      <c r="K32" s="17">
        <v>100</v>
      </c>
    </row>
    <row r="33" spans="1:11" x14ac:dyDescent="0.25">
      <c r="A33" s="10" t="s">
        <v>68</v>
      </c>
      <c r="B33" s="22" t="s">
        <v>176</v>
      </c>
      <c r="C33" s="36">
        <v>3</v>
      </c>
      <c r="D33" s="28">
        <v>3.6</v>
      </c>
      <c r="E33" s="28">
        <v>4.2</v>
      </c>
      <c r="F33" s="28">
        <v>12.11</v>
      </c>
      <c r="G33" s="28">
        <v>3.74</v>
      </c>
      <c r="H33" s="28">
        <v>6.34</v>
      </c>
      <c r="I33" s="28">
        <v>3.0000000000000001E-3</v>
      </c>
      <c r="J33" s="26">
        <v>47.7</v>
      </c>
      <c r="K33" s="17">
        <v>99.9</v>
      </c>
    </row>
    <row r="34" spans="1:11" x14ac:dyDescent="0.25">
      <c r="A34" s="10" t="s">
        <v>69</v>
      </c>
      <c r="B34" s="22" t="s">
        <v>177</v>
      </c>
      <c r="C34" s="36">
        <v>2</v>
      </c>
      <c r="D34" s="28">
        <v>3.6</v>
      </c>
      <c r="E34" s="28">
        <v>4.2</v>
      </c>
      <c r="F34" s="28">
        <v>32.31</v>
      </c>
      <c r="G34" s="28">
        <v>9.14</v>
      </c>
      <c r="H34" s="28">
        <v>21.37</v>
      </c>
      <c r="I34" s="28">
        <v>2E-3</v>
      </c>
      <c r="J34" s="26">
        <v>33.9</v>
      </c>
      <c r="K34" s="17">
        <v>100</v>
      </c>
    </row>
    <row r="35" spans="1:11" x14ac:dyDescent="0.25">
      <c r="A35" s="10" t="s">
        <v>70</v>
      </c>
      <c r="B35" s="22" t="s">
        <v>178</v>
      </c>
      <c r="C35" s="36">
        <v>1</v>
      </c>
      <c r="D35" s="28">
        <v>3.6</v>
      </c>
      <c r="E35" s="28">
        <v>4.2</v>
      </c>
      <c r="F35" s="28">
        <v>32.31</v>
      </c>
      <c r="G35" s="28">
        <v>6.83</v>
      </c>
      <c r="H35" s="28">
        <v>25.49</v>
      </c>
      <c r="I35" s="28">
        <v>2E-3</v>
      </c>
      <c r="J35" s="26">
        <v>21.1</v>
      </c>
      <c r="K35" s="17">
        <v>100</v>
      </c>
    </row>
    <row r="36" spans="1:11" x14ac:dyDescent="0.25">
      <c r="A36" s="10" t="s">
        <v>71</v>
      </c>
      <c r="B36" s="22" t="s">
        <v>179</v>
      </c>
      <c r="C36" s="36">
        <v>1</v>
      </c>
      <c r="D36" s="28">
        <v>3.6</v>
      </c>
      <c r="E36" s="28">
        <v>4.2</v>
      </c>
      <c r="F36" s="28">
        <v>24.23</v>
      </c>
      <c r="G36" s="28">
        <v>17.239999999999998</v>
      </c>
      <c r="H36" s="28">
        <v>10.3</v>
      </c>
      <c r="I36" s="28">
        <v>2.5329999999999999</v>
      </c>
      <c r="J36" s="26">
        <v>57.5</v>
      </c>
      <c r="K36" s="17">
        <v>85.3</v>
      </c>
    </row>
    <row r="37" spans="1:11" x14ac:dyDescent="0.25">
      <c r="A37" s="10" t="s">
        <v>72</v>
      </c>
      <c r="B37" s="22" t="s">
        <v>180</v>
      </c>
      <c r="C37" s="36">
        <v>3</v>
      </c>
      <c r="D37" s="28">
        <v>3.6</v>
      </c>
      <c r="E37" s="28">
        <v>4.2</v>
      </c>
      <c r="F37" s="28">
        <v>16.149999999999999</v>
      </c>
      <c r="G37" s="28">
        <v>2.06</v>
      </c>
      <c r="H37" s="28">
        <v>12.43</v>
      </c>
      <c r="I37" s="28">
        <v>1E-3</v>
      </c>
      <c r="J37" s="26">
        <v>23.1</v>
      </c>
      <c r="K37" s="17">
        <v>100</v>
      </c>
    </row>
    <row r="38" spans="1:11" x14ac:dyDescent="0.25">
      <c r="A38" s="10" t="s">
        <v>73</v>
      </c>
      <c r="B38" s="22" t="s">
        <v>181</v>
      </c>
      <c r="C38" s="36">
        <v>2</v>
      </c>
      <c r="D38" s="28">
        <v>3.6</v>
      </c>
      <c r="E38" s="28">
        <v>4.2</v>
      </c>
      <c r="F38" s="28">
        <v>32.31</v>
      </c>
      <c r="G38" s="28">
        <v>4.82</v>
      </c>
      <c r="H38" s="28">
        <v>26.59</v>
      </c>
      <c r="I38" s="28">
        <v>1E-3</v>
      </c>
      <c r="J38" s="26">
        <v>17.7</v>
      </c>
      <c r="K38" s="17">
        <v>100</v>
      </c>
    </row>
    <row r="39" spans="1:11" x14ac:dyDescent="0.25">
      <c r="A39" s="10" t="s">
        <v>74</v>
      </c>
      <c r="B39" s="22" t="s">
        <v>182</v>
      </c>
      <c r="C39" s="36">
        <v>2</v>
      </c>
      <c r="D39" s="28">
        <v>3.6</v>
      </c>
      <c r="E39" s="28">
        <v>4.2</v>
      </c>
      <c r="F39" s="28">
        <v>32.31</v>
      </c>
      <c r="G39" s="28">
        <v>5.45</v>
      </c>
      <c r="H39" s="28">
        <v>24.9</v>
      </c>
      <c r="I39" s="28">
        <v>1E-3</v>
      </c>
      <c r="J39" s="26">
        <v>22.9</v>
      </c>
      <c r="K39" s="17">
        <v>100</v>
      </c>
    </row>
    <row r="40" spans="1:11" x14ac:dyDescent="0.25">
      <c r="A40" s="10" t="s">
        <v>75</v>
      </c>
      <c r="B40" s="22" t="s">
        <v>183</v>
      </c>
      <c r="C40" s="36">
        <v>3</v>
      </c>
      <c r="D40" s="28">
        <v>3.6</v>
      </c>
      <c r="E40" s="28">
        <v>4.2</v>
      </c>
      <c r="F40" s="28">
        <v>32.31</v>
      </c>
      <c r="G40" s="28">
        <v>5.88</v>
      </c>
      <c r="H40" s="28">
        <v>25.23</v>
      </c>
      <c r="I40" s="28">
        <v>0.224</v>
      </c>
      <c r="J40" s="26">
        <v>21.9</v>
      </c>
      <c r="K40" s="17">
        <v>96.2</v>
      </c>
    </row>
    <row r="41" spans="1:11" x14ac:dyDescent="0.25">
      <c r="A41" s="10" t="s">
        <v>76</v>
      </c>
      <c r="B41" s="22" t="s">
        <v>184</v>
      </c>
      <c r="C41" s="36">
        <v>3</v>
      </c>
      <c r="D41" s="28">
        <v>3.6</v>
      </c>
      <c r="E41" s="28">
        <v>4.2</v>
      </c>
      <c r="F41" s="28">
        <v>32.31</v>
      </c>
      <c r="G41" s="28">
        <v>5.43</v>
      </c>
      <c r="H41" s="28">
        <v>26.95</v>
      </c>
      <c r="I41" s="28">
        <v>1E-3</v>
      </c>
      <c r="J41" s="26">
        <v>16.600000000000001</v>
      </c>
      <c r="K41" s="17">
        <v>100</v>
      </c>
    </row>
    <row r="42" spans="1:11" x14ac:dyDescent="0.25">
      <c r="A42" s="10" t="s">
        <v>77</v>
      </c>
      <c r="B42" s="22" t="s">
        <v>185</v>
      </c>
      <c r="C42" s="36">
        <v>3</v>
      </c>
      <c r="D42" s="28">
        <v>3.6</v>
      </c>
      <c r="E42" s="28">
        <v>4.2</v>
      </c>
      <c r="F42" s="28">
        <v>20.190000000000001</v>
      </c>
      <c r="G42" s="28">
        <v>10.17</v>
      </c>
      <c r="H42" s="28">
        <v>8.49</v>
      </c>
      <c r="I42" s="28">
        <v>1E-3</v>
      </c>
      <c r="J42" s="26">
        <v>57.9</v>
      </c>
      <c r="K42" s="17">
        <v>100</v>
      </c>
    </row>
    <row r="43" spans="1:11" x14ac:dyDescent="0.25">
      <c r="A43" s="10" t="s">
        <v>78</v>
      </c>
      <c r="B43" s="22" t="s">
        <v>186</v>
      </c>
      <c r="C43" s="36">
        <v>3</v>
      </c>
      <c r="D43" s="28">
        <v>3.6</v>
      </c>
      <c r="E43" s="28">
        <v>4.2</v>
      </c>
      <c r="F43" s="28">
        <v>16.149999999999999</v>
      </c>
      <c r="G43" s="28">
        <v>7.62</v>
      </c>
      <c r="H43" s="28">
        <v>7.57</v>
      </c>
      <c r="I43" s="28">
        <v>2E-3</v>
      </c>
      <c r="J43" s="26">
        <v>53.2</v>
      </c>
      <c r="K43" s="17">
        <v>100</v>
      </c>
    </row>
    <row r="44" spans="1:11" x14ac:dyDescent="0.25">
      <c r="A44" s="10" t="s">
        <v>79</v>
      </c>
      <c r="B44" s="22" t="s">
        <v>187</v>
      </c>
      <c r="C44" s="36">
        <v>2</v>
      </c>
      <c r="D44" s="28">
        <v>3.6</v>
      </c>
      <c r="E44" s="28">
        <v>4.2</v>
      </c>
      <c r="F44" s="28">
        <v>32.31</v>
      </c>
      <c r="G44" s="28">
        <v>8.1</v>
      </c>
      <c r="H44" s="28">
        <v>24.77</v>
      </c>
      <c r="I44" s="28">
        <v>1E-3</v>
      </c>
      <c r="J44" s="26">
        <v>23.3</v>
      </c>
      <c r="K44" s="17">
        <v>100</v>
      </c>
    </row>
    <row r="45" spans="1:11" x14ac:dyDescent="0.25">
      <c r="A45" s="10" t="s">
        <v>80</v>
      </c>
      <c r="B45" s="22" t="s">
        <v>188</v>
      </c>
      <c r="C45" s="36">
        <v>1</v>
      </c>
      <c r="D45" s="28">
        <v>3.6</v>
      </c>
      <c r="E45" s="28">
        <v>4.2</v>
      </c>
      <c r="F45" s="28">
        <v>24.23</v>
      </c>
      <c r="G45" s="28">
        <v>6.03</v>
      </c>
      <c r="H45" s="28">
        <v>16.399999999999999</v>
      </c>
      <c r="I45" s="28">
        <v>1E-3</v>
      </c>
      <c r="J45" s="26">
        <v>32.299999999999997</v>
      </c>
      <c r="K45" s="17">
        <v>100</v>
      </c>
    </row>
    <row r="46" spans="1:11" x14ac:dyDescent="0.25">
      <c r="A46" s="10" t="s">
        <v>81</v>
      </c>
      <c r="B46" s="22" t="s">
        <v>189</v>
      </c>
      <c r="C46" s="36">
        <v>3</v>
      </c>
      <c r="D46" s="28">
        <v>3.6</v>
      </c>
      <c r="E46" s="28">
        <v>4.2</v>
      </c>
      <c r="F46" s="28">
        <v>16.149999999999999</v>
      </c>
      <c r="G46" s="28">
        <v>7.89</v>
      </c>
      <c r="H46" s="28">
        <v>10.47</v>
      </c>
      <c r="I46" s="28">
        <v>1.3260000000000001</v>
      </c>
      <c r="J46" s="26">
        <v>35.200000000000003</v>
      </c>
      <c r="K46" s="17">
        <v>83.2</v>
      </c>
    </row>
    <row r="47" spans="1:11" x14ac:dyDescent="0.25">
      <c r="A47" s="10" t="s">
        <v>82</v>
      </c>
      <c r="B47" s="22" t="s">
        <v>190</v>
      </c>
      <c r="C47" s="36">
        <v>3</v>
      </c>
      <c r="D47" s="28">
        <v>3.6</v>
      </c>
      <c r="E47" s="28">
        <v>4.2</v>
      </c>
      <c r="F47" s="28">
        <v>32.31</v>
      </c>
      <c r="G47" s="28">
        <v>8.65</v>
      </c>
      <c r="H47" s="28">
        <v>24.13</v>
      </c>
      <c r="I47" s="28">
        <v>8.5999999999999993E-2</v>
      </c>
      <c r="J47" s="26">
        <v>25.3</v>
      </c>
      <c r="K47" s="17">
        <v>99</v>
      </c>
    </row>
    <row r="48" spans="1:11" x14ac:dyDescent="0.25">
      <c r="A48" s="10" t="s">
        <v>83</v>
      </c>
      <c r="B48" s="22" t="s">
        <v>191</v>
      </c>
      <c r="C48" s="36">
        <v>1</v>
      </c>
      <c r="D48" s="28">
        <v>3.6</v>
      </c>
      <c r="E48" s="28">
        <v>4.2</v>
      </c>
      <c r="F48" s="28">
        <v>32.31</v>
      </c>
      <c r="G48" s="28">
        <v>7.17</v>
      </c>
      <c r="H48" s="28">
        <v>24.34</v>
      </c>
      <c r="I48" s="28">
        <v>2E-3</v>
      </c>
      <c r="J48" s="26">
        <v>24.7</v>
      </c>
      <c r="K48" s="17">
        <v>100</v>
      </c>
    </row>
    <row r="49" spans="1:11" x14ac:dyDescent="0.25">
      <c r="A49" s="10" t="s">
        <v>84</v>
      </c>
      <c r="B49" s="22" t="s">
        <v>192</v>
      </c>
      <c r="C49" s="36">
        <v>2</v>
      </c>
      <c r="D49" s="28">
        <v>3.6</v>
      </c>
      <c r="E49" s="28">
        <v>4.2</v>
      </c>
      <c r="F49" s="28">
        <v>24.23</v>
      </c>
      <c r="G49" s="28">
        <v>4.12</v>
      </c>
      <c r="H49" s="28">
        <v>19.739999999999998</v>
      </c>
      <c r="I49" s="28">
        <v>1E-3</v>
      </c>
      <c r="J49" s="26">
        <v>18.5</v>
      </c>
      <c r="K49" s="17">
        <v>100</v>
      </c>
    </row>
    <row r="50" spans="1:11" x14ac:dyDescent="0.25">
      <c r="A50" s="10" t="s">
        <v>85</v>
      </c>
      <c r="B50" s="22" t="s">
        <v>193</v>
      </c>
      <c r="C50" s="36">
        <v>1</v>
      </c>
      <c r="D50" s="28">
        <v>3.6</v>
      </c>
      <c r="E50" s="28">
        <v>4.2</v>
      </c>
      <c r="F50" s="28">
        <v>24.23</v>
      </c>
      <c r="G50" s="28">
        <v>6.61</v>
      </c>
      <c r="H50" s="28">
        <v>17.7</v>
      </c>
      <c r="I50" s="28">
        <v>1E-3</v>
      </c>
      <c r="J50" s="26">
        <v>27</v>
      </c>
      <c r="K50" s="17">
        <v>100</v>
      </c>
    </row>
    <row r="51" spans="1:11" x14ac:dyDescent="0.25">
      <c r="A51" s="10" t="s">
        <v>86</v>
      </c>
      <c r="B51" s="22" t="s">
        <v>194</v>
      </c>
      <c r="C51" s="36">
        <v>3</v>
      </c>
      <c r="D51" s="28">
        <v>3.6</v>
      </c>
      <c r="E51" s="28">
        <v>4.2</v>
      </c>
      <c r="F51" s="28">
        <v>20.190000000000001</v>
      </c>
      <c r="G51" s="28">
        <v>5.34</v>
      </c>
      <c r="H51" s="28">
        <v>13.61</v>
      </c>
      <c r="I51" s="28">
        <v>2E-3</v>
      </c>
      <c r="J51" s="26">
        <v>32.6</v>
      </c>
      <c r="K51" s="17">
        <v>100</v>
      </c>
    </row>
    <row r="52" spans="1:11" x14ac:dyDescent="0.25">
      <c r="A52" s="10" t="s">
        <v>87</v>
      </c>
      <c r="B52" s="22" t="s">
        <v>195</v>
      </c>
      <c r="C52" s="36">
        <v>1</v>
      </c>
      <c r="D52" s="28">
        <v>3.6</v>
      </c>
      <c r="E52" s="28">
        <v>4.2</v>
      </c>
      <c r="F52" s="28">
        <v>28.27</v>
      </c>
      <c r="G52" s="28">
        <v>9.5500000000000007</v>
      </c>
      <c r="H52" s="28">
        <v>18.77</v>
      </c>
      <c r="I52" s="28">
        <v>2E-3</v>
      </c>
      <c r="J52" s="26">
        <v>33.6</v>
      </c>
      <c r="K52" s="17">
        <v>100</v>
      </c>
    </row>
    <row r="53" spans="1:11" x14ac:dyDescent="0.25">
      <c r="A53" s="10" t="s">
        <v>88</v>
      </c>
      <c r="B53" s="22" t="s">
        <v>196</v>
      </c>
      <c r="C53" s="36">
        <v>2</v>
      </c>
      <c r="D53" s="28">
        <v>3.6</v>
      </c>
      <c r="E53" s="28">
        <v>4.2</v>
      </c>
      <c r="F53" s="28">
        <v>24.23</v>
      </c>
      <c r="G53" s="28">
        <v>4.0199999999999996</v>
      </c>
      <c r="H53" s="28">
        <v>18.5</v>
      </c>
      <c r="I53" s="28">
        <v>2E-3</v>
      </c>
      <c r="J53" s="26">
        <v>23.7</v>
      </c>
      <c r="K53" s="17">
        <v>100</v>
      </c>
    </row>
    <row r="54" spans="1:11" x14ac:dyDescent="0.25">
      <c r="A54" s="10" t="s">
        <v>89</v>
      </c>
      <c r="B54" s="22" t="s">
        <v>197</v>
      </c>
      <c r="C54" s="36">
        <v>2</v>
      </c>
      <c r="D54" s="28">
        <v>3.6</v>
      </c>
      <c r="E54" s="28">
        <v>4.2</v>
      </c>
      <c r="F54" s="28">
        <v>32.31</v>
      </c>
      <c r="G54" s="28">
        <v>7.04</v>
      </c>
      <c r="H54" s="28">
        <v>24.4</v>
      </c>
      <c r="I54" s="28">
        <v>1E-3</v>
      </c>
      <c r="J54" s="26">
        <v>24.5</v>
      </c>
      <c r="K54" s="17">
        <v>100</v>
      </c>
    </row>
    <row r="55" spans="1:11" x14ac:dyDescent="0.25">
      <c r="A55" s="10" t="s">
        <v>90</v>
      </c>
      <c r="B55" s="22" t="s">
        <v>198</v>
      </c>
      <c r="C55" s="36">
        <v>3</v>
      </c>
      <c r="D55" s="28">
        <v>3.6</v>
      </c>
      <c r="E55" s="28">
        <v>4.2</v>
      </c>
      <c r="F55" s="28">
        <v>28.27</v>
      </c>
      <c r="G55" s="28">
        <v>6.82</v>
      </c>
      <c r="H55" s="28">
        <v>19.38</v>
      </c>
      <c r="I55" s="28">
        <v>1E-3</v>
      </c>
      <c r="J55" s="26">
        <v>31.4</v>
      </c>
      <c r="K55" s="17">
        <v>100</v>
      </c>
    </row>
    <row r="56" spans="1:11" x14ac:dyDescent="0.25">
      <c r="A56" s="10" t="s">
        <v>91</v>
      </c>
      <c r="B56" s="22" t="s">
        <v>199</v>
      </c>
      <c r="C56" s="36">
        <v>3</v>
      </c>
      <c r="D56" s="28">
        <v>3.6</v>
      </c>
      <c r="E56" s="28">
        <v>4.2</v>
      </c>
      <c r="F56" s="28">
        <v>28.27</v>
      </c>
      <c r="G56" s="28">
        <v>15.87</v>
      </c>
      <c r="H56" s="28">
        <v>14.93</v>
      </c>
      <c r="I56" s="28">
        <v>1.7050000000000001</v>
      </c>
      <c r="J56" s="26">
        <v>47.2</v>
      </c>
      <c r="K56" s="17">
        <v>89.3</v>
      </c>
    </row>
    <row r="57" spans="1:11" x14ac:dyDescent="0.25">
      <c r="A57" s="10" t="s">
        <v>92</v>
      </c>
      <c r="B57" s="22" t="s">
        <v>200</v>
      </c>
      <c r="C57" s="36">
        <v>3</v>
      </c>
      <c r="D57" s="28">
        <v>3.6</v>
      </c>
      <c r="E57" s="28">
        <v>4.2</v>
      </c>
      <c r="F57" s="28">
        <v>32.31</v>
      </c>
      <c r="G57" s="28">
        <v>7.03</v>
      </c>
      <c r="H57" s="28">
        <v>23.86</v>
      </c>
      <c r="I57" s="28">
        <v>2E-3</v>
      </c>
      <c r="J57" s="26">
        <v>26.1</v>
      </c>
      <c r="K57" s="17">
        <v>100</v>
      </c>
    </row>
    <row r="58" spans="1:11" x14ac:dyDescent="0.25">
      <c r="A58" s="10" t="s">
        <v>93</v>
      </c>
      <c r="B58" s="22" t="s">
        <v>201</v>
      </c>
      <c r="C58" s="36">
        <v>1</v>
      </c>
      <c r="D58" s="28">
        <v>3.6</v>
      </c>
      <c r="E58" s="28">
        <v>4.2</v>
      </c>
      <c r="F58" s="28">
        <v>28.27</v>
      </c>
      <c r="G58" s="28">
        <v>4.49</v>
      </c>
      <c r="H58" s="28">
        <v>22.11</v>
      </c>
      <c r="I58" s="28">
        <v>3.0000000000000001E-3</v>
      </c>
      <c r="J58" s="26">
        <v>21.8</v>
      </c>
      <c r="K58" s="17">
        <v>99.9</v>
      </c>
    </row>
    <row r="59" spans="1:11" x14ac:dyDescent="0.25">
      <c r="A59" s="10" t="s">
        <v>94</v>
      </c>
      <c r="B59" s="22" t="s">
        <v>202</v>
      </c>
      <c r="C59" s="36">
        <v>1</v>
      </c>
      <c r="D59" s="28">
        <v>3.6</v>
      </c>
      <c r="E59" s="28">
        <v>4.2</v>
      </c>
      <c r="F59" s="28">
        <v>32.31</v>
      </c>
      <c r="G59" s="28">
        <v>3.66</v>
      </c>
      <c r="H59" s="28">
        <v>28.19</v>
      </c>
      <c r="I59" s="28">
        <v>1E-3</v>
      </c>
      <c r="J59" s="26">
        <v>12.8</v>
      </c>
      <c r="K59" s="17">
        <v>100</v>
      </c>
    </row>
    <row r="60" spans="1:11" x14ac:dyDescent="0.25">
      <c r="A60" s="10" t="s">
        <v>95</v>
      </c>
      <c r="B60" s="22" t="s">
        <v>203</v>
      </c>
      <c r="C60" s="36">
        <v>1</v>
      </c>
      <c r="D60" s="28">
        <v>3.6</v>
      </c>
      <c r="E60" s="28">
        <v>4.2</v>
      </c>
      <c r="F60" s="28">
        <v>20.190000000000001</v>
      </c>
      <c r="G60" s="28">
        <v>4.5599999999999996</v>
      </c>
      <c r="H60" s="28">
        <v>14.48</v>
      </c>
      <c r="I60" s="28">
        <v>0.16</v>
      </c>
      <c r="J60" s="26">
        <v>28.3</v>
      </c>
      <c r="K60" s="17">
        <v>96.5</v>
      </c>
    </row>
    <row r="61" spans="1:11" x14ac:dyDescent="0.25">
      <c r="A61" s="10" t="s">
        <v>96</v>
      </c>
      <c r="B61" s="22" t="s">
        <v>204</v>
      </c>
      <c r="C61" s="36">
        <v>1</v>
      </c>
      <c r="D61" s="28">
        <v>3.6</v>
      </c>
      <c r="E61" s="28">
        <v>4.2</v>
      </c>
      <c r="F61" s="28">
        <v>16.149999999999999</v>
      </c>
      <c r="G61" s="28">
        <v>5.15</v>
      </c>
      <c r="H61" s="28">
        <v>9.4</v>
      </c>
      <c r="I61" s="28">
        <v>1E-3</v>
      </c>
      <c r="J61" s="26">
        <v>41.8</v>
      </c>
      <c r="K61" s="17">
        <v>100</v>
      </c>
    </row>
    <row r="62" spans="1:11" x14ac:dyDescent="0.25">
      <c r="A62" s="10" t="s">
        <v>97</v>
      </c>
      <c r="B62" s="22" t="s">
        <v>205</v>
      </c>
      <c r="C62" s="36">
        <v>2</v>
      </c>
      <c r="D62" s="28">
        <v>3.6</v>
      </c>
      <c r="E62" s="28">
        <v>4.2</v>
      </c>
      <c r="F62" s="28">
        <v>24.23</v>
      </c>
      <c r="G62" s="28">
        <v>4.34</v>
      </c>
      <c r="H62" s="28">
        <v>19.07</v>
      </c>
      <c r="I62" s="28">
        <v>1E-3</v>
      </c>
      <c r="J62" s="26">
        <v>21.3</v>
      </c>
      <c r="K62" s="17">
        <v>100</v>
      </c>
    </row>
    <row r="63" spans="1:11" x14ac:dyDescent="0.25">
      <c r="A63" s="10" t="s">
        <v>98</v>
      </c>
      <c r="B63" s="22" t="s">
        <v>206</v>
      </c>
      <c r="C63" s="36">
        <v>3</v>
      </c>
      <c r="D63" s="28">
        <v>3.6</v>
      </c>
      <c r="E63" s="28">
        <v>4.2</v>
      </c>
      <c r="F63" s="28">
        <v>12.11</v>
      </c>
      <c r="G63" s="28">
        <v>3.18</v>
      </c>
      <c r="H63" s="28">
        <v>7.66</v>
      </c>
      <c r="I63" s="28">
        <v>1E-3</v>
      </c>
      <c r="J63" s="26">
        <v>36.799999999999997</v>
      </c>
      <c r="K63" s="17">
        <v>100</v>
      </c>
    </row>
    <row r="64" spans="1:11" x14ac:dyDescent="0.25">
      <c r="A64" s="10" t="s">
        <v>99</v>
      </c>
      <c r="B64" s="22" t="s">
        <v>207</v>
      </c>
      <c r="C64" s="36">
        <v>3</v>
      </c>
      <c r="D64" s="28">
        <v>3.6</v>
      </c>
      <c r="E64" s="28">
        <v>4.2</v>
      </c>
      <c r="F64" s="28">
        <v>32.31</v>
      </c>
      <c r="G64" s="28">
        <v>9.49</v>
      </c>
      <c r="H64" s="28">
        <v>24.89</v>
      </c>
      <c r="I64" s="28">
        <v>1.274</v>
      </c>
      <c r="J64" s="26">
        <v>23</v>
      </c>
      <c r="K64" s="17">
        <v>86.6</v>
      </c>
    </row>
    <row r="65" spans="1:11" x14ac:dyDescent="0.25">
      <c r="A65" s="10" t="s">
        <v>100</v>
      </c>
      <c r="B65" s="22" t="s">
        <v>208</v>
      </c>
      <c r="C65" s="36">
        <v>1</v>
      </c>
      <c r="D65" s="28">
        <v>3.6</v>
      </c>
      <c r="E65" s="28">
        <v>4.2</v>
      </c>
      <c r="F65" s="28">
        <v>24.23</v>
      </c>
      <c r="G65" s="28">
        <v>10.88</v>
      </c>
      <c r="H65" s="28">
        <v>11.26</v>
      </c>
      <c r="I65" s="28">
        <v>2E-3</v>
      </c>
      <c r="J65" s="26">
        <v>53.5</v>
      </c>
      <c r="K65" s="17">
        <v>100</v>
      </c>
    </row>
    <row r="66" spans="1:11" x14ac:dyDescent="0.25">
      <c r="A66" s="10" t="s">
        <v>101</v>
      </c>
      <c r="B66" s="22" t="s">
        <v>209</v>
      </c>
      <c r="C66" s="36">
        <v>2</v>
      </c>
      <c r="D66" s="28">
        <v>3.6</v>
      </c>
      <c r="E66" s="28">
        <v>4.2</v>
      </c>
      <c r="F66" s="28">
        <v>20.190000000000001</v>
      </c>
      <c r="G66" s="28">
        <v>7.35</v>
      </c>
      <c r="H66" s="28">
        <v>11.55</v>
      </c>
      <c r="I66" s="28">
        <v>2E-3</v>
      </c>
      <c r="J66" s="26">
        <v>42.8</v>
      </c>
      <c r="K66" s="17">
        <v>100</v>
      </c>
    </row>
    <row r="67" spans="1:11" x14ac:dyDescent="0.25">
      <c r="A67" s="10" t="s">
        <v>102</v>
      </c>
      <c r="B67" s="22" t="s">
        <v>210</v>
      </c>
      <c r="C67" s="36">
        <v>1</v>
      </c>
      <c r="D67" s="28">
        <v>3.6</v>
      </c>
      <c r="E67" s="28">
        <v>4.2</v>
      </c>
      <c r="F67" s="28">
        <v>32.31</v>
      </c>
      <c r="G67" s="28">
        <v>8.32</v>
      </c>
      <c r="H67" s="28">
        <v>24.61</v>
      </c>
      <c r="I67" s="28">
        <v>0.33200000000000002</v>
      </c>
      <c r="J67" s="26">
        <v>23.8</v>
      </c>
      <c r="K67" s="17">
        <v>96</v>
      </c>
    </row>
    <row r="68" spans="1:11" x14ac:dyDescent="0.25">
      <c r="A68" s="10" t="s">
        <v>103</v>
      </c>
      <c r="B68" s="22" t="s">
        <v>211</v>
      </c>
      <c r="C68" s="36">
        <v>3</v>
      </c>
      <c r="D68" s="28">
        <v>3.6</v>
      </c>
      <c r="E68" s="28">
        <v>4.2</v>
      </c>
      <c r="F68" s="28">
        <v>28.27</v>
      </c>
      <c r="G68" s="28">
        <v>6.57</v>
      </c>
      <c r="H68" s="28">
        <v>20.77</v>
      </c>
      <c r="I68" s="28">
        <v>2E-3</v>
      </c>
      <c r="J68" s="26">
        <v>26.5</v>
      </c>
      <c r="K68" s="17">
        <v>100</v>
      </c>
    </row>
    <row r="69" spans="1:11" x14ac:dyDescent="0.25">
      <c r="A69" s="10" t="s">
        <v>104</v>
      </c>
      <c r="B69" s="22" t="s">
        <v>212</v>
      </c>
      <c r="C69" s="36">
        <v>1</v>
      </c>
      <c r="D69" s="28">
        <v>3.6</v>
      </c>
      <c r="E69" s="28">
        <v>4.2</v>
      </c>
      <c r="F69" s="28">
        <v>32.31</v>
      </c>
      <c r="G69" s="28">
        <v>6.93</v>
      </c>
      <c r="H69" s="28">
        <v>25.35</v>
      </c>
      <c r="I69" s="28">
        <v>0.78200000000000003</v>
      </c>
      <c r="J69" s="26">
        <v>21.5</v>
      </c>
      <c r="K69" s="17">
        <v>88.7</v>
      </c>
    </row>
    <row r="70" spans="1:11" x14ac:dyDescent="0.25">
      <c r="A70" s="10" t="s">
        <v>105</v>
      </c>
      <c r="B70" s="22" t="s">
        <v>213</v>
      </c>
      <c r="C70" s="36">
        <v>3</v>
      </c>
      <c r="D70" s="28">
        <v>3.6</v>
      </c>
      <c r="E70" s="28">
        <v>4.2</v>
      </c>
      <c r="F70" s="28">
        <v>32.31</v>
      </c>
      <c r="G70" s="28">
        <v>14.6</v>
      </c>
      <c r="H70" s="28">
        <v>20.78</v>
      </c>
      <c r="I70" s="28">
        <v>2.1989999999999998</v>
      </c>
      <c r="J70" s="26">
        <v>35.700000000000003</v>
      </c>
      <c r="K70" s="17">
        <v>84.9</v>
      </c>
    </row>
    <row r="71" spans="1:11" x14ac:dyDescent="0.25">
      <c r="A71" s="10" t="s">
        <v>106</v>
      </c>
      <c r="B71" s="22" t="s">
        <v>214</v>
      </c>
      <c r="C71" s="36">
        <v>2</v>
      </c>
      <c r="D71" s="28">
        <v>3.6</v>
      </c>
      <c r="E71" s="28">
        <v>4.2</v>
      </c>
      <c r="F71" s="28">
        <v>20.190000000000001</v>
      </c>
      <c r="G71" s="28">
        <v>6.83</v>
      </c>
      <c r="H71" s="28">
        <v>11.99</v>
      </c>
      <c r="I71" s="28">
        <v>1E-3</v>
      </c>
      <c r="J71" s="26">
        <v>40.6</v>
      </c>
      <c r="K71" s="17">
        <v>100</v>
      </c>
    </row>
    <row r="72" spans="1:11" x14ac:dyDescent="0.25">
      <c r="A72" s="10" t="s">
        <v>107</v>
      </c>
      <c r="B72" s="22" t="s">
        <v>215</v>
      </c>
      <c r="C72" s="36">
        <v>2</v>
      </c>
      <c r="D72" s="28">
        <v>3.6</v>
      </c>
      <c r="E72" s="28">
        <v>4.2</v>
      </c>
      <c r="F72" s="28">
        <v>32.31</v>
      </c>
      <c r="G72" s="28">
        <v>7.11</v>
      </c>
      <c r="H72" s="28">
        <v>23.67</v>
      </c>
      <c r="I72" s="28">
        <v>2E-3</v>
      </c>
      <c r="J72" s="26">
        <v>26.7</v>
      </c>
      <c r="K72" s="17">
        <v>100</v>
      </c>
    </row>
    <row r="73" spans="1:11" x14ac:dyDescent="0.25">
      <c r="A73" s="10" t="s">
        <v>108</v>
      </c>
      <c r="B73" s="22" t="s">
        <v>216</v>
      </c>
      <c r="C73" s="36">
        <v>2</v>
      </c>
      <c r="D73" s="28">
        <v>3.6</v>
      </c>
      <c r="E73" s="28">
        <v>4.2</v>
      </c>
      <c r="F73" s="28">
        <v>16.149999999999999</v>
      </c>
      <c r="G73" s="28">
        <v>6.4</v>
      </c>
      <c r="H73" s="28">
        <v>9.48</v>
      </c>
      <c r="I73" s="28">
        <v>1E-3</v>
      </c>
      <c r="J73" s="26">
        <v>41.3</v>
      </c>
      <c r="K73" s="17">
        <v>100</v>
      </c>
    </row>
    <row r="74" spans="1:11" x14ac:dyDescent="0.25">
      <c r="A74" s="10" t="s">
        <v>109</v>
      </c>
      <c r="B74" s="22" t="s">
        <v>217</v>
      </c>
      <c r="C74" s="36">
        <v>3</v>
      </c>
      <c r="D74" s="28">
        <v>3.6</v>
      </c>
      <c r="E74" s="28">
        <v>4.2</v>
      </c>
      <c r="F74" s="28">
        <v>16.149999999999999</v>
      </c>
      <c r="G74" s="28">
        <v>9.0399999999999991</v>
      </c>
      <c r="H74" s="28">
        <v>7.45</v>
      </c>
      <c r="I74" s="28">
        <v>2E-3</v>
      </c>
      <c r="J74" s="26">
        <v>53.9</v>
      </c>
      <c r="K74" s="17">
        <v>100</v>
      </c>
    </row>
    <row r="75" spans="1:11" x14ac:dyDescent="0.25">
      <c r="A75" s="10" t="s">
        <v>110</v>
      </c>
      <c r="B75" s="22" t="s">
        <v>218</v>
      </c>
      <c r="C75" s="36">
        <v>3</v>
      </c>
      <c r="D75" s="28">
        <v>3.6</v>
      </c>
      <c r="E75" s="28">
        <v>4.2</v>
      </c>
      <c r="F75" s="28">
        <v>24.23</v>
      </c>
      <c r="G75" s="28">
        <v>10.57</v>
      </c>
      <c r="H75" s="28">
        <v>12.07</v>
      </c>
      <c r="I75" s="28">
        <v>2E-3</v>
      </c>
      <c r="J75" s="26">
        <v>50.2</v>
      </c>
      <c r="K75" s="17">
        <v>100</v>
      </c>
    </row>
    <row r="76" spans="1:11" x14ac:dyDescent="0.25">
      <c r="A76" s="10" t="s">
        <v>111</v>
      </c>
      <c r="B76" s="22" t="s">
        <v>219</v>
      </c>
      <c r="C76" s="36">
        <v>1</v>
      </c>
      <c r="D76" s="28">
        <v>3.6</v>
      </c>
      <c r="E76" s="28">
        <v>4.2</v>
      </c>
      <c r="F76" s="28">
        <v>28.27</v>
      </c>
      <c r="G76" s="28">
        <v>7.26</v>
      </c>
      <c r="H76" s="28">
        <v>19.8</v>
      </c>
      <c r="I76" s="28">
        <v>2E-3</v>
      </c>
      <c r="J76" s="26">
        <v>30</v>
      </c>
      <c r="K76" s="17">
        <v>100</v>
      </c>
    </row>
    <row r="77" spans="1:11" x14ac:dyDescent="0.25">
      <c r="A77" s="10" t="s">
        <v>112</v>
      </c>
      <c r="B77" s="22" t="s">
        <v>220</v>
      </c>
      <c r="C77" s="36">
        <v>1</v>
      </c>
      <c r="D77" s="28">
        <v>3.6</v>
      </c>
      <c r="E77" s="28">
        <v>4.2</v>
      </c>
      <c r="F77" s="28">
        <v>24.23</v>
      </c>
      <c r="G77" s="28">
        <v>7.97</v>
      </c>
      <c r="H77" s="28">
        <v>15.78</v>
      </c>
      <c r="I77" s="28">
        <v>0.14699999999999999</v>
      </c>
      <c r="J77" s="26">
        <v>34.9</v>
      </c>
      <c r="K77" s="17">
        <v>98.2</v>
      </c>
    </row>
    <row r="78" spans="1:11" x14ac:dyDescent="0.25">
      <c r="A78" s="10" t="s">
        <v>113</v>
      </c>
      <c r="B78" s="22" t="s">
        <v>221</v>
      </c>
      <c r="C78" s="36">
        <v>2</v>
      </c>
      <c r="D78" s="28">
        <v>3.6</v>
      </c>
      <c r="E78" s="28">
        <v>4.2</v>
      </c>
      <c r="F78" s="28">
        <v>28.27</v>
      </c>
      <c r="G78" s="28">
        <v>7.93</v>
      </c>
      <c r="H78" s="28">
        <v>18.38</v>
      </c>
      <c r="I78" s="28">
        <v>2E-3</v>
      </c>
      <c r="J78" s="26">
        <v>35</v>
      </c>
      <c r="K78" s="17">
        <v>100</v>
      </c>
    </row>
    <row r="79" spans="1:11" x14ac:dyDescent="0.25">
      <c r="A79" s="10" t="s">
        <v>114</v>
      </c>
      <c r="B79" s="22" t="s">
        <v>222</v>
      </c>
      <c r="C79" s="36">
        <v>1</v>
      </c>
      <c r="D79" s="28">
        <v>3.6</v>
      </c>
      <c r="E79" s="28">
        <v>4.2</v>
      </c>
      <c r="F79" s="28">
        <v>20.190000000000001</v>
      </c>
      <c r="G79" s="28">
        <v>14.85</v>
      </c>
      <c r="H79" s="28">
        <v>7.36</v>
      </c>
      <c r="I79" s="28">
        <v>1.327</v>
      </c>
      <c r="J79" s="26">
        <v>63.6</v>
      </c>
      <c r="K79" s="17">
        <v>91.1</v>
      </c>
    </row>
    <row r="80" spans="1:11" x14ac:dyDescent="0.25">
      <c r="A80" s="10" t="s">
        <v>115</v>
      </c>
      <c r="B80" s="22" t="s">
        <v>223</v>
      </c>
      <c r="C80" s="36">
        <v>1</v>
      </c>
      <c r="D80" s="28">
        <v>3.6</v>
      </c>
      <c r="E80" s="28">
        <v>4.2</v>
      </c>
      <c r="F80" s="28">
        <v>32.31</v>
      </c>
      <c r="G80" s="28">
        <v>7.14</v>
      </c>
      <c r="H80" s="28">
        <v>23.67</v>
      </c>
      <c r="I80" s="28">
        <v>2E-3</v>
      </c>
      <c r="J80" s="26">
        <v>26.7</v>
      </c>
      <c r="K80" s="17">
        <v>100</v>
      </c>
    </row>
    <row r="81" spans="1:11" x14ac:dyDescent="0.25">
      <c r="A81" s="10" t="s">
        <v>116</v>
      </c>
      <c r="B81" s="22" t="s">
        <v>224</v>
      </c>
      <c r="C81" s="36">
        <v>2</v>
      </c>
      <c r="D81" s="28">
        <v>3.6</v>
      </c>
      <c r="E81" s="28">
        <v>4.2</v>
      </c>
      <c r="F81" s="28">
        <v>32.31</v>
      </c>
      <c r="G81" s="28">
        <v>7.35</v>
      </c>
      <c r="H81" s="28">
        <v>23.97</v>
      </c>
      <c r="I81" s="28">
        <v>1E-3</v>
      </c>
      <c r="J81" s="26">
        <v>25.8</v>
      </c>
      <c r="K81" s="17">
        <v>100</v>
      </c>
    </row>
    <row r="82" spans="1:11" x14ac:dyDescent="0.25">
      <c r="A82" s="10" t="s">
        <v>117</v>
      </c>
      <c r="B82" s="22" t="s">
        <v>225</v>
      </c>
      <c r="C82" s="36">
        <v>1</v>
      </c>
      <c r="D82" s="28">
        <v>3.6</v>
      </c>
      <c r="E82" s="28">
        <v>4.2</v>
      </c>
      <c r="F82" s="28">
        <v>20.190000000000001</v>
      </c>
      <c r="G82" s="28">
        <v>11.34</v>
      </c>
      <c r="H82" s="28">
        <v>11.03</v>
      </c>
      <c r="I82" s="28">
        <v>1.3129999999999999</v>
      </c>
      <c r="J82" s="26">
        <v>45.4</v>
      </c>
      <c r="K82" s="17">
        <v>88.4</v>
      </c>
    </row>
    <row r="83" spans="1:11" x14ac:dyDescent="0.25">
      <c r="A83" s="10" t="s">
        <v>118</v>
      </c>
      <c r="B83" s="22" t="s">
        <v>226</v>
      </c>
      <c r="C83" s="36">
        <v>1</v>
      </c>
      <c r="D83" s="28">
        <v>3.6</v>
      </c>
      <c r="E83" s="28">
        <v>4.2</v>
      </c>
      <c r="F83" s="28">
        <v>16.149999999999999</v>
      </c>
      <c r="G83" s="28">
        <v>4.63</v>
      </c>
      <c r="H83" s="28">
        <v>9.44</v>
      </c>
      <c r="I83" s="28">
        <v>2E-3</v>
      </c>
      <c r="J83" s="26">
        <v>41.5</v>
      </c>
      <c r="K83" s="17">
        <v>100</v>
      </c>
    </row>
    <row r="84" spans="1:11" x14ac:dyDescent="0.25">
      <c r="A84" s="10" t="s">
        <v>119</v>
      </c>
      <c r="B84" s="22" t="s">
        <v>227</v>
      </c>
      <c r="C84" s="36">
        <v>1</v>
      </c>
      <c r="D84" s="28">
        <v>3.6</v>
      </c>
      <c r="E84" s="28">
        <v>4.2</v>
      </c>
      <c r="F84" s="28">
        <v>28.27</v>
      </c>
      <c r="G84" s="28">
        <v>7.49</v>
      </c>
      <c r="H84" s="28">
        <v>20</v>
      </c>
      <c r="I84" s="28">
        <v>1E-3</v>
      </c>
      <c r="J84" s="26">
        <v>29.3</v>
      </c>
      <c r="K84" s="17">
        <v>100</v>
      </c>
    </row>
    <row r="85" spans="1:11" x14ac:dyDescent="0.25">
      <c r="A85" s="10" t="s">
        <v>120</v>
      </c>
      <c r="B85" s="22" t="s">
        <v>228</v>
      </c>
      <c r="C85" s="36">
        <v>2</v>
      </c>
      <c r="D85" s="28">
        <v>3.6</v>
      </c>
      <c r="E85" s="28">
        <v>4.2</v>
      </c>
      <c r="F85" s="28">
        <v>20.190000000000001</v>
      </c>
      <c r="G85" s="28">
        <v>6.56</v>
      </c>
      <c r="H85" s="28">
        <v>12.81</v>
      </c>
      <c r="I85" s="28">
        <v>1E-3</v>
      </c>
      <c r="J85" s="26">
        <v>36.6</v>
      </c>
      <c r="K85" s="17">
        <v>100</v>
      </c>
    </row>
    <row r="86" spans="1:11" x14ac:dyDescent="0.25">
      <c r="A86" s="10" t="s">
        <v>121</v>
      </c>
      <c r="B86" s="22" t="s">
        <v>229</v>
      </c>
      <c r="C86" s="36">
        <v>2</v>
      </c>
      <c r="D86" s="28">
        <v>3.6</v>
      </c>
      <c r="E86" s="28">
        <v>4.2</v>
      </c>
      <c r="F86" s="28">
        <v>16.149999999999999</v>
      </c>
      <c r="G86" s="28">
        <v>7.85</v>
      </c>
      <c r="H86" s="28">
        <v>9.2200000000000006</v>
      </c>
      <c r="I86" s="28">
        <v>2.4E-2</v>
      </c>
      <c r="J86" s="26">
        <v>42.9</v>
      </c>
      <c r="K86" s="17">
        <v>99.7</v>
      </c>
    </row>
    <row r="87" spans="1:11" x14ac:dyDescent="0.25">
      <c r="A87" s="10" t="s">
        <v>122</v>
      </c>
      <c r="B87" s="22" t="s">
        <v>230</v>
      </c>
      <c r="C87" s="36">
        <v>2</v>
      </c>
      <c r="D87" s="28">
        <v>3.6</v>
      </c>
      <c r="E87" s="28">
        <v>4.2</v>
      </c>
      <c r="F87" s="28">
        <v>16.149999999999999</v>
      </c>
      <c r="G87" s="28">
        <v>12.35</v>
      </c>
      <c r="H87" s="28">
        <v>6.05</v>
      </c>
      <c r="I87" s="28">
        <v>1.4510000000000001</v>
      </c>
      <c r="J87" s="26">
        <v>62.5</v>
      </c>
      <c r="K87" s="17">
        <v>88.3</v>
      </c>
    </row>
    <row r="88" spans="1:11" x14ac:dyDescent="0.25">
      <c r="A88" s="10" t="s">
        <v>123</v>
      </c>
      <c r="B88" s="22" t="s">
        <v>231</v>
      </c>
      <c r="C88" s="36">
        <v>1</v>
      </c>
      <c r="D88" s="28">
        <v>3.6</v>
      </c>
      <c r="E88" s="28">
        <v>4.2</v>
      </c>
      <c r="F88" s="28">
        <v>28.27</v>
      </c>
      <c r="G88" s="28">
        <v>6.39</v>
      </c>
      <c r="H88" s="28">
        <v>20.38</v>
      </c>
      <c r="I88" s="28">
        <v>2E-3</v>
      </c>
      <c r="J88" s="26">
        <v>27.9</v>
      </c>
      <c r="K88" s="17">
        <v>100</v>
      </c>
    </row>
    <row r="89" spans="1:11" x14ac:dyDescent="0.25">
      <c r="A89" s="10" t="s">
        <v>124</v>
      </c>
      <c r="B89" s="22" t="s">
        <v>232</v>
      </c>
      <c r="C89" s="36">
        <v>1</v>
      </c>
      <c r="D89" s="28">
        <v>3.6</v>
      </c>
      <c r="E89" s="28">
        <v>4.2</v>
      </c>
      <c r="F89" s="28">
        <v>28.27</v>
      </c>
      <c r="G89" s="28">
        <v>5.64</v>
      </c>
      <c r="H89" s="28">
        <v>22.01</v>
      </c>
      <c r="I89" s="28">
        <v>2E-3</v>
      </c>
      <c r="J89" s="26">
        <v>22.1</v>
      </c>
      <c r="K89" s="17">
        <v>100</v>
      </c>
    </row>
    <row r="90" spans="1:11" x14ac:dyDescent="0.25">
      <c r="A90" s="10" t="s">
        <v>125</v>
      </c>
      <c r="B90" s="22" t="s">
        <v>233</v>
      </c>
      <c r="C90" s="36">
        <v>2</v>
      </c>
      <c r="D90" s="28">
        <v>3.6</v>
      </c>
      <c r="E90" s="28">
        <v>4.2</v>
      </c>
      <c r="F90" s="28">
        <v>12.11</v>
      </c>
      <c r="G90" s="28">
        <v>2.4300000000000002</v>
      </c>
      <c r="H90" s="28">
        <v>7.75</v>
      </c>
      <c r="I90" s="28">
        <v>2E-3</v>
      </c>
      <c r="J90" s="26">
        <v>36</v>
      </c>
      <c r="K90" s="17">
        <v>99.9</v>
      </c>
    </row>
    <row r="91" spans="1:11" x14ac:dyDescent="0.25">
      <c r="A91" s="10" t="s">
        <v>126</v>
      </c>
      <c r="B91" s="22" t="s">
        <v>234</v>
      </c>
      <c r="C91" s="36">
        <v>1</v>
      </c>
      <c r="D91" s="28">
        <v>3.6</v>
      </c>
      <c r="E91" s="28">
        <v>4.2</v>
      </c>
      <c r="F91" s="28">
        <v>12.11</v>
      </c>
      <c r="G91" s="28">
        <v>5.68</v>
      </c>
      <c r="H91" s="28">
        <v>6.17</v>
      </c>
      <c r="I91" s="28">
        <v>1E-3</v>
      </c>
      <c r="J91" s="26">
        <v>49.1</v>
      </c>
      <c r="K91" s="17">
        <v>100</v>
      </c>
    </row>
    <row r="92" spans="1:11" x14ac:dyDescent="0.25">
      <c r="A92" s="10" t="s">
        <v>127</v>
      </c>
      <c r="B92" s="22" t="s">
        <v>235</v>
      </c>
      <c r="C92" s="36">
        <v>2</v>
      </c>
      <c r="D92" s="28">
        <v>3.6</v>
      </c>
      <c r="E92" s="28">
        <v>4.2</v>
      </c>
      <c r="F92" s="28">
        <v>28.27</v>
      </c>
      <c r="G92" s="28">
        <v>6.53</v>
      </c>
      <c r="H92" s="28">
        <v>21.06</v>
      </c>
      <c r="I92" s="28">
        <v>2E-3</v>
      </c>
      <c r="J92" s="26">
        <v>25.5</v>
      </c>
      <c r="K92" s="17">
        <v>100</v>
      </c>
    </row>
    <row r="93" spans="1:11" x14ac:dyDescent="0.25">
      <c r="A93" s="10" t="s">
        <v>128</v>
      </c>
      <c r="B93" s="22" t="s">
        <v>236</v>
      </c>
      <c r="C93" s="36">
        <v>1</v>
      </c>
      <c r="D93" s="28">
        <v>3.6</v>
      </c>
      <c r="E93" s="28">
        <v>4.2</v>
      </c>
      <c r="F93" s="28">
        <v>12.11</v>
      </c>
      <c r="G93" s="28">
        <v>9.5399999999999991</v>
      </c>
      <c r="H93" s="28">
        <v>2.2599999999999998</v>
      </c>
      <c r="I93" s="28">
        <v>2E-3</v>
      </c>
      <c r="J93" s="26">
        <v>81.400000000000006</v>
      </c>
      <c r="K93" s="17">
        <v>100</v>
      </c>
    </row>
    <row r="94" spans="1:11" x14ac:dyDescent="0.25">
      <c r="A94" s="10" t="s">
        <v>129</v>
      </c>
      <c r="B94" s="22" t="s">
        <v>237</v>
      </c>
      <c r="C94" s="36">
        <v>1</v>
      </c>
      <c r="D94" s="28">
        <v>3.6</v>
      </c>
      <c r="E94" s="28">
        <v>4.2</v>
      </c>
      <c r="F94" s="28">
        <v>32.31</v>
      </c>
      <c r="G94" s="28">
        <v>8.44</v>
      </c>
      <c r="H94" s="28">
        <v>21.6</v>
      </c>
      <c r="I94" s="28">
        <v>1E-3</v>
      </c>
      <c r="J94" s="26">
        <v>33.1</v>
      </c>
      <c r="K94" s="17">
        <v>100</v>
      </c>
    </row>
    <row r="95" spans="1:11" x14ac:dyDescent="0.25">
      <c r="A95" s="10" t="s">
        <v>130</v>
      </c>
      <c r="B95" s="22" t="s">
        <v>238</v>
      </c>
      <c r="C95" s="36">
        <v>2</v>
      </c>
      <c r="D95" s="28">
        <v>3.6</v>
      </c>
      <c r="E95" s="28">
        <v>4.2</v>
      </c>
      <c r="F95" s="28">
        <v>24.23</v>
      </c>
      <c r="G95" s="28">
        <v>5.05</v>
      </c>
      <c r="H95" s="28">
        <v>17.940000000000001</v>
      </c>
      <c r="I95" s="28">
        <v>2E-3</v>
      </c>
      <c r="J95" s="26">
        <v>26</v>
      </c>
      <c r="K95" s="17">
        <v>100</v>
      </c>
    </row>
    <row r="96" spans="1:11" x14ac:dyDescent="0.25">
      <c r="A96" s="12" t="s">
        <v>131</v>
      </c>
      <c r="B96" s="23" t="s">
        <v>239</v>
      </c>
      <c r="C96" s="37">
        <v>1</v>
      </c>
      <c r="D96" s="29">
        <v>3.6</v>
      </c>
      <c r="E96" s="29">
        <v>4.2</v>
      </c>
      <c r="F96" s="29">
        <v>16.149999999999999</v>
      </c>
      <c r="G96" s="29">
        <v>10.35</v>
      </c>
      <c r="H96" s="29">
        <v>4.54</v>
      </c>
      <c r="I96" s="29">
        <v>2E-3</v>
      </c>
      <c r="J96" s="27">
        <v>71.900000000000006</v>
      </c>
      <c r="K96" s="33">
        <v>100</v>
      </c>
    </row>
  </sheetData>
  <conditionalFormatting sqref="J2:K96">
    <cfRule type="colorScale" priority="1">
      <colorScale>
        <cfvo type="min"/>
        <cfvo type="percentile" val="50"/>
        <cfvo type="max"/>
        <color rgb="FFFDECEC"/>
        <color rgb="FFFFF4E0"/>
        <color rgb="FFEAF6EA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59"/>
  <sheetViews>
    <sheetView showGridLines="0" topLeftCell="A37" workbookViewId="0">
      <selection sqref="A1:Q1"/>
    </sheetView>
  </sheetViews>
  <sheetFormatPr defaultRowHeight="15" x14ac:dyDescent="0.25"/>
  <cols>
    <col min="1" max="2" width="13" customWidth="1"/>
    <col min="3" max="3" width="3" customWidth="1"/>
    <col min="4" max="5" width="13" customWidth="1"/>
    <col min="6" max="6" width="3" customWidth="1"/>
    <col min="7" max="8" width="13" customWidth="1"/>
    <col min="9" max="9" width="3" customWidth="1"/>
    <col min="10" max="11" width="13" customWidth="1"/>
    <col min="12" max="12" width="3" customWidth="1"/>
    <col min="13" max="14" width="13" customWidth="1"/>
    <col min="15" max="15" width="3" customWidth="1"/>
    <col min="16" max="17" width="13" customWidth="1"/>
  </cols>
  <sheetData>
    <row r="1" spans="1:17" ht="33.950000000000003" customHeight="1" x14ac:dyDescent="0.25">
      <c r="A1" s="57" t="s">
        <v>240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17" ht="24" customHeight="1" x14ac:dyDescent="0.25">
      <c r="A2" s="59" t="s">
        <v>241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4" spans="1:17" ht="30" customHeight="1" x14ac:dyDescent="0.25">
      <c r="A4" s="60" t="s">
        <v>242</v>
      </c>
      <c r="B4" s="61" t="s">
        <v>242</v>
      </c>
      <c r="D4" s="64" t="s">
        <v>243</v>
      </c>
      <c r="E4" s="65" t="s">
        <v>243</v>
      </c>
      <c r="G4" s="68" t="s">
        <v>244</v>
      </c>
      <c r="H4" s="69" t="s">
        <v>244</v>
      </c>
      <c r="J4" s="72" t="s">
        <v>245</v>
      </c>
      <c r="K4" s="73" t="s">
        <v>245</v>
      </c>
      <c r="M4" s="76" t="s">
        <v>246</v>
      </c>
      <c r="N4" s="77" t="s">
        <v>246</v>
      </c>
      <c r="P4" s="64" t="s">
        <v>247</v>
      </c>
      <c r="Q4" s="65" t="s">
        <v>247</v>
      </c>
    </row>
    <row r="5" spans="1:17" ht="30" customHeight="1" x14ac:dyDescent="0.25">
      <c r="A5" s="62">
        <f>Summary!B5</f>
        <v>95</v>
      </c>
      <c r="B5" s="63"/>
      <c r="D5" s="66">
        <f>Summary!B6</f>
        <v>2370.4</v>
      </c>
      <c r="E5" s="67"/>
      <c r="G5" s="70">
        <f>Summary!B7</f>
        <v>666.4</v>
      </c>
      <c r="H5" s="71"/>
      <c r="J5" s="74">
        <f>Summary!B9</f>
        <v>16.100000000000001</v>
      </c>
      <c r="K5" s="75"/>
      <c r="M5" s="78">
        <f>Summary!B10</f>
        <v>30.9</v>
      </c>
      <c r="N5" s="79"/>
      <c r="P5" s="80">
        <f>Summary!B11</f>
        <v>97.6</v>
      </c>
      <c r="Q5" s="67"/>
    </row>
    <row r="43" spans="10:17" x14ac:dyDescent="0.25">
      <c r="J43" s="81" t="s">
        <v>248</v>
      </c>
      <c r="K43" s="82"/>
      <c r="L43" s="82"/>
      <c r="M43" s="82"/>
      <c r="N43" s="82"/>
      <c r="O43" s="82"/>
      <c r="P43" s="82"/>
      <c r="Q43" s="83"/>
    </row>
    <row r="44" spans="10:17" x14ac:dyDescent="0.25">
      <c r="J44" s="84"/>
      <c r="K44" s="85"/>
      <c r="L44" s="85"/>
      <c r="M44" s="85"/>
      <c r="N44" s="85"/>
      <c r="O44" s="85"/>
      <c r="P44" s="85"/>
      <c r="Q44" s="86"/>
    </row>
    <row r="45" spans="10:17" x14ac:dyDescent="0.25">
      <c r="J45" s="84"/>
      <c r="K45" s="85"/>
      <c r="L45" s="85"/>
      <c r="M45" s="85"/>
      <c r="N45" s="85"/>
      <c r="O45" s="85"/>
      <c r="P45" s="85"/>
      <c r="Q45" s="86"/>
    </row>
    <row r="46" spans="10:17" x14ac:dyDescent="0.25">
      <c r="J46" s="84"/>
      <c r="K46" s="85"/>
      <c r="L46" s="85"/>
      <c r="M46" s="85"/>
      <c r="N46" s="85"/>
      <c r="O46" s="85"/>
      <c r="P46" s="85"/>
      <c r="Q46" s="86"/>
    </row>
    <row r="47" spans="10:17" x14ac:dyDescent="0.25">
      <c r="J47" s="84"/>
      <c r="K47" s="85"/>
      <c r="L47" s="85"/>
      <c r="M47" s="85"/>
      <c r="N47" s="85"/>
      <c r="O47" s="85"/>
      <c r="P47" s="85"/>
      <c r="Q47" s="86"/>
    </row>
    <row r="48" spans="10:17" x14ac:dyDescent="0.25">
      <c r="J48" s="84"/>
      <c r="K48" s="85"/>
      <c r="L48" s="85"/>
      <c r="M48" s="85"/>
      <c r="N48" s="85"/>
      <c r="O48" s="85"/>
      <c r="P48" s="85"/>
      <c r="Q48" s="86"/>
    </row>
    <row r="49" spans="10:17" x14ac:dyDescent="0.25">
      <c r="J49" s="84"/>
      <c r="K49" s="85"/>
      <c r="L49" s="85"/>
      <c r="M49" s="85"/>
      <c r="N49" s="85"/>
      <c r="O49" s="85"/>
      <c r="P49" s="85"/>
      <c r="Q49" s="86"/>
    </row>
    <row r="50" spans="10:17" x14ac:dyDescent="0.25">
      <c r="J50" s="84"/>
      <c r="K50" s="85"/>
      <c r="L50" s="85"/>
      <c r="M50" s="85"/>
      <c r="N50" s="85"/>
      <c r="O50" s="85"/>
      <c r="P50" s="85"/>
      <c r="Q50" s="86"/>
    </row>
    <row r="51" spans="10:17" x14ac:dyDescent="0.25">
      <c r="J51" s="84"/>
      <c r="K51" s="85"/>
      <c r="L51" s="85"/>
      <c r="M51" s="85"/>
      <c r="N51" s="85"/>
      <c r="O51" s="85"/>
      <c r="P51" s="85"/>
      <c r="Q51" s="86"/>
    </row>
    <row r="52" spans="10:17" x14ac:dyDescent="0.25">
      <c r="J52" s="84"/>
      <c r="K52" s="85"/>
      <c r="L52" s="85"/>
      <c r="M52" s="85"/>
      <c r="N52" s="85"/>
      <c r="O52" s="85"/>
      <c r="P52" s="85"/>
      <c r="Q52" s="86"/>
    </row>
    <row r="53" spans="10:17" x14ac:dyDescent="0.25">
      <c r="J53" s="84"/>
      <c r="K53" s="85"/>
      <c r="L53" s="85"/>
      <c r="M53" s="85"/>
      <c r="N53" s="85"/>
      <c r="O53" s="85"/>
      <c r="P53" s="85"/>
      <c r="Q53" s="86"/>
    </row>
    <row r="54" spans="10:17" x14ac:dyDescent="0.25">
      <c r="J54" s="84"/>
      <c r="K54" s="85"/>
      <c r="L54" s="85"/>
      <c r="M54" s="85"/>
      <c r="N54" s="85"/>
      <c r="O54" s="85"/>
      <c r="P54" s="85"/>
      <c r="Q54" s="86"/>
    </row>
    <row r="55" spans="10:17" x14ac:dyDescent="0.25">
      <c r="J55" s="84"/>
      <c r="K55" s="85"/>
      <c r="L55" s="85"/>
      <c r="M55" s="85"/>
      <c r="N55" s="85"/>
      <c r="O55" s="85"/>
      <c r="P55" s="85"/>
      <c r="Q55" s="86"/>
    </row>
    <row r="56" spans="10:17" x14ac:dyDescent="0.25">
      <c r="J56" s="84"/>
      <c r="K56" s="85"/>
      <c r="L56" s="85"/>
      <c r="M56" s="85"/>
      <c r="N56" s="85"/>
      <c r="O56" s="85"/>
      <c r="P56" s="85"/>
      <c r="Q56" s="86"/>
    </row>
    <row r="57" spans="10:17" x14ac:dyDescent="0.25">
      <c r="J57" s="84"/>
      <c r="K57" s="85"/>
      <c r="L57" s="85"/>
      <c r="M57" s="85"/>
      <c r="N57" s="85"/>
      <c r="O57" s="85"/>
      <c r="P57" s="85"/>
      <c r="Q57" s="86"/>
    </row>
    <row r="58" spans="10:17" x14ac:dyDescent="0.25">
      <c r="J58" s="84"/>
      <c r="K58" s="85"/>
      <c r="L58" s="85"/>
      <c r="M58" s="85"/>
      <c r="N58" s="85"/>
      <c r="O58" s="85"/>
      <c r="P58" s="85"/>
      <c r="Q58" s="86"/>
    </row>
    <row r="59" spans="10:17" x14ac:dyDescent="0.25">
      <c r="J59" s="87"/>
      <c r="K59" s="88"/>
      <c r="L59" s="88"/>
      <c r="M59" s="88"/>
      <c r="N59" s="88"/>
      <c r="O59" s="88"/>
      <c r="P59" s="88"/>
      <c r="Q59" s="89"/>
    </row>
  </sheetData>
  <mergeCells count="15">
    <mergeCell ref="J43:Q59"/>
    <mergeCell ref="A1:Q1"/>
    <mergeCell ref="A2:Q2"/>
    <mergeCell ref="A4:B4"/>
    <mergeCell ref="A5:B5"/>
    <mergeCell ref="D4:E4"/>
    <mergeCell ref="D5:E5"/>
    <mergeCell ref="G4:H4"/>
    <mergeCell ref="G5:H5"/>
    <mergeCell ref="J4:K4"/>
    <mergeCell ref="J5:K5"/>
    <mergeCell ref="M4:N4"/>
    <mergeCell ref="M5:N5"/>
    <mergeCell ref="P4:Q4"/>
    <mergeCell ref="P5:Q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96"/>
  <sheetViews>
    <sheetView showGridLines="0" topLeftCell="AB1" workbookViewId="0"/>
  </sheetViews>
  <sheetFormatPr defaultRowHeight="15" x14ac:dyDescent="0.25"/>
  <cols>
    <col min="1" max="1" width="9" customWidth="1"/>
    <col min="2" max="4" width="16" customWidth="1"/>
    <col min="6" max="6" width="9" customWidth="1"/>
    <col min="7" max="9" width="16" customWidth="1"/>
    <col min="11" max="11" width="26" customWidth="1"/>
    <col min="12" max="13" width="12" customWidth="1"/>
    <col min="15" max="15" width="8" customWidth="1"/>
    <col min="16" max="16" width="26" customWidth="1"/>
    <col min="17" max="17" width="15" customWidth="1"/>
    <col min="18" max="18" width="14" customWidth="1"/>
    <col min="20" max="20" width="9" customWidth="1"/>
    <col min="21" max="25" width="15" customWidth="1"/>
    <col min="27" max="33" width="15" customWidth="1"/>
  </cols>
  <sheetData>
    <row r="1" spans="1:33" x14ac:dyDescent="0.25">
      <c r="A1" s="38" t="s">
        <v>249</v>
      </c>
      <c r="B1" s="39" t="s">
        <v>250</v>
      </c>
      <c r="C1" s="39" t="s">
        <v>251</v>
      </c>
      <c r="D1" s="40" t="s">
        <v>252</v>
      </c>
      <c r="F1" s="38" t="s">
        <v>249</v>
      </c>
      <c r="G1" s="39" t="s">
        <v>253</v>
      </c>
      <c r="H1" s="39" t="s">
        <v>254</v>
      </c>
      <c r="I1" s="40" t="s">
        <v>255</v>
      </c>
      <c r="K1" s="38" t="s">
        <v>256</v>
      </c>
      <c r="L1" s="39" t="s">
        <v>257</v>
      </c>
      <c r="M1" s="40" t="s">
        <v>258</v>
      </c>
      <c r="O1" s="38" t="s">
        <v>259</v>
      </c>
      <c r="P1" s="39" t="s">
        <v>256</v>
      </c>
      <c r="Q1" s="39" t="s">
        <v>260</v>
      </c>
      <c r="R1" s="40" t="s">
        <v>261</v>
      </c>
      <c r="T1" s="38" t="s">
        <v>249</v>
      </c>
      <c r="U1" s="39" t="s">
        <v>262</v>
      </c>
      <c r="V1" s="39" t="s">
        <v>263</v>
      </c>
      <c r="W1" s="39" t="s">
        <v>264</v>
      </c>
      <c r="X1" s="39" t="s">
        <v>265</v>
      </c>
      <c r="Y1" s="40" t="s">
        <v>266</v>
      </c>
      <c r="AA1" s="38" t="s">
        <v>249</v>
      </c>
      <c r="AB1" s="39" t="s">
        <v>267</v>
      </c>
      <c r="AC1" s="39" t="s">
        <v>268</v>
      </c>
      <c r="AD1" s="39" t="s">
        <v>269</v>
      </c>
      <c r="AE1" s="39" t="s">
        <v>270</v>
      </c>
      <c r="AF1" s="39" t="s">
        <v>271</v>
      </c>
      <c r="AG1" s="40" t="s">
        <v>272</v>
      </c>
    </row>
    <row r="2" spans="1:33" x14ac:dyDescent="0.25">
      <c r="A2" s="41">
        <f>FleetAverage!B2</f>
        <v>0</v>
      </c>
      <c r="B2" s="43">
        <f>FleetAverage!I2</f>
        <v>22.542882666666664</v>
      </c>
      <c r="C2" s="43">
        <f>FleetAverage!J2</f>
        <v>0</v>
      </c>
      <c r="D2" s="44">
        <f>FleetAverage!K2</f>
        <v>8.8266666666569904E-4</v>
      </c>
      <c r="F2" s="41">
        <f>FleetAverage!B2</f>
        <v>0</v>
      </c>
      <c r="G2" s="47">
        <f>FleetAverage!E2</f>
        <v>0</v>
      </c>
      <c r="H2" s="47">
        <f>FleetAverage!F2</f>
        <v>0.23728421052631576</v>
      </c>
      <c r="I2" s="49">
        <f>FleetAverage!H2</f>
        <v>40</v>
      </c>
      <c r="K2" s="4" t="str">
        <f>ProsumerMetrics!A2</f>
        <v>BES_TR2_three312_A</v>
      </c>
      <c r="L2" s="51">
        <f>ProsumerMetrics!J2</f>
        <v>59.8</v>
      </c>
      <c r="M2" s="49">
        <f>ProsumerMetrics!K2</f>
        <v>100</v>
      </c>
      <c r="O2" s="53">
        <v>1</v>
      </c>
      <c r="P2" s="19" t="str">
        <f>INDEX(ProsumerMetrics!$A$2:$A$96,MATCH(Q2,ProsumerMetrics!$H$2:$H$96,0))</f>
        <v>BES_TR2_three97_B</v>
      </c>
      <c r="Q2" s="43">
        <f>LARGE(ProsumerMetrics!$H$2:$H$96,O2)</f>
        <v>28.63</v>
      </c>
      <c r="R2" s="5" t="str">
        <f t="shared" ref="R2:R11" si="0">MID(P2,9,99)</f>
        <v>three97_B</v>
      </c>
      <c r="T2" s="41">
        <f>FleetAverage!B2</f>
        <v>0</v>
      </c>
      <c r="U2" s="47">
        <f>FleetAverage!C2</f>
        <v>0.23729350175438593</v>
      </c>
      <c r="V2" s="47">
        <f>FleetAverage!D2</f>
        <v>0</v>
      </c>
      <c r="W2" s="47">
        <f>FleetAverage!E2</f>
        <v>0</v>
      </c>
      <c r="X2" s="47">
        <f>FleetAverage!F2</f>
        <v>0.23728421052631576</v>
      </c>
      <c r="Y2" s="55">
        <f>FleetAverage!G2</f>
        <v>9.2912280701684669E-6</v>
      </c>
      <c r="AA2" s="41">
        <f>FleetAverage!B2</f>
        <v>0</v>
      </c>
      <c r="AB2" s="47">
        <f>0</f>
        <v>0</v>
      </c>
      <c r="AC2" s="47">
        <f>FleetAverage!G2</f>
        <v>9.2912280701684669E-6</v>
      </c>
      <c r="AD2" s="47">
        <f t="shared" ref="AD2:AD49" si="1">MAX(AC2,0)</f>
        <v>9.2912280701684669E-6</v>
      </c>
      <c r="AE2" s="47">
        <f t="shared" ref="AE2:AE49" si="2">MIN(AC2,0)</f>
        <v>0</v>
      </c>
      <c r="AF2" s="51">
        <f>100</f>
        <v>100</v>
      </c>
      <c r="AG2" s="49">
        <f>FleetAverage!H2</f>
        <v>40</v>
      </c>
    </row>
    <row r="3" spans="1:33" x14ac:dyDescent="0.25">
      <c r="A3" s="41">
        <f>FleetAverage!B3</f>
        <v>0.5</v>
      </c>
      <c r="B3" s="43">
        <f>FleetAverage!I3</f>
        <v>20.083074000000003</v>
      </c>
      <c r="C3" s="43">
        <f>FleetAverage!J3</f>
        <v>0</v>
      </c>
      <c r="D3" s="44">
        <f>FleetAverage!K3</f>
        <v>0.11707400000000945</v>
      </c>
      <c r="F3" s="41">
        <f>FleetAverage!B3</f>
        <v>0.5</v>
      </c>
      <c r="G3" s="47">
        <f>FleetAverage!E3</f>
        <v>0</v>
      </c>
      <c r="H3" s="47">
        <f>FleetAverage!F3</f>
        <v>0.2101684210526315</v>
      </c>
      <c r="I3" s="49">
        <f>FleetAverage!H3</f>
        <v>37.022328421052649</v>
      </c>
      <c r="K3" s="4" t="str">
        <f>ProsumerMetrics!A3</f>
        <v>BES_TR2_three321_B</v>
      </c>
      <c r="L3" s="51">
        <f>ProsumerMetrics!J3</f>
        <v>19.899999999999999</v>
      </c>
      <c r="M3" s="49">
        <f>ProsumerMetrics!K3</f>
        <v>100</v>
      </c>
      <c r="O3" s="53">
        <v>2</v>
      </c>
      <c r="P3" s="19" t="str">
        <f>INDEX(ProsumerMetrics!$A$2:$A$96,MATCH(Q3,ProsumerMetrics!$H$2:$H$96,0))</f>
        <v>BES_TR2_six329_A</v>
      </c>
      <c r="Q3" s="43">
        <f>LARGE(ProsumerMetrics!$H$2:$H$96,O3)</f>
        <v>28.19</v>
      </c>
      <c r="R3" s="5" t="str">
        <f t="shared" si="0"/>
        <v>six329_A</v>
      </c>
      <c r="T3" s="41">
        <f>FleetAverage!B3</f>
        <v>0.5</v>
      </c>
      <c r="U3" s="47">
        <f>FleetAverage!C3</f>
        <v>0.21140077894736845</v>
      </c>
      <c r="V3" s="47">
        <f>FleetAverage!D3</f>
        <v>0</v>
      </c>
      <c r="W3" s="47">
        <f>FleetAverage!E3</f>
        <v>0</v>
      </c>
      <c r="X3" s="47">
        <f>FleetAverage!F3</f>
        <v>0.2101684210526315</v>
      </c>
      <c r="Y3" s="55">
        <f>FleetAverage!G3</f>
        <v>1.2323578947369407E-3</v>
      </c>
      <c r="AA3" s="41">
        <f>FleetAverage!B3</f>
        <v>0.5</v>
      </c>
      <c r="AB3" s="47">
        <f>0</f>
        <v>0</v>
      </c>
      <c r="AC3" s="47">
        <f>FleetAverage!G3</f>
        <v>1.2323578947369407E-3</v>
      </c>
      <c r="AD3" s="47">
        <f t="shared" si="1"/>
        <v>1.2323578947369407E-3</v>
      </c>
      <c r="AE3" s="47">
        <f t="shared" si="2"/>
        <v>0</v>
      </c>
      <c r="AF3" s="51">
        <f>100</f>
        <v>100</v>
      </c>
      <c r="AG3" s="49">
        <f>FleetAverage!H3</f>
        <v>37.022328421052649</v>
      </c>
    </row>
    <row r="4" spans="1:33" x14ac:dyDescent="0.25">
      <c r="A4" s="41">
        <f>FleetAverage!B4</f>
        <v>1</v>
      </c>
      <c r="B4" s="43">
        <f>FleetAverage!I4</f>
        <v>15.16349670000001</v>
      </c>
      <c r="C4" s="43">
        <f>FleetAverage!J4</f>
        <v>0</v>
      </c>
      <c r="D4" s="44">
        <f>FleetAverage!K4</f>
        <v>0.49449670000001156</v>
      </c>
      <c r="F4" s="41">
        <f>FleetAverage!B4</f>
        <v>1</v>
      </c>
      <c r="G4" s="47">
        <f>FleetAverage!E4</f>
        <v>0</v>
      </c>
      <c r="H4" s="47">
        <f>FleetAverage!F4</f>
        <v>0.15441052631578947</v>
      </c>
      <c r="I4" s="49">
        <f>FleetAverage!H4</f>
        <v>34.384641052631579</v>
      </c>
      <c r="K4" s="4" t="str">
        <f>ProsumerMetrics!A4</f>
        <v>BES_TR2_three368_A</v>
      </c>
      <c r="L4" s="51">
        <f>ProsumerMetrics!J4</f>
        <v>64.2</v>
      </c>
      <c r="M4" s="49">
        <f>ProsumerMetrics!K4</f>
        <v>100</v>
      </c>
      <c r="O4" s="53">
        <v>3</v>
      </c>
      <c r="P4" s="19" t="str">
        <f>INDEX(ProsumerMetrics!$A$2:$A$96,MATCH(Q4,ProsumerMetrics!$H$2:$H$96,0))</f>
        <v>BES_TR2_five324_B</v>
      </c>
      <c r="Q4" s="43">
        <f>LARGE(ProsumerMetrics!$H$2:$H$96,O4)</f>
        <v>27.84</v>
      </c>
      <c r="R4" s="5" t="str">
        <f t="shared" si="0"/>
        <v>five324_B</v>
      </c>
      <c r="T4" s="41">
        <f>FleetAverage!B4</f>
        <v>1</v>
      </c>
      <c r="U4" s="47">
        <f>FleetAverage!C4</f>
        <v>0.15961575473684222</v>
      </c>
      <c r="V4" s="47">
        <f>FleetAverage!D4</f>
        <v>0</v>
      </c>
      <c r="W4" s="47">
        <f>FleetAverage!E4</f>
        <v>0</v>
      </c>
      <c r="X4" s="47">
        <f>FleetAverage!F4</f>
        <v>0.15441052631578947</v>
      </c>
      <c r="Y4" s="55">
        <f>FleetAverage!G4</f>
        <v>5.2052284210527544E-3</v>
      </c>
      <c r="AA4" s="41">
        <f>FleetAverage!B4</f>
        <v>1</v>
      </c>
      <c r="AB4" s="47">
        <f>0</f>
        <v>0</v>
      </c>
      <c r="AC4" s="47">
        <f>FleetAverage!G4</f>
        <v>5.2052284210527544E-3</v>
      </c>
      <c r="AD4" s="47">
        <f t="shared" si="1"/>
        <v>5.2052284210527544E-3</v>
      </c>
      <c r="AE4" s="47">
        <f t="shared" si="2"/>
        <v>0</v>
      </c>
      <c r="AF4" s="51">
        <f>100</f>
        <v>100</v>
      </c>
      <c r="AG4" s="49">
        <f>FleetAverage!H4</f>
        <v>34.384641052631579</v>
      </c>
    </row>
    <row r="5" spans="1:33" x14ac:dyDescent="0.25">
      <c r="A5" s="41">
        <f>FleetAverage!B5</f>
        <v>1.5</v>
      </c>
      <c r="B5" s="43">
        <f>FleetAverage!I5</f>
        <v>13.280624333333336</v>
      </c>
      <c r="C5" s="43">
        <f>FleetAverage!J5</f>
        <v>0</v>
      </c>
      <c r="D5" s="44">
        <f>FleetAverage!K5</f>
        <v>0.96162433333333119</v>
      </c>
      <c r="F5" s="41">
        <f>FleetAverage!B5</f>
        <v>1.5</v>
      </c>
      <c r="G5" s="47">
        <f>FleetAverage!E5</f>
        <v>0</v>
      </c>
      <c r="H5" s="47">
        <f>FleetAverage!F5</f>
        <v>0.12967368421052636</v>
      </c>
      <c r="I5" s="49">
        <f>FleetAverage!H5</f>
        <v>32.446776842105265</v>
      </c>
      <c r="K5" s="4" t="str">
        <f>ProsumerMetrics!A5</f>
        <v>BES_TR2_three388_A</v>
      </c>
      <c r="L5" s="51">
        <f>ProsumerMetrics!J5</f>
        <v>16.899999999999999</v>
      </c>
      <c r="M5" s="49">
        <f>ProsumerMetrics!K5</f>
        <v>100</v>
      </c>
      <c r="O5" s="53">
        <v>4</v>
      </c>
      <c r="P5" s="19" t="str">
        <f>INDEX(ProsumerMetrics!$A$2:$A$96,MATCH(Q5,ProsumerMetrics!$H$2:$H$96,0))</f>
        <v>BES_TR2_five801_C</v>
      </c>
      <c r="Q5" s="43">
        <f>LARGE(ProsumerMetrics!$H$2:$H$96,O5)</f>
        <v>26.95</v>
      </c>
      <c r="R5" s="5" t="str">
        <f t="shared" si="0"/>
        <v>five801_C</v>
      </c>
      <c r="T5" s="41">
        <f>FleetAverage!B5</f>
        <v>1.5</v>
      </c>
      <c r="U5" s="47">
        <f>FleetAverage!C5</f>
        <v>0.13979604561403511</v>
      </c>
      <c r="V5" s="47">
        <f>FleetAverage!D5</f>
        <v>0</v>
      </c>
      <c r="W5" s="47">
        <f>FleetAverage!E5</f>
        <v>0</v>
      </c>
      <c r="X5" s="47">
        <f>FleetAverage!F5</f>
        <v>0.12967368421052636</v>
      </c>
      <c r="Y5" s="55">
        <f>FleetAverage!G5</f>
        <v>1.0122361403508751E-2</v>
      </c>
      <c r="AA5" s="41">
        <f>FleetAverage!B5</f>
        <v>1.5</v>
      </c>
      <c r="AB5" s="47">
        <f>0</f>
        <v>0</v>
      </c>
      <c r="AC5" s="47">
        <f>FleetAverage!G5</f>
        <v>1.0122361403508751E-2</v>
      </c>
      <c r="AD5" s="47">
        <f t="shared" si="1"/>
        <v>1.0122361403508751E-2</v>
      </c>
      <c r="AE5" s="47">
        <f t="shared" si="2"/>
        <v>0</v>
      </c>
      <c r="AF5" s="51">
        <f>100</f>
        <v>100</v>
      </c>
      <c r="AG5" s="49">
        <f>FleetAverage!H5</f>
        <v>32.446776842105265</v>
      </c>
    </row>
    <row r="6" spans="1:33" x14ac:dyDescent="0.25">
      <c r="A6" s="41">
        <f>FleetAverage!B6</f>
        <v>2</v>
      </c>
      <c r="B6" s="43">
        <f>FleetAverage!I6</f>
        <v>13.113509333333337</v>
      </c>
      <c r="C6" s="43">
        <f>FleetAverage!J6</f>
        <v>0</v>
      </c>
      <c r="D6" s="44">
        <f>FleetAverage!K6</f>
        <v>0.98150933333334045</v>
      </c>
      <c r="F6" s="41">
        <f>FleetAverage!B6</f>
        <v>2</v>
      </c>
      <c r="G6" s="47">
        <f>FleetAverage!E6</f>
        <v>0</v>
      </c>
      <c r="H6" s="47">
        <f>FleetAverage!F6</f>
        <v>0.12770526315789468</v>
      </c>
      <c r="I6" s="49">
        <f>FleetAverage!H6</f>
        <v>30.819590526315775</v>
      </c>
      <c r="K6" s="4" t="str">
        <f>ProsumerMetrics!A6</f>
        <v>BES_TR2_three409_C</v>
      </c>
      <c r="L6" s="51">
        <f>ProsumerMetrics!J6</f>
        <v>23.1</v>
      </c>
      <c r="M6" s="49">
        <f>ProsumerMetrics!K6</f>
        <v>100</v>
      </c>
      <c r="O6" s="53">
        <v>5</v>
      </c>
      <c r="P6" s="19" t="str">
        <f>INDEX(ProsumerMetrics!$A$2:$A$96,MATCH(Q6,ProsumerMetrics!$H$2:$H$96,0))</f>
        <v>BES_TR2_three388_A</v>
      </c>
      <c r="Q6" s="43">
        <f>LARGE(ProsumerMetrics!$H$2:$H$96,O6)</f>
        <v>26.84</v>
      </c>
      <c r="R6" s="5" t="str">
        <f t="shared" si="0"/>
        <v>three388_A</v>
      </c>
      <c r="T6" s="41">
        <f>FleetAverage!B6</f>
        <v>2</v>
      </c>
      <c r="U6" s="47">
        <f>FleetAverage!C6</f>
        <v>0.13803694035087724</v>
      </c>
      <c r="V6" s="47">
        <f>FleetAverage!D6</f>
        <v>0</v>
      </c>
      <c r="W6" s="47">
        <f>FleetAverage!E6</f>
        <v>0</v>
      </c>
      <c r="X6" s="47">
        <f>FleetAverage!F6</f>
        <v>0.12770526315789468</v>
      </c>
      <c r="Y6" s="55">
        <f>FleetAverage!G6</f>
        <v>1.0331677192982558E-2</v>
      </c>
      <c r="AA6" s="41">
        <f>FleetAverage!B6</f>
        <v>2</v>
      </c>
      <c r="AB6" s="47">
        <f>0</f>
        <v>0</v>
      </c>
      <c r="AC6" s="47">
        <f>FleetAverage!G6</f>
        <v>1.0331677192982558E-2</v>
      </c>
      <c r="AD6" s="47">
        <f t="shared" si="1"/>
        <v>1.0331677192982558E-2</v>
      </c>
      <c r="AE6" s="47">
        <f t="shared" si="2"/>
        <v>0</v>
      </c>
      <c r="AF6" s="51">
        <f>100</f>
        <v>100</v>
      </c>
      <c r="AG6" s="49">
        <f>FleetAverage!H6</f>
        <v>30.819590526315775</v>
      </c>
    </row>
    <row r="7" spans="1:33" x14ac:dyDescent="0.25">
      <c r="A7" s="41">
        <f>FleetAverage!B7</f>
        <v>2.5</v>
      </c>
      <c r="B7" s="43">
        <f>FleetAverage!I7</f>
        <v>12.795924000000001</v>
      </c>
      <c r="C7" s="43">
        <f>FleetAverage!J7</f>
        <v>0</v>
      </c>
      <c r="D7" s="44">
        <f>FleetAverage!K7</f>
        <v>1.2289239999999975</v>
      </c>
      <c r="F7" s="41">
        <f>FleetAverage!B7</f>
        <v>2.5</v>
      </c>
      <c r="G7" s="47">
        <f>FleetAverage!E7</f>
        <v>0</v>
      </c>
      <c r="H7" s="47">
        <f>FleetAverage!F7</f>
        <v>0.12175789473684215</v>
      </c>
      <c r="I7" s="49">
        <f>FleetAverage!H7</f>
        <v>29.216691578947369</v>
      </c>
      <c r="K7" s="4" t="str">
        <f>ProsumerMetrics!A7</f>
        <v>BES_TR2_three478_B</v>
      </c>
      <c r="L7" s="51">
        <f>ProsumerMetrics!J7</f>
        <v>27.7</v>
      </c>
      <c r="M7" s="49">
        <f>ProsumerMetrics!K7</f>
        <v>100</v>
      </c>
      <c r="O7" s="53">
        <v>6</v>
      </c>
      <c r="P7" s="19" t="str">
        <f>INDEX(ProsumerMetrics!$A$2:$A$96,MATCH(Q7,ProsumerMetrics!$H$2:$H$96,0))</f>
        <v>BES_TR2_five117_B</v>
      </c>
      <c r="Q7" s="43">
        <f>LARGE(ProsumerMetrics!$H$2:$H$96,O7)</f>
        <v>26.59</v>
      </c>
      <c r="R7" s="5" t="str">
        <f t="shared" si="0"/>
        <v>five117_B</v>
      </c>
      <c r="T7" s="41">
        <f>FleetAverage!B7</f>
        <v>2.5</v>
      </c>
      <c r="U7" s="47">
        <f>FleetAverage!C7</f>
        <v>0.13469393684210529</v>
      </c>
      <c r="V7" s="47">
        <f>FleetAverage!D7</f>
        <v>0</v>
      </c>
      <c r="W7" s="47">
        <f>FleetAverage!E7</f>
        <v>0</v>
      </c>
      <c r="X7" s="47">
        <f>FleetAverage!F7</f>
        <v>0.12175789473684215</v>
      </c>
      <c r="Y7" s="55">
        <f>FleetAverage!G7</f>
        <v>1.293604210526314E-2</v>
      </c>
      <c r="AA7" s="41">
        <f>FleetAverage!B7</f>
        <v>2.5</v>
      </c>
      <c r="AB7" s="47">
        <f>0</f>
        <v>0</v>
      </c>
      <c r="AC7" s="47">
        <f>FleetAverage!G7</f>
        <v>1.293604210526314E-2</v>
      </c>
      <c r="AD7" s="47">
        <f t="shared" si="1"/>
        <v>1.293604210526314E-2</v>
      </c>
      <c r="AE7" s="47">
        <f t="shared" si="2"/>
        <v>0</v>
      </c>
      <c r="AF7" s="51">
        <f>100</f>
        <v>100</v>
      </c>
      <c r="AG7" s="49">
        <f>FleetAverage!H7</f>
        <v>29.216691578947369</v>
      </c>
    </row>
    <row r="8" spans="1:33" x14ac:dyDescent="0.25">
      <c r="A8" s="41">
        <f>FleetAverage!B8</f>
        <v>3</v>
      </c>
      <c r="B8" s="43">
        <f>FleetAverage!I8</f>
        <v>12.451188666666663</v>
      </c>
      <c r="C8" s="43">
        <f>FleetAverage!J8</f>
        <v>0</v>
      </c>
      <c r="D8" s="44">
        <f>FleetAverage!K8</f>
        <v>2.8641886666666601</v>
      </c>
      <c r="F8" s="41">
        <f>FleetAverage!B8</f>
        <v>3</v>
      </c>
      <c r="G8" s="47">
        <f>FleetAverage!E8</f>
        <v>0</v>
      </c>
      <c r="H8" s="47">
        <f>FleetAverage!F8</f>
        <v>0.10091578947368425</v>
      </c>
      <c r="I8" s="49">
        <f>FleetAverage!H8</f>
        <v>27.689062105263154</v>
      </c>
      <c r="K8" s="4" t="str">
        <f>ProsumerMetrics!A8</f>
        <v>BES_TR2_three97_B</v>
      </c>
      <c r="L8" s="51">
        <f>ProsumerMetrics!J8</f>
        <v>11.4</v>
      </c>
      <c r="M8" s="49">
        <f>ProsumerMetrics!K8</f>
        <v>99.9</v>
      </c>
      <c r="O8" s="53">
        <v>7</v>
      </c>
      <c r="P8" s="19" t="str">
        <f>INDEX(ProsumerMetrics!$A$2:$A$96,MATCH(Q8,ProsumerMetrics!$H$2:$H$96,0))</f>
        <v>BES_TR2_five285_B</v>
      </c>
      <c r="Q8" s="43">
        <f>LARGE(ProsumerMetrics!$H$2:$H$96,O8)</f>
        <v>26.45</v>
      </c>
      <c r="R8" s="5" t="str">
        <f t="shared" si="0"/>
        <v>five285_B</v>
      </c>
      <c r="T8" s="41">
        <f>FleetAverage!B8</f>
        <v>3</v>
      </c>
      <c r="U8" s="47">
        <f>FleetAverage!C8</f>
        <v>0.1310651438596491</v>
      </c>
      <c r="V8" s="47">
        <f>FleetAverage!D8</f>
        <v>0</v>
      </c>
      <c r="W8" s="47">
        <f>FleetAverage!E8</f>
        <v>0</v>
      </c>
      <c r="X8" s="47">
        <f>FleetAverage!F8</f>
        <v>0.10091578947368425</v>
      </c>
      <c r="Y8" s="55">
        <f>FleetAverage!G8</f>
        <v>3.0149354385964847E-2</v>
      </c>
      <c r="AA8" s="41">
        <f>FleetAverage!B8</f>
        <v>3</v>
      </c>
      <c r="AB8" s="47">
        <f>0</f>
        <v>0</v>
      </c>
      <c r="AC8" s="47">
        <f>FleetAverage!G8</f>
        <v>3.0149354385964847E-2</v>
      </c>
      <c r="AD8" s="47">
        <f t="shared" si="1"/>
        <v>3.0149354385964847E-2</v>
      </c>
      <c r="AE8" s="47">
        <f t="shared" si="2"/>
        <v>0</v>
      </c>
      <c r="AF8" s="51">
        <f>100</f>
        <v>100</v>
      </c>
      <c r="AG8" s="49">
        <f>FleetAverage!H8</f>
        <v>27.689062105263154</v>
      </c>
    </row>
    <row r="9" spans="1:33" x14ac:dyDescent="0.25">
      <c r="A9" s="41">
        <f>FleetAverage!B9</f>
        <v>3.5</v>
      </c>
      <c r="B9" s="43">
        <f>FleetAverage!I9</f>
        <v>11.801573999999997</v>
      </c>
      <c r="C9" s="43">
        <f>FleetAverage!J9</f>
        <v>0.25246895436666689</v>
      </c>
      <c r="D9" s="44">
        <f>FleetAverage!K9</f>
        <v>0.92110504563332896</v>
      </c>
      <c r="F9" s="41">
        <f>FleetAverage!B9</f>
        <v>3.5</v>
      </c>
      <c r="G9" s="47">
        <f>FleetAverage!E9</f>
        <v>0</v>
      </c>
      <c r="H9" s="47">
        <f>FleetAverage!F9</f>
        <v>0.11187368421052633</v>
      </c>
      <c r="I9" s="49">
        <f>FleetAverage!H9</f>
        <v>26.422723157894747</v>
      </c>
      <c r="K9" s="4" t="str">
        <f>ProsumerMetrics!A9</f>
        <v>BES_TR2_three133_C</v>
      </c>
      <c r="L9" s="51">
        <f>ProsumerMetrics!J9</f>
        <v>25.9</v>
      </c>
      <c r="M9" s="49">
        <f>ProsumerMetrics!K9</f>
        <v>100</v>
      </c>
      <c r="O9" s="53">
        <v>8</v>
      </c>
      <c r="P9" s="19" t="str">
        <f>INDEX(ProsumerMetrics!$A$2:$A$96,MATCH(Q9,ProsumerMetrics!$H$2:$H$96,0))</f>
        <v>BES_TR2_five147_C</v>
      </c>
      <c r="Q9" s="43">
        <f>LARGE(ProsumerMetrics!$H$2:$H$96,O9)</f>
        <v>26.4</v>
      </c>
      <c r="R9" s="5" t="str">
        <f t="shared" si="0"/>
        <v>five147_C</v>
      </c>
      <c r="T9" s="41">
        <f>FleetAverage!B9</f>
        <v>3.5</v>
      </c>
      <c r="U9" s="47">
        <f>FleetAverage!C9</f>
        <v>0.12422709473684207</v>
      </c>
      <c r="V9" s="47">
        <f>FleetAverage!D9</f>
        <v>2.6575679407017565E-3</v>
      </c>
      <c r="W9" s="47">
        <f>FleetAverage!E9</f>
        <v>0</v>
      </c>
      <c r="X9" s="47">
        <f>FleetAverage!F9</f>
        <v>0.11187368421052633</v>
      </c>
      <c r="Y9" s="55">
        <f>FleetAverage!G9</f>
        <v>9.695842585613984E-3</v>
      </c>
      <c r="AA9" s="41">
        <f>FleetAverage!B9</f>
        <v>3.5</v>
      </c>
      <c r="AB9" s="47">
        <f>0</f>
        <v>0</v>
      </c>
      <c r="AC9" s="47">
        <f>FleetAverage!G9</f>
        <v>9.695842585613984E-3</v>
      </c>
      <c r="AD9" s="47">
        <f t="shared" si="1"/>
        <v>9.695842585613984E-3</v>
      </c>
      <c r="AE9" s="47">
        <f t="shared" si="2"/>
        <v>0</v>
      </c>
      <c r="AF9" s="51">
        <f>100</f>
        <v>100</v>
      </c>
      <c r="AG9" s="49">
        <f>FleetAverage!H9</f>
        <v>26.422723157894747</v>
      </c>
    </row>
    <row r="10" spans="1:33" x14ac:dyDescent="0.25">
      <c r="A10" s="41">
        <f>FleetAverage!B10</f>
        <v>4</v>
      </c>
      <c r="B10" s="43">
        <f>FleetAverage!I10</f>
        <v>11.41052066666667</v>
      </c>
      <c r="C10" s="43">
        <f>FleetAverage!J10</f>
        <v>3.6492683896333249</v>
      </c>
      <c r="D10" s="44">
        <f>FleetAverage!K10</f>
        <v>0.9229867631333466</v>
      </c>
      <c r="F10" s="41">
        <f>FleetAverage!B10</f>
        <v>4</v>
      </c>
      <c r="G10" s="47">
        <f>FleetAverage!E10</f>
        <v>5.3684210526315794E-4</v>
      </c>
      <c r="H10" s="47">
        <f>FleetAverage!F10</f>
        <v>7.2518584356842095E-2</v>
      </c>
      <c r="I10" s="49">
        <f>FleetAverage!H10</f>
        <v>25.01964105263157</v>
      </c>
      <c r="K10" s="4" t="str">
        <f>ProsumerMetrics!A10</f>
        <v>BES_TR2_three160_C</v>
      </c>
      <c r="L10" s="51">
        <f>ProsumerMetrics!J10</f>
        <v>25.1</v>
      </c>
      <c r="M10" s="49">
        <f>ProsumerMetrics!K10</f>
        <v>97.2</v>
      </c>
      <c r="O10" s="53">
        <v>9</v>
      </c>
      <c r="P10" s="19" t="str">
        <f>INDEX(ProsumerMetrics!$A$2:$A$96,MATCH(Q10,ProsumerMetrics!$H$2:$H$96,0))</f>
        <v>BES_TR2_five149_A</v>
      </c>
      <c r="Q10" s="43">
        <f>LARGE(ProsumerMetrics!$H$2:$H$96,O10)</f>
        <v>26.39</v>
      </c>
      <c r="R10" s="5" t="str">
        <f t="shared" si="0"/>
        <v>five149_A</v>
      </c>
      <c r="T10" s="41">
        <f>FleetAverage!B10</f>
        <v>4</v>
      </c>
      <c r="U10" s="47">
        <f>FleetAverage!C10</f>
        <v>0.12011074385964916</v>
      </c>
      <c r="V10" s="47">
        <f>FleetAverage!D10</f>
        <v>3.8413351469824469E-2</v>
      </c>
      <c r="W10" s="47">
        <f>FleetAverage!E10</f>
        <v>5.3684210526315794E-4</v>
      </c>
      <c r="X10" s="47">
        <f>FleetAverage!F10</f>
        <v>7.2518584356842095E-2</v>
      </c>
      <c r="Y10" s="55">
        <f>FleetAverage!G10</f>
        <v>9.7156501382457544E-3</v>
      </c>
      <c r="AA10" s="41">
        <f>FleetAverage!B10</f>
        <v>4</v>
      </c>
      <c r="AB10" s="47">
        <f>0</f>
        <v>0</v>
      </c>
      <c r="AC10" s="47">
        <f>FleetAverage!G10</f>
        <v>9.7156501382457544E-3</v>
      </c>
      <c r="AD10" s="47">
        <f t="shared" si="1"/>
        <v>9.7156501382457544E-3</v>
      </c>
      <c r="AE10" s="47">
        <f t="shared" si="2"/>
        <v>0</v>
      </c>
      <c r="AF10" s="51">
        <f>100</f>
        <v>100</v>
      </c>
      <c r="AG10" s="49">
        <f>FleetAverage!H10</f>
        <v>25.01964105263157</v>
      </c>
    </row>
    <row r="11" spans="1:33" x14ac:dyDescent="0.25">
      <c r="A11" s="41">
        <f>FleetAverage!B11</f>
        <v>4.5</v>
      </c>
      <c r="B11" s="43">
        <f>FleetAverage!I11</f>
        <v>10.285202500000002</v>
      </c>
      <c r="C11" s="43">
        <f>FleetAverage!J11</f>
        <v>17.065084759550007</v>
      </c>
      <c r="D11" s="44">
        <f>FleetAverage!K11</f>
        <v>0.23411774044999589</v>
      </c>
      <c r="F11" s="41">
        <f>FleetAverage!B11</f>
        <v>4.5</v>
      </c>
      <c r="G11" s="47">
        <f>FleetAverage!E11</f>
        <v>8.6557894736842111E-2</v>
      </c>
      <c r="H11" s="47">
        <f>FleetAverage!F11</f>
        <v>1.2726315789473681E-2</v>
      </c>
      <c r="I11" s="49">
        <f>FleetAverage!H11</f>
        <v>24.115159999999999</v>
      </c>
      <c r="K11" s="4" t="str">
        <f>ProsumerMetrics!A11</f>
        <v>BES_TR2_five58_C</v>
      </c>
      <c r="L11" s="51">
        <f>ProsumerMetrics!J11</f>
        <v>23.8</v>
      </c>
      <c r="M11" s="49">
        <f>ProsumerMetrics!K11</f>
        <v>100</v>
      </c>
      <c r="O11" s="54">
        <v>10</v>
      </c>
      <c r="P11" s="20" t="str">
        <f>INDEX(ProsumerMetrics!$A$2:$A$96,MATCH(Q11,ProsumerMetrics!$H$2:$H$96,0))</f>
        <v>BES_TR2_five243_B</v>
      </c>
      <c r="Q11" s="45">
        <f>LARGE(ProsumerMetrics!$H$2:$H$96,O11)</f>
        <v>26.19</v>
      </c>
      <c r="R11" s="7" t="str">
        <f t="shared" si="0"/>
        <v>five243_B</v>
      </c>
      <c r="T11" s="41">
        <f>FleetAverage!B11</f>
        <v>4.5</v>
      </c>
      <c r="U11" s="47">
        <f>FleetAverage!C11</f>
        <v>0.10826528947368423</v>
      </c>
      <c r="V11" s="47">
        <f>FleetAverage!D11</f>
        <v>0.17963247115315797</v>
      </c>
      <c r="W11" s="47">
        <f>FleetAverage!E11</f>
        <v>8.6557894736842111E-2</v>
      </c>
      <c r="X11" s="47">
        <f>FleetAverage!F11</f>
        <v>1.2726315789473681E-2</v>
      </c>
      <c r="Y11" s="55">
        <f>FleetAverage!G11</f>
        <v>2.4643972678946875E-3</v>
      </c>
      <c r="AA11" s="41">
        <f>FleetAverage!B11</f>
        <v>4.5</v>
      </c>
      <c r="AB11" s="47">
        <f>0</f>
        <v>0</v>
      </c>
      <c r="AC11" s="47">
        <f>FleetAverage!G11</f>
        <v>2.4643972678946875E-3</v>
      </c>
      <c r="AD11" s="47">
        <f t="shared" si="1"/>
        <v>2.4643972678946875E-3</v>
      </c>
      <c r="AE11" s="47">
        <f t="shared" si="2"/>
        <v>0</v>
      </c>
      <c r="AF11" s="51">
        <f>100</f>
        <v>100</v>
      </c>
      <c r="AG11" s="49">
        <f>FleetAverage!H11</f>
        <v>24.115159999999999</v>
      </c>
    </row>
    <row r="12" spans="1:33" x14ac:dyDescent="0.25">
      <c r="A12" s="41">
        <f>FleetAverage!B12</f>
        <v>5</v>
      </c>
      <c r="B12" s="43">
        <f>FleetAverage!I12</f>
        <v>10.950758333333336</v>
      </c>
      <c r="C12" s="43">
        <f>FleetAverage!J12</f>
        <v>33.850843651566763</v>
      </c>
      <c r="D12" s="44">
        <f>FleetAverage!K12</f>
        <v>-7.0853182334269654E-3</v>
      </c>
      <c r="F12" s="41">
        <f>FleetAverage!B12</f>
        <v>5</v>
      </c>
      <c r="G12" s="47">
        <f>FleetAverage!E12</f>
        <v>0.24218947368421051</v>
      </c>
      <c r="H12" s="47">
        <f>FleetAverage!F12</f>
        <v>1.2105263157894737E-3</v>
      </c>
      <c r="I12" s="49">
        <f>FleetAverage!H12</f>
        <v>24.932733684210515</v>
      </c>
      <c r="K12" s="4" t="str">
        <f>ProsumerMetrics!A12</f>
        <v>BES_TR2_five147_C</v>
      </c>
      <c r="L12" s="51">
        <f>ProsumerMetrics!J12</f>
        <v>18.3</v>
      </c>
      <c r="M12" s="49">
        <f>ProsumerMetrics!K12</f>
        <v>100</v>
      </c>
      <c r="T12" s="41">
        <f>FleetAverage!B12</f>
        <v>5</v>
      </c>
      <c r="U12" s="47">
        <f>FleetAverage!C12</f>
        <v>0.11527114035087722</v>
      </c>
      <c r="V12" s="47">
        <f>FleetAverage!D12</f>
        <v>0.35632467001649226</v>
      </c>
      <c r="W12" s="47">
        <f>FleetAverage!E12</f>
        <v>0.24218947368421051</v>
      </c>
      <c r="X12" s="47">
        <f>FleetAverage!F12</f>
        <v>1.2105263157894737E-3</v>
      </c>
      <c r="Y12" s="55">
        <f>FleetAverage!G12</f>
        <v>-7.4582297194015395E-5</v>
      </c>
      <c r="AA12" s="41">
        <f>FleetAverage!B12</f>
        <v>5</v>
      </c>
      <c r="AB12" s="47">
        <f>0</f>
        <v>0</v>
      </c>
      <c r="AC12" s="47">
        <f>FleetAverage!G12</f>
        <v>-7.4582297194015395E-5</v>
      </c>
      <c r="AD12" s="47">
        <f t="shared" si="1"/>
        <v>0</v>
      </c>
      <c r="AE12" s="47">
        <f t="shared" si="2"/>
        <v>-7.4582297194015395E-5</v>
      </c>
      <c r="AF12" s="51">
        <f>100</f>
        <v>100</v>
      </c>
      <c r="AG12" s="49">
        <f>FleetAverage!H12</f>
        <v>24.932733684210515</v>
      </c>
    </row>
    <row r="13" spans="1:33" x14ac:dyDescent="0.25">
      <c r="A13" s="41">
        <f>FleetAverage!B13</f>
        <v>5.5</v>
      </c>
      <c r="B13" s="43">
        <f>FleetAverage!I13</f>
        <v>11.244582633333332</v>
      </c>
      <c r="C13" s="43">
        <f>FleetAverage!J13</f>
        <v>54.433829028133246</v>
      </c>
      <c r="D13" s="44">
        <f>FleetAverage!K13</f>
        <v>4.753605200086497E-3</v>
      </c>
      <c r="F13" s="41">
        <f>FleetAverage!B13</f>
        <v>5.5</v>
      </c>
      <c r="G13" s="47">
        <f>FleetAverage!E13</f>
        <v>0.45467368421052634</v>
      </c>
      <c r="H13" s="47">
        <f>FleetAverage!F13</f>
        <v>0</v>
      </c>
      <c r="I13" s="49">
        <f>FleetAverage!H13</f>
        <v>27.653683157894726</v>
      </c>
      <c r="K13" s="4" t="str">
        <f>ProsumerMetrics!A13</f>
        <v>BES_TR2_five149_A</v>
      </c>
      <c r="L13" s="51">
        <f>ProsumerMetrics!J13</f>
        <v>18.3</v>
      </c>
      <c r="M13" s="49">
        <f>ProsumerMetrics!K13</f>
        <v>100</v>
      </c>
      <c r="T13" s="41">
        <f>FleetAverage!B13</f>
        <v>5.5</v>
      </c>
      <c r="U13" s="47">
        <f>FleetAverage!C13</f>
        <v>0.11836402771929823</v>
      </c>
      <c r="V13" s="47">
        <f>FleetAverage!D13</f>
        <v>0.57298767398035</v>
      </c>
      <c r="W13" s="47">
        <f>FleetAverage!E13</f>
        <v>0.45467368421052634</v>
      </c>
      <c r="X13" s="47">
        <f>FleetAverage!F13</f>
        <v>0</v>
      </c>
      <c r="Y13" s="55">
        <f>FleetAverage!G13</f>
        <v>5.0037949474557308E-5</v>
      </c>
      <c r="AA13" s="41">
        <f>FleetAverage!B13</f>
        <v>5.5</v>
      </c>
      <c r="AB13" s="47">
        <f>0</f>
        <v>0</v>
      </c>
      <c r="AC13" s="47">
        <f>FleetAverage!G13</f>
        <v>5.0037949474557308E-5</v>
      </c>
      <c r="AD13" s="47">
        <f t="shared" si="1"/>
        <v>5.0037949474557308E-5</v>
      </c>
      <c r="AE13" s="47">
        <f t="shared" si="2"/>
        <v>0</v>
      </c>
      <c r="AF13" s="51">
        <f>100</f>
        <v>100</v>
      </c>
      <c r="AG13" s="49">
        <f>FleetAverage!H13</f>
        <v>27.653683157894726</v>
      </c>
    </row>
    <row r="14" spans="1:33" x14ac:dyDescent="0.25">
      <c r="A14" s="41">
        <f>FleetAverage!B14</f>
        <v>6</v>
      </c>
      <c r="B14" s="43">
        <f>FleetAverage!I14</f>
        <v>11.490795333333335</v>
      </c>
      <c r="C14" s="43">
        <f>FleetAverage!J14</f>
        <v>76.891026736916771</v>
      </c>
      <c r="D14" s="44">
        <f>FleetAverage!K14</f>
        <v>7.685964165631276E-4</v>
      </c>
      <c r="F14" s="41">
        <f>FleetAverage!B14</f>
        <v>6</v>
      </c>
      <c r="G14" s="47">
        <f>FleetAverage!E14</f>
        <v>0.68843157894736839</v>
      </c>
      <c r="H14" s="47">
        <f>FleetAverage!F14</f>
        <v>0</v>
      </c>
      <c r="I14" s="49">
        <f>FleetAverage!H14</f>
        <v>32.788230526315793</v>
      </c>
      <c r="K14" s="4" t="str">
        <f>ProsumerMetrics!A14</f>
        <v>BES_TR2_five160_C</v>
      </c>
      <c r="L14" s="51">
        <f>ProsumerMetrics!J14</f>
        <v>37.4</v>
      </c>
      <c r="M14" s="49">
        <f>ProsumerMetrics!K14</f>
        <v>100</v>
      </c>
      <c r="T14" s="41">
        <f>FleetAverage!B14</f>
        <v>6</v>
      </c>
      <c r="U14" s="47">
        <f>FleetAverage!C14</f>
        <v>0.12095574035087721</v>
      </c>
      <c r="V14" s="47">
        <f>FleetAverage!D14</f>
        <v>0.80937922880965019</v>
      </c>
      <c r="W14" s="47">
        <f>FleetAverage!E14</f>
        <v>0.68843157894736839</v>
      </c>
      <c r="X14" s="47">
        <f>FleetAverage!F14</f>
        <v>0</v>
      </c>
      <c r="Y14" s="55">
        <f>FleetAverage!G14</f>
        <v>8.0904885954025119E-6</v>
      </c>
      <c r="AA14" s="41">
        <f>FleetAverage!B14</f>
        <v>6</v>
      </c>
      <c r="AB14" s="47">
        <f>0</f>
        <v>0</v>
      </c>
      <c r="AC14" s="47">
        <f>FleetAverage!G14</f>
        <v>8.0904885954025119E-6</v>
      </c>
      <c r="AD14" s="47">
        <f t="shared" si="1"/>
        <v>8.0904885954025119E-6</v>
      </c>
      <c r="AE14" s="47">
        <f t="shared" si="2"/>
        <v>0</v>
      </c>
      <c r="AF14" s="51">
        <f>100</f>
        <v>100</v>
      </c>
      <c r="AG14" s="49">
        <f>FleetAverage!H14</f>
        <v>32.788230526315793</v>
      </c>
    </row>
    <row r="15" spans="1:33" x14ac:dyDescent="0.25">
      <c r="A15" s="41">
        <f>FleetAverage!B15</f>
        <v>6.5</v>
      </c>
      <c r="B15" s="43">
        <f>FleetAverage!I15</f>
        <v>13.429881866666674</v>
      </c>
      <c r="C15" s="43">
        <f>FleetAverage!J15</f>
        <v>99.62425818243328</v>
      </c>
      <c r="D15" s="44">
        <f>FleetAverage!K15</f>
        <v>6.2368423338743373E-4</v>
      </c>
      <c r="F15" s="41">
        <f>FleetAverage!B15</f>
        <v>6.5</v>
      </c>
      <c r="G15" s="47">
        <f>FleetAverage!E15</f>
        <v>0.9173684210526315</v>
      </c>
      <c r="H15" s="47">
        <f>FleetAverage!F15</f>
        <v>1.0052631578947369E-2</v>
      </c>
      <c r="I15" s="49">
        <f>FleetAverage!H15</f>
        <v>40.563310526315789</v>
      </c>
      <c r="K15" s="4" t="str">
        <f>ProsumerMetrics!A15</f>
        <v>BES_TR2_five170_A</v>
      </c>
      <c r="L15" s="51">
        <f>ProsumerMetrics!J15</f>
        <v>23.4</v>
      </c>
      <c r="M15" s="49">
        <f>ProsumerMetrics!K15</f>
        <v>100</v>
      </c>
      <c r="T15" s="41">
        <f>FleetAverage!B15</f>
        <v>6.5</v>
      </c>
      <c r="U15" s="47">
        <f>FleetAverage!C15</f>
        <v>0.14136717754385972</v>
      </c>
      <c r="V15" s="47">
        <f>FleetAverage!D15</f>
        <v>1.0486764019203503</v>
      </c>
      <c r="W15" s="47">
        <f>FleetAverage!E15</f>
        <v>0.9173684210526315</v>
      </c>
      <c r="X15" s="47">
        <f>FleetAverage!F15</f>
        <v>1.0052631578947369E-2</v>
      </c>
      <c r="Y15" s="55">
        <f>FleetAverage!G15</f>
        <v>6.5650971936004332E-6</v>
      </c>
      <c r="AA15" s="41">
        <f>FleetAverage!B15</f>
        <v>6.5</v>
      </c>
      <c r="AB15" s="47">
        <f>0</f>
        <v>0</v>
      </c>
      <c r="AC15" s="47">
        <f>FleetAverage!G15</f>
        <v>6.5650971936004332E-6</v>
      </c>
      <c r="AD15" s="47">
        <f t="shared" si="1"/>
        <v>6.5650971936004332E-6</v>
      </c>
      <c r="AE15" s="47">
        <f t="shared" si="2"/>
        <v>0</v>
      </c>
      <c r="AF15" s="51">
        <f>100</f>
        <v>100</v>
      </c>
      <c r="AG15" s="49">
        <f>FleetAverage!H15</f>
        <v>40.563310526315789</v>
      </c>
    </row>
    <row r="16" spans="1:33" x14ac:dyDescent="0.25">
      <c r="A16" s="41">
        <f>FleetAverage!B16</f>
        <v>7</v>
      </c>
      <c r="B16" s="43">
        <f>FleetAverage!I16</f>
        <v>17.536620033333321</v>
      </c>
      <c r="C16" s="43">
        <f>FleetAverage!J16</f>
        <v>122.23977499595006</v>
      </c>
      <c r="D16" s="44">
        <f>FleetAverage!K16</f>
        <v>-1.154962616680022E-3</v>
      </c>
      <c r="F16" s="41">
        <f>FleetAverage!B16</f>
        <v>7</v>
      </c>
      <c r="G16" s="47">
        <f>FleetAverage!E16</f>
        <v>1.1195157894736849</v>
      </c>
      <c r="H16" s="47">
        <f>FleetAverage!F16</f>
        <v>1.7389473684210524E-2</v>
      </c>
      <c r="I16" s="49">
        <f>FleetAverage!H16</f>
        <v>50.797911578947378</v>
      </c>
      <c r="K16" s="4" t="str">
        <f>ProsumerMetrics!A16</f>
        <v>BES_TR2_five177_A</v>
      </c>
      <c r="L16" s="51">
        <f>ProsumerMetrics!J16</f>
        <v>43.6</v>
      </c>
      <c r="M16" s="49">
        <f>ProsumerMetrics!K16</f>
        <v>100</v>
      </c>
      <c r="T16" s="41">
        <f>FleetAverage!B16</f>
        <v>7</v>
      </c>
      <c r="U16" s="47">
        <f>FleetAverage!C16</f>
        <v>0.18459600035087706</v>
      </c>
      <c r="V16" s="47">
        <f>FleetAverage!D16</f>
        <v>1.2867344736415796</v>
      </c>
      <c r="W16" s="47">
        <f>FleetAverage!E16</f>
        <v>1.1195157894736849</v>
      </c>
      <c r="X16" s="47">
        <f>FleetAverage!F16</f>
        <v>1.7389473684210524E-2</v>
      </c>
      <c r="Y16" s="55">
        <f>FleetAverage!G16</f>
        <v>-1.2157501228085565E-5</v>
      </c>
      <c r="AA16" s="41">
        <f>FleetAverage!B16</f>
        <v>7</v>
      </c>
      <c r="AB16" s="47">
        <f>0</f>
        <v>0</v>
      </c>
      <c r="AC16" s="47">
        <f>FleetAverage!G16</f>
        <v>-1.2157501228085565E-5</v>
      </c>
      <c r="AD16" s="47">
        <f t="shared" si="1"/>
        <v>0</v>
      </c>
      <c r="AE16" s="47">
        <f t="shared" si="2"/>
        <v>-1.2157501228085565E-5</v>
      </c>
      <c r="AF16" s="51">
        <f>100</f>
        <v>100</v>
      </c>
      <c r="AG16" s="49">
        <f>FleetAverage!H16</f>
        <v>50.797911578947378</v>
      </c>
    </row>
    <row r="17" spans="1:33" x14ac:dyDescent="0.25">
      <c r="A17" s="41">
        <f>FleetAverage!B17</f>
        <v>7.5</v>
      </c>
      <c r="B17" s="43">
        <f>FleetAverage!I17</f>
        <v>20.960811133333348</v>
      </c>
      <c r="C17" s="43">
        <f>FleetAverage!J17</f>
        <v>144.88818935374991</v>
      </c>
      <c r="D17" s="44">
        <f>FleetAverage!K17</f>
        <v>-12.534378220416547</v>
      </c>
      <c r="F17" s="41">
        <f>FleetAverage!B17</f>
        <v>7.5</v>
      </c>
      <c r="G17" s="47">
        <f>FleetAverage!E17</f>
        <v>1.1933157894736843</v>
      </c>
      <c r="H17" s="47">
        <f>FleetAverage!F17</f>
        <v>2.0757894736842104E-2</v>
      </c>
      <c r="I17" s="49">
        <f>FleetAverage!H17</f>
        <v>63.223697894736851</v>
      </c>
      <c r="K17" s="4" t="str">
        <f>ProsumerMetrics!A17</f>
        <v>BES_TR2_five67_C</v>
      </c>
      <c r="L17" s="51">
        <f>ProsumerMetrics!J17</f>
        <v>35.700000000000003</v>
      </c>
      <c r="M17" s="49">
        <f>ProsumerMetrics!K17</f>
        <v>100</v>
      </c>
      <c r="T17" s="41">
        <f>FleetAverage!B17</f>
        <v>7.5</v>
      </c>
      <c r="U17" s="47">
        <f>FleetAverage!C17</f>
        <v>0.2206401171929826</v>
      </c>
      <c r="V17" s="47">
        <f>FleetAverage!D17</f>
        <v>1.5251388353026305</v>
      </c>
      <c r="W17" s="47">
        <f>FleetAverage!E17</f>
        <v>1.1933157894736843</v>
      </c>
      <c r="X17" s="47">
        <f>FleetAverage!F17</f>
        <v>2.0757894736842104E-2</v>
      </c>
      <c r="Y17" s="55">
        <f>FleetAverage!G17</f>
        <v>-0.13194082337280569</v>
      </c>
      <c r="AA17" s="41">
        <f>FleetAverage!B17</f>
        <v>7.5</v>
      </c>
      <c r="AB17" s="47">
        <f>0</f>
        <v>0</v>
      </c>
      <c r="AC17" s="47">
        <f>FleetAverage!G17</f>
        <v>-0.13194082337280569</v>
      </c>
      <c r="AD17" s="47">
        <f t="shared" si="1"/>
        <v>0</v>
      </c>
      <c r="AE17" s="47">
        <f t="shared" si="2"/>
        <v>-0.13194082337280569</v>
      </c>
      <c r="AF17" s="51">
        <f>100</f>
        <v>100</v>
      </c>
      <c r="AG17" s="49">
        <f>FleetAverage!H17</f>
        <v>63.223697894736851</v>
      </c>
    </row>
    <row r="18" spans="1:33" x14ac:dyDescent="0.25">
      <c r="A18" s="41">
        <f>FleetAverage!B18</f>
        <v>8</v>
      </c>
      <c r="B18" s="43">
        <f>FleetAverage!I18</f>
        <v>22.36437986666667</v>
      </c>
      <c r="C18" s="43">
        <f>FleetAverage!J18</f>
        <v>166.14516959781696</v>
      </c>
      <c r="D18" s="44">
        <f>FleetAverage!K18</f>
        <v>-66.229789731150277</v>
      </c>
      <c r="F18" s="41">
        <f>FleetAverage!B18</f>
        <v>8</v>
      </c>
      <c r="G18" s="47">
        <f>FleetAverage!E18</f>
        <v>0.82097894736842114</v>
      </c>
      <c r="H18" s="47">
        <f>FleetAverage!F18</f>
        <v>4.6526315789473683E-3</v>
      </c>
      <c r="I18" s="49">
        <f>FleetAverage!H18</f>
        <v>76.44060105263155</v>
      </c>
      <c r="K18" s="4" t="str">
        <f>ProsumerMetrics!A18</f>
        <v>BES_TR2_five243_B</v>
      </c>
      <c r="L18" s="51">
        <f>ProsumerMetrics!J18</f>
        <v>18.899999999999999</v>
      </c>
      <c r="M18" s="49">
        <f>ProsumerMetrics!K18</f>
        <v>100</v>
      </c>
      <c r="T18" s="41">
        <f>FleetAverage!B18</f>
        <v>8</v>
      </c>
      <c r="U18" s="47">
        <f>FleetAverage!C18</f>
        <v>0.23541452491228074</v>
      </c>
      <c r="V18" s="47">
        <f>FleetAverage!D18</f>
        <v>1.7488965220822839</v>
      </c>
      <c r="W18" s="47">
        <f>FleetAverage!E18</f>
        <v>0.82097894736842114</v>
      </c>
      <c r="X18" s="47">
        <f>FleetAverage!F18</f>
        <v>4.6526315789473683E-3</v>
      </c>
      <c r="Y18" s="55">
        <f>FleetAverage!G18</f>
        <v>-0.6971556813805293</v>
      </c>
      <c r="AA18" s="41">
        <f>FleetAverage!B18</f>
        <v>8</v>
      </c>
      <c r="AB18" s="47">
        <f>0</f>
        <v>0</v>
      </c>
      <c r="AC18" s="47">
        <f>FleetAverage!G18</f>
        <v>-0.6971556813805293</v>
      </c>
      <c r="AD18" s="47">
        <f t="shared" si="1"/>
        <v>0</v>
      </c>
      <c r="AE18" s="47">
        <f t="shared" si="2"/>
        <v>-0.6971556813805293</v>
      </c>
      <c r="AF18" s="51">
        <f>100</f>
        <v>100</v>
      </c>
      <c r="AG18" s="49">
        <f>FleetAverage!H18</f>
        <v>76.44060105263155</v>
      </c>
    </row>
    <row r="19" spans="1:33" x14ac:dyDescent="0.25">
      <c r="A19" s="41">
        <f>FleetAverage!B19</f>
        <v>8.5</v>
      </c>
      <c r="B19" s="43">
        <f>FleetAverage!I19</f>
        <v>25.599505866666657</v>
      </c>
      <c r="C19" s="43">
        <f>FleetAverage!J19</f>
        <v>186.12676225289994</v>
      </c>
      <c r="D19" s="44">
        <f>FleetAverage!K19</f>
        <v>-116.08325638623329</v>
      </c>
      <c r="F19" s="41">
        <f>FleetAverage!B19</f>
        <v>8.5</v>
      </c>
      <c r="G19" s="47">
        <f>FleetAverage!E19</f>
        <v>0.46883157894736843</v>
      </c>
      <c r="H19" s="47">
        <f>FleetAverage!F19</f>
        <v>1E-3</v>
      </c>
      <c r="I19" s="49">
        <f>FleetAverage!H19</f>
        <v>85.654446315789471</v>
      </c>
      <c r="K19" s="4" t="str">
        <f>ProsumerMetrics!A19</f>
        <v>BES_TR2_five284_C</v>
      </c>
      <c r="L19" s="51">
        <f>ProsumerMetrics!J19</f>
        <v>45.2</v>
      </c>
      <c r="M19" s="49">
        <f>ProsumerMetrics!K19</f>
        <v>100</v>
      </c>
      <c r="T19" s="41">
        <f>FleetAverage!B19</f>
        <v>8.5</v>
      </c>
      <c r="U19" s="47">
        <f>FleetAverage!C19</f>
        <v>0.26946848280701746</v>
      </c>
      <c r="V19" s="47">
        <f>FleetAverage!D19</f>
        <v>1.9592290763463152</v>
      </c>
      <c r="W19" s="47">
        <f>FleetAverage!E19</f>
        <v>0.46883157894736843</v>
      </c>
      <c r="X19" s="47">
        <f>FleetAverage!F19</f>
        <v>1E-3</v>
      </c>
      <c r="Y19" s="55">
        <f>FleetAverage!G19</f>
        <v>-1.221929014591929</v>
      </c>
      <c r="AA19" s="41">
        <f>FleetAverage!B19</f>
        <v>8.5</v>
      </c>
      <c r="AB19" s="47">
        <f>0</f>
        <v>0</v>
      </c>
      <c r="AC19" s="47">
        <f>FleetAverage!G19</f>
        <v>-1.221929014591929</v>
      </c>
      <c r="AD19" s="47">
        <f t="shared" si="1"/>
        <v>0</v>
      </c>
      <c r="AE19" s="47">
        <f t="shared" si="2"/>
        <v>-1.221929014591929</v>
      </c>
      <c r="AF19" s="51">
        <f>100</f>
        <v>100</v>
      </c>
      <c r="AG19" s="49">
        <f>FleetAverage!H19</f>
        <v>85.654446315789471</v>
      </c>
    </row>
    <row r="20" spans="1:33" x14ac:dyDescent="0.25">
      <c r="A20" s="41">
        <f>FleetAverage!B20</f>
        <v>9</v>
      </c>
      <c r="B20" s="43">
        <f>FleetAverage!I20</f>
        <v>28.720928600000001</v>
      </c>
      <c r="C20" s="43">
        <f>FleetAverage!J20</f>
        <v>203.14421723566679</v>
      </c>
      <c r="D20" s="44">
        <f>FleetAverage!K20</f>
        <v>-145.79328863566678</v>
      </c>
      <c r="F20" s="41">
        <f>FleetAverage!B20</f>
        <v>9</v>
      </c>
      <c r="G20" s="47">
        <f>FleetAverage!E20</f>
        <v>0.30967368421052627</v>
      </c>
      <c r="H20" s="47">
        <f>FleetAverage!F20</f>
        <v>8.3052631578947374E-3</v>
      </c>
      <c r="I20" s="49">
        <f>FleetAverage!H20</f>
        <v>90.936964210526313</v>
      </c>
      <c r="K20" s="4" t="str">
        <f>ProsumerMetrics!A20</f>
        <v>BES_TR2_five285_B</v>
      </c>
      <c r="L20" s="51">
        <f>ProsumerMetrics!J20</f>
        <v>18.100000000000001</v>
      </c>
      <c r="M20" s="49">
        <f>ProsumerMetrics!K20</f>
        <v>99.2</v>
      </c>
      <c r="T20" s="41">
        <f>FleetAverage!B20</f>
        <v>9</v>
      </c>
      <c r="U20" s="47">
        <f>FleetAverage!C20</f>
        <v>0.30232556421052631</v>
      </c>
      <c r="V20" s="47">
        <f>FleetAverage!D20</f>
        <v>2.1383601814280713</v>
      </c>
      <c r="W20" s="47">
        <f>FleetAverage!E20</f>
        <v>0.30967368421052627</v>
      </c>
      <c r="X20" s="47">
        <f>FleetAverage!F20</f>
        <v>8.3052631578947374E-3</v>
      </c>
      <c r="Y20" s="55">
        <f>FleetAverage!G20</f>
        <v>-1.5346661961649135</v>
      </c>
      <c r="AA20" s="41">
        <f>FleetAverage!B20</f>
        <v>9</v>
      </c>
      <c r="AB20" s="47">
        <f>0</f>
        <v>0</v>
      </c>
      <c r="AC20" s="47">
        <f>FleetAverage!G20</f>
        <v>-1.5346661961649135</v>
      </c>
      <c r="AD20" s="47">
        <f t="shared" si="1"/>
        <v>0</v>
      </c>
      <c r="AE20" s="47">
        <f t="shared" si="2"/>
        <v>-1.5346661961649135</v>
      </c>
      <c r="AF20" s="51">
        <f>100</f>
        <v>100</v>
      </c>
      <c r="AG20" s="49">
        <f>FleetAverage!H20</f>
        <v>90.936964210526313</v>
      </c>
    </row>
    <row r="21" spans="1:33" x14ac:dyDescent="0.25">
      <c r="A21" s="41">
        <f>FleetAverage!B21</f>
        <v>9.5</v>
      </c>
      <c r="B21" s="43">
        <f>FleetAverage!I21</f>
        <v>37.96382413333334</v>
      </c>
      <c r="C21" s="43">
        <f>FleetAverage!J21</f>
        <v>217.65838242503295</v>
      </c>
      <c r="D21" s="44">
        <f>FleetAverage!K21</f>
        <v>-162.29355829169961</v>
      </c>
      <c r="F21" s="41">
        <f>FleetAverage!B21</f>
        <v>9.5</v>
      </c>
      <c r="G21" s="47">
        <f>FleetAverage!E21</f>
        <v>0.20947368421052634</v>
      </c>
      <c r="H21" s="47">
        <f>FleetAverage!F21</f>
        <v>2.6305263157894738E-2</v>
      </c>
      <c r="I21" s="49">
        <f>FleetAverage!H21</f>
        <v>94.330286315789479</v>
      </c>
      <c r="K21" s="4" t="str">
        <f>ProsumerMetrics!A21</f>
        <v>BES_TR2_five303_B</v>
      </c>
      <c r="L21" s="51">
        <f>ProsumerMetrics!J21</f>
        <v>26.9</v>
      </c>
      <c r="M21" s="49">
        <f>ProsumerMetrics!K21</f>
        <v>100</v>
      </c>
      <c r="T21" s="41">
        <f>FleetAverage!B21</f>
        <v>9.5</v>
      </c>
      <c r="U21" s="47">
        <f>FleetAverage!C21</f>
        <v>0.39961920140350882</v>
      </c>
      <c r="V21" s="47">
        <f>FleetAverage!D21</f>
        <v>2.2911408676319258</v>
      </c>
      <c r="W21" s="47">
        <f>FleetAverage!E21</f>
        <v>0.20947368421052634</v>
      </c>
      <c r="X21" s="47">
        <f>FleetAverage!F21</f>
        <v>2.6305263157894738E-2</v>
      </c>
      <c r="Y21" s="55">
        <f>FleetAverage!G21</f>
        <v>-1.7083532451757855</v>
      </c>
      <c r="AA21" s="41">
        <f>FleetAverage!B21</f>
        <v>9.5</v>
      </c>
      <c r="AB21" s="47">
        <f>0</f>
        <v>0</v>
      </c>
      <c r="AC21" s="47">
        <f>FleetAverage!G21</f>
        <v>-1.7083532451757855</v>
      </c>
      <c r="AD21" s="47">
        <f t="shared" si="1"/>
        <v>0</v>
      </c>
      <c r="AE21" s="47">
        <f t="shared" si="2"/>
        <v>-1.7083532451757855</v>
      </c>
      <c r="AF21" s="51">
        <f>100</f>
        <v>100</v>
      </c>
      <c r="AG21" s="49">
        <f>FleetAverage!H21</f>
        <v>94.330286315789479</v>
      </c>
    </row>
    <row r="22" spans="1:33" x14ac:dyDescent="0.25">
      <c r="A22" s="41">
        <f>FleetAverage!B22</f>
        <v>10</v>
      </c>
      <c r="B22" s="43">
        <f>FleetAverage!I22</f>
        <v>38.675070266666665</v>
      </c>
      <c r="C22" s="43">
        <f>FleetAverage!J22</f>
        <v>230.39815619751681</v>
      </c>
      <c r="D22" s="44">
        <f>FleetAverage!K22</f>
        <v>-178.62508593085016</v>
      </c>
      <c r="F22" s="41">
        <f>FleetAverage!B22</f>
        <v>10</v>
      </c>
      <c r="G22" s="47">
        <f>FleetAverage!E22</f>
        <v>0.15412631578947367</v>
      </c>
      <c r="H22" s="47">
        <f>FleetAverage!F22</f>
        <v>1.6252631578947369E-2</v>
      </c>
      <c r="I22" s="49">
        <f>FleetAverage!H22</f>
        <v>96.366255789473698</v>
      </c>
      <c r="K22" s="4" t="str">
        <f>ProsumerMetrics!A22</f>
        <v>BES_TR2_five324_B</v>
      </c>
      <c r="L22" s="51">
        <f>ProsumerMetrics!J22</f>
        <v>13.8</v>
      </c>
      <c r="M22" s="49">
        <f>ProsumerMetrics!K22</f>
        <v>88</v>
      </c>
      <c r="T22" s="41">
        <f>FleetAverage!B22</f>
        <v>10</v>
      </c>
      <c r="U22" s="47">
        <f>FleetAverage!C22</f>
        <v>0.40710600280701753</v>
      </c>
      <c r="V22" s="47">
        <f>FleetAverage!D22</f>
        <v>2.4252437494475454</v>
      </c>
      <c r="W22" s="47">
        <f>FleetAverage!E22</f>
        <v>0.15412631578947367</v>
      </c>
      <c r="X22" s="47">
        <f>FleetAverage!F22</f>
        <v>1.6252631578947369E-2</v>
      </c>
      <c r="Y22" s="55">
        <f>FleetAverage!G22</f>
        <v>-1.8802640624300015</v>
      </c>
      <c r="AA22" s="41">
        <f>FleetAverage!B22</f>
        <v>10</v>
      </c>
      <c r="AB22" s="47">
        <f>0</f>
        <v>0</v>
      </c>
      <c r="AC22" s="47">
        <f>FleetAverage!G22</f>
        <v>-1.8802640624300015</v>
      </c>
      <c r="AD22" s="47">
        <f t="shared" si="1"/>
        <v>0</v>
      </c>
      <c r="AE22" s="47">
        <f t="shared" si="2"/>
        <v>-1.8802640624300015</v>
      </c>
      <c r="AF22" s="51">
        <f>100</f>
        <v>100</v>
      </c>
      <c r="AG22" s="49">
        <f>FleetAverage!H22</f>
        <v>96.366255789473698</v>
      </c>
    </row>
    <row r="23" spans="1:33" x14ac:dyDescent="0.25">
      <c r="A23" s="41">
        <f>FleetAverage!B23</f>
        <v>10.5</v>
      </c>
      <c r="B23" s="43">
        <f>FleetAverage!I23</f>
        <v>36.222018166666658</v>
      </c>
      <c r="C23" s="43">
        <f>FleetAverage!J23</f>
        <v>240.91251326804988</v>
      </c>
      <c r="D23" s="44">
        <f>FleetAverage!K23</f>
        <v>-198.75549510138322</v>
      </c>
      <c r="F23" s="41">
        <f>FleetAverage!B23</f>
        <v>10.5</v>
      </c>
      <c r="G23" s="47">
        <f>FleetAverage!E23</f>
        <v>7.6042105263157911E-2</v>
      </c>
      <c r="H23" s="47">
        <f>FleetAverage!F23</f>
        <v>1.356842105263158E-2</v>
      </c>
      <c r="I23" s="49">
        <f>FleetAverage!H23</f>
        <v>97.902461052631594</v>
      </c>
      <c r="K23" s="4" t="str">
        <f>ProsumerMetrics!A23</f>
        <v>BES_TR2_five355_A</v>
      </c>
      <c r="L23" s="51">
        <f>ProsumerMetrics!J23</f>
        <v>25.4</v>
      </c>
      <c r="M23" s="49">
        <f>ProsumerMetrics!K23</f>
        <v>100</v>
      </c>
      <c r="T23" s="41">
        <f>FleetAverage!B23</f>
        <v>10.5</v>
      </c>
      <c r="U23" s="47">
        <f>FleetAverage!C23</f>
        <v>0.38128440175438588</v>
      </c>
      <c r="V23" s="47">
        <f>FleetAverage!D23</f>
        <v>2.535921192295262</v>
      </c>
      <c r="W23" s="47">
        <f>FleetAverage!E23</f>
        <v>7.6042105263157911E-2</v>
      </c>
      <c r="X23" s="47">
        <f>FleetAverage!F23</f>
        <v>1.356842105263158E-2</v>
      </c>
      <c r="Y23" s="55">
        <f>FleetAverage!G23</f>
        <v>-2.0921631063303501</v>
      </c>
      <c r="AA23" s="41">
        <f>FleetAverage!B23</f>
        <v>10.5</v>
      </c>
      <c r="AB23" s="47">
        <f>0</f>
        <v>0</v>
      </c>
      <c r="AC23" s="47">
        <f>FleetAverage!G23</f>
        <v>-2.0921631063303501</v>
      </c>
      <c r="AD23" s="47">
        <f t="shared" si="1"/>
        <v>0</v>
      </c>
      <c r="AE23" s="47">
        <f t="shared" si="2"/>
        <v>-2.0921631063303501</v>
      </c>
      <c r="AF23" s="51">
        <f>100</f>
        <v>100</v>
      </c>
      <c r="AG23" s="49">
        <f>FleetAverage!H23</f>
        <v>97.902461052631594</v>
      </c>
    </row>
    <row r="24" spans="1:33" x14ac:dyDescent="0.25">
      <c r="A24" s="41">
        <f>FleetAverage!B24</f>
        <v>11</v>
      </c>
      <c r="B24" s="43">
        <f>FleetAverage!I24</f>
        <v>38.407974366666657</v>
      </c>
      <c r="C24" s="43">
        <f>FleetAverage!J24</f>
        <v>248.3727552224166</v>
      </c>
      <c r="D24" s="44">
        <f>FleetAverage!K24</f>
        <v>-202.07378085574993</v>
      </c>
      <c r="F24" s="41">
        <f>FleetAverage!B24</f>
        <v>11</v>
      </c>
      <c r="G24" s="47">
        <f>FleetAverage!E24</f>
        <v>8.3673684210526317E-2</v>
      </c>
      <c r="H24" s="47">
        <f>FleetAverage!F24</f>
        <v>6.1052631578947369E-4</v>
      </c>
      <c r="I24" s="49">
        <f>FleetAverage!H24</f>
        <v>98.591155789473675</v>
      </c>
      <c r="K24" s="4" t="str">
        <f>ProsumerMetrics!A24</f>
        <v>BES_TR2_five394_C</v>
      </c>
      <c r="L24" s="51">
        <f>ProsumerMetrics!J24</f>
        <v>23.7</v>
      </c>
      <c r="M24" s="49">
        <f>ProsumerMetrics!K24</f>
        <v>99.4</v>
      </c>
      <c r="T24" s="41">
        <f>FleetAverage!B24</f>
        <v>11</v>
      </c>
      <c r="U24" s="47">
        <f>FleetAverage!C24</f>
        <v>0.40429446701754373</v>
      </c>
      <c r="V24" s="47">
        <f>FleetAverage!D24</f>
        <v>2.6144500549728065</v>
      </c>
      <c r="W24" s="47">
        <f>FleetAverage!E24</f>
        <v>8.3673684210526317E-2</v>
      </c>
      <c r="X24" s="47">
        <f>FleetAverage!F24</f>
        <v>6.1052631578947369E-4</v>
      </c>
      <c r="Y24" s="55">
        <f>FleetAverage!G24</f>
        <v>-2.1270924300605261</v>
      </c>
      <c r="AA24" s="41">
        <f>FleetAverage!B24</f>
        <v>11</v>
      </c>
      <c r="AB24" s="47">
        <f>0</f>
        <v>0</v>
      </c>
      <c r="AC24" s="47">
        <f>FleetAverage!G24</f>
        <v>-2.1270924300605261</v>
      </c>
      <c r="AD24" s="47">
        <f t="shared" si="1"/>
        <v>0</v>
      </c>
      <c r="AE24" s="47">
        <f t="shared" si="2"/>
        <v>-2.1270924300605261</v>
      </c>
      <c r="AF24" s="51">
        <f>100</f>
        <v>100</v>
      </c>
      <c r="AG24" s="49">
        <f>FleetAverage!H24</f>
        <v>98.591155789473675</v>
      </c>
    </row>
    <row r="25" spans="1:33" x14ac:dyDescent="0.25">
      <c r="A25" s="41">
        <f>FleetAverage!B25</f>
        <v>11.5</v>
      </c>
      <c r="B25" s="43">
        <f>FleetAverage!I25</f>
        <v>43.567826333333322</v>
      </c>
      <c r="C25" s="43">
        <f>FleetAverage!J25</f>
        <v>251.64445725820002</v>
      </c>
      <c r="D25" s="44">
        <f>FleetAverage!K25</f>
        <v>-208.1196309248667</v>
      </c>
      <c r="F25" s="41">
        <f>FleetAverage!B25</f>
        <v>11.5</v>
      </c>
      <c r="G25" s="47">
        <f>FleetAverage!E25</f>
        <v>2.4915789473684211E-2</v>
      </c>
      <c r="H25" s="47">
        <f>FleetAverage!F25</f>
        <v>2.5368421052631582E-2</v>
      </c>
      <c r="I25" s="49">
        <f>FleetAverage!H25</f>
        <v>99.528662105263152</v>
      </c>
      <c r="K25" s="4" t="str">
        <f>ProsumerMetrics!A25</f>
        <v>BES_TR2_five451_A</v>
      </c>
      <c r="L25" s="51">
        <f>ProsumerMetrics!J25</f>
        <v>41.6</v>
      </c>
      <c r="M25" s="49">
        <f>ProsumerMetrics!K25</f>
        <v>100</v>
      </c>
      <c r="T25" s="41">
        <f>FleetAverage!B25</f>
        <v>11.5</v>
      </c>
      <c r="U25" s="47">
        <f>FleetAverage!C25</f>
        <v>0.4586086982456139</v>
      </c>
      <c r="V25" s="47">
        <f>FleetAverage!D25</f>
        <v>2.6488890237705265</v>
      </c>
      <c r="W25" s="47">
        <f>FleetAverage!E25</f>
        <v>2.4915789473684211E-2</v>
      </c>
      <c r="X25" s="47">
        <f>FleetAverage!F25</f>
        <v>2.5368421052631582E-2</v>
      </c>
      <c r="Y25" s="55">
        <f>FleetAverage!G25</f>
        <v>-2.1907329571038598</v>
      </c>
      <c r="AA25" s="41">
        <f>FleetAverage!B25</f>
        <v>11.5</v>
      </c>
      <c r="AB25" s="47">
        <f>0</f>
        <v>0</v>
      </c>
      <c r="AC25" s="47">
        <f>FleetAverage!G25</f>
        <v>-2.1907329571038598</v>
      </c>
      <c r="AD25" s="47">
        <f t="shared" si="1"/>
        <v>0</v>
      </c>
      <c r="AE25" s="47">
        <f t="shared" si="2"/>
        <v>-2.1907329571038598</v>
      </c>
      <c r="AF25" s="51">
        <f>100</f>
        <v>100</v>
      </c>
      <c r="AG25" s="49">
        <f>FleetAverage!H25</f>
        <v>99.528662105263152</v>
      </c>
    </row>
    <row r="26" spans="1:33" x14ac:dyDescent="0.25">
      <c r="A26" s="41">
        <f>FleetAverage!B26</f>
        <v>12</v>
      </c>
      <c r="B26" s="43">
        <f>FleetAverage!I26</f>
        <v>40.665885733333347</v>
      </c>
      <c r="C26" s="43">
        <f>FleetAverage!J26</f>
        <v>252.59206752026688</v>
      </c>
      <c r="D26" s="44">
        <f>FleetAverage!K26</f>
        <v>-214.80618178693356</v>
      </c>
      <c r="F26" s="41">
        <f>FleetAverage!B26</f>
        <v>12</v>
      </c>
      <c r="G26" s="47">
        <f>FleetAverage!E26</f>
        <v>2.4210526315789475E-3</v>
      </c>
      <c r="H26" s="47">
        <f>FleetAverage!F26</f>
        <v>3.2736842105263154E-2</v>
      </c>
      <c r="I26" s="49">
        <f>FleetAverage!H26</f>
        <v>99.491741052631568</v>
      </c>
      <c r="K26" s="4" t="str">
        <f>ProsumerMetrics!A26</f>
        <v>BES_TR2_five466_A</v>
      </c>
      <c r="L26" s="51">
        <f>ProsumerMetrics!J26</f>
        <v>55.9</v>
      </c>
      <c r="M26" s="49">
        <f>ProsumerMetrics!K26</f>
        <v>100</v>
      </c>
      <c r="T26" s="41">
        <f>FleetAverage!B26</f>
        <v>12</v>
      </c>
      <c r="U26" s="47">
        <f>FleetAverage!C26</f>
        <v>0.42806195508771944</v>
      </c>
      <c r="V26" s="47">
        <f>FleetAverage!D26</f>
        <v>2.6588638686343882</v>
      </c>
      <c r="W26" s="47">
        <f>FleetAverage!E26</f>
        <v>2.4210526315789475E-3</v>
      </c>
      <c r="X26" s="47">
        <f>FleetAverage!F26</f>
        <v>3.2736842105263154E-2</v>
      </c>
      <c r="Y26" s="55">
        <f>FleetAverage!G26</f>
        <v>-2.2611177030203526</v>
      </c>
      <c r="AA26" s="41">
        <f>FleetAverage!B26</f>
        <v>12</v>
      </c>
      <c r="AB26" s="47">
        <f>0</f>
        <v>0</v>
      </c>
      <c r="AC26" s="47">
        <f>FleetAverage!G26</f>
        <v>-2.2611177030203526</v>
      </c>
      <c r="AD26" s="47">
        <f t="shared" si="1"/>
        <v>0</v>
      </c>
      <c r="AE26" s="47">
        <f t="shared" si="2"/>
        <v>-2.2611177030203526</v>
      </c>
      <c r="AF26" s="51">
        <f>100</f>
        <v>100</v>
      </c>
      <c r="AG26" s="49">
        <f>FleetAverage!H26</f>
        <v>99.491741052631568</v>
      </c>
    </row>
    <row r="27" spans="1:33" x14ac:dyDescent="0.25">
      <c r="A27" s="41">
        <f>FleetAverage!B27</f>
        <v>12.5</v>
      </c>
      <c r="B27" s="43">
        <f>FleetAverage!I27</f>
        <v>39.678171699999979</v>
      </c>
      <c r="C27" s="43">
        <f>FleetAverage!J27</f>
        <v>250.81935268300006</v>
      </c>
      <c r="D27" s="44">
        <f>FleetAverage!K27</f>
        <v>-210.73518098300011</v>
      </c>
      <c r="F27" s="41">
        <f>FleetAverage!B27</f>
        <v>12.5</v>
      </c>
      <c r="G27" s="47">
        <f>FleetAverage!E27</f>
        <v>1.9957894736842105E-2</v>
      </c>
      <c r="H27" s="47">
        <f>FleetAverage!F27</f>
        <v>1.568421052631579E-2</v>
      </c>
      <c r="I27" s="49">
        <f>FleetAverage!H27</f>
        <v>99.108356842105266</v>
      </c>
      <c r="K27" s="4" t="str">
        <f>ProsumerMetrics!A27</f>
        <v>BES_TR2_five494_B</v>
      </c>
      <c r="L27" s="51">
        <f>ProsumerMetrics!J27</f>
        <v>64.2</v>
      </c>
      <c r="M27" s="49">
        <f>ProsumerMetrics!K27</f>
        <v>100</v>
      </c>
      <c r="T27" s="41">
        <f>FleetAverage!B27</f>
        <v>12.5</v>
      </c>
      <c r="U27" s="47">
        <f>FleetAverage!C27</f>
        <v>0.41766496526315766</v>
      </c>
      <c r="V27" s="47">
        <f>FleetAverage!D27</f>
        <v>2.6402037124526321</v>
      </c>
      <c r="W27" s="47">
        <f>FleetAverage!E27</f>
        <v>1.9957894736842105E-2</v>
      </c>
      <c r="X27" s="47">
        <f>FleetAverage!F27</f>
        <v>1.568421052631579E-2</v>
      </c>
      <c r="Y27" s="55">
        <f>FleetAverage!G27</f>
        <v>-2.218265062978948</v>
      </c>
      <c r="AA27" s="41">
        <f>FleetAverage!B27</f>
        <v>12.5</v>
      </c>
      <c r="AB27" s="47">
        <f>0</f>
        <v>0</v>
      </c>
      <c r="AC27" s="47">
        <f>FleetAverage!G27</f>
        <v>-2.218265062978948</v>
      </c>
      <c r="AD27" s="47">
        <f t="shared" si="1"/>
        <v>0</v>
      </c>
      <c r="AE27" s="47">
        <f t="shared" si="2"/>
        <v>-2.218265062978948</v>
      </c>
      <c r="AF27" s="51">
        <f>100</f>
        <v>100</v>
      </c>
      <c r="AG27" s="49">
        <f>FleetAverage!H27</f>
        <v>99.108356842105266</v>
      </c>
    </row>
    <row r="28" spans="1:33" x14ac:dyDescent="0.25">
      <c r="A28" s="41">
        <f>FleetAverage!B28</f>
        <v>13</v>
      </c>
      <c r="B28" s="43">
        <f>FleetAverage!I28</f>
        <v>25.283236333333342</v>
      </c>
      <c r="C28" s="43">
        <f>FleetAverage!J28</f>
        <v>244.86400361675027</v>
      </c>
      <c r="D28" s="44">
        <f>FleetAverage!K28</f>
        <v>-215.7017672834169</v>
      </c>
      <c r="F28" s="41">
        <f>FleetAverage!B28</f>
        <v>13</v>
      </c>
      <c r="G28" s="47">
        <f>FleetAverage!E28</f>
        <v>4.3505263157894734E-2</v>
      </c>
      <c r="H28" s="47">
        <f>FleetAverage!F28</f>
        <v>2.673684210526316E-3</v>
      </c>
      <c r="I28" s="49">
        <f>FleetAverage!H28</f>
        <v>99.136881052631566</v>
      </c>
      <c r="K28" s="4" t="str">
        <f>ProsumerMetrics!A28</f>
        <v>BES_TR2_five512_A</v>
      </c>
      <c r="L28" s="51">
        <f>ProsumerMetrics!J28</f>
        <v>49.4</v>
      </c>
      <c r="M28" s="49">
        <f>ProsumerMetrics!K28</f>
        <v>100</v>
      </c>
      <c r="T28" s="41">
        <f>FleetAverage!B28</f>
        <v>13</v>
      </c>
      <c r="U28" s="47">
        <f>FleetAverage!C28</f>
        <v>0.26613932982456151</v>
      </c>
      <c r="V28" s="47">
        <f>FleetAverage!D28</f>
        <v>2.5775158275447398</v>
      </c>
      <c r="W28" s="47">
        <f>FleetAverage!E28</f>
        <v>4.3505263157894734E-2</v>
      </c>
      <c r="X28" s="47">
        <f>FleetAverage!F28</f>
        <v>2.673684210526316E-3</v>
      </c>
      <c r="Y28" s="55">
        <f>FleetAverage!G28</f>
        <v>-2.27054491877281</v>
      </c>
      <c r="AA28" s="41">
        <f>FleetAverage!B28</f>
        <v>13</v>
      </c>
      <c r="AB28" s="47">
        <f>0</f>
        <v>0</v>
      </c>
      <c r="AC28" s="47">
        <f>FleetAverage!G28</f>
        <v>-2.27054491877281</v>
      </c>
      <c r="AD28" s="47">
        <f t="shared" si="1"/>
        <v>0</v>
      </c>
      <c r="AE28" s="47">
        <f t="shared" si="2"/>
        <v>-2.27054491877281</v>
      </c>
      <c r="AF28" s="51">
        <f>100</f>
        <v>100</v>
      </c>
      <c r="AG28" s="49">
        <f>FleetAverage!H28</f>
        <v>99.136881052631566</v>
      </c>
    </row>
    <row r="29" spans="1:33" x14ac:dyDescent="0.25">
      <c r="A29" s="41">
        <f>FleetAverage!B29</f>
        <v>13.5</v>
      </c>
      <c r="B29" s="43">
        <f>FleetAverage!I29</f>
        <v>26.807614000000019</v>
      </c>
      <c r="C29" s="43">
        <f>FleetAverage!J29</f>
        <v>235.77840627786659</v>
      </c>
      <c r="D29" s="44">
        <f>FleetAverage!K29</f>
        <v>-207.33379227786656</v>
      </c>
      <c r="F29" s="41">
        <f>FleetAverage!B29</f>
        <v>13.5</v>
      </c>
      <c r="G29" s="47">
        <f>FleetAverage!E29</f>
        <v>2.1294736842105266E-2</v>
      </c>
      <c r="H29" s="47">
        <f>FleetAverage!F29</f>
        <v>4.0631578947368423E-3</v>
      </c>
      <c r="I29" s="49">
        <f>FleetAverage!H29</f>
        <v>99.594821052631573</v>
      </c>
      <c r="K29" s="4" t="str">
        <f>ProsumerMetrics!A29</f>
        <v>BES_TR2_five520_C</v>
      </c>
      <c r="L29" s="51">
        <f>ProsumerMetrics!J29</f>
        <v>58.6</v>
      </c>
      <c r="M29" s="49">
        <f>ProsumerMetrics!K29</f>
        <v>100</v>
      </c>
      <c r="T29" s="41">
        <f>FleetAverage!B29</f>
        <v>13.5</v>
      </c>
      <c r="U29" s="47">
        <f>FleetAverage!C29</f>
        <v>0.28218541052631596</v>
      </c>
      <c r="V29" s="47">
        <f>FleetAverage!D29</f>
        <v>2.4818779608196482</v>
      </c>
      <c r="W29" s="47">
        <f>FleetAverage!E29</f>
        <v>2.1294736842105266E-2</v>
      </c>
      <c r="X29" s="47">
        <f>FleetAverage!F29</f>
        <v>4.0631578947368423E-3</v>
      </c>
      <c r="Y29" s="55">
        <f>FleetAverage!G29</f>
        <v>-2.182460971345964</v>
      </c>
      <c r="AA29" s="41">
        <f>FleetAverage!B29</f>
        <v>13.5</v>
      </c>
      <c r="AB29" s="47">
        <f>0</f>
        <v>0</v>
      </c>
      <c r="AC29" s="47">
        <f>FleetAverage!G29</f>
        <v>-2.182460971345964</v>
      </c>
      <c r="AD29" s="47">
        <f t="shared" si="1"/>
        <v>0</v>
      </c>
      <c r="AE29" s="47">
        <f t="shared" si="2"/>
        <v>-2.182460971345964</v>
      </c>
      <c r="AF29" s="51">
        <f>100</f>
        <v>100</v>
      </c>
      <c r="AG29" s="49">
        <f>FleetAverage!H29</f>
        <v>99.594821052631573</v>
      </c>
    </row>
    <row r="30" spans="1:33" x14ac:dyDescent="0.25">
      <c r="A30" s="41">
        <f>FleetAverage!B30</f>
        <v>14</v>
      </c>
      <c r="B30" s="43">
        <f>FleetAverage!I30</f>
        <v>31.458178733333323</v>
      </c>
      <c r="C30" s="43">
        <f>FleetAverage!J30</f>
        <v>224.93164166354978</v>
      </c>
      <c r="D30" s="44">
        <f>FleetAverage!K30</f>
        <v>-193.18446293021648</v>
      </c>
      <c r="F30" s="41">
        <f>FleetAverage!B30</f>
        <v>14</v>
      </c>
      <c r="G30" s="47">
        <f>FleetAverage!E30</f>
        <v>1.4947368421052631E-2</v>
      </c>
      <c r="H30" s="47">
        <f>FleetAverage!F30</f>
        <v>1.1905263157894735E-2</v>
      </c>
      <c r="I30" s="49">
        <f>FleetAverage!H30</f>
        <v>99.784386315789476</v>
      </c>
      <c r="K30" s="4" t="str">
        <f>ProsumerMetrics!A30</f>
        <v>BES_TR2_five540_A</v>
      </c>
      <c r="L30" s="51">
        <f>ProsumerMetrics!J30</f>
        <v>24.8</v>
      </c>
      <c r="M30" s="49">
        <f>ProsumerMetrics!K30</f>
        <v>100</v>
      </c>
      <c r="T30" s="41">
        <f>FleetAverage!B30</f>
        <v>14</v>
      </c>
      <c r="U30" s="47">
        <f>FleetAverage!C30</f>
        <v>0.33113872350877183</v>
      </c>
      <c r="V30" s="47">
        <f>FleetAverage!D30</f>
        <v>2.3677014911952607</v>
      </c>
      <c r="W30" s="47">
        <f>FleetAverage!E30</f>
        <v>1.4947368421052631E-2</v>
      </c>
      <c r="X30" s="47">
        <f>FleetAverage!F30</f>
        <v>1.1905263157894735E-2</v>
      </c>
      <c r="Y30" s="55">
        <f>FleetAverage!G30</f>
        <v>-2.0335206624233311</v>
      </c>
      <c r="AA30" s="41">
        <f>FleetAverage!B30</f>
        <v>14</v>
      </c>
      <c r="AB30" s="47">
        <f>0</f>
        <v>0</v>
      </c>
      <c r="AC30" s="47">
        <f>FleetAverage!G30</f>
        <v>-2.0335206624233311</v>
      </c>
      <c r="AD30" s="47">
        <f t="shared" si="1"/>
        <v>0</v>
      </c>
      <c r="AE30" s="47">
        <f t="shared" si="2"/>
        <v>-2.0335206624233311</v>
      </c>
      <c r="AF30" s="51">
        <f>100</f>
        <v>100</v>
      </c>
      <c r="AG30" s="49">
        <f>FleetAverage!H30</f>
        <v>99.784386315789476</v>
      </c>
    </row>
    <row r="31" spans="1:33" x14ac:dyDescent="0.25">
      <c r="A31" s="41">
        <f>FleetAverage!B31</f>
        <v>14.5</v>
      </c>
      <c r="B31" s="43">
        <f>FleetAverage!I31</f>
        <v>32.03695093333333</v>
      </c>
      <c r="C31" s="43">
        <f>FleetAverage!J31</f>
        <v>211.18720394876669</v>
      </c>
      <c r="D31" s="44">
        <f>FleetAverage!K31</f>
        <v>-180.38025301543337</v>
      </c>
      <c r="F31" s="41">
        <f>FleetAverage!B31</f>
        <v>14.5</v>
      </c>
      <c r="G31" s="47">
        <f>FleetAverage!E31</f>
        <v>3.9894736842105262E-3</v>
      </c>
      <c r="H31" s="47">
        <f>FleetAverage!F31</f>
        <v>1.6936842105263156E-2</v>
      </c>
      <c r="I31" s="49">
        <f>FleetAverage!H31</f>
        <v>99.80376315789475</v>
      </c>
      <c r="K31" s="4" t="str">
        <f>ProsumerMetrics!A31</f>
        <v>BES_TR2_five588_A</v>
      </c>
      <c r="L31" s="51">
        <f>ProsumerMetrics!J31</f>
        <v>35.5</v>
      </c>
      <c r="M31" s="49">
        <f>ProsumerMetrics!K31</f>
        <v>100</v>
      </c>
      <c r="T31" s="41">
        <f>FleetAverage!B31</f>
        <v>14.5</v>
      </c>
      <c r="U31" s="47">
        <f>FleetAverage!C31</f>
        <v>0.33723106245614032</v>
      </c>
      <c r="V31" s="47">
        <f>FleetAverage!D31</f>
        <v>2.2230231994607021</v>
      </c>
      <c r="W31" s="47">
        <f>FleetAverage!E31</f>
        <v>3.9894736842105262E-3</v>
      </c>
      <c r="X31" s="47">
        <f>FleetAverage!F31</f>
        <v>1.6936842105263156E-2</v>
      </c>
      <c r="Y31" s="55">
        <f>FleetAverage!G31</f>
        <v>-1.8987395054256144</v>
      </c>
      <c r="AA31" s="41">
        <f>FleetAverage!B31</f>
        <v>14.5</v>
      </c>
      <c r="AB31" s="47">
        <f>0</f>
        <v>0</v>
      </c>
      <c r="AC31" s="47">
        <f>FleetAverage!G31</f>
        <v>-1.8987395054256144</v>
      </c>
      <c r="AD31" s="47">
        <f t="shared" si="1"/>
        <v>0</v>
      </c>
      <c r="AE31" s="47">
        <f t="shared" si="2"/>
        <v>-1.8987395054256144</v>
      </c>
      <c r="AF31" s="51">
        <f>100</f>
        <v>100</v>
      </c>
      <c r="AG31" s="49">
        <f>FleetAverage!H31</f>
        <v>99.80376315789475</v>
      </c>
    </row>
    <row r="32" spans="1:33" x14ac:dyDescent="0.25">
      <c r="A32" s="41">
        <f>FleetAverage!B32</f>
        <v>15</v>
      </c>
      <c r="B32" s="43">
        <f>FleetAverage!I32</f>
        <v>31.036622599999994</v>
      </c>
      <c r="C32" s="43">
        <f>FleetAverage!J32</f>
        <v>196.58105330594998</v>
      </c>
      <c r="D32" s="44">
        <f>FleetAverage!K32</f>
        <v>-166.01843070594998</v>
      </c>
      <c r="F32" s="41">
        <f>FleetAverage!B32</f>
        <v>15</v>
      </c>
      <c r="G32" s="47">
        <f>FleetAverage!E32</f>
        <v>5.8842105263157887E-3</v>
      </c>
      <c r="H32" s="47">
        <f>FleetAverage!F32</f>
        <v>1.0873684210526315E-2</v>
      </c>
      <c r="I32" s="49">
        <f>FleetAverage!H32</f>
        <v>99.636244210526314</v>
      </c>
      <c r="K32" s="4" t="str">
        <f>ProsumerMetrics!A32</f>
        <v>BES_TR2_five649_A</v>
      </c>
      <c r="L32" s="51">
        <f>ProsumerMetrics!J32</f>
        <v>19.7</v>
      </c>
      <c r="M32" s="49">
        <f>ProsumerMetrics!K32</f>
        <v>100</v>
      </c>
      <c r="T32" s="41">
        <f>FleetAverage!B32</f>
        <v>15</v>
      </c>
      <c r="U32" s="47">
        <f>FleetAverage!C32</f>
        <v>0.32670129052631575</v>
      </c>
      <c r="V32" s="47">
        <f>FleetAverage!D32</f>
        <v>2.0692742453257891</v>
      </c>
      <c r="W32" s="47">
        <f>FleetAverage!E32</f>
        <v>5.8842105263157887E-3</v>
      </c>
      <c r="X32" s="47">
        <f>FleetAverage!F32</f>
        <v>1.0873684210526315E-2</v>
      </c>
      <c r="Y32" s="55">
        <f>FleetAverage!G32</f>
        <v>-1.7475624284836839</v>
      </c>
      <c r="AA32" s="41">
        <f>FleetAverage!B32</f>
        <v>15</v>
      </c>
      <c r="AB32" s="47">
        <f>0</f>
        <v>0</v>
      </c>
      <c r="AC32" s="47">
        <f>FleetAverage!G32</f>
        <v>-1.7475624284836839</v>
      </c>
      <c r="AD32" s="47">
        <f t="shared" si="1"/>
        <v>0</v>
      </c>
      <c r="AE32" s="47">
        <f t="shared" si="2"/>
        <v>-1.7475624284836839</v>
      </c>
      <c r="AF32" s="51">
        <f>100</f>
        <v>100</v>
      </c>
      <c r="AG32" s="49">
        <f>FleetAverage!H32</f>
        <v>99.636244210526314</v>
      </c>
    </row>
    <row r="33" spans="1:33" x14ac:dyDescent="0.25">
      <c r="A33" s="41">
        <f>FleetAverage!B33</f>
        <v>15.5</v>
      </c>
      <c r="B33" s="43">
        <f>FleetAverage!I33</f>
        <v>31.775515499999987</v>
      </c>
      <c r="C33" s="43">
        <f>FleetAverage!J33</f>
        <v>179.00446527746695</v>
      </c>
      <c r="D33" s="44">
        <f>FleetAverage!K33</f>
        <v>-145.44894977746696</v>
      </c>
      <c r="F33" s="41">
        <f>FleetAverage!B33</f>
        <v>15.5</v>
      </c>
      <c r="G33" s="47">
        <f>FleetAverage!E33</f>
        <v>2.5715789473684206E-2</v>
      </c>
      <c r="H33" s="47">
        <f>FleetAverage!F33</f>
        <v>6.9789473684210516E-3</v>
      </c>
      <c r="I33" s="49">
        <f>FleetAverage!H33</f>
        <v>99.566207368421061</v>
      </c>
      <c r="K33" s="4" t="str">
        <f>ProsumerMetrics!A33</f>
        <v>BES_TR2_five663_C</v>
      </c>
      <c r="L33" s="51">
        <f>ProsumerMetrics!J33</f>
        <v>47.7</v>
      </c>
      <c r="M33" s="49">
        <f>ProsumerMetrics!K33</f>
        <v>99.9</v>
      </c>
      <c r="T33" s="41">
        <f>FleetAverage!B33</f>
        <v>15.5</v>
      </c>
      <c r="U33" s="47">
        <f>FleetAverage!C33</f>
        <v>0.33447911052631563</v>
      </c>
      <c r="V33" s="47">
        <f>FleetAverage!D33</f>
        <v>1.8842575292364943</v>
      </c>
      <c r="W33" s="47">
        <f>FleetAverage!E33</f>
        <v>2.5715789473684206E-2</v>
      </c>
      <c r="X33" s="47">
        <f>FleetAverage!F33</f>
        <v>6.9789473684210516E-3</v>
      </c>
      <c r="Y33" s="55">
        <f>FleetAverage!G33</f>
        <v>-1.5310415766049155</v>
      </c>
      <c r="AA33" s="41">
        <f>FleetAverage!B33</f>
        <v>15.5</v>
      </c>
      <c r="AB33" s="47">
        <f>0</f>
        <v>0</v>
      </c>
      <c r="AC33" s="47">
        <f>FleetAverage!G33</f>
        <v>-1.5310415766049155</v>
      </c>
      <c r="AD33" s="47">
        <f t="shared" si="1"/>
        <v>0</v>
      </c>
      <c r="AE33" s="47">
        <f t="shared" si="2"/>
        <v>-1.5310415766049155</v>
      </c>
      <c r="AF33" s="51">
        <f>100</f>
        <v>100</v>
      </c>
      <c r="AG33" s="49">
        <f>FleetAverage!H33</f>
        <v>99.566207368421061</v>
      </c>
    </row>
    <row r="34" spans="1:33" x14ac:dyDescent="0.25">
      <c r="A34" s="41">
        <f>FleetAverage!B34</f>
        <v>16</v>
      </c>
      <c r="B34" s="43">
        <f>FleetAverage!I34</f>
        <v>28.37571566666665</v>
      </c>
      <c r="C34" s="43">
        <f>FleetAverage!J34</f>
        <v>159.2090792068332</v>
      </c>
      <c r="D34" s="44">
        <f>FleetAverage!K34</f>
        <v>-134.06436354016654</v>
      </c>
      <c r="F34" s="41">
        <f>FleetAverage!B34</f>
        <v>16</v>
      </c>
      <c r="G34" s="47">
        <f>FleetAverage!E34</f>
        <v>6.9684210526315795E-3</v>
      </c>
      <c r="H34" s="47">
        <f>FleetAverage!F34</f>
        <v>4.0978947368421052E-2</v>
      </c>
      <c r="I34" s="49">
        <f>FleetAverage!H34</f>
        <v>99.769125263157918</v>
      </c>
      <c r="K34" s="4" t="str">
        <f>ProsumerMetrics!A34</f>
        <v>BES_TR2_five685_B</v>
      </c>
      <c r="L34" s="51">
        <f>ProsumerMetrics!J34</f>
        <v>33.9</v>
      </c>
      <c r="M34" s="49">
        <f>ProsumerMetrics!K34</f>
        <v>100</v>
      </c>
      <c r="T34" s="41">
        <f>FleetAverage!B34</f>
        <v>16</v>
      </c>
      <c r="U34" s="47">
        <f>FleetAverage!C34</f>
        <v>0.29869174385964897</v>
      </c>
      <c r="V34" s="47">
        <f>FleetAverage!D34</f>
        <v>1.6758850442824547</v>
      </c>
      <c r="W34" s="47">
        <f>FleetAverage!E34</f>
        <v>6.9684210526315795E-3</v>
      </c>
      <c r="X34" s="47">
        <f>FleetAverage!F34</f>
        <v>4.0978947368421052E-2</v>
      </c>
      <c r="Y34" s="55">
        <f>FleetAverage!G34</f>
        <v>-1.4112038267385951</v>
      </c>
      <c r="AA34" s="41">
        <f>FleetAverage!B34</f>
        <v>16</v>
      </c>
      <c r="AB34" s="47">
        <f>0</f>
        <v>0</v>
      </c>
      <c r="AC34" s="47">
        <f>FleetAverage!G34</f>
        <v>-1.4112038267385951</v>
      </c>
      <c r="AD34" s="47">
        <f t="shared" si="1"/>
        <v>0</v>
      </c>
      <c r="AE34" s="47">
        <f t="shared" si="2"/>
        <v>-1.4112038267385951</v>
      </c>
      <c r="AF34" s="51">
        <f>100</f>
        <v>100</v>
      </c>
      <c r="AG34" s="49">
        <f>FleetAverage!H34</f>
        <v>99.769125263157918</v>
      </c>
    </row>
    <row r="35" spans="1:33" x14ac:dyDescent="0.25">
      <c r="A35" s="41">
        <f>FleetAverage!B35</f>
        <v>16.5</v>
      </c>
      <c r="B35" s="43">
        <f>FleetAverage!I35</f>
        <v>31.721641566666666</v>
      </c>
      <c r="C35" s="43">
        <f>FleetAverage!J35</f>
        <v>135.30872965148336</v>
      </c>
      <c r="D35" s="44">
        <f>FleetAverage!K35</f>
        <v>-106.72008808481671</v>
      </c>
      <c r="F35" s="41">
        <f>FleetAverage!B35</f>
        <v>16.5</v>
      </c>
      <c r="G35" s="47">
        <f>FleetAverage!E35</f>
        <v>2.1263157894736841E-2</v>
      </c>
      <c r="H35" s="47">
        <f>FleetAverage!F35</f>
        <v>5.4242105263157897E-2</v>
      </c>
      <c r="I35" s="49">
        <f>FleetAverage!H35</f>
        <v>99.333614736842108</v>
      </c>
      <c r="K35" s="4" t="str">
        <f>ProsumerMetrics!A35</f>
        <v>BES_TR2_five695_A</v>
      </c>
      <c r="L35" s="51">
        <f>ProsumerMetrics!J35</f>
        <v>21.1</v>
      </c>
      <c r="M35" s="49">
        <f>ProsumerMetrics!K35</f>
        <v>100</v>
      </c>
      <c r="T35" s="41">
        <f>FleetAverage!B35</f>
        <v>16.5</v>
      </c>
      <c r="U35" s="47">
        <f>FleetAverage!C35</f>
        <v>0.33391201649122804</v>
      </c>
      <c r="V35" s="47">
        <f>FleetAverage!D35</f>
        <v>1.4243024173840353</v>
      </c>
      <c r="W35" s="47">
        <f>FleetAverage!E35</f>
        <v>2.1263157894736841E-2</v>
      </c>
      <c r="X35" s="47">
        <f>FleetAverage!F35</f>
        <v>5.4242105263157897E-2</v>
      </c>
      <c r="Y35" s="55">
        <f>FleetAverage!G35</f>
        <v>-1.1233693482612281</v>
      </c>
      <c r="AA35" s="41">
        <f>FleetAverage!B35</f>
        <v>16.5</v>
      </c>
      <c r="AB35" s="47">
        <f>0</f>
        <v>0</v>
      </c>
      <c r="AC35" s="47">
        <f>FleetAverage!G35</f>
        <v>-1.1233693482612281</v>
      </c>
      <c r="AD35" s="47">
        <f t="shared" si="1"/>
        <v>0</v>
      </c>
      <c r="AE35" s="47">
        <f t="shared" si="2"/>
        <v>-1.1233693482612281</v>
      </c>
      <c r="AF35" s="51">
        <f>100</f>
        <v>100</v>
      </c>
      <c r="AG35" s="49">
        <f>FleetAverage!H35</f>
        <v>99.333614736842108</v>
      </c>
    </row>
    <row r="36" spans="1:33" x14ac:dyDescent="0.25">
      <c r="A36" s="41">
        <f>FleetAverage!B36</f>
        <v>17</v>
      </c>
      <c r="B36" s="43">
        <f>FleetAverage!I36</f>
        <v>29.173445699999981</v>
      </c>
      <c r="C36" s="43">
        <f>FleetAverage!J36</f>
        <v>112.93966049308327</v>
      </c>
      <c r="D36" s="44">
        <f>FleetAverage!K36</f>
        <v>-83.469214793083282</v>
      </c>
      <c r="F36" s="41">
        <f>FleetAverage!B36</f>
        <v>17</v>
      </c>
      <c r="G36" s="47">
        <f>FleetAverage!E36</f>
        <v>1.4515789473684211E-2</v>
      </c>
      <c r="H36" s="47">
        <f>FleetAverage!F36</f>
        <v>1.1389473684210527E-2</v>
      </c>
      <c r="I36" s="49">
        <f>FleetAverage!H36</f>
        <v>98.893053684210543</v>
      </c>
      <c r="K36" s="4" t="str">
        <f>ProsumerMetrics!A36</f>
        <v>BES_TR2_five704_A</v>
      </c>
      <c r="L36" s="51">
        <f>ProsumerMetrics!J36</f>
        <v>57.5</v>
      </c>
      <c r="M36" s="49">
        <f>ProsumerMetrics!K36</f>
        <v>85.3</v>
      </c>
      <c r="T36" s="41">
        <f>FleetAverage!B36</f>
        <v>17</v>
      </c>
      <c r="U36" s="47">
        <f>FleetAverage!C36</f>
        <v>0.30708890210526296</v>
      </c>
      <c r="V36" s="47">
        <f>FleetAverage!D36</f>
        <v>1.1888385315061396</v>
      </c>
      <c r="W36" s="47">
        <f>FleetAverage!E36</f>
        <v>1.4515789473684211E-2</v>
      </c>
      <c r="X36" s="47">
        <f>FleetAverage!F36</f>
        <v>1.1389473684210527E-2</v>
      </c>
      <c r="Y36" s="55">
        <f>FleetAverage!G36</f>
        <v>-0.87862331361140289</v>
      </c>
      <c r="AA36" s="41">
        <f>FleetAverage!B36</f>
        <v>17</v>
      </c>
      <c r="AB36" s="47">
        <f>0</f>
        <v>0</v>
      </c>
      <c r="AC36" s="47">
        <f>FleetAverage!G36</f>
        <v>-0.87862331361140289</v>
      </c>
      <c r="AD36" s="47">
        <f t="shared" si="1"/>
        <v>0</v>
      </c>
      <c r="AE36" s="47">
        <f t="shared" si="2"/>
        <v>-0.87862331361140289</v>
      </c>
      <c r="AF36" s="51">
        <f>100</f>
        <v>100</v>
      </c>
      <c r="AG36" s="49">
        <f>FleetAverage!H36</f>
        <v>98.893053684210543</v>
      </c>
    </row>
    <row r="37" spans="1:33" x14ac:dyDescent="0.25">
      <c r="A37" s="41">
        <f>FleetAverage!B37</f>
        <v>17.5</v>
      </c>
      <c r="B37" s="43">
        <f>FleetAverage!I37</f>
        <v>34.302234166666643</v>
      </c>
      <c r="C37" s="43">
        <f>FleetAverage!J37</f>
        <v>89.954053455549982</v>
      </c>
      <c r="D37" s="44">
        <f>FleetAverage!K37</f>
        <v>-60.686819288883342</v>
      </c>
      <c r="F37" s="41">
        <f>FleetAverage!B37</f>
        <v>17.5</v>
      </c>
      <c r="G37" s="47">
        <f>FleetAverage!E37</f>
        <v>1.3778947368421054E-2</v>
      </c>
      <c r="H37" s="47">
        <f>FleetAverage!F37</f>
        <v>6.6778947368421063E-2</v>
      </c>
      <c r="I37" s="49">
        <f>FleetAverage!H37</f>
        <v>98.914183157894726</v>
      </c>
      <c r="K37" s="4" t="str">
        <f>ProsumerMetrics!A37</f>
        <v>BES_TR2_five733_C</v>
      </c>
      <c r="L37" s="51">
        <f>ProsumerMetrics!J37</f>
        <v>23.1</v>
      </c>
      <c r="M37" s="49">
        <f>ProsumerMetrics!K37</f>
        <v>100</v>
      </c>
      <c r="T37" s="41">
        <f>FleetAverage!B37</f>
        <v>17.5</v>
      </c>
      <c r="U37" s="47">
        <f>FleetAverage!C37</f>
        <v>0.36107614912280678</v>
      </c>
      <c r="V37" s="47">
        <f>FleetAverage!D37</f>
        <v>0.94688477321631559</v>
      </c>
      <c r="W37" s="47">
        <f>FleetAverage!E37</f>
        <v>1.3778947368421054E-2</v>
      </c>
      <c r="X37" s="47">
        <f>FleetAverage!F37</f>
        <v>6.6778947368421063E-2</v>
      </c>
      <c r="Y37" s="55">
        <f>FleetAverage!G37</f>
        <v>-0.6388086240935088</v>
      </c>
      <c r="AA37" s="41">
        <f>FleetAverage!B37</f>
        <v>17.5</v>
      </c>
      <c r="AB37" s="47">
        <f>0</f>
        <v>0</v>
      </c>
      <c r="AC37" s="47">
        <f>FleetAverage!G37</f>
        <v>-0.6388086240935088</v>
      </c>
      <c r="AD37" s="47">
        <f t="shared" si="1"/>
        <v>0</v>
      </c>
      <c r="AE37" s="47">
        <f t="shared" si="2"/>
        <v>-0.6388086240935088</v>
      </c>
      <c r="AF37" s="51">
        <f>100</f>
        <v>100</v>
      </c>
      <c r="AG37" s="49">
        <f>FleetAverage!H37</f>
        <v>98.914183157894726</v>
      </c>
    </row>
    <row r="38" spans="1:33" x14ac:dyDescent="0.25">
      <c r="A38" s="41">
        <f>FleetAverage!B38</f>
        <v>18</v>
      </c>
      <c r="B38" s="43">
        <f>FleetAverage!I38</f>
        <v>34.429074799999988</v>
      </c>
      <c r="C38" s="43">
        <f>FleetAverage!J38</f>
        <v>67.719030081166764</v>
      </c>
      <c r="D38" s="44">
        <f>FleetAverage!K38</f>
        <v>-38.965955281166778</v>
      </c>
      <c r="F38" s="41">
        <f>FleetAverage!B38</f>
        <v>18</v>
      </c>
      <c r="G38" s="47">
        <f>FleetAverage!E38</f>
        <v>2.2642105263157894E-2</v>
      </c>
      <c r="H38" s="47">
        <f>FleetAverage!F38</f>
        <v>8.2389473684210526E-2</v>
      </c>
      <c r="I38" s="49">
        <f>FleetAverage!H38</f>
        <v>98.231587368421074</v>
      </c>
      <c r="K38" s="4" t="str">
        <f>ProsumerMetrics!A38</f>
        <v>BES_TR2_five117_B</v>
      </c>
      <c r="L38" s="51">
        <f>ProsumerMetrics!J38</f>
        <v>17.7</v>
      </c>
      <c r="M38" s="49">
        <f>ProsumerMetrics!K38</f>
        <v>100</v>
      </c>
      <c r="T38" s="41">
        <f>FleetAverage!B38</f>
        <v>18</v>
      </c>
      <c r="U38" s="47">
        <f>FleetAverage!C38</f>
        <v>0.36241131368421042</v>
      </c>
      <c r="V38" s="47">
        <f>FleetAverage!D38</f>
        <v>0.71283189559122906</v>
      </c>
      <c r="W38" s="47">
        <f>FleetAverage!E38</f>
        <v>2.2642105263157894E-2</v>
      </c>
      <c r="X38" s="47">
        <f>FleetAverage!F38</f>
        <v>8.2389473684210526E-2</v>
      </c>
      <c r="Y38" s="55">
        <f>FleetAverage!G38</f>
        <v>-0.41016795032807124</v>
      </c>
      <c r="AA38" s="41">
        <f>FleetAverage!B38</f>
        <v>18</v>
      </c>
      <c r="AB38" s="47">
        <f>0</f>
        <v>0</v>
      </c>
      <c r="AC38" s="47">
        <f>FleetAverage!G38</f>
        <v>-0.41016795032807124</v>
      </c>
      <c r="AD38" s="47">
        <f t="shared" si="1"/>
        <v>0</v>
      </c>
      <c r="AE38" s="47">
        <f t="shared" si="2"/>
        <v>-0.41016795032807124</v>
      </c>
      <c r="AF38" s="51">
        <f>100</f>
        <v>100</v>
      </c>
      <c r="AG38" s="49">
        <f>FleetAverage!H38</f>
        <v>98.231587368421074</v>
      </c>
    </row>
    <row r="39" spans="1:33" x14ac:dyDescent="0.25">
      <c r="A39" s="41">
        <f>FleetAverage!B39</f>
        <v>18.5</v>
      </c>
      <c r="B39" s="43">
        <f>FleetAverage!I39</f>
        <v>33.767165266666673</v>
      </c>
      <c r="C39" s="43">
        <f>FleetAverage!J39</f>
        <v>46.281334520249999</v>
      </c>
      <c r="D39" s="44">
        <f>FleetAverage!K39</f>
        <v>-21.259169253583327</v>
      </c>
      <c r="F39" s="41">
        <f>FleetAverage!B39</f>
        <v>18.5</v>
      </c>
      <c r="G39" s="47">
        <f>FleetAverage!E39</f>
        <v>2.0894736842105261E-2</v>
      </c>
      <c r="H39" s="47">
        <f>FleetAverage!F39</f>
        <v>0.11294736842105263</v>
      </c>
      <c r="I39" s="49">
        <f>FleetAverage!H39</f>
        <v>97.453587368421069</v>
      </c>
      <c r="K39" s="4" t="str">
        <f>ProsumerMetrics!A39</f>
        <v>BES_TR2_five778_B</v>
      </c>
      <c r="L39" s="51">
        <f>ProsumerMetrics!J39</f>
        <v>22.9</v>
      </c>
      <c r="M39" s="49">
        <f>ProsumerMetrics!K39</f>
        <v>100</v>
      </c>
      <c r="T39" s="41">
        <f>FleetAverage!B39</f>
        <v>18.5</v>
      </c>
      <c r="U39" s="47">
        <f>FleetAverage!C39</f>
        <v>0.35544384491228076</v>
      </c>
      <c r="V39" s="47">
        <f>FleetAverage!D39</f>
        <v>0.48717194231842104</v>
      </c>
      <c r="W39" s="47">
        <f>FleetAverage!E39</f>
        <v>2.0894736842105261E-2</v>
      </c>
      <c r="X39" s="47">
        <f>FleetAverage!F39</f>
        <v>0.11294736842105263</v>
      </c>
      <c r="Y39" s="55">
        <f>FleetAverage!G39</f>
        <v>-0.22378072898508766</v>
      </c>
      <c r="AA39" s="41">
        <f>FleetAverage!B39</f>
        <v>18.5</v>
      </c>
      <c r="AB39" s="47">
        <f>0</f>
        <v>0</v>
      </c>
      <c r="AC39" s="47">
        <f>FleetAverage!G39</f>
        <v>-0.22378072898508766</v>
      </c>
      <c r="AD39" s="47">
        <f t="shared" si="1"/>
        <v>0</v>
      </c>
      <c r="AE39" s="47">
        <f t="shared" si="2"/>
        <v>-0.22378072898508766</v>
      </c>
      <c r="AF39" s="51">
        <f>100</f>
        <v>100</v>
      </c>
      <c r="AG39" s="49">
        <f>FleetAverage!H39</f>
        <v>97.453587368421069</v>
      </c>
    </row>
    <row r="40" spans="1:33" x14ac:dyDescent="0.25">
      <c r="A40" s="41">
        <f>FleetAverage!B40</f>
        <v>19</v>
      </c>
      <c r="B40" s="43">
        <f>FleetAverage!I40</f>
        <v>41.180303766666675</v>
      </c>
      <c r="C40" s="43">
        <f>FleetAverage!J40</f>
        <v>27.025534864933324</v>
      </c>
      <c r="D40" s="44">
        <f>FleetAverage!K40</f>
        <v>-6.4765462043666489</v>
      </c>
      <c r="F40" s="41">
        <f>FleetAverage!B40</f>
        <v>19</v>
      </c>
      <c r="G40" s="47">
        <f>FleetAverage!E40</f>
        <v>1.1168421052631579E-2</v>
      </c>
      <c r="H40" s="47">
        <f>FleetAverage!F40</f>
        <v>0.22834015901157895</v>
      </c>
      <c r="I40" s="49">
        <f>FleetAverage!H40</f>
        <v>96.272210526315817</v>
      </c>
      <c r="K40" s="4" t="str">
        <f>ProsumerMetrics!A40</f>
        <v>BES_TR2_five799_C</v>
      </c>
      <c r="L40" s="51">
        <f>ProsumerMetrics!J40</f>
        <v>21.9</v>
      </c>
      <c r="M40" s="49">
        <f>ProsumerMetrics!K40</f>
        <v>96.2</v>
      </c>
      <c r="T40" s="41">
        <f>FleetAverage!B40</f>
        <v>19</v>
      </c>
      <c r="U40" s="47">
        <f>FleetAverage!C40</f>
        <v>0.43347688175438603</v>
      </c>
      <c r="V40" s="47">
        <f>FleetAverage!D40</f>
        <v>0.28447931436771917</v>
      </c>
      <c r="W40" s="47">
        <f>FleetAverage!E40</f>
        <v>1.1168421052631579E-2</v>
      </c>
      <c r="X40" s="47">
        <f>FleetAverage!F40</f>
        <v>0.22834015901157895</v>
      </c>
      <c r="Y40" s="55">
        <f>FleetAverage!G40</f>
        <v>-6.8174170572280507E-2</v>
      </c>
      <c r="AA40" s="41">
        <f>FleetAverage!B40</f>
        <v>19</v>
      </c>
      <c r="AB40" s="47">
        <f>0</f>
        <v>0</v>
      </c>
      <c r="AC40" s="47">
        <f>FleetAverage!G40</f>
        <v>-6.8174170572280507E-2</v>
      </c>
      <c r="AD40" s="47">
        <f t="shared" si="1"/>
        <v>0</v>
      </c>
      <c r="AE40" s="47">
        <f t="shared" si="2"/>
        <v>-6.8174170572280507E-2</v>
      </c>
      <c r="AF40" s="51">
        <f>100</f>
        <v>100</v>
      </c>
      <c r="AG40" s="49">
        <f>FleetAverage!H40</f>
        <v>96.272210526315817</v>
      </c>
    </row>
    <row r="41" spans="1:33" x14ac:dyDescent="0.25">
      <c r="A41" s="41">
        <f>FleetAverage!B41</f>
        <v>19.5</v>
      </c>
      <c r="B41" s="43">
        <f>FleetAverage!I41</f>
        <v>45.859675366666657</v>
      </c>
      <c r="C41" s="43">
        <f>FleetAverage!J41</f>
        <v>7.8628612138499978</v>
      </c>
      <c r="D41" s="44">
        <f>FleetAverage!K41</f>
        <v>-0.31018584718336939</v>
      </c>
      <c r="F41" s="41">
        <f>FleetAverage!B41</f>
        <v>19.5</v>
      </c>
      <c r="G41" s="47">
        <f>FleetAverage!E41</f>
        <v>1.2947368421052632E-3</v>
      </c>
      <c r="H41" s="47">
        <f>FleetAverage!F41</f>
        <v>0.40452631578947396</v>
      </c>
      <c r="I41" s="49">
        <f>FleetAverage!H41</f>
        <v>93.533335789473711</v>
      </c>
      <c r="K41" s="4" t="str">
        <f>ProsumerMetrics!A41</f>
        <v>BES_TR2_five801_C</v>
      </c>
      <c r="L41" s="51">
        <f>ProsumerMetrics!J41</f>
        <v>16.600000000000001</v>
      </c>
      <c r="M41" s="49">
        <f>ProsumerMetrics!K41</f>
        <v>100</v>
      </c>
      <c r="T41" s="41">
        <f>FleetAverage!B41</f>
        <v>19.5</v>
      </c>
      <c r="U41" s="47">
        <f>FleetAverage!C41</f>
        <v>0.48273342491228061</v>
      </c>
      <c r="V41" s="47">
        <f>FleetAverage!D41</f>
        <v>8.276696014578945E-2</v>
      </c>
      <c r="W41" s="47">
        <f>FleetAverage!E41</f>
        <v>1.2947368421052632E-3</v>
      </c>
      <c r="X41" s="47">
        <f>FleetAverage!F41</f>
        <v>0.40452631578947396</v>
      </c>
      <c r="Y41" s="55">
        <f>FleetAverage!G41</f>
        <v>-3.2651141808775486E-3</v>
      </c>
      <c r="AA41" s="41">
        <f>FleetAverage!B41</f>
        <v>19.5</v>
      </c>
      <c r="AB41" s="47">
        <f>0</f>
        <v>0</v>
      </c>
      <c r="AC41" s="47">
        <f>FleetAverage!G41</f>
        <v>-3.2651141808775486E-3</v>
      </c>
      <c r="AD41" s="47">
        <f t="shared" si="1"/>
        <v>0</v>
      </c>
      <c r="AE41" s="47">
        <f t="shared" si="2"/>
        <v>-3.2651141808775486E-3</v>
      </c>
      <c r="AF41" s="51">
        <f>100</f>
        <v>100</v>
      </c>
      <c r="AG41" s="49">
        <f>FleetAverage!H41</f>
        <v>93.533335789473711</v>
      </c>
    </row>
    <row r="42" spans="1:33" x14ac:dyDescent="0.25">
      <c r="A42" s="41">
        <f>FleetAverage!B42</f>
        <v>20</v>
      </c>
      <c r="B42" s="43">
        <f>FleetAverage!I42</f>
        <v>41.097066900000016</v>
      </c>
      <c r="C42" s="43">
        <f>FleetAverage!J42</f>
        <v>1.4501670835666682</v>
      </c>
      <c r="D42" s="44">
        <f>FleetAverage!K42</f>
        <v>1.1899816433320609E-2</v>
      </c>
      <c r="F42" s="41">
        <f>FleetAverage!B42</f>
        <v>20</v>
      </c>
      <c r="G42" s="47">
        <f>FleetAverage!E42</f>
        <v>0</v>
      </c>
      <c r="H42" s="47">
        <f>FleetAverage!F42</f>
        <v>0.41721052631578975</v>
      </c>
      <c r="I42" s="49">
        <f>FleetAverage!H42</f>
        <v>88.471953684210547</v>
      </c>
      <c r="K42" s="4" t="str">
        <f>ProsumerMetrics!A42</f>
        <v>BES_TR2_five831_C</v>
      </c>
      <c r="L42" s="51">
        <f>ProsumerMetrics!J42</f>
        <v>57.9</v>
      </c>
      <c r="M42" s="49">
        <f>ProsumerMetrics!K42</f>
        <v>100</v>
      </c>
      <c r="T42" s="41">
        <f>FleetAverage!B42</f>
        <v>20</v>
      </c>
      <c r="U42" s="47">
        <f>FleetAverage!C42</f>
        <v>0.43260070421052649</v>
      </c>
      <c r="V42" s="47">
        <f>FleetAverage!D42</f>
        <v>1.5264916669122823E-2</v>
      </c>
      <c r="W42" s="47">
        <f>FleetAverage!E42</f>
        <v>0</v>
      </c>
      <c r="X42" s="47">
        <f>FleetAverage!F42</f>
        <v>0.41721052631578975</v>
      </c>
      <c r="Y42" s="55">
        <f>FleetAverage!G42</f>
        <v>1.2526122561390407E-4</v>
      </c>
      <c r="AA42" s="41">
        <f>FleetAverage!B42</f>
        <v>20</v>
      </c>
      <c r="AB42" s="47">
        <f>0</f>
        <v>0</v>
      </c>
      <c r="AC42" s="47">
        <f>FleetAverage!G42</f>
        <v>1.2526122561390407E-4</v>
      </c>
      <c r="AD42" s="47">
        <f t="shared" si="1"/>
        <v>1.2526122561390407E-4</v>
      </c>
      <c r="AE42" s="47">
        <f t="shared" si="2"/>
        <v>0</v>
      </c>
      <c r="AF42" s="51">
        <f>100</f>
        <v>100</v>
      </c>
      <c r="AG42" s="49">
        <f>FleetAverage!H42</f>
        <v>88.471953684210547</v>
      </c>
    </row>
    <row r="43" spans="1:33" x14ac:dyDescent="0.25">
      <c r="A43" s="41">
        <f>FleetAverage!B43</f>
        <v>20.5</v>
      </c>
      <c r="B43" s="43">
        <f>FleetAverage!I43</f>
        <v>44.373776933333353</v>
      </c>
      <c r="C43" s="43">
        <f>FleetAverage!J43</f>
        <v>0</v>
      </c>
      <c r="D43" s="44">
        <f>FleetAverage!K43</f>
        <v>0.50577693333334395</v>
      </c>
      <c r="F43" s="41">
        <f>FleetAverage!B43</f>
        <v>20.5</v>
      </c>
      <c r="G43" s="47">
        <f>FleetAverage!E43</f>
        <v>0</v>
      </c>
      <c r="H43" s="47">
        <f>FleetAverage!F43</f>
        <v>0.46176842105263166</v>
      </c>
      <c r="I43" s="49">
        <f>FleetAverage!H43</f>
        <v>83.236728421052646</v>
      </c>
      <c r="K43" s="4" t="str">
        <f>ProsumerMetrics!A43</f>
        <v>BES_TR2_five881_C</v>
      </c>
      <c r="L43" s="51">
        <f>ProsumerMetrics!J43</f>
        <v>53.2</v>
      </c>
      <c r="M43" s="49">
        <f>ProsumerMetrics!K43</f>
        <v>100</v>
      </c>
      <c r="T43" s="41">
        <f>FleetAverage!B43</f>
        <v>20.5</v>
      </c>
      <c r="U43" s="47">
        <f>FleetAverage!C43</f>
        <v>0.46709238877193004</v>
      </c>
      <c r="V43" s="47">
        <f>FleetAverage!D43</f>
        <v>0</v>
      </c>
      <c r="W43" s="47">
        <f>FleetAverage!E43</f>
        <v>0</v>
      </c>
      <c r="X43" s="47">
        <f>FleetAverage!F43</f>
        <v>0.46176842105263166</v>
      </c>
      <c r="Y43" s="55">
        <f>FleetAverage!G43</f>
        <v>5.3239677192983836E-3</v>
      </c>
      <c r="AA43" s="41">
        <f>FleetAverage!B43</f>
        <v>20.5</v>
      </c>
      <c r="AB43" s="47">
        <f>0</f>
        <v>0</v>
      </c>
      <c r="AC43" s="47">
        <f>FleetAverage!G43</f>
        <v>5.3239677192983836E-3</v>
      </c>
      <c r="AD43" s="47">
        <f t="shared" si="1"/>
        <v>5.3239677192983836E-3</v>
      </c>
      <c r="AE43" s="47">
        <f t="shared" si="2"/>
        <v>0</v>
      </c>
      <c r="AF43" s="51">
        <f>100</f>
        <v>100</v>
      </c>
      <c r="AG43" s="49">
        <f>FleetAverage!H43</f>
        <v>83.236728421052646</v>
      </c>
    </row>
    <row r="44" spans="1:33" x14ac:dyDescent="0.25">
      <c r="A44" s="41">
        <f>FleetAverage!B44</f>
        <v>21</v>
      </c>
      <c r="B44" s="43">
        <f>FleetAverage!I44</f>
        <v>45.369376366666685</v>
      </c>
      <c r="C44" s="43">
        <f>FleetAverage!J44</f>
        <v>0</v>
      </c>
      <c r="D44" s="44">
        <f>FleetAverage!K44</f>
        <v>1.698376366666686</v>
      </c>
      <c r="F44" s="41">
        <f>FleetAverage!B44</f>
        <v>21</v>
      </c>
      <c r="G44" s="47">
        <f>FleetAverage!E44</f>
        <v>0</v>
      </c>
      <c r="H44" s="47">
        <f>FleetAverage!F44</f>
        <v>0.45969473684210527</v>
      </c>
      <c r="I44" s="49">
        <f>FleetAverage!H44</f>
        <v>77.442100000000011</v>
      </c>
      <c r="K44" s="4" t="str">
        <f>ProsumerMetrics!A44</f>
        <v>BES_TR2_five118_B</v>
      </c>
      <c r="L44" s="51">
        <f>ProsumerMetrics!J44</f>
        <v>23.3</v>
      </c>
      <c r="M44" s="49">
        <f>ProsumerMetrics!K44</f>
        <v>100</v>
      </c>
      <c r="T44" s="41">
        <f>FleetAverage!B44</f>
        <v>21</v>
      </c>
      <c r="U44" s="47">
        <f>FleetAverage!C44</f>
        <v>0.47757238280701775</v>
      </c>
      <c r="V44" s="47">
        <f>FleetAverage!D44</f>
        <v>0</v>
      </c>
      <c r="W44" s="47">
        <f>FleetAverage!E44</f>
        <v>0</v>
      </c>
      <c r="X44" s="47">
        <f>FleetAverage!F44</f>
        <v>0.45969473684210527</v>
      </c>
      <c r="Y44" s="55">
        <f>FleetAverage!G44</f>
        <v>1.7877645964912481E-2</v>
      </c>
      <c r="AA44" s="41">
        <f>FleetAverage!B44</f>
        <v>21</v>
      </c>
      <c r="AB44" s="47">
        <f>0</f>
        <v>0</v>
      </c>
      <c r="AC44" s="47">
        <f>FleetAverage!G44</f>
        <v>1.7877645964912481E-2</v>
      </c>
      <c r="AD44" s="47">
        <f t="shared" si="1"/>
        <v>1.7877645964912481E-2</v>
      </c>
      <c r="AE44" s="47">
        <f t="shared" si="2"/>
        <v>0</v>
      </c>
      <c r="AF44" s="51">
        <f>100</f>
        <v>100</v>
      </c>
      <c r="AG44" s="49">
        <f>FleetAverage!H44</f>
        <v>77.442100000000011</v>
      </c>
    </row>
    <row r="45" spans="1:33" x14ac:dyDescent="0.25">
      <c r="A45" s="41">
        <f>FleetAverage!B45</f>
        <v>21.5</v>
      </c>
      <c r="B45" s="43">
        <f>FleetAverage!I45</f>
        <v>40.498971100000006</v>
      </c>
      <c r="C45" s="43">
        <f>FleetAverage!J45</f>
        <v>0</v>
      </c>
      <c r="D45" s="44">
        <f>FleetAverage!K45</f>
        <v>3.500971100000001</v>
      </c>
      <c r="F45" s="41">
        <f>FleetAverage!B45</f>
        <v>21.5</v>
      </c>
      <c r="G45" s="47">
        <f>FleetAverage!E45</f>
        <v>0</v>
      </c>
      <c r="H45" s="47">
        <f>FleetAverage!F45</f>
        <v>0.38945263157894744</v>
      </c>
      <c r="I45" s="49">
        <f>FleetAverage!H45</f>
        <v>71.673122105263161</v>
      </c>
      <c r="K45" s="4" t="str">
        <f>ProsumerMetrics!A45</f>
        <v>BES_TR2_six64_A</v>
      </c>
      <c r="L45" s="51">
        <f>ProsumerMetrics!J45</f>
        <v>32.299999999999997</v>
      </c>
      <c r="M45" s="49">
        <f>ProsumerMetrics!K45</f>
        <v>100</v>
      </c>
      <c r="T45" s="41">
        <f>FleetAverage!B45</f>
        <v>21.5</v>
      </c>
      <c r="U45" s="47">
        <f>FleetAverage!C45</f>
        <v>0.42630495894736847</v>
      </c>
      <c r="V45" s="47">
        <f>FleetAverage!D45</f>
        <v>0</v>
      </c>
      <c r="W45" s="47">
        <f>FleetAverage!E45</f>
        <v>0</v>
      </c>
      <c r="X45" s="47">
        <f>FleetAverage!F45</f>
        <v>0.38945263157894744</v>
      </c>
      <c r="Y45" s="55">
        <f>FleetAverage!G45</f>
        <v>3.6852327368421034E-2</v>
      </c>
      <c r="AA45" s="41">
        <f>FleetAverage!B45</f>
        <v>21.5</v>
      </c>
      <c r="AB45" s="47">
        <f>0</f>
        <v>0</v>
      </c>
      <c r="AC45" s="47">
        <f>FleetAverage!G45</f>
        <v>3.6852327368421034E-2</v>
      </c>
      <c r="AD45" s="47">
        <f t="shared" si="1"/>
        <v>3.6852327368421034E-2</v>
      </c>
      <c r="AE45" s="47">
        <f t="shared" si="2"/>
        <v>0</v>
      </c>
      <c r="AF45" s="51">
        <f>100</f>
        <v>100</v>
      </c>
      <c r="AG45" s="49">
        <f>FleetAverage!H45</f>
        <v>71.673122105263161</v>
      </c>
    </row>
    <row r="46" spans="1:33" x14ac:dyDescent="0.25">
      <c r="A46" s="41">
        <f>FleetAverage!B46</f>
        <v>22</v>
      </c>
      <c r="B46" s="43">
        <f>FleetAverage!I46</f>
        <v>38.268440999999996</v>
      </c>
      <c r="C46" s="43">
        <f>FleetAverage!J46</f>
        <v>0</v>
      </c>
      <c r="D46" s="44">
        <f>FleetAverage!K46</f>
        <v>5.2064410000000052</v>
      </c>
      <c r="F46" s="41">
        <f>FleetAverage!B46</f>
        <v>22</v>
      </c>
      <c r="G46" s="47">
        <f>FleetAverage!E46</f>
        <v>0</v>
      </c>
      <c r="H46" s="47">
        <f>FleetAverage!F46</f>
        <v>0.34802105263157884</v>
      </c>
      <c r="I46" s="49">
        <f>FleetAverage!H46</f>
        <v>66.785317894736821</v>
      </c>
      <c r="K46" s="4" t="str">
        <f>ProsumerMetrics!A46</f>
        <v>BES_TR2_six154_C</v>
      </c>
      <c r="L46" s="51">
        <f>ProsumerMetrics!J46</f>
        <v>35.200000000000003</v>
      </c>
      <c r="M46" s="49">
        <f>ProsumerMetrics!K46</f>
        <v>83.2</v>
      </c>
      <c r="T46" s="41">
        <f>FleetAverage!B46</f>
        <v>22</v>
      </c>
      <c r="U46" s="47">
        <f>FleetAverage!C46</f>
        <v>0.40282569473684204</v>
      </c>
      <c r="V46" s="47">
        <f>FleetAverage!D46</f>
        <v>0</v>
      </c>
      <c r="W46" s="47">
        <f>FleetAverage!E46</f>
        <v>0</v>
      </c>
      <c r="X46" s="47">
        <f>FleetAverage!F46</f>
        <v>0.34802105263157884</v>
      </c>
      <c r="Y46" s="55">
        <f>FleetAverage!G46</f>
        <v>5.4804642105263202E-2</v>
      </c>
      <c r="AA46" s="41">
        <f>FleetAverage!B46</f>
        <v>22</v>
      </c>
      <c r="AB46" s="47">
        <f>0</f>
        <v>0</v>
      </c>
      <c r="AC46" s="47">
        <f>FleetAverage!G46</f>
        <v>5.4804642105263202E-2</v>
      </c>
      <c r="AD46" s="47">
        <f t="shared" si="1"/>
        <v>5.4804642105263202E-2</v>
      </c>
      <c r="AE46" s="47">
        <f t="shared" si="2"/>
        <v>0</v>
      </c>
      <c r="AF46" s="51">
        <f>100</f>
        <v>100</v>
      </c>
      <c r="AG46" s="49">
        <f>FleetAverage!H46</f>
        <v>66.785317894736821</v>
      </c>
    </row>
    <row r="47" spans="1:33" x14ac:dyDescent="0.25">
      <c r="A47" s="41">
        <f>FleetAverage!B47</f>
        <v>22.5</v>
      </c>
      <c r="B47" s="43">
        <f>FleetAverage!I47</f>
        <v>35.61368233333333</v>
      </c>
      <c r="C47" s="43">
        <f>FleetAverage!J47</f>
        <v>0</v>
      </c>
      <c r="D47" s="44">
        <f>FleetAverage!K47</f>
        <v>5.0576823333333323</v>
      </c>
      <c r="F47" s="41">
        <f>FleetAverage!B47</f>
        <v>22.5</v>
      </c>
      <c r="G47" s="47">
        <f>FleetAverage!E47</f>
        <v>0</v>
      </c>
      <c r="H47" s="47">
        <f>FleetAverage!F47</f>
        <v>0.32164210526315784</v>
      </c>
      <c r="I47" s="49">
        <f>FleetAverage!H47</f>
        <v>62.4182589473684</v>
      </c>
      <c r="K47" s="4" t="str">
        <f>ProsumerMetrics!A47</f>
        <v>BES_TR2_six173_C</v>
      </c>
      <c r="L47" s="51">
        <f>ProsumerMetrics!J47</f>
        <v>25.3</v>
      </c>
      <c r="M47" s="49">
        <f>ProsumerMetrics!K47</f>
        <v>99</v>
      </c>
      <c r="T47" s="41">
        <f>FleetAverage!B47</f>
        <v>22.5</v>
      </c>
      <c r="U47" s="47">
        <f>FleetAverage!C47</f>
        <v>0.37488086666666665</v>
      </c>
      <c r="V47" s="47">
        <f>FleetAverage!D47</f>
        <v>0</v>
      </c>
      <c r="W47" s="47">
        <f>FleetAverage!E47</f>
        <v>0</v>
      </c>
      <c r="X47" s="47">
        <f>FleetAverage!F47</f>
        <v>0.32164210526315784</v>
      </c>
      <c r="Y47" s="55">
        <f>FleetAverage!G47</f>
        <v>5.3238761403508805E-2</v>
      </c>
      <c r="AA47" s="41">
        <f>FleetAverage!B47</f>
        <v>22.5</v>
      </c>
      <c r="AB47" s="47">
        <f>0</f>
        <v>0</v>
      </c>
      <c r="AC47" s="47">
        <f>FleetAverage!G47</f>
        <v>5.3238761403508805E-2</v>
      </c>
      <c r="AD47" s="47">
        <f t="shared" si="1"/>
        <v>5.3238761403508805E-2</v>
      </c>
      <c r="AE47" s="47">
        <f t="shared" si="2"/>
        <v>0</v>
      </c>
      <c r="AF47" s="51">
        <f>100</f>
        <v>100</v>
      </c>
      <c r="AG47" s="49">
        <f>FleetAverage!H47</f>
        <v>62.4182589473684</v>
      </c>
    </row>
    <row r="48" spans="1:33" x14ac:dyDescent="0.25">
      <c r="A48" s="41">
        <f>FleetAverage!B48</f>
        <v>23</v>
      </c>
      <c r="B48" s="43">
        <f>FleetAverage!I48</f>
        <v>28.918137033333331</v>
      </c>
      <c r="C48" s="43">
        <f>FleetAverage!J48</f>
        <v>0</v>
      </c>
      <c r="D48" s="44">
        <f>FleetAverage!K48</f>
        <v>3.7771370333333252</v>
      </c>
      <c r="F48" s="41">
        <f>FleetAverage!B48</f>
        <v>23</v>
      </c>
      <c r="G48" s="47">
        <f>FleetAverage!E48</f>
        <v>0</v>
      </c>
      <c r="H48" s="47">
        <f>FleetAverage!F48</f>
        <v>0.26464210526315796</v>
      </c>
      <c r="I48" s="49">
        <f>FleetAverage!H48</f>
        <v>58.382404210526317</v>
      </c>
      <c r="K48" s="4" t="str">
        <f>ProsumerMetrics!A48</f>
        <v>BES_TR2_six186_A</v>
      </c>
      <c r="L48" s="51">
        <f>ProsumerMetrics!J48</f>
        <v>24.7</v>
      </c>
      <c r="M48" s="49">
        <f>ProsumerMetrics!K48</f>
        <v>100</v>
      </c>
      <c r="T48" s="41">
        <f>FleetAverage!B48</f>
        <v>23</v>
      </c>
      <c r="U48" s="47">
        <f>FleetAverage!C48</f>
        <v>0.30440144245614031</v>
      </c>
      <c r="V48" s="47">
        <f>FleetAverage!D48</f>
        <v>0</v>
      </c>
      <c r="W48" s="47">
        <f>FleetAverage!E48</f>
        <v>0</v>
      </c>
      <c r="X48" s="47">
        <f>FleetAverage!F48</f>
        <v>0.26464210526315796</v>
      </c>
      <c r="Y48" s="55">
        <f>FleetAverage!G48</f>
        <v>3.9759337192982358E-2</v>
      </c>
      <c r="AA48" s="41">
        <f>FleetAverage!B48</f>
        <v>23</v>
      </c>
      <c r="AB48" s="47">
        <f>0</f>
        <v>0</v>
      </c>
      <c r="AC48" s="47">
        <f>FleetAverage!G48</f>
        <v>3.9759337192982358E-2</v>
      </c>
      <c r="AD48" s="47">
        <f t="shared" si="1"/>
        <v>3.9759337192982358E-2</v>
      </c>
      <c r="AE48" s="47">
        <f t="shared" si="2"/>
        <v>0</v>
      </c>
      <c r="AF48" s="51">
        <f>100</f>
        <v>100</v>
      </c>
      <c r="AG48" s="49">
        <f>FleetAverage!H48</f>
        <v>58.382404210526317</v>
      </c>
    </row>
    <row r="49" spans="1:33" x14ac:dyDescent="0.25">
      <c r="A49" s="42">
        <f>FleetAverage!B49</f>
        <v>23.5</v>
      </c>
      <c r="B49" s="45">
        <f>FleetAverage!I49</f>
        <v>21.019456333333334</v>
      </c>
      <c r="C49" s="45">
        <f>FleetAverage!J49</f>
        <v>0</v>
      </c>
      <c r="D49" s="46">
        <f>FleetAverage!K49</f>
        <v>3.3784563333333324</v>
      </c>
      <c r="F49" s="42">
        <f>FleetAverage!B49</f>
        <v>23.5</v>
      </c>
      <c r="G49" s="48">
        <f>FleetAverage!E49</f>
        <v>0</v>
      </c>
      <c r="H49" s="48">
        <f>FleetAverage!F49</f>
        <v>0.18569473684210527</v>
      </c>
      <c r="I49" s="50">
        <f>FleetAverage!H49</f>
        <v>55.061211578947365</v>
      </c>
      <c r="K49" s="4" t="str">
        <f>ProsumerMetrics!A49</f>
        <v>BES_TR2_six191_B</v>
      </c>
      <c r="L49" s="51">
        <f>ProsumerMetrics!J49</f>
        <v>18.5</v>
      </c>
      <c r="M49" s="49">
        <f>ProsumerMetrics!K49</f>
        <v>100</v>
      </c>
      <c r="T49" s="42">
        <f>FleetAverage!B49</f>
        <v>23.5</v>
      </c>
      <c r="U49" s="48">
        <f>FleetAverage!C49</f>
        <v>0.22125743508771931</v>
      </c>
      <c r="V49" s="48">
        <f>FleetAverage!D49</f>
        <v>0</v>
      </c>
      <c r="W49" s="48">
        <f>FleetAverage!E49</f>
        <v>0</v>
      </c>
      <c r="X49" s="48">
        <f>FleetAverage!F49</f>
        <v>0.18569473684210527</v>
      </c>
      <c r="Y49" s="56">
        <f>FleetAverage!G49</f>
        <v>3.5562698245614033E-2</v>
      </c>
      <c r="AA49" s="42">
        <f>FleetAverage!B49</f>
        <v>23.5</v>
      </c>
      <c r="AB49" s="48">
        <f>0</f>
        <v>0</v>
      </c>
      <c r="AC49" s="48">
        <f>FleetAverage!G49</f>
        <v>3.5562698245614033E-2</v>
      </c>
      <c r="AD49" s="48">
        <f t="shared" si="1"/>
        <v>3.5562698245614033E-2</v>
      </c>
      <c r="AE49" s="48">
        <f t="shared" si="2"/>
        <v>0</v>
      </c>
      <c r="AF49" s="52">
        <f>100</f>
        <v>100</v>
      </c>
      <c r="AG49" s="50">
        <f>FleetAverage!H49</f>
        <v>55.061211578947365</v>
      </c>
    </row>
    <row r="50" spans="1:33" x14ac:dyDescent="0.25">
      <c r="K50" s="4" t="str">
        <f>ProsumerMetrics!A50</f>
        <v>BES_TR2_six203_A</v>
      </c>
      <c r="L50" s="51">
        <f>ProsumerMetrics!J50</f>
        <v>27</v>
      </c>
      <c r="M50" s="49">
        <f>ProsumerMetrics!K50</f>
        <v>100</v>
      </c>
    </row>
    <row r="51" spans="1:33" x14ac:dyDescent="0.25">
      <c r="K51" s="4" t="str">
        <f>ProsumerMetrics!A51</f>
        <v>BES_TR2_six232_C</v>
      </c>
      <c r="L51" s="51">
        <f>ProsumerMetrics!J51</f>
        <v>32.6</v>
      </c>
      <c r="M51" s="49">
        <f>ProsumerMetrics!K51</f>
        <v>100</v>
      </c>
    </row>
    <row r="52" spans="1:33" x14ac:dyDescent="0.25">
      <c r="K52" s="4" t="str">
        <f>ProsumerMetrics!A52</f>
        <v>BES_TR2_six238_A</v>
      </c>
      <c r="L52" s="51">
        <f>ProsumerMetrics!J52</f>
        <v>33.6</v>
      </c>
      <c r="M52" s="49">
        <f>ProsumerMetrics!K52</f>
        <v>100</v>
      </c>
    </row>
    <row r="53" spans="1:33" x14ac:dyDescent="0.25">
      <c r="K53" s="4" t="str">
        <f>ProsumerMetrics!A53</f>
        <v>BES_TR2_six249_B</v>
      </c>
      <c r="L53" s="51">
        <f>ProsumerMetrics!J53</f>
        <v>23.7</v>
      </c>
      <c r="M53" s="49">
        <f>ProsumerMetrics!K53</f>
        <v>100</v>
      </c>
    </row>
    <row r="54" spans="1:33" x14ac:dyDescent="0.25">
      <c r="K54" s="4" t="str">
        <f>ProsumerMetrics!A54</f>
        <v>BES_TR2_six254_B</v>
      </c>
      <c r="L54" s="51">
        <f>ProsumerMetrics!J54</f>
        <v>24.5</v>
      </c>
      <c r="M54" s="49">
        <f>ProsumerMetrics!K54</f>
        <v>100</v>
      </c>
    </row>
    <row r="55" spans="1:33" x14ac:dyDescent="0.25">
      <c r="K55" s="4" t="str">
        <f>ProsumerMetrics!A55</f>
        <v>BES_TR2_six269_C</v>
      </c>
      <c r="L55" s="51">
        <f>ProsumerMetrics!J55</f>
        <v>31.4</v>
      </c>
      <c r="M55" s="49">
        <f>ProsumerMetrics!K55</f>
        <v>100</v>
      </c>
    </row>
    <row r="56" spans="1:33" x14ac:dyDescent="0.25">
      <c r="K56" s="4" t="str">
        <f>ProsumerMetrics!A56</f>
        <v>BES_TR2_six289_C</v>
      </c>
      <c r="L56" s="51">
        <f>ProsumerMetrics!J56</f>
        <v>47.2</v>
      </c>
      <c r="M56" s="49">
        <f>ProsumerMetrics!K56</f>
        <v>89.3</v>
      </c>
    </row>
    <row r="57" spans="1:33" x14ac:dyDescent="0.25">
      <c r="K57" s="4" t="str">
        <f>ProsumerMetrics!A57</f>
        <v>BES_TR2_six317_C</v>
      </c>
      <c r="L57" s="51">
        <f>ProsumerMetrics!J57</f>
        <v>26.1</v>
      </c>
      <c r="M57" s="49">
        <f>ProsumerMetrics!K57</f>
        <v>100</v>
      </c>
    </row>
    <row r="58" spans="1:33" x14ac:dyDescent="0.25">
      <c r="K58" s="4" t="str">
        <f>ProsumerMetrics!A58</f>
        <v>BES_TR2_six326_A</v>
      </c>
      <c r="L58" s="51">
        <f>ProsumerMetrics!J58</f>
        <v>21.8</v>
      </c>
      <c r="M58" s="49">
        <f>ProsumerMetrics!K58</f>
        <v>99.9</v>
      </c>
    </row>
    <row r="59" spans="1:33" x14ac:dyDescent="0.25">
      <c r="K59" s="4" t="str">
        <f>ProsumerMetrics!A59</f>
        <v>BES_TR2_six329_A</v>
      </c>
      <c r="L59" s="51">
        <f>ProsumerMetrics!J59</f>
        <v>12.8</v>
      </c>
      <c r="M59" s="49">
        <f>ProsumerMetrics!K59</f>
        <v>100</v>
      </c>
    </row>
    <row r="60" spans="1:33" x14ac:dyDescent="0.25">
      <c r="K60" s="4" t="str">
        <f>ProsumerMetrics!A60</f>
        <v>BES_TR2_six342_A</v>
      </c>
      <c r="L60" s="51">
        <f>ProsumerMetrics!J60</f>
        <v>28.3</v>
      </c>
      <c r="M60" s="49">
        <f>ProsumerMetrics!K60</f>
        <v>96.5</v>
      </c>
    </row>
    <row r="61" spans="1:33" x14ac:dyDescent="0.25">
      <c r="K61" s="4" t="str">
        <f>ProsumerMetrics!A61</f>
        <v>BES_TR2_six349_A</v>
      </c>
      <c r="L61" s="51">
        <f>ProsumerMetrics!J61</f>
        <v>41.8</v>
      </c>
      <c r="M61" s="49">
        <f>ProsumerMetrics!K61</f>
        <v>100</v>
      </c>
    </row>
    <row r="62" spans="1:33" x14ac:dyDescent="0.25">
      <c r="K62" s="4" t="str">
        <f>ProsumerMetrics!A62</f>
        <v>BES_TR2_six350_B</v>
      </c>
      <c r="L62" s="51">
        <f>ProsumerMetrics!J62</f>
        <v>21.3</v>
      </c>
      <c r="M62" s="49">
        <f>ProsumerMetrics!K62</f>
        <v>100</v>
      </c>
    </row>
    <row r="63" spans="1:33" x14ac:dyDescent="0.25">
      <c r="K63" s="4" t="str">
        <f>ProsumerMetrics!A63</f>
        <v>BES_TR2_six362_C</v>
      </c>
      <c r="L63" s="51">
        <f>ProsumerMetrics!J63</f>
        <v>36.799999999999997</v>
      </c>
      <c r="M63" s="49">
        <f>ProsumerMetrics!K63</f>
        <v>100</v>
      </c>
    </row>
    <row r="64" spans="1:33" x14ac:dyDescent="0.25">
      <c r="K64" s="4" t="str">
        <f>ProsumerMetrics!A64</f>
        <v>BES_TR2_six365_C</v>
      </c>
      <c r="L64" s="51">
        <f>ProsumerMetrics!J64</f>
        <v>23</v>
      </c>
      <c r="M64" s="49">
        <f>ProsumerMetrics!K64</f>
        <v>86.6</v>
      </c>
    </row>
    <row r="65" spans="11:13" x14ac:dyDescent="0.25">
      <c r="K65" s="4" t="str">
        <f>ProsumerMetrics!A65</f>
        <v>BES_TR2_six378_A</v>
      </c>
      <c r="L65" s="51">
        <f>ProsumerMetrics!J65</f>
        <v>53.5</v>
      </c>
      <c r="M65" s="49">
        <f>ProsumerMetrics!K65</f>
        <v>100</v>
      </c>
    </row>
    <row r="66" spans="11:13" x14ac:dyDescent="0.25">
      <c r="K66" s="4" t="str">
        <f>ProsumerMetrics!A66</f>
        <v>BES_TR2_six385_B</v>
      </c>
      <c r="L66" s="51">
        <f>ProsumerMetrics!J66</f>
        <v>42.8</v>
      </c>
      <c r="M66" s="49">
        <f>ProsumerMetrics!K66</f>
        <v>100</v>
      </c>
    </row>
    <row r="67" spans="11:13" x14ac:dyDescent="0.25">
      <c r="K67" s="4" t="str">
        <f>ProsumerMetrics!A67</f>
        <v>BES_TR2_six387_A</v>
      </c>
      <c r="L67" s="51">
        <f>ProsumerMetrics!J67</f>
        <v>23.8</v>
      </c>
      <c r="M67" s="49">
        <f>ProsumerMetrics!K67</f>
        <v>96</v>
      </c>
    </row>
    <row r="68" spans="11:13" x14ac:dyDescent="0.25">
      <c r="K68" s="4" t="str">
        <f>ProsumerMetrics!A68</f>
        <v>BES_TR2_six392_C</v>
      </c>
      <c r="L68" s="51">
        <f>ProsumerMetrics!J68</f>
        <v>26.5</v>
      </c>
      <c r="M68" s="49">
        <f>ProsumerMetrics!K68</f>
        <v>100</v>
      </c>
    </row>
    <row r="69" spans="11:13" x14ac:dyDescent="0.25">
      <c r="K69" s="4" t="str">
        <f>ProsumerMetrics!A69</f>
        <v>BES_TR2_six410_A</v>
      </c>
      <c r="L69" s="51">
        <f>ProsumerMetrics!J69</f>
        <v>21.5</v>
      </c>
      <c r="M69" s="49">
        <f>ProsumerMetrics!K69</f>
        <v>88.7</v>
      </c>
    </row>
    <row r="70" spans="11:13" x14ac:dyDescent="0.25">
      <c r="K70" s="4" t="str">
        <f>ProsumerMetrics!A70</f>
        <v>BES_TR2_six431_C</v>
      </c>
      <c r="L70" s="51">
        <f>ProsumerMetrics!J70</f>
        <v>35.700000000000003</v>
      </c>
      <c r="M70" s="49">
        <f>ProsumerMetrics!K70</f>
        <v>84.9</v>
      </c>
    </row>
    <row r="71" spans="11:13" x14ac:dyDescent="0.25">
      <c r="K71" s="4" t="str">
        <f>ProsumerMetrics!A71</f>
        <v>BES_TR2_six484_B</v>
      </c>
      <c r="L71" s="51">
        <f>ProsumerMetrics!J71</f>
        <v>40.6</v>
      </c>
      <c r="M71" s="49">
        <f>ProsumerMetrics!K71</f>
        <v>100</v>
      </c>
    </row>
    <row r="72" spans="11:13" x14ac:dyDescent="0.25">
      <c r="K72" s="4" t="str">
        <f>ProsumerMetrics!A72</f>
        <v>BES_TR2_six512_B</v>
      </c>
      <c r="L72" s="51">
        <f>ProsumerMetrics!J72</f>
        <v>26.7</v>
      </c>
      <c r="M72" s="49">
        <f>ProsumerMetrics!K72</f>
        <v>100</v>
      </c>
    </row>
    <row r="73" spans="11:13" x14ac:dyDescent="0.25">
      <c r="K73" s="4" t="str">
        <f>ProsumerMetrics!A73</f>
        <v>BES_TR2_six518_B</v>
      </c>
      <c r="L73" s="51">
        <f>ProsumerMetrics!J73</f>
        <v>41.3</v>
      </c>
      <c r="M73" s="49">
        <f>ProsumerMetrics!K73</f>
        <v>100</v>
      </c>
    </row>
    <row r="74" spans="11:13" x14ac:dyDescent="0.25">
      <c r="K74" s="4" t="str">
        <f>ProsumerMetrics!A74</f>
        <v>BES_TR2_six523_C</v>
      </c>
      <c r="L74" s="51">
        <f>ProsumerMetrics!J74</f>
        <v>53.9</v>
      </c>
      <c r="M74" s="49">
        <f>ProsumerMetrics!K74</f>
        <v>100</v>
      </c>
    </row>
    <row r="75" spans="11:13" x14ac:dyDescent="0.25">
      <c r="K75" s="4" t="str">
        <f>ProsumerMetrics!A75</f>
        <v>BES_TR2_six571_C</v>
      </c>
      <c r="L75" s="51">
        <f>ProsumerMetrics!J75</f>
        <v>50.2</v>
      </c>
      <c r="M75" s="49">
        <f>ProsumerMetrics!K75</f>
        <v>100</v>
      </c>
    </row>
    <row r="76" spans="11:13" x14ac:dyDescent="0.25">
      <c r="K76" s="4" t="str">
        <f>ProsumerMetrics!A76</f>
        <v>BES_TR2_six583_A</v>
      </c>
      <c r="L76" s="51">
        <f>ProsumerMetrics!J76</f>
        <v>30</v>
      </c>
      <c r="M76" s="49">
        <f>ProsumerMetrics!K76</f>
        <v>100</v>
      </c>
    </row>
    <row r="77" spans="11:13" x14ac:dyDescent="0.25">
      <c r="K77" s="4" t="str">
        <f>ProsumerMetrics!A77</f>
        <v>BES_TR2_six625_A</v>
      </c>
      <c r="L77" s="51">
        <f>ProsumerMetrics!J77</f>
        <v>34.9</v>
      </c>
      <c r="M77" s="49">
        <f>ProsumerMetrics!K77</f>
        <v>98.2</v>
      </c>
    </row>
    <row r="78" spans="11:13" x14ac:dyDescent="0.25">
      <c r="K78" s="4" t="str">
        <f>ProsumerMetrics!A78</f>
        <v>BES_TR2_six646_B</v>
      </c>
      <c r="L78" s="51">
        <f>ProsumerMetrics!J78</f>
        <v>35</v>
      </c>
      <c r="M78" s="49">
        <f>ProsumerMetrics!K78</f>
        <v>100</v>
      </c>
    </row>
    <row r="79" spans="11:13" x14ac:dyDescent="0.25">
      <c r="K79" s="4" t="str">
        <f>ProsumerMetrics!A79</f>
        <v>BES_TR2_six87_A</v>
      </c>
      <c r="L79" s="51">
        <f>ProsumerMetrics!J79</f>
        <v>63.6</v>
      </c>
      <c r="M79" s="49">
        <f>ProsumerMetrics!K79</f>
        <v>91.1</v>
      </c>
    </row>
    <row r="80" spans="11:13" x14ac:dyDescent="0.25">
      <c r="K80" s="4" t="str">
        <f>ProsumerMetrics!A80</f>
        <v>BES_TR2_six652_A</v>
      </c>
      <c r="L80" s="51">
        <f>ProsumerMetrics!J80</f>
        <v>26.7</v>
      </c>
      <c r="M80" s="49">
        <f>ProsumerMetrics!K80</f>
        <v>100</v>
      </c>
    </row>
    <row r="81" spans="11:13" x14ac:dyDescent="0.25">
      <c r="K81" s="4" t="str">
        <f>ProsumerMetrics!A81</f>
        <v>BES_TR2_six665_B</v>
      </c>
      <c r="L81" s="51">
        <f>ProsumerMetrics!J81</f>
        <v>25.8</v>
      </c>
      <c r="M81" s="49">
        <f>ProsumerMetrics!K81</f>
        <v>100</v>
      </c>
    </row>
    <row r="82" spans="11:13" x14ac:dyDescent="0.25">
      <c r="K82" s="4" t="str">
        <f>ProsumerMetrics!A82</f>
        <v>BES_TR2_six667_A</v>
      </c>
      <c r="L82" s="51">
        <f>ProsumerMetrics!J82</f>
        <v>45.4</v>
      </c>
      <c r="M82" s="49">
        <f>ProsumerMetrics!K82</f>
        <v>88.4</v>
      </c>
    </row>
    <row r="83" spans="11:13" x14ac:dyDescent="0.25">
      <c r="K83" s="4" t="str">
        <f>ProsumerMetrics!A83</f>
        <v>BES_TR2_six721_A</v>
      </c>
      <c r="L83" s="51">
        <f>ProsumerMetrics!J83</f>
        <v>41.5</v>
      </c>
      <c r="M83" s="49">
        <f>ProsumerMetrics!K83</f>
        <v>100</v>
      </c>
    </row>
    <row r="84" spans="11:13" x14ac:dyDescent="0.25">
      <c r="K84" s="4" t="str">
        <f>ProsumerMetrics!A84</f>
        <v>BES_TR2_six740_A</v>
      </c>
      <c r="L84" s="51">
        <f>ProsumerMetrics!J84</f>
        <v>29.3</v>
      </c>
      <c r="M84" s="49">
        <f>ProsumerMetrics!K84</f>
        <v>100</v>
      </c>
    </row>
    <row r="85" spans="11:13" x14ac:dyDescent="0.25">
      <c r="K85" s="4" t="str">
        <f>ProsumerMetrics!A85</f>
        <v>BES_TR2_six758_B</v>
      </c>
      <c r="L85" s="51">
        <f>ProsumerMetrics!J85</f>
        <v>36.6</v>
      </c>
      <c r="M85" s="49">
        <f>ProsumerMetrics!K85</f>
        <v>100</v>
      </c>
    </row>
    <row r="86" spans="11:13" x14ac:dyDescent="0.25">
      <c r="K86" s="4" t="str">
        <f>ProsumerMetrics!A86</f>
        <v>BES_TR2_six784_B</v>
      </c>
      <c r="L86" s="51">
        <f>ProsumerMetrics!J86</f>
        <v>42.9</v>
      </c>
      <c r="M86" s="49">
        <f>ProsumerMetrics!K86</f>
        <v>99.7</v>
      </c>
    </row>
    <row r="87" spans="11:13" x14ac:dyDescent="0.25">
      <c r="K87" s="4" t="str">
        <f>ProsumerMetrics!A87</f>
        <v>BES_TR2_six799_B</v>
      </c>
      <c r="L87" s="51">
        <f>ProsumerMetrics!J87</f>
        <v>62.5</v>
      </c>
      <c r="M87" s="49">
        <f>ProsumerMetrics!K87</f>
        <v>88.3</v>
      </c>
    </row>
    <row r="88" spans="11:13" x14ac:dyDescent="0.25">
      <c r="K88" s="4" t="str">
        <f>ProsumerMetrics!A88</f>
        <v>BES_TR2_six807_A</v>
      </c>
      <c r="L88" s="51">
        <f>ProsumerMetrics!J88</f>
        <v>27.9</v>
      </c>
      <c r="M88" s="49">
        <f>ProsumerMetrics!K88</f>
        <v>100</v>
      </c>
    </row>
    <row r="89" spans="11:13" x14ac:dyDescent="0.25">
      <c r="K89" s="4" t="str">
        <f>ProsumerMetrics!A89</f>
        <v>BES_TR2_six885_A</v>
      </c>
      <c r="L89" s="51">
        <f>ProsumerMetrics!J89</f>
        <v>22.1</v>
      </c>
      <c r="M89" s="49">
        <f>ProsumerMetrics!K89</f>
        <v>100</v>
      </c>
    </row>
    <row r="90" spans="11:13" x14ac:dyDescent="0.25">
      <c r="K90" s="4" t="str">
        <f>ProsumerMetrics!A90</f>
        <v>BES_TR2_six894_B</v>
      </c>
      <c r="L90" s="51">
        <f>ProsumerMetrics!J90</f>
        <v>36</v>
      </c>
      <c r="M90" s="49">
        <f>ProsumerMetrics!K90</f>
        <v>99.9</v>
      </c>
    </row>
    <row r="91" spans="11:13" x14ac:dyDescent="0.25">
      <c r="K91" s="4" t="str">
        <f>ProsumerMetrics!A91</f>
        <v>BES_TR2_six914_A</v>
      </c>
      <c r="L91" s="51">
        <f>ProsumerMetrics!J91</f>
        <v>49.1</v>
      </c>
      <c r="M91" s="49">
        <f>ProsumerMetrics!K91</f>
        <v>100</v>
      </c>
    </row>
    <row r="92" spans="11:13" x14ac:dyDescent="0.25">
      <c r="K92" s="4" t="str">
        <f>ProsumerMetrics!A92</f>
        <v>BES_TR2_six921_B</v>
      </c>
      <c r="L92" s="51">
        <f>ProsumerMetrics!J92</f>
        <v>25.5</v>
      </c>
      <c r="M92" s="49">
        <f>ProsumerMetrics!K92</f>
        <v>100</v>
      </c>
    </row>
    <row r="93" spans="11:13" x14ac:dyDescent="0.25">
      <c r="K93" s="4" t="str">
        <f>ProsumerMetrics!A93</f>
        <v>BES_TR2_six929_A</v>
      </c>
      <c r="L93" s="51">
        <f>ProsumerMetrics!J93</f>
        <v>81.400000000000006</v>
      </c>
      <c r="M93" s="49">
        <f>ProsumerMetrics!K93</f>
        <v>100</v>
      </c>
    </row>
    <row r="94" spans="11:13" x14ac:dyDescent="0.25">
      <c r="K94" s="4" t="str">
        <f>ProsumerMetrics!A94</f>
        <v>BES_TR2_six938_A</v>
      </c>
      <c r="L94" s="51">
        <f>ProsumerMetrics!J94</f>
        <v>33.1</v>
      </c>
      <c r="M94" s="49">
        <f>ProsumerMetrics!K94</f>
        <v>100</v>
      </c>
    </row>
    <row r="95" spans="11:13" x14ac:dyDescent="0.25">
      <c r="K95" s="4" t="str">
        <f>ProsumerMetrics!A95</f>
        <v>BES_TR2_six990_B</v>
      </c>
      <c r="L95" s="51">
        <f>ProsumerMetrics!J95</f>
        <v>26</v>
      </c>
      <c r="M95" s="49">
        <f>ProsumerMetrics!K95</f>
        <v>100</v>
      </c>
    </row>
    <row r="96" spans="11:13" x14ac:dyDescent="0.25">
      <c r="K96" s="6" t="str">
        <f>ProsumerMetrics!A96</f>
        <v>BES_TR2_six1020_A</v>
      </c>
      <c r="L96" s="52">
        <f>ProsumerMetrics!J96</f>
        <v>71.900000000000006</v>
      </c>
      <c r="M96" s="50">
        <f>ProsumerMetrics!K96</f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6:F74"/>
  <sheetViews>
    <sheetView showGridLines="0" topLeftCell="A13" workbookViewId="0"/>
  </sheetViews>
  <sheetFormatPr defaultRowHeight="15" x14ac:dyDescent="0.25"/>
  <cols>
    <col min="1" max="13" width="13" customWidth="1"/>
  </cols>
  <sheetData>
    <row r="26" spans="1:6" x14ac:dyDescent="0.25">
      <c r="A26" s="38" t="s">
        <v>249</v>
      </c>
      <c r="B26" s="39" t="s">
        <v>262</v>
      </c>
      <c r="C26" s="39" t="s">
        <v>263</v>
      </c>
      <c r="D26" s="39" t="s">
        <v>264</v>
      </c>
      <c r="E26" s="39" t="s">
        <v>265</v>
      </c>
      <c r="F26" s="40" t="s">
        <v>266</v>
      </c>
    </row>
    <row r="27" spans="1:6" x14ac:dyDescent="0.25">
      <c r="A27" s="41">
        <f>ChartData!T2</f>
        <v>0</v>
      </c>
      <c r="B27" s="47">
        <f>ChartData!U2</f>
        <v>0.23729350175438593</v>
      </c>
      <c r="C27" s="47">
        <f>ChartData!V2</f>
        <v>0</v>
      </c>
      <c r="D27" s="47">
        <f>ChartData!W2</f>
        <v>0</v>
      </c>
      <c r="E27" s="47">
        <f>ChartData!X2</f>
        <v>0.23728421052631576</v>
      </c>
      <c r="F27" s="55">
        <f>ChartData!Y2</f>
        <v>9.2912280701684669E-6</v>
      </c>
    </row>
    <row r="28" spans="1:6" x14ac:dyDescent="0.25">
      <c r="A28" s="41">
        <f>ChartData!T3</f>
        <v>0.5</v>
      </c>
      <c r="B28" s="47">
        <f>ChartData!U3</f>
        <v>0.21140077894736845</v>
      </c>
      <c r="C28" s="47">
        <f>ChartData!V3</f>
        <v>0</v>
      </c>
      <c r="D28" s="47">
        <f>ChartData!W3</f>
        <v>0</v>
      </c>
      <c r="E28" s="47">
        <f>ChartData!X3</f>
        <v>0.2101684210526315</v>
      </c>
      <c r="F28" s="55">
        <f>ChartData!Y3</f>
        <v>1.2323578947369407E-3</v>
      </c>
    </row>
    <row r="29" spans="1:6" x14ac:dyDescent="0.25">
      <c r="A29" s="41">
        <f>ChartData!T4</f>
        <v>1</v>
      </c>
      <c r="B29" s="47">
        <f>ChartData!U4</f>
        <v>0.15961575473684222</v>
      </c>
      <c r="C29" s="47">
        <f>ChartData!V4</f>
        <v>0</v>
      </c>
      <c r="D29" s="47">
        <f>ChartData!W4</f>
        <v>0</v>
      </c>
      <c r="E29" s="47">
        <f>ChartData!X4</f>
        <v>0.15441052631578947</v>
      </c>
      <c r="F29" s="55">
        <f>ChartData!Y4</f>
        <v>5.2052284210527544E-3</v>
      </c>
    </row>
    <row r="30" spans="1:6" x14ac:dyDescent="0.25">
      <c r="A30" s="41">
        <f>ChartData!T5</f>
        <v>1.5</v>
      </c>
      <c r="B30" s="47">
        <f>ChartData!U5</f>
        <v>0.13979604561403511</v>
      </c>
      <c r="C30" s="47">
        <f>ChartData!V5</f>
        <v>0</v>
      </c>
      <c r="D30" s="47">
        <f>ChartData!W5</f>
        <v>0</v>
      </c>
      <c r="E30" s="47">
        <f>ChartData!X5</f>
        <v>0.12967368421052636</v>
      </c>
      <c r="F30" s="55">
        <f>ChartData!Y5</f>
        <v>1.0122361403508751E-2</v>
      </c>
    </row>
    <row r="31" spans="1:6" x14ac:dyDescent="0.25">
      <c r="A31" s="41">
        <f>ChartData!T6</f>
        <v>2</v>
      </c>
      <c r="B31" s="47">
        <f>ChartData!U6</f>
        <v>0.13803694035087724</v>
      </c>
      <c r="C31" s="47">
        <f>ChartData!V6</f>
        <v>0</v>
      </c>
      <c r="D31" s="47">
        <f>ChartData!W6</f>
        <v>0</v>
      </c>
      <c r="E31" s="47">
        <f>ChartData!X6</f>
        <v>0.12770526315789468</v>
      </c>
      <c r="F31" s="55">
        <f>ChartData!Y6</f>
        <v>1.0331677192982558E-2</v>
      </c>
    </row>
    <row r="32" spans="1:6" x14ac:dyDescent="0.25">
      <c r="A32" s="41">
        <f>ChartData!T7</f>
        <v>2.5</v>
      </c>
      <c r="B32" s="47">
        <f>ChartData!U7</f>
        <v>0.13469393684210529</v>
      </c>
      <c r="C32" s="47">
        <f>ChartData!V7</f>
        <v>0</v>
      </c>
      <c r="D32" s="47">
        <f>ChartData!W7</f>
        <v>0</v>
      </c>
      <c r="E32" s="47">
        <f>ChartData!X7</f>
        <v>0.12175789473684215</v>
      </c>
      <c r="F32" s="55">
        <f>ChartData!Y7</f>
        <v>1.293604210526314E-2</v>
      </c>
    </row>
    <row r="33" spans="1:6" x14ac:dyDescent="0.25">
      <c r="A33" s="41">
        <f>ChartData!T8</f>
        <v>3</v>
      </c>
      <c r="B33" s="47">
        <f>ChartData!U8</f>
        <v>0.1310651438596491</v>
      </c>
      <c r="C33" s="47">
        <f>ChartData!V8</f>
        <v>0</v>
      </c>
      <c r="D33" s="47">
        <f>ChartData!W8</f>
        <v>0</v>
      </c>
      <c r="E33" s="47">
        <f>ChartData!X8</f>
        <v>0.10091578947368425</v>
      </c>
      <c r="F33" s="55">
        <f>ChartData!Y8</f>
        <v>3.0149354385964847E-2</v>
      </c>
    </row>
    <row r="34" spans="1:6" x14ac:dyDescent="0.25">
      <c r="A34" s="41">
        <f>ChartData!T9</f>
        <v>3.5</v>
      </c>
      <c r="B34" s="47">
        <f>ChartData!U9</f>
        <v>0.12422709473684207</v>
      </c>
      <c r="C34" s="47">
        <f>ChartData!V9</f>
        <v>2.6575679407017565E-3</v>
      </c>
      <c r="D34" s="47">
        <f>ChartData!W9</f>
        <v>0</v>
      </c>
      <c r="E34" s="47">
        <f>ChartData!X9</f>
        <v>0.11187368421052633</v>
      </c>
      <c r="F34" s="55">
        <f>ChartData!Y9</f>
        <v>9.695842585613984E-3</v>
      </c>
    </row>
    <row r="35" spans="1:6" x14ac:dyDescent="0.25">
      <c r="A35" s="41">
        <f>ChartData!T10</f>
        <v>4</v>
      </c>
      <c r="B35" s="47">
        <f>ChartData!U10</f>
        <v>0.12011074385964916</v>
      </c>
      <c r="C35" s="47">
        <f>ChartData!V10</f>
        <v>3.8413351469824469E-2</v>
      </c>
      <c r="D35" s="47">
        <f>ChartData!W10</f>
        <v>5.3684210526315794E-4</v>
      </c>
      <c r="E35" s="47">
        <f>ChartData!X10</f>
        <v>7.2518584356842095E-2</v>
      </c>
      <c r="F35" s="55">
        <f>ChartData!Y10</f>
        <v>9.7156501382457544E-3</v>
      </c>
    </row>
    <row r="36" spans="1:6" x14ac:dyDescent="0.25">
      <c r="A36" s="41">
        <f>ChartData!T11</f>
        <v>4.5</v>
      </c>
      <c r="B36" s="47">
        <f>ChartData!U11</f>
        <v>0.10826528947368423</v>
      </c>
      <c r="C36" s="47">
        <f>ChartData!V11</f>
        <v>0.17963247115315797</v>
      </c>
      <c r="D36" s="47">
        <f>ChartData!W11</f>
        <v>8.6557894736842111E-2</v>
      </c>
      <c r="E36" s="47">
        <f>ChartData!X11</f>
        <v>1.2726315789473681E-2</v>
      </c>
      <c r="F36" s="55">
        <f>ChartData!Y11</f>
        <v>2.4643972678946875E-3</v>
      </c>
    </row>
    <row r="37" spans="1:6" x14ac:dyDescent="0.25">
      <c r="A37" s="41">
        <f>ChartData!T12</f>
        <v>5</v>
      </c>
      <c r="B37" s="47">
        <f>ChartData!U12</f>
        <v>0.11527114035087722</v>
      </c>
      <c r="C37" s="47">
        <f>ChartData!V12</f>
        <v>0.35632467001649226</v>
      </c>
      <c r="D37" s="47">
        <f>ChartData!W12</f>
        <v>0.24218947368421051</v>
      </c>
      <c r="E37" s="47">
        <f>ChartData!X12</f>
        <v>1.2105263157894737E-3</v>
      </c>
      <c r="F37" s="55">
        <f>ChartData!Y12</f>
        <v>-7.4582297194015395E-5</v>
      </c>
    </row>
    <row r="38" spans="1:6" x14ac:dyDescent="0.25">
      <c r="A38" s="41">
        <f>ChartData!T13</f>
        <v>5.5</v>
      </c>
      <c r="B38" s="47">
        <f>ChartData!U13</f>
        <v>0.11836402771929823</v>
      </c>
      <c r="C38" s="47">
        <f>ChartData!V13</f>
        <v>0.57298767398035</v>
      </c>
      <c r="D38" s="47">
        <f>ChartData!W13</f>
        <v>0.45467368421052634</v>
      </c>
      <c r="E38" s="47">
        <f>ChartData!X13</f>
        <v>0</v>
      </c>
      <c r="F38" s="55">
        <f>ChartData!Y13</f>
        <v>5.0037949474557308E-5</v>
      </c>
    </row>
    <row r="39" spans="1:6" x14ac:dyDescent="0.25">
      <c r="A39" s="41">
        <f>ChartData!T14</f>
        <v>6</v>
      </c>
      <c r="B39" s="47">
        <f>ChartData!U14</f>
        <v>0.12095574035087721</v>
      </c>
      <c r="C39" s="47">
        <f>ChartData!V14</f>
        <v>0.80937922880965019</v>
      </c>
      <c r="D39" s="47">
        <f>ChartData!W14</f>
        <v>0.68843157894736839</v>
      </c>
      <c r="E39" s="47">
        <f>ChartData!X14</f>
        <v>0</v>
      </c>
      <c r="F39" s="55">
        <f>ChartData!Y14</f>
        <v>8.0904885954025119E-6</v>
      </c>
    </row>
    <row r="40" spans="1:6" x14ac:dyDescent="0.25">
      <c r="A40" s="41">
        <f>ChartData!T15</f>
        <v>6.5</v>
      </c>
      <c r="B40" s="47">
        <f>ChartData!U15</f>
        <v>0.14136717754385972</v>
      </c>
      <c r="C40" s="47">
        <f>ChartData!V15</f>
        <v>1.0486764019203503</v>
      </c>
      <c r="D40" s="47">
        <f>ChartData!W15</f>
        <v>0.9173684210526315</v>
      </c>
      <c r="E40" s="47">
        <f>ChartData!X15</f>
        <v>1.0052631578947369E-2</v>
      </c>
      <c r="F40" s="55">
        <f>ChartData!Y15</f>
        <v>6.5650971936004332E-6</v>
      </c>
    </row>
    <row r="41" spans="1:6" x14ac:dyDescent="0.25">
      <c r="A41" s="41">
        <f>ChartData!T16</f>
        <v>7</v>
      </c>
      <c r="B41" s="47">
        <f>ChartData!U16</f>
        <v>0.18459600035087706</v>
      </c>
      <c r="C41" s="47">
        <f>ChartData!V16</f>
        <v>1.2867344736415796</v>
      </c>
      <c r="D41" s="47">
        <f>ChartData!W16</f>
        <v>1.1195157894736849</v>
      </c>
      <c r="E41" s="47">
        <f>ChartData!X16</f>
        <v>1.7389473684210524E-2</v>
      </c>
      <c r="F41" s="55">
        <f>ChartData!Y16</f>
        <v>-1.2157501228085565E-5</v>
      </c>
    </row>
    <row r="42" spans="1:6" x14ac:dyDescent="0.25">
      <c r="A42" s="41">
        <f>ChartData!T17</f>
        <v>7.5</v>
      </c>
      <c r="B42" s="47">
        <f>ChartData!U17</f>
        <v>0.2206401171929826</v>
      </c>
      <c r="C42" s="47">
        <f>ChartData!V17</f>
        <v>1.5251388353026305</v>
      </c>
      <c r="D42" s="47">
        <f>ChartData!W17</f>
        <v>1.1933157894736843</v>
      </c>
      <c r="E42" s="47">
        <f>ChartData!X17</f>
        <v>2.0757894736842104E-2</v>
      </c>
      <c r="F42" s="55">
        <f>ChartData!Y17</f>
        <v>-0.13194082337280569</v>
      </c>
    </row>
    <row r="43" spans="1:6" x14ac:dyDescent="0.25">
      <c r="A43" s="41">
        <f>ChartData!T18</f>
        <v>8</v>
      </c>
      <c r="B43" s="47">
        <f>ChartData!U18</f>
        <v>0.23541452491228074</v>
      </c>
      <c r="C43" s="47">
        <f>ChartData!V18</f>
        <v>1.7488965220822839</v>
      </c>
      <c r="D43" s="47">
        <f>ChartData!W18</f>
        <v>0.82097894736842114</v>
      </c>
      <c r="E43" s="47">
        <f>ChartData!X18</f>
        <v>4.6526315789473683E-3</v>
      </c>
      <c r="F43" s="55">
        <f>ChartData!Y18</f>
        <v>-0.6971556813805293</v>
      </c>
    </row>
    <row r="44" spans="1:6" x14ac:dyDescent="0.25">
      <c r="A44" s="41">
        <f>ChartData!T19</f>
        <v>8.5</v>
      </c>
      <c r="B44" s="47">
        <f>ChartData!U19</f>
        <v>0.26946848280701746</v>
      </c>
      <c r="C44" s="47">
        <f>ChartData!V19</f>
        <v>1.9592290763463152</v>
      </c>
      <c r="D44" s="47">
        <f>ChartData!W19</f>
        <v>0.46883157894736843</v>
      </c>
      <c r="E44" s="47">
        <f>ChartData!X19</f>
        <v>1E-3</v>
      </c>
      <c r="F44" s="55">
        <f>ChartData!Y19</f>
        <v>-1.221929014591929</v>
      </c>
    </row>
    <row r="45" spans="1:6" x14ac:dyDescent="0.25">
      <c r="A45" s="41">
        <f>ChartData!T20</f>
        <v>9</v>
      </c>
      <c r="B45" s="47">
        <f>ChartData!U20</f>
        <v>0.30232556421052631</v>
      </c>
      <c r="C45" s="47">
        <f>ChartData!V20</f>
        <v>2.1383601814280713</v>
      </c>
      <c r="D45" s="47">
        <f>ChartData!W20</f>
        <v>0.30967368421052627</v>
      </c>
      <c r="E45" s="47">
        <f>ChartData!X20</f>
        <v>8.3052631578947374E-3</v>
      </c>
      <c r="F45" s="55">
        <f>ChartData!Y20</f>
        <v>-1.5346661961649135</v>
      </c>
    </row>
    <row r="46" spans="1:6" x14ac:dyDescent="0.25">
      <c r="A46" s="41">
        <f>ChartData!T21</f>
        <v>9.5</v>
      </c>
      <c r="B46" s="47">
        <f>ChartData!U21</f>
        <v>0.39961920140350882</v>
      </c>
      <c r="C46" s="47">
        <f>ChartData!V21</f>
        <v>2.2911408676319258</v>
      </c>
      <c r="D46" s="47">
        <f>ChartData!W21</f>
        <v>0.20947368421052634</v>
      </c>
      <c r="E46" s="47">
        <f>ChartData!X21</f>
        <v>2.6305263157894738E-2</v>
      </c>
      <c r="F46" s="55">
        <f>ChartData!Y21</f>
        <v>-1.7083532451757855</v>
      </c>
    </row>
    <row r="47" spans="1:6" x14ac:dyDescent="0.25">
      <c r="A47" s="41">
        <f>ChartData!T22</f>
        <v>10</v>
      </c>
      <c r="B47" s="47">
        <f>ChartData!U22</f>
        <v>0.40710600280701753</v>
      </c>
      <c r="C47" s="47">
        <f>ChartData!V22</f>
        <v>2.4252437494475454</v>
      </c>
      <c r="D47" s="47">
        <f>ChartData!W22</f>
        <v>0.15412631578947367</v>
      </c>
      <c r="E47" s="47">
        <f>ChartData!X22</f>
        <v>1.6252631578947369E-2</v>
      </c>
      <c r="F47" s="55">
        <f>ChartData!Y22</f>
        <v>-1.8802640624300015</v>
      </c>
    </row>
    <row r="48" spans="1:6" x14ac:dyDescent="0.25">
      <c r="A48" s="41">
        <f>ChartData!T23</f>
        <v>10.5</v>
      </c>
      <c r="B48" s="47">
        <f>ChartData!U23</f>
        <v>0.38128440175438588</v>
      </c>
      <c r="C48" s="47">
        <f>ChartData!V23</f>
        <v>2.535921192295262</v>
      </c>
      <c r="D48" s="47">
        <f>ChartData!W23</f>
        <v>7.6042105263157911E-2</v>
      </c>
      <c r="E48" s="47">
        <f>ChartData!X23</f>
        <v>1.356842105263158E-2</v>
      </c>
      <c r="F48" s="55">
        <f>ChartData!Y23</f>
        <v>-2.0921631063303501</v>
      </c>
    </row>
    <row r="49" spans="1:6" x14ac:dyDescent="0.25">
      <c r="A49" s="41">
        <f>ChartData!T24</f>
        <v>11</v>
      </c>
      <c r="B49" s="47">
        <f>ChartData!U24</f>
        <v>0.40429446701754373</v>
      </c>
      <c r="C49" s="47">
        <f>ChartData!V24</f>
        <v>2.6144500549728065</v>
      </c>
      <c r="D49" s="47">
        <f>ChartData!W24</f>
        <v>8.3673684210526317E-2</v>
      </c>
      <c r="E49" s="47">
        <f>ChartData!X24</f>
        <v>6.1052631578947369E-4</v>
      </c>
      <c r="F49" s="55">
        <f>ChartData!Y24</f>
        <v>-2.1270924300605261</v>
      </c>
    </row>
    <row r="50" spans="1:6" x14ac:dyDescent="0.25">
      <c r="A50" s="41">
        <f>ChartData!T25</f>
        <v>11.5</v>
      </c>
      <c r="B50" s="47">
        <f>ChartData!U25</f>
        <v>0.4586086982456139</v>
      </c>
      <c r="C50" s="47">
        <f>ChartData!V25</f>
        <v>2.6488890237705265</v>
      </c>
      <c r="D50" s="47">
        <f>ChartData!W25</f>
        <v>2.4915789473684211E-2</v>
      </c>
      <c r="E50" s="47">
        <f>ChartData!X25</f>
        <v>2.5368421052631582E-2</v>
      </c>
      <c r="F50" s="55">
        <f>ChartData!Y25</f>
        <v>-2.1907329571038598</v>
      </c>
    </row>
    <row r="51" spans="1:6" x14ac:dyDescent="0.25">
      <c r="A51" s="41">
        <f>ChartData!T26</f>
        <v>12</v>
      </c>
      <c r="B51" s="47">
        <f>ChartData!U26</f>
        <v>0.42806195508771944</v>
      </c>
      <c r="C51" s="47">
        <f>ChartData!V26</f>
        <v>2.6588638686343882</v>
      </c>
      <c r="D51" s="47">
        <f>ChartData!W26</f>
        <v>2.4210526315789475E-3</v>
      </c>
      <c r="E51" s="47">
        <f>ChartData!X26</f>
        <v>3.2736842105263154E-2</v>
      </c>
      <c r="F51" s="55">
        <f>ChartData!Y26</f>
        <v>-2.2611177030203526</v>
      </c>
    </row>
    <row r="52" spans="1:6" x14ac:dyDescent="0.25">
      <c r="A52" s="41">
        <f>ChartData!T27</f>
        <v>12.5</v>
      </c>
      <c r="B52" s="47">
        <f>ChartData!U27</f>
        <v>0.41766496526315766</v>
      </c>
      <c r="C52" s="47">
        <f>ChartData!V27</f>
        <v>2.6402037124526321</v>
      </c>
      <c r="D52" s="47">
        <f>ChartData!W27</f>
        <v>1.9957894736842105E-2</v>
      </c>
      <c r="E52" s="47">
        <f>ChartData!X27</f>
        <v>1.568421052631579E-2</v>
      </c>
      <c r="F52" s="55">
        <f>ChartData!Y27</f>
        <v>-2.218265062978948</v>
      </c>
    </row>
    <row r="53" spans="1:6" x14ac:dyDescent="0.25">
      <c r="A53" s="41">
        <f>ChartData!T28</f>
        <v>13</v>
      </c>
      <c r="B53" s="47">
        <f>ChartData!U28</f>
        <v>0.26613932982456151</v>
      </c>
      <c r="C53" s="47">
        <f>ChartData!V28</f>
        <v>2.5775158275447398</v>
      </c>
      <c r="D53" s="47">
        <f>ChartData!W28</f>
        <v>4.3505263157894734E-2</v>
      </c>
      <c r="E53" s="47">
        <f>ChartData!X28</f>
        <v>2.673684210526316E-3</v>
      </c>
      <c r="F53" s="55">
        <f>ChartData!Y28</f>
        <v>-2.27054491877281</v>
      </c>
    </row>
    <row r="54" spans="1:6" x14ac:dyDescent="0.25">
      <c r="A54" s="41">
        <f>ChartData!T29</f>
        <v>13.5</v>
      </c>
      <c r="B54" s="47">
        <f>ChartData!U29</f>
        <v>0.28218541052631596</v>
      </c>
      <c r="C54" s="47">
        <f>ChartData!V29</f>
        <v>2.4818779608196482</v>
      </c>
      <c r="D54" s="47">
        <f>ChartData!W29</f>
        <v>2.1294736842105266E-2</v>
      </c>
      <c r="E54" s="47">
        <f>ChartData!X29</f>
        <v>4.0631578947368423E-3</v>
      </c>
      <c r="F54" s="55">
        <f>ChartData!Y29</f>
        <v>-2.182460971345964</v>
      </c>
    </row>
    <row r="55" spans="1:6" x14ac:dyDescent="0.25">
      <c r="A55" s="41">
        <f>ChartData!T30</f>
        <v>14</v>
      </c>
      <c r="B55" s="47">
        <f>ChartData!U30</f>
        <v>0.33113872350877183</v>
      </c>
      <c r="C55" s="47">
        <f>ChartData!V30</f>
        <v>2.3677014911952607</v>
      </c>
      <c r="D55" s="47">
        <f>ChartData!W30</f>
        <v>1.4947368421052631E-2</v>
      </c>
      <c r="E55" s="47">
        <f>ChartData!X30</f>
        <v>1.1905263157894735E-2</v>
      </c>
      <c r="F55" s="55">
        <f>ChartData!Y30</f>
        <v>-2.0335206624233311</v>
      </c>
    </row>
    <row r="56" spans="1:6" x14ac:dyDescent="0.25">
      <c r="A56" s="41">
        <f>ChartData!T31</f>
        <v>14.5</v>
      </c>
      <c r="B56" s="47">
        <f>ChartData!U31</f>
        <v>0.33723106245614032</v>
      </c>
      <c r="C56" s="47">
        <f>ChartData!V31</f>
        <v>2.2230231994607021</v>
      </c>
      <c r="D56" s="47">
        <f>ChartData!W31</f>
        <v>3.9894736842105262E-3</v>
      </c>
      <c r="E56" s="47">
        <f>ChartData!X31</f>
        <v>1.6936842105263156E-2</v>
      </c>
      <c r="F56" s="55">
        <f>ChartData!Y31</f>
        <v>-1.8987395054256144</v>
      </c>
    </row>
    <row r="57" spans="1:6" x14ac:dyDescent="0.25">
      <c r="A57" s="41">
        <f>ChartData!T32</f>
        <v>15</v>
      </c>
      <c r="B57" s="47">
        <f>ChartData!U32</f>
        <v>0.32670129052631575</v>
      </c>
      <c r="C57" s="47">
        <f>ChartData!V32</f>
        <v>2.0692742453257891</v>
      </c>
      <c r="D57" s="47">
        <f>ChartData!W32</f>
        <v>5.8842105263157887E-3</v>
      </c>
      <c r="E57" s="47">
        <f>ChartData!X32</f>
        <v>1.0873684210526315E-2</v>
      </c>
      <c r="F57" s="55">
        <f>ChartData!Y32</f>
        <v>-1.7475624284836839</v>
      </c>
    </row>
    <row r="58" spans="1:6" x14ac:dyDescent="0.25">
      <c r="A58" s="41">
        <f>ChartData!T33</f>
        <v>15.5</v>
      </c>
      <c r="B58" s="47">
        <f>ChartData!U33</f>
        <v>0.33447911052631563</v>
      </c>
      <c r="C58" s="47">
        <f>ChartData!V33</f>
        <v>1.8842575292364943</v>
      </c>
      <c r="D58" s="47">
        <f>ChartData!W33</f>
        <v>2.5715789473684206E-2</v>
      </c>
      <c r="E58" s="47">
        <f>ChartData!X33</f>
        <v>6.9789473684210516E-3</v>
      </c>
      <c r="F58" s="55">
        <f>ChartData!Y33</f>
        <v>-1.5310415766049155</v>
      </c>
    </row>
    <row r="59" spans="1:6" x14ac:dyDescent="0.25">
      <c r="A59" s="41">
        <f>ChartData!T34</f>
        <v>16</v>
      </c>
      <c r="B59" s="47">
        <f>ChartData!U34</f>
        <v>0.29869174385964897</v>
      </c>
      <c r="C59" s="47">
        <f>ChartData!V34</f>
        <v>1.6758850442824547</v>
      </c>
      <c r="D59" s="47">
        <f>ChartData!W34</f>
        <v>6.9684210526315795E-3</v>
      </c>
      <c r="E59" s="47">
        <f>ChartData!X34</f>
        <v>4.0978947368421052E-2</v>
      </c>
      <c r="F59" s="55">
        <f>ChartData!Y34</f>
        <v>-1.4112038267385951</v>
      </c>
    </row>
    <row r="60" spans="1:6" x14ac:dyDescent="0.25">
      <c r="A60" s="41">
        <f>ChartData!T35</f>
        <v>16.5</v>
      </c>
      <c r="B60" s="47">
        <f>ChartData!U35</f>
        <v>0.33391201649122804</v>
      </c>
      <c r="C60" s="47">
        <f>ChartData!V35</f>
        <v>1.4243024173840353</v>
      </c>
      <c r="D60" s="47">
        <f>ChartData!W35</f>
        <v>2.1263157894736841E-2</v>
      </c>
      <c r="E60" s="47">
        <f>ChartData!X35</f>
        <v>5.4242105263157897E-2</v>
      </c>
      <c r="F60" s="55">
        <f>ChartData!Y35</f>
        <v>-1.1233693482612281</v>
      </c>
    </row>
    <row r="61" spans="1:6" x14ac:dyDescent="0.25">
      <c r="A61" s="41">
        <f>ChartData!T36</f>
        <v>17</v>
      </c>
      <c r="B61" s="47">
        <f>ChartData!U36</f>
        <v>0.30708890210526296</v>
      </c>
      <c r="C61" s="47">
        <f>ChartData!V36</f>
        <v>1.1888385315061396</v>
      </c>
      <c r="D61" s="47">
        <f>ChartData!W36</f>
        <v>1.4515789473684211E-2</v>
      </c>
      <c r="E61" s="47">
        <f>ChartData!X36</f>
        <v>1.1389473684210527E-2</v>
      </c>
      <c r="F61" s="55">
        <f>ChartData!Y36</f>
        <v>-0.87862331361140289</v>
      </c>
    </row>
    <row r="62" spans="1:6" x14ac:dyDescent="0.25">
      <c r="A62" s="41">
        <f>ChartData!T37</f>
        <v>17.5</v>
      </c>
      <c r="B62" s="47">
        <f>ChartData!U37</f>
        <v>0.36107614912280678</v>
      </c>
      <c r="C62" s="47">
        <f>ChartData!V37</f>
        <v>0.94688477321631559</v>
      </c>
      <c r="D62" s="47">
        <f>ChartData!W37</f>
        <v>1.3778947368421054E-2</v>
      </c>
      <c r="E62" s="47">
        <f>ChartData!X37</f>
        <v>6.6778947368421063E-2</v>
      </c>
      <c r="F62" s="55">
        <f>ChartData!Y37</f>
        <v>-0.6388086240935088</v>
      </c>
    </row>
    <row r="63" spans="1:6" x14ac:dyDescent="0.25">
      <c r="A63" s="41">
        <f>ChartData!T38</f>
        <v>18</v>
      </c>
      <c r="B63" s="47">
        <f>ChartData!U38</f>
        <v>0.36241131368421042</v>
      </c>
      <c r="C63" s="47">
        <f>ChartData!V38</f>
        <v>0.71283189559122906</v>
      </c>
      <c r="D63" s="47">
        <f>ChartData!W38</f>
        <v>2.2642105263157894E-2</v>
      </c>
      <c r="E63" s="47">
        <f>ChartData!X38</f>
        <v>8.2389473684210526E-2</v>
      </c>
      <c r="F63" s="55">
        <f>ChartData!Y38</f>
        <v>-0.41016795032807124</v>
      </c>
    </row>
    <row r="64" spans="1:6" x14ac:dyDescent="0.25">
      <c r="A64" s="41">
        <f>ChartData!T39</f>
        <v>18.5</v>
      </c>
      <c r="B64" s="47">
        <f>ChartData!U39</f>
        <v>0.35544384491228076</v>
      </c>
      <c r="C64" s="47">
        <f>ChartData!V39</f>
        <v>0.48717194231842104</v>
      </c>
      <c r="D64" s="47">
        <f>ChartData!W39</f>
        <v>2.0894736842105261E-2</v>
      </c>
      <c r="E64" s="47">
        <f>ChartData!X39</f>
        <v>0.11294736842105263</v>
      </c>
      <c r="F64" s="55">
        <f>ChartData!Y39</f>
        <v>-0.22378072898508766</v>
      </c>
    </row>
    <row r="65" spans="1:6" x14ac:dyDescent="0.25">
      <c r="A65" s="41">
        <f>ChartData!T40</f>
        <v>19</v>
      </c>
      <c r="B65" s="47">
        <f>ChartData!U40</f>
        <v>0.43347688175438603</v>
      </c>
      <c r="C65" s="47">
        <f>ChartData!V40</f>
        <v>0.28447931436771917</v>
      </c>
      <c r="D65" s="47">
        <f>ChartData!W40</f>
        <v>1.1168421052631579E-2</v>
      </c>
      <c r="E65" s="47">
        <f>ChartData!X40</f>
        <v>0.22834015901157895</v>
      </c>
      <c r="F65" s="55">
        <f>ChartData!Y40</f>
        <v>-6.8174170572280507E-2</v>
      </c>
    </row>
    <row r="66" spans="1:6" x14ac:dyDescent="0.25">
      <c r="A66" s="41">
        <f>ChartData!T41</f>
        <v>19.5</v>
      </c>
      <c r="B66" s="47">
        <f>ChartData!U41</f>
        <v>0.48273342491228061</v>
      </c>
      <c r="C66" s="47">
        <f>ChartData!V41</f>
        <v>8.276696014578945E-2</v>
      </c>
      <c r="D66" s="47">
        <f>ChartData!W41</f>
        <v>1.2947368421052632E-3</v>
      </c>
      <c r="E66" s="47">
        <f>ChartData!X41</f>
        <v>0.40452631578947396</v>
      </c>
      <c r="F66" s="55">
        <f>ChartData!Y41</f>
        <v>-3.2651141808775486E-3</v>
      </c>
    </row>
    <row r="67" spans="1:6" x14ac:dyDescent="0.25">
      <c r="A67" s="41">
        <f>ChartData!T42</f>
        <v>20</v>
      </c>
      <c r="B67" s="47">
        <f>ChartData!U42</f>
        <v>0.43260070421052649</v>
      </c>
      <c r="C67" s="47">
        <f>ChartData!V42</f>
        <v>1.5264916669122823E-2</v>
      </c>
      <c r="D67" s="47">
        <f>ChartData!W42</f>
        <v>0</v>
      </c>
      <c r="E67" s="47">
        <f>ChartData!X42</f>
        <v>0.41721052631578975</v>
      </c>
      <c r="F67" s="55">
        <f>ChartData!Y42</f>
        <v>1.2526122561390407E-4</v>
      </c>
    </row>
    <row r="68" spans="1:6" x14ac:dyDescent="0.25">
      <c r="A68" s="41">
        <f>ChartData!T43</f>
        <v>20.5</v>
      </c>
      <c r="B68" s="47">
        <f>ChartData!U43</f>
        <v>0.46709238877193004</v>
      </c>
      <c r="C68" s="47">
        <f>ChartData!V43</f>
        <v>0</v>
      </c>
      <c r="D68" s="47">
        <f>ChartData!W43</f>
        <v>0</v>
      </c>
      <c r="E68" s="47">
        <f>ChartData!X43</f>
        <v>0.46176842105263166</v>
      </c>
      <c r="F68" s="55">
        <f>ChartData!Y43</f>
        <v>5.3239677192983836E-3</v>
      </c>
    </row>
    <row r="69" spans="1:6" x14ac:dyDescent="0.25">
      <c r="A69" s="41">
        <f>ChartData!T44</f>
        <v>21</v>
      </c>
      <c r="B69" s="47">
        <f>ChartData!U44</f>
        <v>0.47757238280701775</v>
      </c>
      <c r="C69" s="47">
        <f>ChartData!V44</f>
        <v>0</v>
      </c>
      <c r="D69" s="47">
        <f>ChartData!W44</f>
        <v>0</v>
      </c>
      <c r="E69" s="47">
        <f>ChartData!X44</f>
        <v>0.45969473684210527</v>
      </c>
      <c r="F69" s="55">
        <f>ChartData!Y44</f>
        <v>1.7877645964912481E-2</v>
      </c>
    </row>
    <row r="70" spans="1:6" x14ac:dyDescent="0.25">
      <c r="A70" s="41">
        <f>ChartData!T45</f>
        <v>21.5</v>
      </c>
      <c r="B70" s="47">
        <f>ChartData!U45</f>
        <v>0.42630495894736847</v>
      </c>
      <c r="C70" s="47">
        <f>ChartData!V45</f>
        <v>0</v>
      </c>
      <c r="D70" s="47">
        <f>ChartData!W45</f>
        <v>0</v>
      </c>
      <c r="E70" s="47">
        <f>ChartData!X45</f>
        <v>0.38945263157894744</v>
      </c>
      <c r="F70" s="55">
        <f>ChartData!Y45</f>
        <v>3.6852327368421034E-2</v>
      </c>
    </row>
    <row r="71" spans="1:6" x14ac:dyDescent="0.25">
      <c r="A71" s="41">
        <f>ChartData!T46</f>
        <v>22</v>
      </c>
      <c r="B71" s="47">
        <f>ChartData!U46</f>
        <v>0.40282569473684204</v>
      </c>
      <c r="C71" s="47">
        <f>ChartData!V46</f>
        <v>0</v>
      </c>
      <c r="D71" s="47">
        <f>ChartData!W46</f>
        <v>0</v>
      </c>
      <c r="E71" s="47">
        <f>ChartData!X46</f>
        <v>0.34802105263157884</v>
      </c>
      <c r="F71" s="55">
        <f>ChartData!Y46</f>
        <v>5.4804642105263202E-2</v>
      </c>
    </row>
    <row r="72" spans="1:6" x14ac:dyDescent="0.25">
      <c r="A72" s="41">
        <f>ChartData!T47</f>
        <v>22.5</v>
      </c>
      <c r="B72" s="47">
        <f>ChartData!U47</f>
        <v>0.37488086666666665</v>
      </c>
      <c r="C72" s="47">
        <f>ChartData!V47</f>
        <v>0</v>
      </c>
      <c r="D72" s="47">
        <f>ChartData!W47</f>
        <v>0</v>
      </c>
      <c r="E72" s="47">
        <f>ChartData!X47</f>
        <v>0.32164210526315784</v>
      </c>
      <c r="F72" s="55">
        <f>ChartData!Y47</f>
        <v>5.3238761403508805E-2</v>
      </c>
    </row>
    <row r="73" spans="1:6" x14ac:dyDescent="0.25">
      <c r="A73" s="41">
        <f>ChartData!T48</f>
        <v>23</v>
      </c>
      <c r="B73" s="47">
        <f>ChartData!U48</f>
        <v>0.30440144245614031</v>
      </c>
      <c r="C73" s="47">
        <f>ChartData!V48</f>
        <v>0</v>
      </c>
      <c r="D73" s="47">
        <f>ChartData!W48</f>
        <v>0</v>
      </c>
      <c r="E73" s="47">
        <f>ChartData!X48</f>
        <v>0.26464210526315796</v>
      </c>
      <c r="F73" s="55">
        <f>ChartData!Y48</f>
        <v>3.9759337192982358E-2</v>
      </c>
    </row>
    <row r="74" spans="1:6" x14ac:dyDescent="0.25">
      <c r="A74" s="42">
        <f>ChartData!T49</f>
        <v>23.5</v>
      </c>
      <c r="B74" s="48">
        <f>ChartData!U49</f>
        <v>0.22125743508771931</v>
      </c>
      <c r="C74" s="48">
        <f>ChartData!V49</f>
        <v>0</v>
      </c>
      <c r="D74" s="48">
        <f>ChartData!W49</f>
        <v>0</v>
      </c>
      <c r="E74" s="48">
        <f>ChartData!X49</f>
        <v>0.18569473684210527</v>
      </c>
      <c r="F74" s="56">
        <f>ChartData!Y49</f>
        <v>3.5562698245614033E-2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4:M84"/>
  <sheetViews>
    <sheetView showGridLines="0" topLeftCell="A34" workbookViewId="0"/>
  </sheetViews>
  <sheetFormatPr defaultRowHeight="15" x14ac:dyDescent="0.25"/>
  <cols>
    <col min="1" max="13" width="13" customWidth="1"/>
  </cols>
  <sheetData>
    <row r="34" spans="1:13" x14ac:dyDescent="0.25">
      <c r="A34" s="90" t="s">
        <v>273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2"/>
    </row>
    <row r="36" spans="1:13" x14ac:dyDescent="0.25">
      <c r="A36" s="38" t="s">
        <v>249</v>
      </c>
      <c r="B36" s="39" t="s">
        <v>267</v>
      </c>
      <c r="C36" s="39" t="s">
        <v>268</v>
      </c>
      <c r="D36" s="39" t="s">
        <v>269</v>
      </c>
      <c r="E36" s="39" t="s">
        <v>270</v>
      </c>
      <c r="F36" s="39" t="s">
        <v>271</v>
      </c>
      <c r="G36" s="40" t="s">
        <v>272</v>
      </c>
    </row>
    <row r="37" spans="1:13" x14ac:dyDescent="0.25">
      <c r="A37" s="41">
        <f>ChartData!AA2</f>
        <v>0</v>
      </c>
      <c r="B37" s="47">
        <f>ChartData!AB2</f>
        <v>0</v>
      </c>
      <c r="C37" s="47">
        <f>ChartData!AC2</f>
        <v>9.2912280701684669E-6</v>
      </c>
      <c r="D37" s="47">
        <f>ChartData!AD2</f>
        <v>9.2912280701684669E-6</v>
      </c>
      <c r="E37" s="47">
        <f>ChartData!AE2</f>
        <v>0</v>
      </c>
      <c r="F37" s="51">
        <f>ChartData!AF2</f>
        <v>100</v>
      </c>
      <c r="G37" s="49">
        <f>ChartData!AG2</f>
        <v>40</v>
      </c>
    </row>
    <row r="38" spans="1:13" x14ac:dyDescent="0.25">
      <c r="A38" s="41">
        <f>ChartData!AA3</f>
        <v>0.5</v>
      </c>
      <c r="B38" s="47">
        <f>ChartData!AB3</f>
        <v>0</v>
      </c>
      <c r="C38" s="47">
        <f>ChartData!AC3</f>
        <v>1.2323578947369407E-3</v>
      </c>
      <c r="D38" s="47">
        <f>ChartData!AD3</f>
        <v>1.2323578947369407E-3</v>
      </c>
      <c r="E38" s="47">
        <f>ChartData!AE3</f>
        <v>0</v>
      </c>
      <c r="F38" s="51">
        <f>ChartData!AF3</f>
        <v>100</v>
      </c>
      <c r="G38" s="49">
        <f>ChartData!AG3</f>
        <v>37.022328421052649</v>
      </c>
    </row>
    <row r="39" spans="1:13" x14ac:dyDescent="0.25">
      <c r="A39" s="41">
        <f>ChartData!AA4</f>
        <v>1</v>
      </c>
      <c r="B39" s="47">
        <f>ChartData!AB4</f>
        <v>0</v>
      </c>
      <c r="C39" s="47">
        <f>ChartData!AC4</f>
        <v>5.2052284210527544E-3</v>
      </c>
      <c r="D39" s="47">
        <f>ChartData!AD4</f>
        <v>5.2052284210527544E-3</v>
      </c>
      <c r="E39" s="47">
        <f>ChartData!AE4</f>
        <v>0</v>
      </c>
      <c r="F39" s="51">
        <f>ChartData!AF4</f>
        <v>100</v>
      </c>
      <c r="G39" s="49">
        <f>ChartData!AG4</f>
        <v>34.384641052631579</v>
      </c>
    </row>
    <row r="40" spans="1:13" x14ac:dyDescent="0.25">
      <c r="A40" s="41">
        <f>ChartData!AA5</f>
        <v>1.5</v>
      </c>
      <c r="B40" s="47">
        <f>ChartData!AB5</f>
        <v>0</v>
      </c>
      <c r="C40" s="47">
        <f>ChartData!AC5</f>
        <v>1.0122361403508751E-2</v>
      </c>
      <c r="D40" s="47">
        <f>ChartData!AD5</f>
        <v>1.0122361403508751E-2</v>
      </c>
      <c r="E40" s="47">
        <f>ChartData!AE5</f>
        <v>0</v>
      </c>
      <c r="F40" s="51">
        <f>ChartData!AF5</f>
        <v>100</v>
      </c>
      <c r="G40" s="49">
        <f>ChartData!AG5</f>
        <v>32.446776842105265</v>
      </c>
    </row>
    <row r="41" spans="1:13" x14ac:dyDescent="0.25">
      <c r="A41" s="41">
        <f>ChartData!AA6</f>
        <v>2</v>
      </c>
      <c r="B41" s="47">
        <f>ChartData!AB6</f>
        <v>0</v>
      </c>
      <c r="C41" s="47">
        <f>ChartData!AC6</f>
        <v>1.0331677192982558E-2</v>
      </c>
      <c r="D41" s="47">
        <f>ChartData!AD6</f>
        <v>1.0331677192982558E-2</v>
      </c>
      <c r="E41" s="47">
        <f>ChartData!AE6</f>
        <v>0</v>
      </c>
      <c r="F41" s="51">
        <f>ChartData!AF6</f>
        <v>100</v>
      </c>
      <c r="G41" s="49">
        <f>ChartData!AG6</f>
        <v>30.819590526315775</v>
      </c>
    </row>
    <row r="42" spans="1:13" x14ac:dyDescent="0.25">
      <c r="A42" s="41">
        <f>ChartData!AA7</f>
        <v>2.5</v>
      </c>
      <c r="B42" s="47">
        <f>ChartData!AB7</f>
        <v>0</v>
      </c>
      <c r="C42" s="47">
        <f>ChartData!AC7</f>
        <v>1.293604210526314E-2</v>
      </c>
      <c r="D42" s="47">
        <f>ChartData!AD7</f>
        <v>1.293604210526314E-2</v>
      </c>
      <c r="E42" s="47">
        <f>ChartData!AE7</f>
        <v>0</v>
      </c>
      <c r="F42" s="51">
        <f>ChartData!AF7</f>
        <v>100</v>
      </c>
      <c r="G42" s="49">
        <f>ChartData!AG7</f>
        <v>29.216691578947369</v>
      </c>
    </row>
    <row r="43" spans="1:13" x14ac:dyDescent="0.25">
      <c r="A43" s="41">
        <f>ChartData!AA8</f>
        <v>3</v>
      </c>
      <c r="B43" s="47">
        <f>ChartData!AB8</f>
        <v>0</v>
      </c>
      <c r="C43" s="47">
        <f>ChartData!AC8</f>
        <v>3.0149354385964847E-2</v>
      </c>
      <c r="D43" s="47">
        <f>ChartData!AD8</f>
        <v>3.0149354385964847E-2</v>
      </c>
      <c r="E43" s="47">
        <f>ChartData!AE8</f>
        <v>0</v>
      </c>
      <c r="F43" s="51">
        <f>ChartData!AF8</f>
        <v>100</v>
      </c>
      <c r="G43" s="49">
        <f>ChartData!AG8</f>
        <v>27.689062105263154</v>
      </c>
    </row>
    <row r="44" spans="1:13" x14ac:dyDescent="0.25">
      <c r="A44" s="41">
        <f>ChartData!AA9</f>
        <v>3.5</v>
      </c>
      <c r="B44" s="47">
        <f>ChartData!AB9</f>
        <v>0</v>
      </c>
      <c r="C44" s="47">
        <f>ChartData!AC9</f>
        <v>9.695842585613984E-3</v>
      </c>
      <c r="D44" s="47">
        <f>ChartData!AD9</f>
        <v>9.695842585613984E-3</v>
      </c>
      <c r="E44" s="47">
        <f>ChartData!AE9</f>
        <v>0</v>
      </c>
      <c r="F44" s="51">
        <f>ChartData!AF9</f>
        <v>100</v>
      </c>
      <c r="G44" s="49">
        <f>ChartData!AG9</f>
        <v>26.422723157894747</v>
      </c>
    </row>
    <row r="45" spans="1:13" x14ac:dyDescent="0.25">
      <c r="A45" s="41">
        <f>ChartData!AA10</f>
        <v>4</v>
      </c>
      <c r="B45" s="47">
        <f>ChartData!AB10</f>
        <v>0</v>
      </c>
      <c r="C45" s="47">
        <f>ChartData!AC10</f>
        <v>9.7156501382457544E-3</v>
      </c>
      <c r="D45" s="47">
        <f>ChartData!AD10</f>
        <v>9.7156501382457544E-3</v>
      </c>
      <c r="E45" s="47">
        <f>ChartData!AE10</f>
        <v>0</v>
      </c>
      <c r="F45" s="51">
        <f>ChartData!AF10</f>
        <v>100</v>
      </c>
      <c r="G45" s="49">
        <f>ChartData!AG10</f>
        <v>25.01964105263157</v>
      </c>
    </row>
    <row r="46" spans="1:13" x14ac:dyDescent="0.25">
      <c r="A46" s="41">
        <f>ChartData!AA11</f>
        <v>4.5</v>
      </c>
      <c r="B46" s="47">
        <f>ChartData!AB11</f>
        <v>0</v>
      </c>
      <c r="C46" s="47">
        <f>ChartData!AC11</f>
        <v>2.4643972678946875E-3</v>
      </c>
      <c r="D46" s="47">
        <f>ChartData!AD11</f>
        <v>2.4643972678946875E-3</v>
      </c>
      <c r="E46" s="47">
        <f>ChartData!AE11</f>
        <v>0</v>
      </c>
      <c r="F46" s="51">
        <f>ChartData!AF11</f>
        <v>100</v>
      </c>
      <c r="G46" s="49">
        <f>ChartData!AG11</f>
        <v>24.115159999999999</v>
      </c>
    </row>
    <row r="47" spans="1:13" x14ac:dyDescent="0.25">
      <c r="A47" s="41">
        <f>ChartData!AA12</f>
        <v>5</v>
      </c>
      <c r="B47" s="47">
        <f>ChartData!AB12</f>
        <v>0</v>
      </c>
      <c r="C47" s="47">
        <f>ChartData!AC12</f>
        <v>-7.4582297194015395E-5</v>
      </c>
      <c r="D47" s="47">
        <f>ChartData!AD12</f>
        <v>0</v>
      </c>
      <c r="E47" s="47">
        <f>ChartData!AE12</f>
        <v>-7.4582297194015395E-5</v>
      </c>
      <c r="F47" s="51">
        <f>ChartData!AF12</f>
        <v>100</v>
      </c>
      <c r="G47" s="49">
        <f>ChartData!AG12</f>
        <v>24.932733684210515</v>
      </c>
    </row>
    <row r="48" spans="1:13" x14ac:dyDescent="0.25">
      <c r="A48" s="41">
        <f>ChartData!AA13</f>
        <v>5.5</v>
      </c>
      <c r="B48" s="47">
        <f>ChartData!AB13</f>
        <v>0</v>
      </c>
      <c r="C48" s="47">
        <f>ChartData!AC13</f>
        <v>5.0037949474557308E-5</v>
      </c>
      <c r="D48" s="47">
        <f>ChartData!AD13</f>
        <v>5.0037949474557308E-5</v>
      </c>
      <c r="E48" s="47">
        <f>ChartData!AE13</f>
        <v>0</v>
      </c>
      <c r="F48" s="51">
        <f>ChartData!AF13</f>
        <v>100</v>
      </c>
      <c r="G48" s="49">
        <f>ChartData!AG13</f>
        <v>27.653683157894726</v>
      </c>
    </row>
    <row r="49" spans="1:7" x14ac:dyDescent="0.25">
      <c r="A49" s="41">
        <f>ChartData!AA14</f>
        <v>6</v>
      </c>
      <c r="B49" s="47">
        <f>ChartData!AB14</f>
        <v>0</v>
      </c>
      <c r="C49" s="47">
        <f>ChartData!AC14</f>
        <v>8.0904885954025119E-6</v>
      </c>
      <c r="D49" s="47">
        <f>ChartData!AD14</f>
        <v>8.0904885954025119E-6</v>
      </c>
      <c r="E49" s="47">
        <f>ChartData!AE14</f>
        <v>0</v>
      </c>
      <c r="F49" s="51">
        <f>ChartData!AF14</f>
        <v>100</v>
      </c>
      <c r="G49" s="49">
        <f>ChartData!AG14</f>
        <v>32.788230526315793</v>
      </c>
    </row>
    <row r="50" spans="1:7" x14ac:dyDescent="0.25">
      <c r="A50" s="41">
        <f>ChartData!AA15</f>
        <v>6.5</v>
      </c>
      <c r="B50" s="47">
        <f>ChartData!AB15</f>
        <v>0</v>
      </c>
      <c r="C50" s="47">
        <f>ChartData!AC15</f>
        <v>6.5650971936004332E-6</v>
      </c>
      <c r="D50" s="47">
        <f>ChartData!AD15</f>
        <v>6.5650971936004332E-6</v>
      </c>
      <c r="E50" s="47">
        <f>ChartData!AE15</f>
        <v>0</v>
      </c>
      <c r="F50" s="51">
        <f>ChartData!AF15</f>
        <v>100</v>
      </c>
      <c r="G50" s="49">
        <f>ChartData!AG15</f>
        <v>40.563310526315789</v>
      </c>
    </row>
    <row r="51" spans="1:7" x14ac:dyDescent="0.25">
      <c r="A51" s="41">
        <f>ChartData!AA16</f>
        <v>7</v>
      </c>
      <c r="B51" s="47">
        <f>ChartData!AB16</f>
        <v>0</v>
      </c>
      <c r="C51" s="47">
        <f>ChartData!AC16</f>
        <v>-1.2157501228085565E-5</v>
      </c>
      <c r="D51" s="47">
        <f>ChartData!AD16</f>
        <v>0</v>
      </c>
      <c r="E51" s="47">
        <f>ChartData!AE16</f>
        <v>-1.2157501228085565E-5</v>
      </c>
      <c r="F51" s="51">
        <f>ChartData!AF16</f>
        <v>100</v>
      </c>
      <c r="G51" s="49">
        <f>ChartData!AG16</f>
        <v>50.797911578947378</v>
      </c>
    </row>
    <row r="52" spans="1:7" x14ac:dyDescent="0.25">
      <c r="A52" s="41">
        <f>ChartData!AA17</f>
        <v>7.5</v>
      </c>
      <c r="B52" s="47">
        <f>ChartData!AB17</f>
        <v>0</v>
      </c>
      <c r="C52" s="47">
        <f>ChartData!AC17</f>
        <v>-0.13194082337280569</v>
      </c>
      <c r="D52" s="47">
        <f>ChartData!AD17</f>
        <v>0</v>
      </c>
      <c r="E52" s="47">
        <f>ChartData!AE17</f>
        <v>-0.13194082337280569</v>
      </c>
      <c r="F52" s="51">
        <f>ChartData!AF17</f>
        <v>100</v>
      </c>
      <c r="G52" s="49">
        <f>ChartData!AG17</f>
        <v>63.223697894736851</v>
      </c>
    </row>
    <row r="53" spans="1:7" x14ac:dyDescent="0.25">
      <c r="A53" s="41">
        <f>ChartData!AA18</f>
        <v>8</v>
      </c>
      <c r="B53" s="47">
        <f>ChartData!AB18</f>
        <v>0</v>
      </c>
      <c r="C53" s="47">
        <f>ChartData!AC18</f>
        <v>-0.6971556813805293</v>
      </c>
      <c r="D53" s="47">
        <f>ChartData!AD18</f>
        <v>0</v>
      </c>
      <c r="E53" s="47">
        <f>ChartData!AE18</f>
        <v>-0.6971556813805293</v>
      </c>
      <c r="F53" s="51">
        <f>ChartData!AF18</f>
        <v>100</v>
      </c>
      <c r="G53" s="49">
        <f>ChartData!AG18</f>
        <v>76.44060105263155</v>
      </c>
    </row>
    <row r="54" spans="1:7" x14ac:dyDescent="0.25">
      <c r="A54" s="41">
        <f>ChartData!AA19</f>
        <v>8.5</v>
      </c>
      <c r="B54" s="47">
        <f>ChartData!AB19</f>
        <v>0</v>
      </c>
      <c r="C54" s="47">
        <f>ChartData!AC19</f>
        <v>-1.221929014591929</v>
      </c>
      <c r="D54" s="47">
        <f>ChartData!AD19</f>
        <v>0</v>
      </c>
      <c r="E54" s="47">
        <f>ChartData!AE19</f>
        <v>-1.221929014591929</v>
      </c>
      <c r="F54" s="51">
        <f>ChartData!AF19</f>
        <v>100</v>
      </c>
      <c r="G54" s="49">
        <f>ChartData!AG19</f>
        <v>85.654446315789471</v>
      </c>
    </row>
    <row r="55" spans="1:7" x14ac:dyDescent="0.25">
      <c r="A55" s="41">
        <f>ChartData!AA20</f>
        <v>9</v>
      </c>
      <c r="B55" s="47">
        <f>ChartData!AB20</f>
        <v>0</v>
      </c>
      <c r="C55" s="47">
        <f>ChartData!AC20</f>
        <v>-1.5346661961649135</v>
      </c>
      <c r="D55" s="47">
        <f>ChartData!AD20</f>
        <v>0</v>
      </c>
      <c r="E55" s="47">
        <f>ChartData!AE20</f>
        <v>-1.5346661961649135</v>
      </c>
      <c r="F55" s="51">
        <f>ChartData!AF20</f>
        <v>100</v>
      </c>
      <c r="G55" s="49">
        <f>ChartData!AG20</f>
        <v>90.936964210526313</v>
      </c>
    </row>
    <row r="56" spans="1:7" x14ac:dyDescent="0.25">
      <c r="A56" s="41">
        <f>ChartData!AA21</f>
        <v>9.5</v>
      </c>
      <c r="B56" s="47">
        <f>ChartData!AB21</f>
        <v>0</v>
      </c>
      <c r="C56" s="47">
        <f>ChartData!AC21</f>
        <v>-1.7083532451757855</v>
      </c>
      <c r="D56" s="47">
        <f>ChartData!AD21</f>
        <v>0</v>
      </c>
      <c r="E56" s="47">
        <f>ChartData!AE21</f>
        <v>-1.7083532451757855</v>
      </c>
      <c r="F56" s="51">
        <f>ChartData!AF21</f>
        <v>100</v>
      </c>
      <c r="G56" s="49">
        <f>ChartData!AG21</f>
        <v>94.330286315789479</v>
      </c>
    </row>
    <row r="57" spans="1:7" x14ac:dyDescent="0.25">
      <c r="A57" s="41">
        <f>ChartData!AA22</f>
        <v>10</v>
      </c>
      <c r="B57" s="47">
        <f>ChartData!AB22</f>
        <v>0</v>
      </c>
      <c r="C57" s="47">
        <f>ChartData!AC22</f>
        <v>-1.8802640624300015</v>
      </c>
      <c r="D57" s="47">
        <f>ChartData!AD22</f>
        <v>0</v>
      </c>
      <c r="E57" s="47">
        <f>ChartData!AE22</f>
        <v>-1.8802640624300015</v>
      </c>
      <c r="F57" s="51">
        <f>ChartData!AF22</f>
        <v>100</v>
      </c>
      <c r="G57" s="49">
        <f>ChartData!AG22</f>
        <v>96.366255789473698</v>
      </c>
    </row>
    <row r="58" spans="1:7" x14ac:dyDescent="0.25">
      <c r="A58" s="41">
        <f>ChartData!AA23</f>
        <v>10.5</v>
      </c>
      <c r="B58" s="47">
        <f>ChartData!AB23</f>
        <v>0</v>
      </c>
      <c r="C58" s="47">
        <f>ChartData!AC23</f>
        <v>-2.0921631063303501</v>
      </c>
      <c r="D58" s="47">
        <f>ChartData!AD23</f>
        <v>0</v>
      </c>
      <c r="E58" s="47">
        <f>ChartData!AE23</f>
        <v>-2.0921631063303501</v>
      </c>
      <c r="F58" s="51">
        <f>ChartData!AF23</f>
        <v>100</v>
      </c>
      <c r="G58" s="49">
        <f>ChartData!AG23</f>
        <v>97.902461052631594</v>
      </c>
    </row>
    <row r="59" spans="1:7" x14ac:dyDescent="0.25">
      <c r="A59" s="41">
        <f>ChartData!AA24</f>
        <v>11</v>
      </c>
      <c r="B59" s="47">
        <f>ChartData!AB24</f>
        <v>0</v>
      </c>
      <c r="C59" s="47">
        <f>ChartData!AC24</f>
        <v>-2.1270924300605261</v>
      </c>
      <c r="D59" s="47">
        <f>ChartData!AD24</f>
        <v>0</v>
      </c>
      <c r="E59" s="47">
        <f>ChartData!AE24</f>
        <v>-2.1270924300605261</v>
      </c>
      <c r="F59" s="51">
        <f>ChartData!AF24</f>
        <v>100</v>
      </c>
      <c r="G59" s="49">
        <f>ChartData!AG24</f>
        <v>98.591155789473675</v>
      </c>
    </row>
    <row r="60" spans="1:7" x14ac:dyDescent="0.25">
      <c r="A60" s="41">
        <f>ChartData!AA25</f>
        <v>11.5</v>
      </c>
      <c r="B60" s="47">
        <f>ChartData!AB25</f>
        <v>0</v>
      </c>
      <c r="C60" s="47">
        <f>ChartData!AC25</f>
        <v>-2.1907329571038598</v>
      </c>
      <c r="D60" s="47">
        <f>ChartData!AD25</f>
        <v>0</v>
      </c>
      <c r="E60" s="47">
        <f>ChartData!AE25</f>
        <v>-2.1907329571038598</v>
      </c>
      <c r="F60" s="51">
        <f>ChartData!AF25</f>
        <v>100</v>
      </c>
      <c r="G60" s="49">
        <f>ChartData!AG25</f>
        <v>99.528662105263152</v>
      </c>
    </row>
    <row r="61" spans="1:7" x14ac:dyDescent="0.25">
      <c r="A61" s="41">
        <f>ChartData!AA26</f>
        <v>12</v>
      </c>
      <c r="B61" s="47">
        <f>ChartData!AB26</f>
        <v>0</v>
      </c>
      <c r="C61" s="47">
        <f>ChartData!AC26</f>
        <v>-2.2611177030203526</v>
      </c>
      <c r="D61" s="47">
        <f>ChartData!AD26</f>
        <v>0</v>
      </c>
      <c r="E61" s="47">
        <f>ChartData!AE26</f>
        <v>-2.2611177030203526</v>
      </c>
      <c r="F61" s="51">
        <f>ChartData!AF26</f>
        <v>100</v>
      </c>
      <c r="G61" s="49">
        <f>ChartData!AG26</f>
        <v>99.491741052631568</v>
      </c>
    </row>
    <row r="62" spans="1:7" x14ac:dyDescent="0.25">
      <c r="A62" s="41">
        <f>ChartData!AA27</f>
        <v>12.5</v>
      </c>
      <c r="B62" s="47">
        <f>ChartData!AB27</f>
        <v>0</v>
      </c>
      <c r="C62" s="47">
        <f>ChartData!AC27</f>
        <v>-2.218265062978948</v>
      </c>
      <c r="D62" s="47">
        <f>ChartData!AD27</f>
        <v>0</v>
      </c>
      <c r="E62" s="47">
        <f>ChartData!AE27</f>
        <v>-2.218265062978948</v>
      </c>
      <c r="F62" s="51">
        <f>ChartData!AF27</f>
        <v>100</v>
      </c>
      <c r="G62" s="49">
        <f>ChartData!AG27</f>
        <v>99.108356842105266</v>
      </c>
    </row>
    <row r="63" spans="1:7" x14ac:dyDescent="0.25">
      <c r="A63" s="41">
        <f>ChartData!AA28</f>
        <v>13</v>
      </c>
      <c r="B63" s="47">
        <f>ChartData!AB28</f>
        <v>0</v>
      </c>
      <c r="C63" s="47">
        <f>ChartData!AC28</f>
        <v>-2.27054491877281</v>
      </c>
      <c r="D63" s="47">
        <f>ChartData!AD28</f>
        <v>0</v>
      </c>
      <c r="E63" s="47">
        <f>ChartData!AE28</f>
        <v>-2.27054491877281</v>
      </c>
      <c r="F63" s="51">
        <f>ChartData!AF28</f>
        <v>100</v>
      </c>
      <c r="G63" s="49">
        <f>ChartData!AG28</f>
        <v>99.136881052631566</v>
      </c>
    </row>
    <row r="64" spans="1:7" x14ac:dyDescent="0.25">
      <c r="A64" s="41">
        <f>ChartData!AA29</f>
        <v>13.5</v>
      </c>
      <c r="B64" s="47">
        <f>ChartData!AB29</f>
        <v>0</v>
      </c>
      <c r="C64" s="47">
        <f>ChartData!AC29</f>
        <v>-2.182460971345964</v>
      </c>
      <c r="D64" s="47">
        <f>ChartData!AD29</f>
        <v>0</v>
      </c>
      <c r="E64" s="47">
        <f>ChartData!AE29</f>
        <v>-2.182460971345964</v>
      </c>
      <c r="F64" s="51">
        <f>ChartData!AF29</f>
        <v>100</v>
      </c>
      <c r="G64" s="49">
        <f>ChartData!AG29</f>
        <v>99.594821052631573</v>
      </c>
    </row>
    <row r="65" spans="1:7" x14ac:dyDescent="0.25">
      <c r="A65" s="41">
        <f>ChartData!AA30</f>
        <v>14</v>
      </c>
      <c r="B65" s="47">
        <f>ChartData!AB30</f>
        <v>0</v>
      </c>
      <c r="C65" s="47">
        <f>ChartData!AC30</f>
        <v>-2.0335206624233311</v>
      </c>
      <c r="D65" s="47">
        <f>ChartData!AD30</f>
        <v>0</v>
      </c>
      <c r="E65" s="47">
        <f>ChartData!AE30</f>
        <v>-2.0335206624233311</v>
      </c>
      <c r="F65" s="51">
        <f>ChartData!AF30</f>
        <v>100</v>
      </c>
      <c r="G65" s="49">
        <f>ChartData!AG30</f>
        <v>99.784386315789476</v>
      </c>
    </row>
    <row r="66" spans="1:7" x14ac:dyDescent="0.25">
      <c r="A66" s="41">
        <f>ChartData!AA31</f>
        <v>14.5</v>
      </c>
      <c r="B66" s="47">
        <f>ChartData!AB31</f>
        <v>0</v>
      </c>
      <c r="C66" s="47">
        <f>ChartData!AC31</f>
        <v>-1.8987395054256144</v>
      </c>
      <c r="D66" s="47">
        <f>ChartData!AD31</f>
        <v>0</v>
      </c>
      <c r="E66" s="47">
        <f>ChartData!AE31</f>
        <v>-1.8987395054256144</v>
      </c>
      <c r="F66" s="51">
        <f>ChartData!AF31</f>
        <v>100</v>
      </c>
      <c r="G66" s="49">
        <f>ChartData!AG31</f>
        <v>99.80376315789475</v>
      </c>
    </row>
    <row r="67" spans="1:7" x14ac:dyDescent="0.25">
      <c r="A67" s="41">
        <f>ChartData!AA32</f>
        <v>15</v>
      </c>
      <c r="B67" s="47">
        <f>ChartData!AB32</f>
        <v>0</v>
      </c>
      <c r="C67" s="47">
        <f>ChartData!AC32</f>
        <v>-1.7475624284836839</v>
      </c>
      <c r="D67" s="47">
        <f>ChartData!AD32</f>
        <v>0</v>
      </c>
      <c r="E67" s="47">
        <f>ChartData!AE32</f>
        <v>-1.7475624284836839</v>
      </c>
      <c r="F67" s="51">
        <f>ChartData!AF32</f>
        <v>100</v>
      </c>
      <c r="G67" s="49">
        <f>ChartData!AG32</f>
        <v>99.636244210526314</v>
      </c>
    </row>
    <row r="68" spans="1:7" x14ac:dyDescent="0.25">
      <c r="A68" s="41">
        <f>ChartData!AA33</f>
        <v>15.5</v>
      </c>
      <c r="B68" s="47">
        <f>ChartData!AB33</f>
        <v>0</v>
      </c>
      <c r="C68" s="47">
        <f>ChartData!AC33</f>
        <v>-1.5310415766049155</v>
      </c>
      <c r="D68" s="47">
        <f>ChartData!AD33</f>
        <v>0</v>
      </c>
      <c r="E68" s="47">
        <f>ChartData!AE33</f>
        <v>-1.5310415766049155</v>
      </c>
      <c r="F68" s="51">
        <f>ChartData!AF33</f>
        <v>100</v>
      </c>
      <c r="G68" s="49">
        <f>ChartData!AG33</f>
        <v>99.566207368421061</v>
      </c>
    </row>
    <row r="69" spans="1:7" x14ac:dyDescent="0.25">
      <c r="A69" s="41">
        <f>ChartData!AA34</f>
        <v>16</v>
      </c>
      <c r="B69" s="47">
        <f>ChartData!AB34</f>
        <v>0</v>
      </c>
      <c r="C69" s="47">
        <f>ChartData!AC34</f>
        <v>-1.4112038267385951</v>
      </c>
      <c r="D69" s="47">
        <f>ChartData!AD34</f>
        <v>0</v>
      </c>
      <c r="E69" s="47">
        <f>ChartData!AE34</f>
        <v>-1.4112038267385951</v>
      </c>
      <c r="F69" s="51">
        <f>ChartData!AF34</f>
        <v>100</v>
      </c>
      <c r="G69" s="49">
        <f>ChartData!AG34</f>
        <v>99.769125263157918</v>
      </c>
    </row>
    <row r="70" spans="1:7" x14ac:dyDescent="0.25">
      <c r="A70" s="41">
        <f>ChartData!AA35</f>
        <v>16.5</v>
      </c>
      <c r="B70" s="47">
        <f>ChartData!AB35</f>
        <v>0</v>
      </c>
      <c r="C70" s="47">
        <f>ChartData!AC35</f>
        <v>-1.1233693482612281</v>
      </c>
      <c r="D70" s="47">
        <f>ChartData!AD35</f>
        <v>0</v>
      </c>
      <c r="E70" s="47">
        <f>ChartData!AE35</f>
        <v>-1.1233693482612281</v>
      </c>
      <c r="F70" s="51">
        <f>ChartData!AF35</f>
        <v>100</v>
      </c>
      <c r="G70" s="49">
        <f>ChartData!AG35</f>
        <v>99.333614736842108</v>
      </c>
    </row>
    <row r="71" spans="1:7" x14ac:dyDescent="0.25">
      <c r="A71" s="41">
        <f>ChartData!AA36</f>
        <v>17</v>
      </c>
      <c r="B71" s="47">
        <f>ChartData!AB36</f>
        <v>0</v>
      </c>
      <c r="C71" s="47">
        <f>ChartData!AC36</f>
        <v>-0.87862331361140289</v>
      </c>
      <c r="D71" s="47">
        <f>ChartData!AD36</f>
        <v>0</v>
      </c>
      <c r="E71" s="47">
        <f>ChartData!AE36</f>
        <v>-0.87862331361140289</v>
      </c>
      <c r="F71" s="51">
        <f>ChartData!AF36</f>
        <v>100</v>
      </c>
      <c r="G71" s="49">
        <f>ChartData!AG36</f>
        <v>98.893053684210543</v>
      </c>
    </row>
    <row r="72" spans="1:7" x14ac:dyDescent="0.25">
      <c r="A72" s="41">
        <f>ChartData!AA37</f>
        <v>17.5</v>
      </c>
      <c r="B72" s="47">
        <f>ChartData!AB37</f>
        <v>0</v>
      </c>
      <c r="C72" s="47">
        <f>ChartData!AC37</f>
        <v>-0.6388086240935088</v>
      </c>
      <c r="D72" s="47">
        <f>ChartData!AD37</f>
        <v>0</v>
      </c>
      <c r="E72" s="47">
        <f>ChartData!AE37</f>
        <v>-0.6388086240935088</v>
      </c>
      <c r="F72" s="51">
        <f>ChartData!AF37</f>
        <v>100</v>
      </c>
      <c r="G72" s="49">
        <f>ChartData!AG37</f>
        <v>98.914183157894726</v>
      </c>
    </row>
    <row r="73" spans="1:7" x14ac:dyDescent="0.25">
      <c r="A73" s="41">
        <f>ChartData!AA38</f>
        <v>18</v>
      </c>
      <c r="B73" s="47">
        <f>ChartData!AB38</f>
        <v>0</v>
      </c>
      <c r="C73" s="47">
        <f>ChartData!AC38</f>
        <v>-0.41016795032807124</v>
      </c>
      <c r="D73" s="47">
        <f>ChartData!AD38</f>
        <v>0</v>
      </c>
      <c r="E73" s="47">
        <f>ChartData!AE38</f>
        <v>-0.41016795032807124</v>
      </c>
      <c r="F73" s="51">
        <f>ChartData!AF38</f>
        <v>100</v>
      </c>
      <c r="G73" s="49">
        <f>ChartData!AG38</f>
        <v>98.231587368421074</v>
      </c>
    </row>
    <row r="74" spans="1:7" x14ac:dyDescent="0.25">
      <c r="A74" s="41">
        <f>ChartData!AA39</f>
        <v>18.5</v>
      </c>
      <c r="B74" s="47">
        <f>ChartData!AB39</f>
        <v>0</v>
      </c>
      <c r="C74" s="47">
        <f>ChartData!AC39</f>
        <v>-0.22378072898508766</v>
      </c>
      <c r="D74" s="47">
        <f>ChartData!AD39</f>
        <v>0</v>
      </c>
      <c r="E74" s="47">
        <f>ChartData!AE39</f>
        <v>-0.22378072898508766</v>
      </c>
      <c r="F74" s="51">
        <f>ChartData!AF39</f>
        <v>100</v>
      </c>
      <c r="G74" s="49">
        <f>ChartData!AG39</f>
        <v>97.453587368421069</v>
      </c>
    </row>
    <row r="75" spans="1:7" x14ac:dyDescent="0.25">
      <c r="A75" s="41">
        <f>ChartData!AA40</f>
        <v>19</v>
      </c>
      <c r="B75" s="47">
        <f>ChartData!AB40</f>
        <v>0</v>
      </c>
      <c r="C75" s="47">
        <f>ChartData!AC40</f>
        <v>-6.8174170572280507E-2</v>
      </c>
      <c r="D75" s="47">
        <f>ChartData!AD40</f>
        <v>0</v>
      </c>
      <c r="E75" s="47">
        <f>ChartData!AE40</f>
        <v>-6.8174170572280507E-2</v>
      </c>
      <c r="F75" s="51">
        <f>ChartData!AF40</f>
        <v>100</v>
      </c>
      <c r="G75" s="49">
        <f>ChartData!AG40</f>
        <v>96.272210526315817</v>
      </c>
    </row>
    <row r="76" spans="1:7" x14ac:dyDescent="0.25">
      <c r="A76" s="41">
        <f>ChartData!AA41</f>
        <v>19.5</v>
      </c>
      <c r="B76" s="47">
        <f>ChartData!AB41</f>
        <v>0</v>
      </c>
      <c r="C76" s="47">
        <f>ChartData!AC41</f>
        <v>-3.2651141808775486E-3</v>
      </c>
      <c r="D76" s="47">
        <f>ChartData!AD41</f>
        <v>0</v>
      </c>
      <c r="E76" s="47">
        <f>ChartData!AE41</f>
        <v>-3.2651141808775486E-3</v>
      </c>
      <c r="F76" s="51">
        <f>ChartData!AF41</f>
        <v>100</v>
      </c>
      <c r="G76" s="49">
        <f>ChartData!AG41</f>
        <v>93.533335789473711</v>
      </c>
    </row>
    <row r="77" spans="1:7" x14ac:dyDescent="0.25">
      <c r="A77" s="41">
        <f>ChartData!AA42</f>
        <v>20</v>
      </c>
      <c r="B77" s="47">
        <f>ChartData!AB42</f>
        <v>0</v>
      </c>
      <c r="C77" s="47">
        <f>ChartData!AC42</f>
        <v>1.2526122561390407E-4</v>
      </c>
      <c r="D77" s="47">
        <f>ChartData!AD42</f>
        <v>1.2526122561390407E-4</v>
      </c>
      <c r="E77" s="47">
        <f>ChartData!AE42</f>
        <v>0</v>
      </c>
      <c r="F77" s="51">
        <f>ChartData!AF42</f>
        <v>100</v>
      </c>
      <c r="G77" s="49">
        <f>ChartData!AG42</f>
        <v>88.471953684210547</v>
      </c>
    </row>
    <row r="78" spans="1:7" x14ac:dyDescent="0.25">
      <c r="A78" s="41">
        <f>ChartData!AA43</f>
        <v>20.5</v>
      </c>
      <c r="B78" s="47">
        <f>ChartData!AB43</f>
        <v>0</v>
      </c>
      <c r="C78" s="47">
        <f>ChartData!AC43</f>
        <v>5.3239677192983836E-3</v>
      </c>
      <c r="D78" s="47">
        <f>ChartData!AD43</f>
        <v>5.3239677192983836E-3</v>
      </c>
      <c r="E78" s="47">
        <f>ChartData!AE43</f>
        <v>0</v>
      </c>
      <c r="F78" s="51">
        <f>ChartData!AF43</f>
        <v>100</v>
      </c>
      <c r="G78" s="49">
        <f>ChartData!AG43</f>
        <v>83.236728421052646</v>
      </c>
    </row>
    <row r="79" spans="1:7" x14ac:dyDescent="0.25">
      <c r="A79" s="41">
        <f>ChartData!AA44</f>
        <v>21</v>
      </c>
      <c r="B79" s="47">
        <f>ChartData!AB44</f>
        <v>0</v>
      </c>
      <c r="C79" s="47">
        <f>ChartData!AC44</f>
        <v>1.7877645964912481E-2</v>
      </c>
      <c r="D79" s="47">
        <f>ChartData!AD44</f>
        <v>1.7877645964912481E-2</v>
      </c>
      <c r="E79" s="47">
        <f>ChartData!AE44</f>
        <v>0</v>
      </c>
      <c r="F79" s="51">
        <f>ChartData!AF44</f>
        <v>100</v>
      </c>
      <c r="G79" s="49">
        <f>ChartData!AG44</f>
        <v>77.442100000000011</v>
      </c>
    </row>
    <row r="80" spans="1:7" x14ac:dyDescent="0.25">
      <c r="A80" s="41">
        <f>ChartData!AA45</f>
        <v>21.5</v>
      </c>
      <c r="B80" s="47">
        <f>ChartData!AB45</f>
        <v>0</v>
      </c>
      <c r="C80" s="47">
        <f>ChartData!AC45</f>
        <v>3.6852327368421034E-2</v>
      </c>
      <c r="D80" s="47">
        <f>ChartData!AD45</f>
        <v>3.6852327368421034E-2</v>
      </c>
      <c r="E80" s="47">
        <f>ChartData!AE45</f>
        <v>0</v>
      </c>
      <c r="F80" s="51">
        <f>ChartData!AF45</f>
        <v>100</v>
      </c>
      <c r="G80" s="49">
        <f>ChartData!AG45</f>
        <v>71.673122105263161</v>
      </c>
    </row>
    <row r="81" spans="1:7" x14ac:dyDescent="0.25">
      <c r="A81" s="41">
        <f>ChartData!AA46</f>
        <v>22</v>
      </c>
      <c r="B81" s="47">
        <f>ChartData!AB46</f>
        <v>0</v>
      </c>
      <c r="C81" s="47">
        <f>ChartData!AC46</f>
        <v>5.4804642105263202E-2</v>
      </c>
      <c r="D81" s="47">
        <f>ChartData!AD46</f>
        <v>5.4804642105263202E-2</v>
      </c>
      <c r="E81" s="47">
        <f>ChartData!AE46</f>
        <v>0</v>
      </c>
      <c r="F81" s="51">
        <f>ChartData!AF46</f>
        <v>100</v>
      </c>
      <c r="G81" s="49">
        <f>ChartData!AG46</f>
        <v>66.785317894736821</v>
      </c>
    </row>
    <row r="82" spans="1:7" x14ac:dyDescent="0.25">
      <c r="A82" s="41">
        <f>ChartData!AA47</f>
        <v>22.5</v>
      </c>
      <c r="B82" s="47">
        <f>ChartData!AB47</f>
        <v>0</v>
      </c>
      <c r="C82" s="47">
        <f>ChartData!AC47</f>
        <v>5.3238761403508805E-2</v>
      </c>
      <c r="D82" s="47">
        <f>ChartData!AD47</f>
        <v>5.3238761403508805E-2</v>
      </c>
      <c r="E82" s="47">
        <f>ChartData!AE47</f>
        <v>0</v>
      </c>
      <c r="F82" s="51">
        <f>ChartData!AF47</f>
        <v>100</v>
      </c>
      <c r="G82" s="49">
        <f>ChartData!AG47</f>
        <v>62.4182589473684</v>
      </c>
    </row>
    <row r="83" spans="1:7" x14ac:dyDescent="0.25">
      <c r="A83" s="41">
        <f>ChartData!AA48</f>
        <v>23</v>
      </c>
      <c r="B83" s="47">
        <f>ChartData!AB48</f>
        <v>0</v>
      </c>
      <c r="C83" s="47">
        <f>ChartData!AC48</f>
        <v>3.9759337192982358E-2</v>
      </c>
      <c r="D83" s="47">
        <f>ChartData!AD48</f>
        <v>3.9759337192982358E-2</v>
      </c>
      <c r="E83" s="47">
        <f>ChartData!AE48</f>
        <v>0</v>
      </c>
      <c r="F83" s="51">
        <f>ChartData!AF48</f>
        <v>100</v>
      </c>
      <c r="G83" s="49">
        <f>ChartData!AG48</f>
        <v>58.382404210526317</v>
      </c>
    </row>
    <row r="84" spans="1:7" x14ac:dyDescent="0.25">
      <c r="A84" s="42">
        <f>ChartData!AA49</f>
        <v>23.5</v>
      </c>
      <c r="B84" s="48">
        <f>ChartData!AB49</f>
        <v>0</v>
      </c>
      <c r="C84" s="48">
        <f>ChartData!AC49</f>
        <v>3.5562698245614033E-2</v>
      </c>
      <c r="D84" s="48">
        <f>ChartData!AD49</f>
        <v>3.5562698245614033E-2</v>
      </c>
      <c r="E84" s="48">
        <f>ChartData!AE49</f>
        <v>0</v>
      </c>
      <c r="F84" s="52">
        <f>ChartData!AF49</f>
        <v>100</v>
      </c>
      <c r="G84" s="50">
        <f>ChartData!AG49</f>
        <v>55.061211578947365</v>
      </c>
    </row>
  </sheetData>
  <mergeCells count="1">
    <mergeCell ref="A34:M3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6:C74"/>
  <sheetViews>
    <sheetView showGridLines="0" topLeftCell="A14" workbookViewId="0"/>
  </sheetViews>
  <sheetFormatPr defaultRowHeight="15" x14ac:dyDescent="0.25"/>
  <cols>
    <col min="1" max="13" width="13" customWidth="1"/>
  </cols>
  <sheetData>
    <row r="26" spans="1:3" x14ac:dyDescent="0.25">
      <c r="A26" s="38" t="s">
        <v>249</v>
      </c>
      <c r="B26" s="39" t="s">
        <v>274</v>
      </c>
      <c r="C26" s="40" t="s">
        <v>275</v>
      </c>
    </row>
    <row r="27" spans="1:3" x14ac:dyDescent="0.25">
      <c r="A27" s="41">
        <f>ChartData!AA2</f>
        <v>0</v>
      </c>
      <c r="B27" s="47">
        <f>ChartData!AB2</f>
        <v>0</v>
      </c>
      <c r="C27" s="55">
        <f>ChartData!AC2</f>
        <v>9.2912280701684669E-6</v>
      </c>
    </row>
    <row r="28" spans="1:3" x14ac:dyDescent="0.25">
      <c r="A28" s="41">
        <f>ChartData!AA3</f>
        <v>0.5</v>
      </c>
      <c r="B28" s="47">
        <f>ChartData!AB3</f>
        <v>0</v>
      </c>
      <c r="C28" s="55">
        <f>ChartData!AC3</f>
        <v>1.2323578947369407E-3</v>
      </c>
    </row>
    <row r="29" spans="1:3" x14ac:dyDescent="0.25">
      <c r="A29" s="41">
        <f>ChartData!AA4</f>
        <v>1</v>
      </c>
      <c r="B29" s="47">
        <f>ChartData!AB4</f>
        <v>0</v>
      </c>
      <c r="C29" s="55">
        <f>ChartData!AC4</f>
        <v>5.2052284210527544E-3</v>
      </c>
    </row>
    <row r="30" spans="1:3" x14ac:dyDescent="0.25">
      <c r="A30" s="41">
        <f>ChartData!AA5</f>
        <v>1.5</v>
      </c>
      <c r="B30" s="47">
        <f>ChartData!AB5</f>
        <v>0</v>
      </c>
      <c r="C30" s="55">
        <f>ChartData!AC5</f>
        <v>1.0122361403508751E-2</v>
      </c>
    </row>
    <row r="31" spans="1:3" x14ac:dyDescent="0.25">
      <c r="A31" s="41">
        <f>ChartData!AA6</f>
        <v>2</v>
      </c>
      <c r="B31" s="47">
        <f>ChartData!AB6</f>
        <v>0</v>
      </c>
      <c r="C31" s="55">
        <f>ChartData!AC6</f>
        <v>1.0331677192982558E-2</v>
      </c>
    </row>
    <row r="32" spans="1:3" x14ac:dyDescent="0.25">
      <c r="A32" s="41">
        <f>ChartData!AA7</f>
        <v>2.5</v>
      </c>
      <c r="B32" s="47">
        <f>ChartData!AB7</f>
        <v>0</v>
      </c>
      <c r="C32" s="55">
        <f>ChartData!AC7</f>
        <v>1.293604210526314E-2</v>
      </c>
    </row>
    <row r="33" spans="1:3" x14ac:dyDescent="0.25">
      <c r="A33" s="41">
        <f>ChartData!AA8</f>
        <v>3</v>
      </c>
      <c r="B33" s="47">
        <f>ChartData!AB8</f>
        <v>0</v>
      </c>
      <c r="C33" s="55">
        <f>ChartData!AC8</f>
        <v>3.0149354385964847E-2</v>
      </c>
    </row>
    <row r="34" spans="1:3" x14ac:dyDescent="0.25">
      <c r="A34" s="41">
        <f>ChartData!AA9</f>
        <v>3.5</v>
      </c>
      <c r="B34" s="47">
        <f>ChartData!AB9</f>
        <v>0</v>
      </c>
      <c r="C34" s="55">
        <f>ChartData!AC9</f>
        <v>9.695842585613984E-3</v>
      </c>
    </row>
    <row r="35" spans="1:3" x14ac:dyDescent="0.25">
      <c r="A35" s="41">
        <f>ChartData!AA10</f>
        <v>4</v>
      </c>
      <c r="B35" s="47">
        <f>ChartData!AB10</f>
        <v>0</v>
      </c>
      <c r="C35" s="55">
        <f>ChartData!AC10</f>
        <v>9.7156501382457544E-3</v>
      </c>
    </row>
    <row r="36" spans="1:3" x14ac:dyDescent="0.25">
      <c r="A36" s="41">
        <f>ChartData!AA11</f>
        <v>4.5</v>
      </c>
      <c r="B36" s="47">
        <f>ChartData!AB11</f>
        <v>0</v>
      </c>
      <c r="C36" s="55">
        <f>ChartData!AC11</f>
        <v>2.4643972678946875E-3</v>
      </c>
    </row>
    <row r="37" spans="1:3" x14ac:dyDescent="0.25">
      <c r="A37" s="41">
        <f>ChartData!AA12</f>
        <v>5</v>
      </c>
      <c r="B37" s="47">
        <f>ChartData!AB12</f>
        <v>0</v>
      </c>
      <c r="C37" s="55">
        <f>ChartData!AC12</f>
        <v>-7.4582297194015395E-5</v>
      </c>
    </row>
    <row r="38" spans="1:3" x14ac:dyDescent="0.25">
      <c r="A38" s="41">
        <f>ChartData!AA13</f>
        <v>5.5</v>
      </c>
      <c r="B38" s="47">
        <f>ChartData!AB13</f>
        <v>0</v>
      </c>
      <c r="C38" s="55">
        <f>ChartData!AC13</f>
        <v>5.0037949474557308E-5</v>
      </c>
    </row>
    <row r="39" spans="1:3" x14ac:dyDescent="0.25">
      <c r="A39" s="41">
        <f>ChartData!AA14</f>
        <v>6</v>
      </c>
      <c r="B39" s="47">
        <f>ChartData!AB14</f>
        <v>0</v>
      </c>
      <c r="C39" s="55">
        <f>ChartData!AC14</f>
        <v>8.0904885954025119E-6</v>
      </c>
    </row>
    <row r="40" spans="1:3" x14ac:dyDescent="0.25">
      <c r="A40" s="41">
        <f>ChartData!AA15</f>
        <v>6.5</v>
      </c>
      <c r="B40" s="47">
        <f>ChartData!AB15</f>
        <v>0</v>
      </c>
      <c r="C40" s="55">
        <f>ChartData!AC15</f>
        <v>6.5650971936004332E-6</v>
      </c>
    </row>
    <row r="41" spans="1:3" x14ac:dyDescent="0.25">
      <c r="A41" s="41">
        <f>ChartData!AA16</f>
        <v>7</v>
      </c>
      <c r="B41" s="47">
        <f>ChartData!AB16</f>
        <v>0</v>
      </c>
      <c r="C41" s="55">
        <f>ChartData!AC16</f>
        <v>-1.2157501228085565E-5</v>
      </c>
    </row>
    <row r="42" spans="1:3" x14ac:dyDescent="0.25">
      <c r="A42" s="41">
        <f>ChartData!AA17</f>
        <v>7.5</v>
      </c>
      <c r="B42" s="47">
        <f>ChartData!AB17</f>
        <v>0</v>
      </c>
      <c r="C42" s="55">
        <f>ChartData!AC17</f>
        <v>-0.13194082337280569</v>
      </c>
    </row>
    <row r="43" spans="1:3" x14ac:dyDescent="0.25">
      <c r="A43" s="41">
        <f>ChartData!AA18</f>
        <v>8</v>
      </c>
      <c r="B43" s="47">
        <f>ChartData!AB18</f>
        <v>0</v>
      </c>
      <c r="C43" s="55">
        <f>ChartData!AC18</f>
        <v>-0.6971556813805293</v>
      </c>
    </row>
    <row r="44" spans="1:3" x14ac:dyDescent="0.25">
      <c r="A44" s="41">
        <f>ChartData!AA19</f>
        <v>8.5</v>
      </c>
      <c r="B44" s="47">
        <f>ChartData!AB19</f>
        <v>0</v>
      </c>
      <c r="C44" s="55">
        <f>ChartData!AC19</f>
        <v>-1.221929014591929</v>
      </c>
    </row>
    <row r="45" spans="1:3" x14ac:dyDescent="0.25">
      <c r="A45" s="41">
        <f>ChartData!AA20</f>
        <v>9</v>
      </c>
      <c r="B45" s="47">
        <f>ChartData!AB20</f>
        <v>0</v>
      </c>
      <c r="C45" s="55">
        <f>ChartData!AC20</f>
        <v>-1.5346661961649135</v>
      </c>
    </row>
    <row r="46" spans="1:3" x14ac:dyDescent="0.25">
      <c r="A46" s="41">
        <f>ChartData!AA21</f>
        <v>9.5</v>
      </c>
      <c r="B46" s="47">
        <f>ChartData!AB21</f>
        <v>0</v>
      </c>
      <c r="C46" s="55">
        <f>ChartData!AC21</f>
        <v>-1.7083532451757855</v>
      </c>
    </row>
    <row r="47" spans="1:3" x14ac:dyDescent="0.25">
      <c r="A47" s="41">
        <f>ChartData!AA22</f>
        <v>10</v>
      </c>
      <c r="B47" s="47">
        <f>ChartData!AB22</f>
        <v>0</v>
      </c>
      <c r="C47" s="55">
        <f>ChartData!AC22</f>
        <v>-1.8802640624300015</v>
      </c>
    </row>
    <row r="48" spans="1:3" x14ac:dyDescent="0.25">
      <c r="A48" s="41">
        <f>ChartData!AA23</f>
        <v>10.5</v>
      </c>
      <c r="B48" s="47">
        <f>ChartData!AB23</f>
        <v>0</v>
      </c>
      <c r="C48" s="55">
        <f>ChartData!AC23</f>
        <v>-2.0921631063303501</v>
      </c>
    </row>
    <row r="49" spans="1:3" x14ac:dyDescent="0.25">
      <c r="A49" s="41">
        <f>ChartData!AA24</f>
        <v>11</v>
      </c>
      <c r="B49" s="47">
        <f>ChartData!AB24</f>
        <v>0</v>
      </c>
      <c r="C49" s="55">
        <f>ChartData!AC24</f>
        <v>-2.1270924300605261</v>
      </c>
    </row>
    <row r="50" spans="1:3" x14ac:dyDescent="0.25">
      <c r="A50" s="41">
        <f>ChartData!AA25</f>
        <v>11.5</v>
      </c>
      <c r="B50" s="47">
        <f>ChartData!AB25</f>
        <v>0</v>
      </c>
      <c r="C50" s="55">
        <f>ChartData!AC25</f>
        <v>-2.1907329571038598</v>
      </c>
    </row>
    <row r="51" spans="1:3" x14ac:dyDescent="0.25">
      <c r="A51" s="41">
        <f>ChartData!AA26</f>
        <v>12</v>
      </c>
      <c r="B51" s="47">
        <f>ChartData!AB26</f>
        <v>0</v>
      </c>
      <c r="C51" s="55">
        <f>ChartData!AC26</f>
        <v>-2.2611177030203526</v>
      </c>
    </row>
    <row r="52" spans="1:3" x14ac:dyDescent="0.25">
      <c r="A52" s="41">
        <f>ChartData!AA27</f>
        <v>12.5</v>
      </c>
      <c r="B52" s="47">
        <f>ChartData!AB27</f>
        <v>0</v>
      </c>
      <c r="C52" s="55">
        <f>ChartData!AC27</f>
        <v>-2.218265062978948</v>
      </c>
    </row>
    <row r="53" spans="1:3" x14ac:dyDescent="0.25">
      <c r="A53" s="41">
        <f>ChartData!AA28</f>
        <v>13</v>
      </c>
      <c r="B53" s="47">
        <f>ChartData!AB28</f>
        <v>0</v>
      </c>
      <c r="C53" s="55">
        <f>ChartData!AC28</f>
        <v>-2.27054491877281</v>
      </c>
    </row>
    <row r="54" spans="1:3" x14ac:dyDescent="0.25">
      <c r="A54" s="41">
        <f>ChartData!AA29</f>
        <v>13.5</v>
      </c>
      <c r="B54" s="47">
        <f>ChartData!AB29</f>
        <v>0</v>
      </c>
      <c r="C54" s="55">
        <f>ChartData!AC29</f>
        <v>-2.182460971345964</v>
      </c>
    </row>
    <row r="55" spans="1:3" x14ac:dyDescent="0.25">
      <c r="A55" s="41">
        <f>ChartData!AA30</f>
        <v>14</v>
      </c>
      <c r="B55" s="47">
        <f>ChartData!AB30</f>
        <v>0</v>
      </c>
      <c r="C55" s="55">
        <f>ChartData!AC30</f>
        <v>-2.0335206624233311</v>
      </c>
    </row>
    <row r="56" spans="1:3" x14ac:dyDescent="0.25">
      <c r="A56" s="41">
        <f>ChartData!AA31</f>
        <v>14.5</v>
      </c>
      <c r="B56" s="47">
        <f>ChartData!AB31</f>
        <v>0</v>
      </c>
      <c r="C56" s="55">
        <f>ChartData!AC31</f>
        <v>-1.8987395054256144</v>
      </c>
    </row>
    <row r="57" spans="1:3" x14ac:dyDescent="0.25">
      <c r="A57" s="41">
        <f>ChartData!AA32</f>
        <v>15</v>
      </c>
      <c r="B57" s="47">
        <f>ChartData!AB32</f>
        <v>0</v>
      </c>
      <c r="C57" s="55">
        <f>ChartData!AC32</f>
        <v>-1.7475624284836839</v>
      </c>
    </row>
    <row r="58" spans="1:3" x14ac:dyDescent="0.25">
      <c r="A58" s="41">
        <f>ChartData!AA33</f>
        <v>15.5</v>
      </c>
      <c r="B58" s="47">
        <f>ChartData!AB33</f>
        <v>0</v>
      </c>
      <c r="C58" s="55">
        <f>ChartData!AC33</f>
        <v>-1.5310415766049155</v>
      </c>
    </row>
    <row r="59" spans="1:3" x14ac:dyDescent="0.25">
      <c r="A59" s="41">
        <f>ChartData!AA34</f>
        <v>16</v>
      </c>
      <c r="B59" s="47">
        <f>ChartData!AB34</f>
        <v>0</v>
      </c>
      <c r="C59" s="55">
        <f>ChartData!AC34</f>
        <v>-1.4112038267385951</v>
      </c>
    </row>
    <row r="60" spans="1:3" x14ac:dyDescent="0.25">
      <c r="A60" s="41">
        <f>ChartData!AA35</f>
        <v>16.5</v>
      </c>
      <c r="B60" s="47">
        <f>ChartData!AB35</f>
        <v>0</v>
      </c>
      <c r="C60" s="55">
        <f>ChartData!AC35</f>
        <v>-1.1233693482612281</v>
      </c>
    </row>
    <row r="61" spans="1:3" x14ac:dyDescent="0.25">
      <c r="A61" s="41">
        <f>ChartData!AA36</f>
        <v>17</v>
      </c>
      <c r="B61" s="47">
        <f>ChartData!AB36</f>
        <v>0</v>
      </c>
      <c r="C61" s="55">
        <f>ChartData!AC36</f>
        <v>-0.87862331361140289</v>
      </c>
    </row>
    <row r="62" spans="1:3" x14ac:dyDescent="0.25">
      <c r="A62" s="41">
        <f>ChartData!AA37</f>
        <v>17.5</v>
      </c>
      <c r="B62" s="47">
        <f>ChartData!AB37</f>
        <v>0</v>
      </c>
      <c r="C62" s="55">
        <f>ChartData!AC37</f>
        <v>-0.6388086240935088</v>
      </c>
    </row>
    <row r="63" spans="1:3" x14ac:dyDescent="0.25">
      <c r="A63" s="41">
        <f>ChartData!AA38</f>
        <v>18</v>
      </c>
      <c r="B63" s="47">
        <f>ChartData!AB38</f>
        <v>0</v>
      </c>
      <c r="C63" s="55">
        <f>ChartData!AC38</f>
        <v>-0.41016795032807124</v>
      </c>
    </row>
    <row r="64" spans="1:3" x14ac:dyDescent="0.25">
      <c r="A64" s="41">
        <f>ChartData!AA39</f>
        <v>18.5</v>
      </c>
      <c r="B64" s="47">
        <f>ChartData!AB39</f>
        <v>0</v>
      </c>
      <c r="C64" s="55">
        <f>ChartData!AC39</f>
        <v>-0.22378072898508766</v>
      </c>
    </row>
    <row r="65" spans="1:3" x14ac:dyDescent="0.25">
      <c r="A65" s="41">
        <f>ChartData!AA40</f>
        <v>19</v>
      </c>
      <c r="B65" s="47">
        <f>ChartData!AB40</f>
        <v>0</v>
      </c>
      <c r="C65" s="55">
        <f>ChartData!AC40</f>
        <v>-6.8174170572280507E-2</v>
      </c>
    </row>
    <row r="66" spans="1:3" x14ac:dyDescent="0.25">
      <c r="A66" s="41">
        <f>ChartData!AA41</f>
        <v>19.5</v>
      </c>
      <c r="B66" s="47">
        <f>ChartData!AB41</f>
        <v>0</v>
      </c>
      <c r="C66" s="55">
        <f>ChartData!AC41</f>
        <v>-3.2651141808775486E-3</v>
      </c>
    </row>
    <row r="67" spans="1:3" x14ac:dyDescent="0.25">
      <c r="A67" s="41">
        <f>ChartData!AA42</f>
        <v>20</v>
      </c>
      <c r="B67" s="47">
        <f>ChartData!AB42</f>
        <v>0</v>
      </c>
      <c r="C67" s="55">
        <f>ChartData!AC42</f>
        <v>1.2526122561390407E-4</v>
      </c>
    </row>
    <row r="68" spans="1:3" x14ac:dyDescent="0.25">
      <c r="A68" s="41">
        <f>ChartData!AA43</f>
        <v>20.5</v>
      </c>
      <c r="B68" s="47">
        <f>ChartData!AB43</f>
        <v>0</v>
      </c>
      <c r="C68" s="55">
        <f>ChartData!AC43</f>
        <v>5.3239677192983836E-3</v>
      </c>
    </row>
    <row r="69" spans="1:3" x14ac:dyDescent="0.25">
      <c r="A69" s="41">
        <f>ChartData!AA44</f>
        <v>21</v>
      </c>
      <c r="B69" s="47">
        <f>ChartData!AB44</f>
        <v>0</v>
      </c>
      <c r="C69" s="55">
        <f>ChartData!AC44</f>
        <v>1.7877645964912481E-2</v>
      </c>
    </row>
    <row r="70" spans="1:3" x14ac:dyDescent="0.25">
      <c r="A70" s="41">
        <f>ChartData!AA45</f>
        <v>21.5</v>
      </c>
      <c r="B70" s="47">
        <f>ChartData!AB45</f>
        <v>0</v>
      </c>
      <c r="C70" s="55">
        <f>ChartData!AC45</f>
        <v>3.6852327368421034E-2</v>
      </c>
    </row>
    <row r="71" spans="1:3" x14ac:dyDescent="0.25">
      <c r="A71" s="41">
        <f>ChartData!AA46</f>
        <v>22</v>
      </c>
      <c r="B71" s="47">
        <f>ChartData!AB46</f>
        <v>0</v>
      </c>
      <c r="C71" s="55">
        <f>ChartData!AC46</f>
        <v>5.4804642105263202E-2</v>
      </c>
    </row>
    <row r="72" spans="1:3" x14ac:dyDescent="0.25">
      <c r="A72" s="41">
        <f>ChartData!AA47</f>
        <v>22.5</v>
      </c>
      <c r="B72" s="47">
        <f>ChartData!AB47</f>
        <v>0</v>
      </c>
      <c r="C72" s="55">
        <f>ChartData!AC47</f>
        <v>5.3238761403508805E-2</v>
      </c>
    </row>
    <row r="73" spans="1:3" x14ac:dyDescent="0.25">
      <c r="A73" s="41">
        <f>ChartData!AA48</f>
        <v>23</v>
      </c>
      <c r="B73" s="47">
        <f>ChartData!AB48</f>
        <v>0</v>
      </c>
      <c r="C73" s="55">
        <f>ChartData!AC48</f>
        <v>3.9759337192982358E-2</v>
      </c>
    </row>
    <row r="74" spans="1:3" x14ac:dyDescent="0.25">
      <c r="A74" s="42">
        <f>ChartData!AA49</f>
        <v>23.5</v>
      </c>
      <c r="B74" s="48">
        <f>ChartData!AB49</f>
        <v>0</v>
      </c>
      <c r="C74" s="56">
        <f>ChartData!AC49</f>
        <v>3.5562698245614033E-2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85"/>
  <sheetViews>
    <sheetView showGridLines="0" tabSelected="1" workbookViewId="0">
      <selection sqref="A1:M1"/>
    </sheetView>
  </sheetViews>
  <sheetFormatPr defaultRowHeight="15" x14ac:dyDescent="0.25"/>
  <cols>
    <col min="1" max="13" width="13" customWidth="1"/>
  </cols>
  <sheetData>
    <row r="1" spans="1:13" ht="27.95" customHeight="1" x14ac:dyDescent="0.25">
      <c r="A1" s="93" t="s">
        <v>276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37" spans="1:5" x14ac:dyDescent="0.25">
      <c r="A37" s="38" t="s">
        <v>249</v>
      </c>
      <c r="B37" s="39" t="s">
        <v>277</v>
      </c>
      <c r="C37" s="39" t="s">
        <v>278</v>
      </c>
      <c r="D37" s="39" t="s">
        <v>253</v>
      </c>
      <c r="E37" s="40" t="s">
        <v>279</v>
      </c>
    </row>
    <row r="38" spans="1:5" x14ac:dyDescent="0.25">
      <c r="A38" s="41">
        <f>ChartData!T2</f>
        <v>0</v>
      </c>
      <c r="B38" s="47">
        <f>ChartData!U2</f>
        <v>0.23729350175438593</v>
      </c>
      <c r="C38" s="47">
        <f>ChartData!V2</f>
        <v>0</v>
      </c>
      <c r="D38" s="47">
        <f>ChartData!W2</f>
        <v>0</v>
      </c>
      <c r="E38" s="55">
        <f>ChartData!X2</f>
        <v>0.23728421052631576</v>
      </c>
    </row>
    <row r="39" spans="1:5" x14ac:dyDescent="0.25">
      <c r="A39" s="41">
        <f>ChartData!T3</f>
        <v>0.5</v>
      </c>
      <c r="B39" s="47">
        <f>ChartData!U3</f>
        <v>0.21140077894736845</v>
      </c>
      <c r="C39" s="47">
        <f>ChartData!V3</f>
        <v>0</v>
      </c>
      <c r="D39" s="47">
        <f>ChartData!W3</f>
        <v>0</v>
      </c>
      <c r="E39" s="55">
        <f>ChartData!X3</f>
        <v>0.2101684210526315</v>
      </c>
    </row>
    <row r="40" spans="1:5" x14ac:dyDescent="0.25">
      <c r="A40" s="41">
        <f>ChartData!T4</f>
        <v>1</v>
      </c>
      <c r="B40" s="47">
        <f>ChartData!U4</f>
        <v>0.15961575473684222</v>
      </c>
      <c r="C40" s="47">
        <f>ChartData!V4</f>
        <v>0</v>
      </c>
      <c r="D40" s="47">
        <f>ChartData!W4</f>
        <v>0</v>
      </c>
      <c r="E40" s="55">
        <f>ChartData!X4</f>
        <v>0.15441052631578947</v>
      </c>
    </row>
    <row r="41" spans="1:5" x14ac:dyDescent="0.25">
      <c r="A41" s="41">
        <f>ChartData!T5</f>
        <v>1.5</v>
      </c>
      <c r="B41" s="47">
        <f>ChartData!U5</f>
        <v>0.13979604561403511</v>
      </c>
      <c r="C41" s="47">
        <f>ChartData!V5</f>
        <v>0</v>
      </c>
      <c r="D41" s="47">
        <f>ChartData!W5</f>
        <v>0</v>
      </c>
      <c r="E41" s="55">
        <f>ChartData!X5</f>
        <v>0.12967368421052636</v>
      </c>
    </row>
    <row r="42" spans="1:5" x14ac:dyDescent="0.25">
      <c r="A42" s="41">
        <f>ChartData!T6</f>
        <v>2</v>
      </c>
      <c r="B42" s="47">
        <f>ChartData!U6</f>
        <v>0.13803694035087724</v>
      </c>
      <c r="C42" s="47">
        <f>ChartData!V6</f>
        <v>0</v>
      </c>
      <c r="D42" s="47">
        <f>ChartData!W6</f>
        <v>0</v>
      </c>
      <c r="E42" s="55">
        <f>ChartData!X6</f>
        <v>0.12770526315789468</v>
      </c>
    </row>
    <row r="43" spans="1:5" x14ac:dyDescent="0.25">
      <c r="A43" s="41">
        <f>ChartData!T7</f>
        <v>2.5</v>
      </c>
      <c r="B43" s="47">
        <f>ChartData!U7</f>
        <v>0.13469393684210529</v>
      </c>
      <c r="C43" s="47">
        <f>ChartData!V7</f>
        <v>0</v>
      </c>
      <c r="D43" s="47">
        <f>ChartData!W7</f>
        <v>0</v>
      </c>
      <c r="E43" s="55">
        <f>ChartData!X7</f>
        <v>0.12175789473684215</v>
      </c>
    </row>
    <row r="44" spans="1:5" x14ac:dyDescent="0.25">
      <c r="A44" s="41">
        <f>ChartData!T8</f>
        <v>3</v>
      </c>
      <c r="B44" s="47">
        <f>ChartData!U8</f>
        <v>0.1310651438596491</v>
      </c>
      <c r="C44" s="47">
        <f>ChartData!V8</f>
        <v>0</v>
      </c>
      <c r="D44" s="47">
        <f>ChartData!W8</f>
        <v>0</v>
      </c>
      <c r="E44" s="55">
        <f>ChartData!X8</f>
        <v>0.10091578947368425</v>
      </c>
    </row>
    <row r="45" spans="1:5" x14ac:dyDescent="0.25">
      <c r="A45" s="41">
        <f>ChartData!T9</f>
        <v>3.5</v>
      </c>
      <c r="B45" s="47">
        <f>ChartData!U9</f>
        <v>0.12422709473684207</v>
      </c>
      <c r="C45" s="47">
        <f>ChartData!V9</f>
        <v>2.6575679407017565E-3</v>
      </c>
      <c r="D45" s="47">
        <f>ChartData!W9</f>
        <v>0</v>
      </c>
      <c r="E45" s="55">
        <f>ChartData!X9</f>
        <v>0.11187368421052633</v>
      </c>
    </row>
    <row r="46" spans="1:5" x14ac:dyDescent="0.25">
      <c r="A46" s="41">
        <f>ChartData!T10</f>
        <v>4</v>
      </c>
      <c r="B46" s="47">
        <f>ChartData!U10</f>
        <v>0.12011074385964916</v>
      </c>
      <c r="C46" s="47">
        <f>ChartData!V10</f>
        <v>3.8413351469824469E-2</v>
      </c>
      <c r="D46" s="47">
        <f>ChartData!W10</f>
        <v>5.3684210526315794E-4</v>
      </c>
      <c r="E46" s="55">
        <f>ChartData!X10</f>
        <v>7.2518584356842095E-2</v>
      </c>
    </row>
    <row r="47" spans="1:5" x14ac:dyDescent="0.25">
      <c r="A47" s="41">
        <f>ChartData!T11</f>
        <v>4.5</v>
      </c>
      <c r="B47" s="47">
        <f>ChartData!U11</f>
        <v>0.10826528947368423</v>
      </c>
      <c r="C47" s="47">
        <f>ChartData!V11</f>
        <v>0.17963247115315797</v>
      </c>
      <c r="D47" s="47">
        <f>ChartData!W11</f>
        <v>8.6557894736842111E-2</v>
      </c>
      <c r="E47" s="55">
        <f>ChartData!X11</f>
        <v>1.2726315789473681E-2</v>
      </c>
    </row>
    <row r="48" spans="1:5" x14ac:dyDescent="0.25">
      <c r="A48" s="41">
        <f>ChartData!T12</f>
        <v>5</v>
      </c>
      <c r="B48" s="47">
        <f>ChartData!U12</f>
        <v>0.11527114035087722</v>
      </c>
      <c r="C48" s="47">
        <f>ChartData!V12</f>
        <v>0.35632467001649226</v>
      </c>
      <c r="D48" s="47">
        <f>ChartData!W12</f>
        <v>0.24218947368421051</v>
      </c>
      <c r="E48" s="55">
        <f>ChartData!X12</f>
        <v>1.2105263157894737E-3</v>
      </c>
    </row>
    <row r="49" spans="1:5" x14ac:dyDescent="0.25">
      <c r="A49" s="41">
        <f>ChartData!T13</f>
        <v>5.5</v>
      </c>
      <c r="B49" s="47">
        <f>ChartData!U13</f>
        <v>0.11836402771929823</v>
      </c>
      <c r="C49" s="47">
        <f>ChartData!V13</f>
        <v>0.57298767398035</v>
      </c>
      <c r="D49" s="47">
        <f>ChartData!W13</f>
        <v>0.45467368421052634</v>
      </c>
      <c r="E49" s="55">
        <f>ChartData!X13</f>
        <v>0</v>
      </c>
    </row>
    <row r="50" spans="1:5" x14ac:dyDescent="0.25">
      <c r="A50" s="41">
        <f>ChartData!T14</f>
        <v>6</v>
      </c>
      <c r="B50" s="47">
        <f>ChartData!U14</f>
        <v>0.12095574035087721</v>
      </c>
      <c r="C50" s="47">
        <f>ChartData!V14</f>
        <v>0.80937922880965019</v>
      </c>
      <c r="D50" s="47">
        <f>ChartData!W14</f>
        <v>0.68843157894736839</v>
      </c>
      <c r="E50" s="55">
        <f>ChartData!X14</f>
        <v>0</v>
      </c>
    </row>
    <row r="51" spans="1:5" x14ac:dyDescent="0.25">
      <c r="A51" s="41">
        <f>ChartData!T15</f>
        <v>6.5</v>
      </c>
      <c r="B51" s="47">
        <f>ChartData!U15</f>
        <v>0.14136717754385972</v>
      </c>
      <c r="C51" s="47">
        <f>ChartData!V15</f>
        <v>1.0486764019203503</v>
      </c>
      <c r="D51" s="47">
        <f>ChartData!W15</f>
        <v>0.9173684210526315</v>
      </c>
      <c r="E51" s="55">
        <f>ChartData!X15</f>
        <v>1.0052631578947369E-2</v>
      </c>
    </row>
    <row r="52" spans="1:5" x14ac:dyDescent="0.25">
      <c r="A52" s="41">
        <f>ChartData!T16</f>
        <v>7</v>
      </c>
      <c r="B52" s="47">
        <f>ChartData!U16</f>
        <v>0.18459600035087706</v>
      </c>
      <c r="C52" s="47">
        <f>ChartData!V16</f>
        <v>1.2867344736415796</v>
      </c>
      <c r="D52" s="47">
        <f>ChartData!W16</f>
        <v>1.1195157894736849</v>
      </c>
      <c r="E52" s="55">
        <f>ChartData!X16</f>
        <v>1.7389473684210524E-2</v>
      </c>
    </row>
    <row r="53" spans="1:5" x14ac:dyDescent="0.25">
      <c r="A53" s="41">
        <f>ChartData!T17</f>
        <v>7.5</v>
      </c>
      <c r="B53" s="47">
        <f>ChartData!U17</f>
        <v>0.2206401171929826</v>
      </c>
      <c r="C53" s="47">
        <f>ChartData!V17</f>
        <v>1.5251388353026305</v>
      </c>
      <c r="D53" s="47">
        <f>ChartData!W17</f>
        <v>1.1933157894736843</v>
      </c>
      <c r="E53" s="55">
        <f>ChartData!X17</f>
        <v>2.0757894736842104E-2</v>
      </c>
    </row>
    <row r="54" spans="1:5" x14ac:dyDescent="0.25">
      <c r="A54" s="41">
        <f>ChartData!T18</f>
        <v>8</v>
      </c>
      <c r="B54" s="47">
        <f>ChartData!U18</f>
        <v>0.23541452491228074</v>
      </c>
      <c r="C54" s="47">
        <f>ChartData!V18</f>
        <v>1.7488965220822839</v>
      </c>
      <c r="D54" s="47">
        <f>ChartData!W18</f>
        <v>0.82097894736842114</v>
      </c>
      <c r="E54" s="55">
        <f>ChartData!X18</f>
        <v>4.6526315789473683E-3</v>
      </c>
    </row>
    <row r="55" spans="1:5" x14ac:dyDescent="0.25">
      <c r="A55" s="41">
        <f>ChartData!T19</f>
        <v>8.5</v>
      </c>
      <c r="B55" s="47">
        <f>ChartData!U19</f>
        <v>0.26946848280701746</v>
      </c>
      <c r="C55" s="47">
        <f>ChartData!V19</f>
        <v>1.9592290763463152</v>
      </c>
      <c r="D55" s="47">
        <f>ChartData!W19</f>
        <v>0.46883157894736843</v>
      </c>
      <c r="E55" s="55">
        <f>ChartData!X19</f>
        <v>1E-3</v>
      </c>
    </row>
    <row r="56" spans="1:5" x14ac:dyDescent="0.25">
      <c r="A56" s="41">
        <f>ChartData!T20</f>
        <v>9</v>
      </c>
      <c r="B56" s="47">
        <f>ChartData!U20</f>
        <v>0.30232556421052631</v>
      </c>
      <c r="C56" s="47">
        <f>ChartData!V20</f>
        <v>2.1383601814280713</v>
      </c>
      <c r="D56" s="47">
        <f>ChartData!W20</f>
        <v>0.30967368421052627</v>
      </c>
      <c r="E56" s="55">
        <f>ChartData!X20</f>
        <v>8.3052631578947374E-3</v>
      </c>
    </row>
    <row r="57" spans="1:5" x14ac:dyDescent="0.25">
      <c r="A57" s="41">
        <f>ChartData!T21</f>
        <v>9.5</v>
      </c>
      <c r="B57" s="47">
        <f>ChartData!U21</f>
        <v>0.39961920140350882</v>
      </c>
      <c r="C57" s="47">
        <f>ChartData!V21</f>
        <v>2.2911408676319258</v>
      </c>
      <c r="D57" s="47">
        <f>ChartData!W21</f>
        <v>0.20947368421052634</v>
      </c>
      <c r="E57" s="55">
        <f>ChartData!X21</f>
        <v>2.6305263157894738E-2</v>
      </c>
    </row>
    <row r="58" spans="1:5" x14ac:dyDescent="0.25">
      <c r="A58" s="41">
        <f>ChartData!T22</f>
        <v>10</v>
      </c>
      <c r="B58" s="47">
        <f>ChartData!U22</f>
        <v>0.40710600280701753</v>
      </c>
      <c r="C58" s="47">
        <f>ChartData!V22</f>
        <v>2.4252437494475454</v>
      </c>
      <c r="D58" s="47">
        <f>ChartData!W22</f>
        <v>0.15412631578947367</v>
      </c>
      <c r="E58" s="55">
        <f>ChartData!X22</f>
        <v>1.6252631578947369E-2</v>
      </c>
    </row>
    <row r="59" spans="1:5" x14ac:dyDescent="0.25">
      <c r="A59" s="41">
        <f>ChartData!T23</f>
        <v>10.5</v>
      </c>
      <c r="B59" s="47">
        <f>ChartData!U23</f>
        <v>0.38128440175438588</v>
      </c>
      <c r="C59" s="47">
        <f>ChartData!V23</f>
        <v>2.535921192295262</v>
      </c>
      <c r="D59" s="47">
        <f>ChartData!W23</f>
        <v>7.6042105263157911E-2</v>
      </c>
      <c r="E59" s="55">
        <f>ChartData!X23</f>
        <v>1.356842105263158E-2</v>
      </c>
    </row>
    <row r="60" spans="1:5" x14ac:dyDescent="0.25">
      <c r="A60" s="41">
        <f>ChartData!T24</f>
        <v>11</v>
      </c>
      <c r="B60" s="47">
        <f>ChartData!U24</f>
        <v>0.40429446701754373</v>
      </c>
      <c r="C60" s="47">
        <f>ChartData!V24</f>
        <v>2.6144500549728065</v>
      </c>
      <c r="D60" s="47">
        <f>ChartData!W24</f>
        <v>8.3673684210526317E-2</v>
      </c>
      <c r="E60" s="55">
        <f>ChartData!X24</f>
        <v>6.1052631578947369E-4</v>
      </c>
    </row>
    <row r="61" spans="1:5" x14ac:dyDescent="0.25">
      <c r="A61" s="41">
        <f>ChartData!T25</f>
        <v>11.5</v>
      </c>
      <c r="B61" s="47">
        <f>ChartData!U25</f>
        <v>0.4586086982456139</v>
      </c>
      <c r="C61" s="47">
        <f>ChartData!V25</f>
        <v>2.6488890237705265</v>
      </c>
      <c r="D61" s="47">
        <f>ChartData!W25</f>
        <v>2.4915789473684211E-2</v>
      </c>
      <c r="E61" s="55">
        <f>ChartData!X25</f>
        <v>2.5368421052631582E-2</v>
      </c>
    </row>
    <row r="62" spans="1:5" x14ac:dyDescent="0.25">
      <c r="A62" s="41">
        <f>ChartData!T26</f>
        <v>12</v>
      </c>
      <c r="B62" s="47">
        <f>ChartData!U26</f>
        <v>0.42806195508771944</v>
      </c>
      <c r="C62" s="47">
        <f>ChartData!V26</f>
        <v>2.6588638686343882</v>
      </c>
      <c r="D62" s="47">
        <f>ChartData!W26</f>
        <v>2.4210526315789475E-3</v>
      </c>
      <c r="E62" s="55">
        <f>ChartData!X26</f>
        <v>3.2736842105263154E-2</v>
      </c>
    </row>
    <row r="63" spans="1:5" x14ac:dyDescent="0.25">
      <c r="A63" s="41">
        <f>ChartData!T27</f>
        <v>12.5</v>
      </c>
      <c r="B63" s="47">
        <f>ChartData!U27</f>
        <v>0.41766496526315766</v>
      </c>
      <c r="C63" s="47">
        <f>ChartData!V27</f>
        <v>2.6402037124526321</v>
      </c>
      <c r="D63" s="47">
        <f>ChartData!W27</f>
        <v>1.9957894736842105E-2</v>
      </c>
      <c r="E63" s="55">
        <f>ChartData!X27</f>
        <v>1.568421052631579E-2</v>
      </c>
    </row>
    <row r="64" spans="1:5" x14ac:dyDescent="0.25">
      <c r="A64" s="41">
        <f>ChartData!T28</f>
        <v>13</v>
      </c>
      <c r="B64" s="47">
        <f>ChartData!U28</f>
        <v>0.26613932982456151</v>
      </c>
      <c r="C64" s="47">
        <f>ChartData!V28</f>
        <v>2.5775158275447398</v>
      </c>
      <c r="D64" s="47">
        <f>ChartData!W28</f>
        <v>4.3505263157894734E-2</v>
      </c>
      <c r="E64" s="55">
        <f>ChartData!X28</f>
        <v>2.673684210526316E-3</v>
      </c>
    </row>
    <row r="65" spans="1:5" x14ac:dyDescent="0.25">
      <c r="A65" s="41">
        <f>ChartData!T29</f>
        <v>13.5</v>
      </c>
      <c r="B65" s="47">
        <f>ChartData!U29</f>
        <v>0.28218541052631596</v>
      </c>
      <c r="C65" s="47">
        <f>ChartData!V29</f>
        <v>2.4818779608196482</v>
      </c>
      <c r="D65" s="47">
        <f>ChartData!W29</f>
        <v>2.1294736842105266E-2</v>
      </c>
      <c r="E65" s="55">
        <f>ChartData!X29</f>
        <v>4.0631578947368423E-3</v>
      </c>
    </row>
    <row r="66" spans="1:5" x14ac:dyDescent="0.25">
      <c r="A66" s="41">
        <f>ChartData!T30</f>
        <v>14</v>
      </c>
      <c r="B66" s="47">
        <f>ChartData!U30</f>
        <v>0.33113872350877183</v>
      </c>
      <c r="C66" s="47">
        <f>ChartData!V30</f>
        <v>2.3677014911952607</v>
      </c>
      <c r="D66" s="47">
        <f>ChartData!W30</f>
        <v>1.4947368421052631E-2</v>
      </c>
      <c r="E66" s="55">
        <f>ChartData!X30</f>
        <v>1.1905263157894735E-2</v>
      </c>
    </row>
    <row r="67" spans="1:5" x14ac:dyDescent="0.25">
      <c r="A67" s="41">
        <f>ChartData!T31</f>
        <v>14.5</v>
      </c>
      <c r="B67" s="47">
        <f>ChartData!U31</f>
        <v>0.33723106245614032</v>
      </c>
      <c r="C67" s="47">
        <f>ChartData!V31</f>
        <v>2.2230231994607021</v>
      </c>
      <c r="D67" s="47">
        <f>ChartData!W31</f>
        <v>3.9894736842105262E-3</v>
      </c>
      <c r="E67" s="55">
        <f>ChartData!X31</f>
        <v>1.6936842105263156E-2</v>
      </c>
    </row>
    <row r="68" spans="1:5" x14ac:dyDescent="0.25">
      <c r="A68" s="41">
        <f>ChartData!T32</f>
        <v>15</v>
      </c>
      <c r="B68" s="47">
        <f>ChartData!U32</f>
        <v>0.32670129052631575</v>
      </c>
      <c r="C68" s="47">
        <f>ChartData!V32</f>
        <v>2.0692742453257891</v>
      </c>
      <c r="D68" s="47">
        <f>ChartData!W32</f>
        <v>5.8842105263157887E-3</v>
      </c>
      <c r="E68" s="55">
        <f>ChartData!X32</f>
        <v>1.0873684210526315E-2</v>
      </c>
    </row>
    <row r="69" spans="1:5" x14ac:dyDescent="0.25">
      <c r="A69" s="41">
        <f>ChartData!T33</f>
        <v>15.5</v>
      </c>
      <c r="B69" s="47">
        <f>ChartData!U33</f>
        <v>0.33447911052631563</v>
      </c>
      <c r="C69" s="47">
        <f>ChartData!V33</f>
        <v>1.8842575292364943</v>
      </c>
      <c r="D69" s="47">
        <f>ChartData!W33</f>
        <v>2.5715789473684206E-2</v>
      </c>
      <c r="E69" s="55">
        <f>ChartData!X33</f>
        <v>6.9789473684210516E-3</v>
      </c>
    </row>
    <row r="70" spans="1:5" x14ac:dyDescent="0.25">
      <c r="A70" s="41">
        <f>ChartData!T34</f>
        <v>16</v>
      </c>
      <c r="B70" s="47">
        <f>ChartData!U34</f>
        <v>0.29869174385964897</v>
      </c>
      <c r="C70" s="47">
        <f>ChartData!V34</f>
        <v>1.6758850442824547</v>
      </c>
      <c r="D70" s="47">
        <f>ChartData!W34</f>
        <v>6.9684210526315795E-3</v>
      </c>
      <c r="E70" s="55">
        <f>ChartData!X34</f>
        <v>4.0978947368421052E-2</v>
      </c>
    </row>
    <row r="71" spans="1:5" x14ac:dyDescent="0.25">
      <c r="A71" s="41">
        <f>ChartData!T35</f>
        <v>16.5</v>
      </c>
      <c r="B71" s="47">
        <f>ChartData!U35</f>
        <v>0.33391201649122804</v>
      </c>
      <c r="C71" s="47">
        <f>ChartData!V35</f>
        <v>1.4243024173840353</v>
      </c>
      <c r="D71" s="47">
        <f>ChartData!W35</f>
        <v>2.1263157894736841E-2</v>
      </c>
      <c r="E71" s="55">
        <f>ChartData!X35</f>
        <v>5.4242105263157897E-2</v>
      </c>
    </row>
    <row r="72" spans="1:5" x14ac:dyDescent="0.25">
      <c r="A72" s="41">
        <f>ChartData!T36</f>
        <v>17</v>
      </c>
      <c r="B72" s="47">
        <f>ChartData!U36</f>
        <v>0.30708890210526296</v>
      </c>
      <c r="C72" s="47">
        <f>ChartData!V36</f>
        <v>1.1888385315061396</v>
      </c>
      <c r="D72" s="47">
        <f>ChartData!W36</f>
        <v>1.4515789473684211E-2</v>
      </c>
      <c r="E72" s="55">
        <f>ChartData!X36</f>
        <v>1.1389473684210527E-2</v>
      </c>
    </row>
    <row r="73" spans="1:5" x14ac:dyDescent="0.25">
      <c r="A73" s="41">
        <f>ChartData!T37</f>
        <v>17.5</v>
      </c>
      <c r="B73" s="47">
        <f>ChartData!U37</f>
        <v>0.36107614912280678</v>
      </c>
      <c r="C73" s="47">
        <f>ChartData!V37</f>
        <v>0.94688477321631559</v>
      </c>
      <c r="D73" s="47">
        <f>ChartData!W37</f>
        <v>1.3778947368421054E-2</v>
      </c>
      <c r="E73" s="55">
        <f>ChartData!X37</f>
        <v>6.6778947368421063E-2</v>
      </c>
    </row>
    <row r="74" spans="1:5" x14ac:dyDescent="0.25">
      <c r="A74" s="41">
        <f>ChartData!T38</f>
        <v>18</v>
      </c>
      <c r="B74" s="47">
        <f>ChartData!U38</f>
        <v>0.36241131368421042</v>
      </c>
      <c r="C74" s="47">
        <f>ChartData!V38</f>
        <v>0.71283189559122906</v>
      </c>
      <c r="D74" s="47">
        <f>ChartData!W38</f>
        <v>2.2642105263157894E-2</v>
      </c>
      <c r="E74" s="55">
        <f>ChartData!X38</f>
        <v>8.2389473684210526E-2</v>
      </c>
    </row>
    <row r="75" spans="1:5" x14ac:dyDescent="0.25">
      <c r="A75" s="41">
        <f>ChartData!T39</f>
        <v>18.5</v>
      </c>
      <c r="B75" s="47">
        <f>ChartData!U39</f>
        <v>0.35544384491228076</v>
      </c>
      <c r="C75" s="47">
        <f>ChartData!V39</f>
        <v>0.48717194231842104</v>
      </c>
      <c r="D75" s="47">
        <f>ChartData!W39</f>
        <v>2.0894736842105261E-2</v>
      </c>
      <c r="E75" s="55">
        <f>ChartData!X39</f>
        <v>0.11294736842105263</v>
      </c>
    </row>
    <row r="76" spans="1:5" x14ac:dyDescent="0.25">
      <c r="A76" s="41">
        <f>ChartData!T40</f>
        <v>19</v>
      </c>
      <c r="B76" s="47">
        <f>ChartData!U40</f>
        <v>0.43347688175438603</v>
      </c>
      <c r="C76" s="47">
        <f>ChartData!V40</f>
        <v>0.28447931436771917</v>
      </c>
      <c r="D76" s="47">
        <f>ChartData!W40</f>
        <v>1.1168421052631579E-2</v>
      </c>
      <c r="E76" s="55">
        <f>ChartData!X40</f>
        <v>0.22834015901157895</v>
      </c>
    </row>
    <row r="77" spans="1:5" x14ac:dyDescent="0.25">
      <c r="A77" s="41">
        <f>ChartData!T41</f>
        <v>19.5</v>
      </c>
      <c r="B77" s="47">
        <f>ChartData!U41</f>
        <v>0.48273342491228061</v>
      </c>
      <c r="C77" s="47">
        <f>ChartData!V41</f>
        <v>8.276696014578945E-2</v>
      </c>
      <c r="D77" s="47">
        <f>ChartData!W41</f>
        <v>1.2947368421052632E-3</v>
      </c>
      <c r="E77" s="55">
        <f>ChartData!X41</f>
        <v>0.40452631578947396</v>
      </c>
    </row>
    <row r="78" spans="1:5" x14ac:dyDescent="0.25">
      <c r="A78" s="41">
        <f>ChartData!T42</f>
        <v>20</v>
      </c>
      <c r="B78" s="47">
        <f>ChartData!U42</f>
        <v>0.43260070421052649</v>
      </c>
      <c r="C78" s="47">
        <f>ChartData!V42</f>
        <v>1.5264916669122823E-2</v>
      </c>
      <c r="D78" s="47">
        <f>ChartData!W42</f>
        <v>0</v>
      </c>
      <c r="E78" s="55">
        <f>ChartData!X42</f>
        <v>0.41721052631578975</v>
      </c>
    </row>
    <row r="79" spans="1:5" x14ac:dyDescent="0.25">
      <c r="A79" s="41">
        <f>ChartData!T43</f>
        <v>20.5</v>
      </c>
      <c r="B79" s="47">
        <f>ChartData!U43</f>
        <v>0.46709238877193004</v>
      </c>
      <c r="C79" s="47">
        <f>ChartData!V43</f>
        <v>0</v>
      </c>
      <c r="D79" s="47">
        <f>ChartData!W43</f>
        <v>0</v>
      </c>
      <c r="E79" s="55">
        <f>ChartData!X43</f>
        <v>0.46176842105263166</v>
      </c>
    </row>
    <row r="80" spans="1:5" x14ac:dyDescent="0.25">
      <c r="A80" s="41">
        <f>ChartData!T44</f>
        <v>21</v>
      </c>
      <c r="B80" s="47">
        <f>ChartData!U44</f>
        <v>0.47757238280701775</v>
      </c>
      <c r="C80" s="47">
        <f>ChartData!V44</f>
        <v>0</v>
      </c>
      <c r="D80" s="47">
        <f>ChartData!W44</f>
        <v>0</v>
      </c>
      <c r="E80" s="55">
        <f>ChartData!X44</f>
        <v>0.45969473684210527</v>
      </c>
    </row>
    <row r="81" spans="1:5" x14ac:dyDescent="0.25">
      <c r="A81" s="41">
        <f>ChartData!T45</f>
        <v>21.5</v>
      </c>
      <c r="B81" s="47">
        <f>ChartData!U45</f>
        <v>0.42630495894736847</v>
      </c>
      <c r="C81" s="47">
        <f>ChartData!V45</f>
        <v>0</v>
      </c>
      <c r="D81" s="47">
        <f>ChartData!W45</f>
        <v>0</v>
      </c>
      <c r="E81" s="55">
        <f>ChartData!X45</f>
        <v>0.38945263157894744</v>
      </c>
    </row>
    <row r="82" spans="1:5" x14ac:dyDescent="0.25">
      <c r="A82" s="41">
        <f>ChartData!T46</f>
        <v>22</v>
      </c>
      <c r="B82" s="47">
        <f>ChartData!U46</f>
        <v>0.40282569473684204</v>
      </c>
      <c r="C82" s="47">
        <f>ChartData!V46</f>
        <v>0</v>
      </c>
      <c r="D82" s="47">
        <f>ChartData!W46</f>
        <v>0</v>
      </c>
      <c r="E82" s="55">
        <f>ChartData!X46</f>
        <v>0.34802105263157884</v>
      </c>
    </row>
    <row r="83" spans="1:5" x14ac:dyDescent="0.25">
      <c r="A83" s="41">
        <f>ChartData!T47</f>
        <v>22.5</v>
      </c>
      <c r="B83" s="47">
        <f>ChartData!U47</f>
        <v>0.37488086666666665</v>
      </c>
      <c r="C83" s="47">
        <f>ChartData!V47</f>
        <v>0</v>
      </c>
      <c r="D83" s="47">
        <f>ChartData!W47</f>
        <v>0</v>
      </c>
      <c r="E83" s="55">
        <f>ChartData!X47</f>
        <v>0.32164210526315784</v>
      </c>
    </row>
    <row r="84" spans="1:5" x14ac:dyDescent="0.25">
      <c r="A84" s="41">
        <f>ChartData!T48</f>
        <v>23</v>
      </c>
      <c r="B84" s="47">
        <f>ChartData!U48</f>
        <v>0.30440144245614031</v>
      </c>
      <c r="C84" s="47">
        <f>ChartData!V48</f>
        <v>0</v>
      </c>
      <c r="D84" s="47">
        <f>ChartData!W48</f>
        <v>0</v>
      </c>
      <c r="E84" s="55">
        <f>ChartData!X48</f>
        <v>0.26464210526315796</v>
      </c>
    </row>
    <row r="85" spans="1:5" x14ac:dyDescent="0.25">
      <c r="A85" s="42">
        <f>ChartData!T49</f>
        <v>23.5</v>
      </c>
      <c r="B85" s="48">
        <f>ChartData!U49</f>
        <v>0.22125743508771931</v>
      </c>
      <c r="C85" s="48">
        <f>ChartData!V49</f>
        <v>0</v>
      </c>
      <c r="D85" s="48">
        <f>ChartData!W49</f>
        <v>0</v>
      </c>
      <c r="E85" s="56">
        <f>ChartData!X49</f>
        <v>0.18569473684210527</v>
      </c>
    </row>
  </sheetData>
  <mergeCells count="1">
    <mergeCell ref="A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Summary</vt:lpstr>
      <vt:lpstr>FleetAverage</vt:lpstr>
      <vt:lpstr>SOC_pct</vt:lpstr>
      <vt:lpstr>Demand_kW</vt:lpstr>
      <vt:lpstr>PV_kW</vt:lpstr>
      <vt:lpstr>Charge_kW</vt:lpstr>
      <vt:lpstr>Discharge_kW</vt:lpstr>
      <vt:lpstr>Net_kW</vt:lpstr>
      <vt:lpstr>ProsumerMetrics</vt:lpstr>
      <vt:lpstr>Dashboard</vt:lpstr>
      <vt:lpstr>ChartData</vt:lpstr>
      <vt:lpstr>Fleet Avg Figure</vt:lpstr>
      <vt:lpstr>Self Consumption Figure</vt:lpstr>
      <vt:lpstr>Net Per Prosumer Figure</vt:lpstr>
      <vt:lpstr>Demand PV Dispatch Figure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Tulio Coelho Coura</dc:creator>
  <cp:lastModifiedBy>Tulio</cp:lastModifiedBy>
  <dcterms:created xsi:type="dcterms:W3CDTF">2026-07-10T18:33:21Z</dcterms:created>
  <dcterms:modified xsi:type="dcterms:W3CDTF">2026-07-10T18:33:21Z</dcterms:modified>
</cp:coreProperties>
</file>