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hc22\SFU-Courses\Tese\Tese_Organization_July22_26\TR3_analysis\03_PV_ALLOCATION\"/>
    </mc:Choice>
  </mc:AlternateContent>
  <xr:revisionPtr revIDLastSave="0" documentId="8_{695E15B1-7876-4CF1-BE39-E4AFD0DBE37B}" xr6:coauthVersionLast="47" xr6:coauthVersionMax="47" xr10:uidLastSave="{00000000-0000-0000-0000-000000000000}"/>
  <bookViews>
    <workbookView xWindow="-120" yWindow="-120" windowWidth="38640" windowHeight="21120" activeTab="7" xr2:uid="{00000000-000D-0000-FFFF-FFFF00000000}"/>
  </bookViews>
  <sheets>
    <sheet name="1. Overview" sheetId="1" r:id="rId1"/>
    <sheet name="2. Load classification" sheetId="2" r:id="rId2"/>
    <sheet name="3. Raw PV per load" sheetId="3" r:id="rId3"/>
    <sheet name="4. Raw load per load" sheetId="4" r:id="rId4"/>
    <sheet name="5. Raw batt charge" sheetId="5" r:id="rId5"/>
    <sheet name="6. Raw batt discharge" sheetId="6" r:id="rId6"/>
    <sheet name="7. PV allocation (per period)" sheetId="7" r:id="rId7"/>
    <sheet name="8. Results &amp; charts" sheetId="8" r:id="rId8"/>
  </sheets>
  <definedNames>
    <definedName name="_xlnm._FilterDatabase" localSheetId="1" hidden="1">'2. Load classification'!$A$4:$F$74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2" i="7" l="1"/>
  <c r="H52" i="7" s="1"/>
  <c r="F52" i="7"/>
  <c r="E52" i="7"/>
  <c r="D52" i="7"/>
  <c r="I52" i="7" s="1"/>
  <c r="C52" i="7"/>
  <c r="G51" i="7"/>
  <c r="F51" i="7"/>
  <c r="H51" i="7" s="1"/>
  <c r="E51" i="7"/>
  <c r="D51" i="7"/>
  <c r="C51" i="7"/>
  <c r="H50" i="7"/>
  <c r="G50" i="7"/>
  <c r="F50" i="7"/>
  <c r="E50" i="7"/>
  <c r="D50" i="7"/>
  <c r="C50" i="7"/>
  <c r="I49" i="7"/>
  <c r="J49" i="7" s="1"/>
  <c r="H49" i="7"/>
  <c r="G49" i="7"/>
  <c r="F49" i="7"/>
  <c r="E49" i="7"/>
  <c r="D49" i="7"/>
  <c r="C49" i="7"/>
  <c r="G48" i="7"/>
  <c r="F48" i="7"/>
  <c r="H48" i="7" s="1"/>
  <c r="E48" i="7"/>
  <c r="D48" i="7"/>
  <c r="I48" i="7" s="1"/>
  <c r="J48" i="7" s="1"/>
  <c r="C48" i="7"/>
  <c r="G47" i="7"/>
  <c r="F47" i="7"/>
  <c r="H47" i="7" s="1"/>
  <c r="E47" i="7"/>
  <c r="D47" i="7"/>
  <c r="C47" i="7"/>
  <c r="G46" i="7"/>
  <c r="F46" i="7"/>
  <c r="H46" i="7" s="1"/>
  <c r="E46" i="7"/>
  <c r="D46" i="7"/>
  <c r="I46" i="7" s="1"/>
  <c r="C46" i="7"/>
  <c r="I45" i="7"/>
  <c r="G45" i="7"/>
  <c r="F45" i="7"/>
  <c r="H45" i="7" s="1"/>
  <c r="E45" i="7"/>
  <c r="D45" i="7"/>
  <c r="C45" i="7"/>
  <c r="G44" i="7"/>
  <c r="F44" i="7"/>
  <c r="H44" i="7" s="1"/>
  <c r="E44" i="7"/>
  <c r="D44" i="7"/>
  <c r="C44" i="7"/>
  <c r="G43" i="7"/>
  <c r="F43" i="7"/>
  <c r="H43" i="7" s="1"/>
  <c r="E43" i="7"/>
  <c r="D43" i="7"/>
  <c r="I43" i="7" s="1"/>
  <c r="C43" i="7"/>
  <c r="I42" i="7"/>
  <c r="G42" i="7"/>
  <c r="F42" i="7"/>
  <c r="H42" i="7" s="1"/>
  <c r="E42" i="7"/>
  <c r="D42" i="7"/>
  <c r="C42" i="7"/>
  <c r="G41" i="7"/>
  <c r="F41" i="7"/>
  <c r="H41" i="7" s="1"/>
  <c r="E41" i="7"/>
  <c r="D41" i="7"/>
  <c r="C41" i="7"/>
  <c r="G40" i="7"/>
  <c r="F40" i="7"/>
  <c r="H40" i="7" s="1"/>
  <c r="E40" i="7"/>
  <c r="D40" i="7"/>
  <c r="I40" i="7" s="1"/>
  <c r="C40" i="7"/>
  <c r="I39" i="7"/>
  <c r="J39" i="7" s="1"/>
  <c r="G39" i="7"/>
  <c r="H39" i="7" s="1"/>
  <c r="F39" i="7"/>
  <c r="E39" i="7"/>
  <c r="D39" i="7"/>
  <c r="C39" i="7"/>
  <c r="G38" i="7"/>
  <c r="F38" i="7"/>
  <c r="H38" i="7" s="1"/>
  <c r="E38" i="7"/>
  <c r="D38" i="7"/>
  <c r="C38" i="7"/>
  <c r="I37" i="7"/>
  <c r="G37" i="7"/>
  <c r="F37" i="7"/>
  <c r="H37" i="7" s="1"/>
  <c r="E37" i="7"/>
  <c r="D37" i="7"/>
  <c r="C37" i="7"/>
  <c r="I36" i="7"/>
  <c r="J36" i="7" s="1"/>
  <c r="H36" i="7"/>
  <c r="G36" i="7"/>
  <c r="F36" i="7"/>
  <c r="E36" i="7"/>
  <c r="D36" i="7"/>
  <c r="C36" i="7"/>
  <c r="G35" i="7"/>
  <c r="F35" i="7"/>
  <c r="H35" i="7" s="1"/>
  <c r="E35" i="7"/>
  <c r="D35" i="7"/>
  <c r="C35" i="7"/>
  <c r="I35" i="7" s="1"/>
  <c r="I34" i="7"/>
  <c r="G34" i="7"/>
  <c r="F34" i="7"/>
  <c r="H34" i="7" s="1"/>
  <c r="E34" i="7"/>
  <c r="D34" i="7"/>
  <c r="C34" i="7"/>
  <c r="I33" i="7"/>
  <c r="G33" i="7"/>
  <c r="F33" i="7"/>
  <c r="H33" i="7" s="1"/>
  <c r="E33" i="7"/>
  <c r="D33" i="7"/>
  <c r="C33" i="7"/>
  <c r="G32" i="7"/>
  <c r="F32" i="7"/>
  <c r="H32" i="7" s="1"/>
  <c r="E32" i="7"/>
  <c r="D32" i="7"/>
  <c r="C32" i="7"/>
  <c r="I32" i="7" s="1"/>
  <c r="I31" i="7"/>
  <c r="G31" i="7"/>
  <c r="H31" i="7" s="1"/>
  <c r="F31" i="7"/>
  <c r="E31" i="7"/>
  <c r="D31" i="7"/>
  <c r="C31" i="7"/>
  <c r="G30" i="7"/>
  <c r="F30" i="7"/>
  <c r="H30" i="7" s="1"/>
  <c r="E30" i="7"/>
  <c r="D30" i="7"/>
  <c r="C30" i="7"/>
  <c r="I30" i="7" s="1"/>
  <c r="G29" i="7"/>
  <c r="F29" i="7"/>
  <c r="H29" i="7" s="1"/>
  <c r="E29" i="7"/>
  <c r="D29" i="7"/>
  <c r="I29" i="7" s="1"/>
  <c r="C29" i="7"/>
  <c r="H28" i="7"/>
  <c r="G28" i="7"/>
  <c r="F28" i="7"/>
  <c r="E28" i="7"/>
  <c r="D28" i="7"/>
  <c r="C28" i="7"/>
  <c r="G27" i="7"/>
  <c r="F27" i="7"/>
  <c r="H27" i="7" s="1"/>
  <c r="E27" i="7"/>
  <c r="D27" i="7"/>
  <c r="C27" i="7"/>
  <c r="I26" i="7"/>
  <c r="G26" i="7"/>
  <c r="F26" i="7"/>
  <c r="H26" i="7" s="1"/>
  <c r="E26" i="7"/>
  <c r="D26" i="7"/>
  <c r="C26" i="7"/>
  <c r="G25" i="7"/>
  <c r="F25" i="7"/>
  <c r="H25" i="7" s="1"/>
  <c r="E25" i="7"/>
  <c r="D25" i="7"/>
  <c r="C25" i="7"/>
  <c r="G24" i="7"/>
  <c r="F24" i="7"/>
  <c r="H24" i="7" s="1"/>
  <c r="E24" i="7"/>
  <c r="D24" i="7"/>
  <c r="C24" i="7"/>
  <c r="I23" i="7"/>
  <c r="J23" i="7" s="1"/>
  <c r="G23" i="7"/>
  <c r="F23" i="7"/>
  <c r="H23" i="7" s="1"/>
  <c r="E23" i="7"/>
  <c r="D23" i="7"/>
  <c r="C23" i="7"/>
  <c r="G22" i="7"/>
  <c r="F22" i="7"/>
  <c r="H22" i="7" s="1"/>
  <c r="E22" i="7"/>
  <c r="D22" i="7"/>
  <c r="C22" i="7"/>
  <c r="G21" i="7"/>
  <c r="H21" i="7" s="1"/>
  <c r="F21" i="7"/>
  <c r="E21" i="7"/>
  <c r="D21" i="7"/>
  <c r="C21" i="7"/>
  <c r="I20" i="7"/>
  <c r="G20" i="7"/>
  <c r="H20" i="7" s="1"/>
  <c r="F20" i="7"/>
  <c r="E20" i="7"/>
  <c r="D20" i="7"/>
  <c r="C20" i="7"/>
  <c r="G19" i="7"/>
  <c r="F19" i="7"/>
  <c r="H19" i="7" s="1"/>
  <c r="E19" i="7"/>
  <c r="D19" i="7"/>
  <c r="C19" i="7"/>
  <c r="H18" i="7"/>
  <c r="G18" i="7"/>
  <c r="F18" i="7"/>
  <c r="E18" i="7"/>
  <c r="D18" i="7"/>
  <c r="C18" i="7"/>
  <c r="I17" i="7"/>
  <c r="H17" i="7"/>
  <c r="G17" i="7"/>
  <c r="F17" i="7"/>
  <c r="E17" i="7"/>
  <c r="D17" i="7"/>
  <c r="C17" i="7"/>
  <c r="G16" i="7"/>
  <c r="F16" i="7"/>
  <c r="H16" i="7" s="1"/>
  <c r="E16" i="7"/>
  <c r="D16" i="7"/>
  <c r="I16" i="7" s="1"/>
  <c r="C16" i="7"/>
  <c r="G15" i="7"/>
  <c r="F15" i="7"/>
  <c r="H15" i="7" s="1"/>
  <c r="E15" i="7"/>
  <c r="D15" i="7"/>
  <c r="C15" i="7"/>
  <c r="I14" i="7"/>
  <c r="G14" i="7"/>
  <c r="F14" i="7"/>
  <c r="H14" i="7" s="1"/>
  <c r="E14" i="7"/>
  <c r="D14" i="7"/>
  <c r="C14" i="7"/>
  <c r="I13" i="7"/>
  <c r="G13" i="7"/>
  <c r="F13" i="7"/>
  <c r="H13" i="7" s="1"/>
  <c r="E13" i="7"/>
  <c r="D13" i="7"/>
  <c r="C13" i="7"/>
  <c r="G12" i="7"/>
  <c r="F12" i="7"/>
  <c r="H12" i="7" s="1"/>
  <c r="E12" i="7"/>
  <c r="D12" i="7"/>
  <c r="C12" i="7"/>
  <c r="G11" i="7"/>
  <c r="F11" i="7"/>
  <c r="H11" i="7" s="1"/>
  <c r="E11" i="7"/>
  <c r="D11" i="7"/>
  <c r="C11" i="7"/>
  <c r="I11" i="7" s="1"/>
  <c r="I10" i="7"/>
  <c r="G10" i="7"/>
  <c r="F10" i="7"/>
  <c r="H10" i="7" s="1"/>
  <c r="E10" i="7"/>
  <c r="D10" i="7"/>
  <c r="C10" i="7"/>
  <c r="G9" i="7"/>
  <c r="F9" i="7"/>
  <c r="H9" i="7" s="1"/>
  <c r="E9" i="7"/>
  <c r="D9" i="7"/>
  <c r="C9" i="7"/>
  <c r="G8" i="7"/>
  <c r="F8" i="7"/>
  <c r="H8" i="7" s="1"/>
  <c r="E8" i="7"/>
  <c r="D8" i="7"/>
  <c r="I8" i="7" s="1"/>
  <c r="C8" i="7"/>
  <c r="J8" i="7" s="1"/>
  <c r="I7" i="7"/>
  <c r="G7" i="7"/>
  <c r="H7" i="7" s="1"/>
  <c r="F7" i="7"/>
  <c r="E7" i="7"/>
  <c r="D7" i="7"/>
  <c r="C7" i="7"/>
  <c r="G6" i="7"/>
  <c r="G53" i="7" s="1"/>
  <c r="F6" i="7"/>
  <c r="H6" i="7" s="1"/>
  <c r="E6" i="7"/>
  <c r="D6" i="7"/>
  <c r="D53" i="7" s="1"/>
  <c r="C6" i="7"/>
  <c r="I5" i="7"/>
  <c r="G5" i="7"/>
  <c r="F5" i="7"/>
  <c r="H5" i="7" s="1"/>
  <c r="E5" i="7"/>
  <c r="E53" i="7" s="1"/>
  <c r="F7" i="8" s="1"/>
  <c r="D5" i="7"/>
  <c r="C5" i="7"/>
  <c r="J30" i="7" l="1"/>
  <c r="K30" i="7"/>
  <c r="L30" i="7"/>
  <c r="J37" i="7"/>
  <c r="K37" i="7" s="1"/>
  <c r="M37" i="7" s="1"/>
  <c r="M36" i="7"/>
  <c r="M48" i="7"/>
  <c r="J42" i="7"/>
  <c r="L42" i="7" s="1"/>
  <c r="M32" i="7"/>
  <c r="J15" i="7"/>
  <c r="L34" i="7"/>
  <c r="L48" i="7"/>
  <c r="J13" i="7"/>
  <c r="K8" i="7"/>
  <c r="M8" i="7" s="1"/>
  <c r="L8" i="7"/>
  <c r="J43" i="7"/>
  <c r="K43" i="7" s="1"/>
  <c r="M43" i="7" s="1"/>
  <c r="J40" i="7"/>
  <c r="K40" i="7"/>
  <c r="M40" i="7" s="1"/>
  <c r="J46" i="7"/>
  <c r="K46" i="7" s="1"/>
  <c r="M46" i="7" s="1"/>
  <c r="M35" i="7"/>
  <c r="J7" i="7"/>
  <c r="K7" i="7" s="1"/>
  <c r="K33" i="7"/>
  <c r="L33" i="7" s="1"/>
  <c r="J10" i="7"/>
  <c r="M51" i="7"/>
  <c r="L52" i="7"/>
  <c r="J52" i="7"/>
  <c r="K52" i="7"/>
  <c r="M52" i="7" s="1"/>
  <c r="H53" i="7"/>
  <c r="J29" i="7"/>
  <c r="M30" i="7"/>
  <c r="J16" i="7"/>
  <c r="L51" i="7"/>
  <c r="K5" i="7"/>
  <c r="J11" i="7"/>
  <c r="J45" i="7"/>
  <c r="K49" i="7"/>
  <c r="M49" i="7" s="1"/>
  <c r="J32" i="7"/>
  <c r="C53" i="7"/>
  <c r="I6" i="7"/>
  <c r="L6" i="7" s="1"/>
  <c r="K32" i="7"/>
  <c r="J35" i="7"/>
  <c r="I38" i="7"/>
  <c r="J6" i="7"/>
  <c r="I9" i="7"/>
  <c r="L32" i="7"/>
  <c r="K35" i="7"/>
  <c r="J38" i="7"/>
  <c r="I41" i="7"/>
  <c r="L41" i="7" s="1"/>
  <c r="K6" i="7"/>
  <c r="M6" i="7" s="1"/>
  <c r="J9" i="7"/>
  <c r="K9" i="7" s="1"/>
  <c r="M9" i="7" s="1"/>
  <c r="I12" i="7"/>
  <c r="L35" i="7"/>
  <c r="K38" i="7"/>
  <c r="L38" i="7" s="1"/>
  <c r="J41" i="7"/>
  <c r="I44" i="7"/>
  <c r="K44" i="7" s="1"/>
  <c r="M44" i="7" s="1"/>
  <c r="F53" i="7"/>
  <c r="J26" i="7"/>
  <c r="K26" i="7" s="1"/>
  <c r="M26" i="7" s="1"/>
  <c r="K41" i="7"/>
  <c r="M41" i="7" s="1"/>
  <c r="J44" i="7"/>
  <c r="I18" i="7"/>
  <c r="I47" i="7"/>
  <c r="I50" i="7"/>
  <c r="I21" i="7"/>
  <c r="L21" i="7" s="1"/>
  <c r="J21" i="7"/>
  <c r="K21" i="7"/>
  <c r="M21" i="7" s="1"/>
  <c r="I27" i="7"/>
  <c r="J20" i="7"/>
  <c r="K20" i="7" s="1"/>
  <c r="I15" i="7"/>
  <c r="K15" i="7" s="1"/>
  <c r="M15" i="7" s="1"/>
  <c r="J47" i="7"/>
  <c r="J50" i="7"/>
  <c r="I24" i="7"/>
  <c r="J24" i="7" s="1"/>
  <c r="J17" i="7"/>
  <c r="K17" i="7" s="1"/>
  <c r="J33" i="7"/>
  <c r="K39" i="7"/>
  <c r="M39" i="7" s="1"/>
  <c r="K42" i="7"/>
  <c r="M42" i="7" s="1"/>
  <c r="K13" i="7"/>
  <c r="L13" i="7" s="1"/>
  <c r="I19" i="7"/>
  <c r="K45" i="7"/>
  <c r="L45" i="7" s="1"/>
  <c r="I51" i="7"/>
  <c r="K23" i="7"/>
  <c r="M23" i="7" s="1"/>
  <c r="K36" i="7"/>
  <c r="L36" i="7" s="1"/>
  <c r="I22" i="7"/>
  <c r="K48" i="7"/>
  <c r="J51" i="7"/>
  <c r="K51" i="7"/>
  <c r="I28" i="7"/>
  <c r="L28" i="7" s="1"/>
  <c r="J14" i="7"/>
  <c r="K14" i="7" s="1"/>
  <c r="J22" i="7"/>
  <c r="I25" i="7"/>
  <c r="J25" i="7" s="1"/>
  <c r="J28" i="7"/>
  <c r="K28" i="7"/>
  <c r="M28" i="7" s="1"/>
  <c r="J31" i="7"/>
  <c r="L31" i="7" s="1"/>
  <c r="K31" i="7"/>
  <c r="M31" i="7" s="1"/>
  <c r="J34" i="7"/>
  <c r="J5" i="7"/>
  <c r="K34" i="7"/>
  <c r="M34" i="7" s="1"/>
  <c r="L16" i="7" l="1"/>
  <c r="K25" i="7"/>
  <c r="M25" i="7" s="1"/>
  <c r="L25" i="7"/>
  <c r="M14" i="7"/>
  <c r="L14" i="7"/>
  <c r="M7" i="7"/>
  <c r="L7" i="7"/>
  <c r="L9" i="7"/>
  <c r="M17" i="7"/>
  <c r="L17" i="7"/>
  <c r="L50" i="7"/>
  <c r="L47" i="7"/>
  <c r="M20" i="7"/>
  <c r="L20" i="7"/>
  <c r="L29" i="7"/>
  <c r="K16" i="7"/>
  <c r="M16" i="7" s="1"/>
  <c r="M33" i="7"/>
  <c r="L39" i="7"/>
  <c r="K22" i="7"/>
  <c r="M22" i="7" s="1"/>
  <c r="M45" i="7"/>
  <c r="B9" i="8"/>
  <c r="C29" i="1"/>
  <c r="K27" i="7"/>
  <c r="M27" i="7" s="1"/>
  <c r="L27" i="7"/>
  <c r="L44" i="7"/>
  <c r="L43" i="7"/>
  <c r="M13" i="7"/>
  <c r="K29" i="7"/>
  <c r="M29" i="7" s="1"/>
  <c r="L26" i="7"/>
  <c r="K50" i="7"/>
  <c r="M50" i="7" s="1"/>
  <c r="L15" i="7"/>
  <c r="K47" i="7"/>
  <c r="M47" i="7" s="1"/>
  <c r="J12" i="7"/>
  <c r="K12" i="7" s="1"/>
  <c r="K10" i="7"/>
  <c r="M10" i="7" s="1"/>
  <c r="L5" i="7"/>
  <c r="K24" i="7"/>
  <c r="M24" i="7" s="1"/>
  <c r="L46" i="7"/>
  <c r="J27" i="7"/>
  <c r="L23" i="7"/>
  <c r="M38" i="7"/>
  <c r="L40" i="7"/>
  <c r="J19" i="7"/>
  <c r="L49" i="7"/>
  <c r="K11" i="7"/>
  <c r="M11" i="7" s="1"/>
  <c r="M5" i="7"/>
  <c r="J18" i="7"/>
  <c r="I53" i="7"/>
  <c r="L37" i="7"/>
  <c r="M12" i="7" l="1"/>
  <c r="L11" i="7"/>
  <c r="K18" i="7"/>
  <c r="M18" i="7" s="1"/>
  <c r="M53" i="7" s="1"/>
  <c r="L22" i="7"/>
  <c r="J53" i="7"/>
  <c r="B5" i="8"/>
  <c r="C5" i="8"/>
  <c r="C30" i="1"/>
  <c r="K19" i="7"/>
  <c r="M19" i="7" s="1"/>
  <c r="L24" i="7"/>
  <c r="L12" i="7"/>
  <c r="L10" i="7"/>
  <c r="L53" i="7" l="1"/>
  <c r="G6" i="8"/>
  <c r="F6" i="8"/>
  <c r="C36" i="1"/>
  <c r="C31" i="1"/>
  <c r="C6" i="8"/>
  <c r="B6" i="8"/>
  <c r="L19" i="7"/>
  <c r="L18" i="7"/>
  <c r="K53" i="7"/>
  <c r="C8" i="8" l="1"/>
  <c r="B8" i="8"/>
  <c r="C33" i="1"/>
  <c r="C7" i="8"/>
  <c r="B7" i="8"/>
  <c r="G5" i="8"/>
  <c r="C35" i="1"/>
  <c r="F5" i="8"/>
  <c r="C34" i="1"/>
  <c r="C32" i="1"/>
</calcChain>
</file>

<file path=xl/sharedStrings.xml><?xml version="1.0" encoding="utf-8"?>
<sst xmlns="http://schemas.openxmlformats.org/spreadsheetml/2006/main" count="798" uniqueCount="333">
  <si>
    <t>TR3 — Where does the PV energy go?</t>
  </si>
  <si>
    <t>Prosumers vs. pure customers — every kWh traced from the raw model inputs</t>
  </si>
  <si>
    <t>Purpose</t>
  </si>
  <si>
    <t>This workbook accounts for every kWh of PV generated on transformer TR3 over one representative day, and it is fully auditable: nothing is hand-typed except the raw model outputs. Follow the data chain below — each step is a live formula, so changing any raw number updates everything.</t>
  </si>
  <si>
    <t>The data chain (how each number is built)</t>
  </si>
  <si>
    <t>Sheet 3 · Raw PV per load</t>
  </si>
  <si>
    <t>The PV profile of every connection, 48 half-hours. Copied verbatim from TR3_load_PV_48periods.xlsx (sheet PV_generation_kW). Customers = 0.</t>
  </si>
  <si>
    <t>Sheet 4 · Raw load per load</t>
  </si>
  <si>
    <t>The load profile of every connection, 48 half-hours, tagged prosumer / customer. Copied from TR3_load_PV_48periods.xlsx (sheet Load_P_kW).</t>
  </si>
  <si>
    <t>Sheet 5 · Raw batt charge</t>
  </si>
  <si>
    <t>Charging power of every battery, 48 half-hours. Copied from the rolling dispatch TR3_analysis_data.xlsx (sheet Charge_kW).</t>
  </si>
  <si>
    <t>Sheet 6 · Raw batt discharge</t>
  </si>
  <si>
    <t>Discharging power of every battery. Copied from the same run (Discharge_kW).</t>
  </si>
  <si>
    <t>Sheet 7 · PV allocation</t>
  </si>
  <si>
    <t>Per half-hour: the five blue inputs are AGGREGATED from sheets 3–6 by SUM / SUMIF; the amber columns then split the PV by the priority rule.</t>
  </si>
  <si>
    <t>Sheets 1 &amp; 8 · Results</t>
  </si>
  <si>
    <t>Daily totals (Σ×0.5 h) and shares. Every headline cell links to sheet 7.</t>
  </si>
  <si>
    <t>The aggregation formulas (sheet 7, per half-hour)</t>
  </si>
  <si>
    <t>PV (all)</t>
  </si>
  <si>
    <t>prosumer load</t>
  </si>
  <si>
    <t>customer load</t>
  </si>
  <si>
    <t>battery charge</t>
  </si>
  <si>
    <t>battery discharge</t>
  </si>
  <si>
    <t>Headline results (all linked live to sheet 7)</t>
  </si>
  <si>
    <t>Quantity</t>
  </si>
  <si>
    <t>Value</t>
  </si>
  <si>
    <t>Unit</t>
  </si>
  <si>
    <t>Prosumers (PV + battery)</t>
  </si>
  <si>
    <t>connections</t>
  </si>
  <si>
    <t>Pure customers (load only)</t>
  </si>
  <si>
    <t>PV generated</t>
  </si>
  <si>
    <t>kWh/day</t>
  </si>
  <si>
    <t>PV → prosumers' own load (direct)</t>
  </si>
  <si>
    <t>PV → battery storage</t>
  </si>
  <si>
    <t>PV → customers</t>
  </si>
  <si>
    <t>PV → export to grid</t>
  </si>
  <si>
    <t>PV share reaching customers</t>
  </si>
  <si>
    <t>% of PV</t>
  </si>
  <si>
    <t>Customer load covered by PV</t>
  </si>
  <si>
    <t>% of customer load</t>
  </si>
  <si>
    <t>Customer load covered by grid</t>
  </si>
  <si>
    <t>Colour key &amp; provenance</t>
  </si>
  <si>
    <t>• LIGHT-BLUE cell = data belonging to a prosumer (its rooftop PV, load, or battery).  WHITE = a pure customer (load only).  On sheet 7:  VIOLET = value aggregated live from the raw sheets (SUM/SUMIF);  AMBER = allocation formula;  GREEN = daily total (Σ × 0.5 h).</t>
  </si>
  <si>
    <t>• Per-load PV &amp; load profiles:  results/tables/TR3_load_PV_48periods.xlsx  (built from OpData.xls).</t>
  </si>
  <si>
    <t>• Per-battery charge/discharge:  TR3_analysis/01_DAILY_ROLLING_DISPATCH/TR3_analysis_data.xlsx (exact-QCP rolling dispatch, RunFOR_Rolling, CPLEX).</t>
  </si>
  <si>
    <t>• Load classification (PV size &gt; 0 = prosumer):  sheet 'Customers' of the load/PV workbook.</t>
  </si>
  <si>
    <t>• Method note: priority energy allocation per half-hour; downstream network + battery round-trip losses (~3–4% of PV) are not separated out in the per-period disposition.</t>
  </si>
  <si>
    <t>TR3 load classification — 70 connections</t>
  </si>
  <si>
    <t>49 prosumers (PV + battery)  ·  21 pure customers (load only)</t>
  </si>
  <si>
    <t>ID</t>
  </si>
  <si>
    <t>Load name</t>
  </si>
  <si>
    <t>Bus</t>
  </si>
  <si>
    <t>Phase</t>
  </si>
  <si>
    <t>PV size (kW)</t>
  </si>
  <si>
    <t>Type</t>
  </si>
  <si>
    <t>Load_TR3_F1_1</t>
  </si>
  <si>
    <t>TR3_one38</t>
  </si>
  <si>
    <t>customer</t>
  </si>
  <si>
    <t>Load_TR3_F1_11</t>
  </si>
  <si>
    <t>TR3_one223</t>
  </si>
  <si>
    <t>Load_TR3_F1_16</t>
  </si>
  <si>
    <t>TR3_one280</t>
  </si>
  <si>
    <t>Load_TR3_F1_17</t>
  </si>
  <si>
    <t>TR3_one287</t>
  </si>
  <si>
    <t>Load_TR3_F1_21</t>
  </si>
  <si>
    <t>TR3_one321</t>
  </si>
  <si>
    <t>Load_TR3_F1_22</t>
  </si>
  <si>
    <t>TR3_one328</t>
  </si>
  <si>
    <t>Load_TR3_F1_23</t>
  </si>
  <si>
    <t>TR3_one345</t>
  </si>
  <si>
    <t>Load_TR3_F1_30</t>
  </si>
  <si>
    <t>TR3_one416</t>
  </si>
  <si>
    <t>Load_TR3_F1_39</t>
  </si>
  <si>
    <t>TR3_one537</t>
  </si>
  <si>
    <t>Load_TR3_F1_43</t>
  </si>
  <si>
    <t>TR3_one560</t>
  </si>
  <si>
    <t>Load_TR3_F1_45</t>
  </si>
  <si>
    <t>TR3_one585</t>
  </si>
  <si>
    <t>Load_TR3_F1_46</t>
  </si>
  <si>
    <t>TR3_one590</t>
  </si>
  <si>
    <t>Load_TR3_F1_7</t>
  </si>
  <si>
    <t>TR3_one133</t>
  </si>
  <si>
    <t>Load_TR3_F2_12</t>
  </si>
  <si>
    <t>TR3_two275</t>
  </si>
  <si>
    <t>Load_TR3_F2_13</t>
  </si>
  <si>
    <t>TR3_two283</t>
  </si>
  <si>
    <t>Load_TR3_F2_15</t>
  </si>
  <si>
    <t>TR3_two306</t>
  </si>
  <si>
    <t>Load_TR3_F2_17</t>
  </si>
  <si>
    <t>TR3_two312</t>
  </si>
  <si>
    <t>Load_TR3_F2_19</t>
  </si>
  <si>
    <t>TR3_two315</t>
  </si>
  <si>
    <t>Load_TR3_F2_4</t>
  </si>
  <si>
    <t>TR3_two217</t>
  </si>
  <si>
    <t>Load_TR3_F2_7</t>
  </si>
  <si>
    <t>TR3_two233</t>
  </si>
  <si>
    <t>Load_TR3_F2_8</t>
  </si>
  <si>
    <t>TR3_two238</t>
  </si>
  <si>
    <t>Load_TR3_F1_10</t>
  </si>
  <si>
    <t>TR3_one195</t>
  </si>
  <si>
    <t>prosumer</t>
  </si>
  <si>
    <t>Load_TR3_F1_12</t>
  </si>
  <si>
    <t>TR3_one235</t>
  </si>
  <si>
    <t>Load_TR3_F1_13</t>
  </si>
  <si>
    <t>TR3_one242</t>
  </si>
  <si>
    <t>Load_TR3_F1_14</t>
  </si>
  <si>
    <t>TR3_one252</t>
  </si>
  <si>
    <t>Load_TR3_F1_15</t>
  </si>
  <si>
    <t>TR3_one260</t>
  </si>
  <si>
    <t>Load_TR3_F1_18</t>
  </si>
  <si>
    <t>TR3_one299</t>
  </si>
  <si>
    <t>Load_TR3_F1_19</t>
  </si>
  <si>
    <t>TR3_one313</t>
  </si>
  <si>
    <t>Load_TR3_F1_2</t>
  </si>
  <si>
    <t>TR3_one42</t>
  </si>
  <si>
    <t>Load_TR3_F1_20</t>
  </si>
  <si>
    <t>TR3_one320</t>
  </si>
  <si>
    <t>Load_TR3_F1_24</t>
  </si>
  <si>
    <t>TR3_one346</t>
  </si>
  <si>
    <t>Load_TR3_F1_25</t>
  </si>
  <si>
    <t>TR3_one363</t>
  </si>
  <si>
    <t>Load_TR3_F1_26</t>
  </si>
  <si>
    <t>TR3_one366</t>
  </si>
  <si>
    <t>Load_TR3_F1_27</t>
  </si>
  <si>
    <t>TR3_one371</t>
  </si>
  <si>
    <t>Load_TR3_F1_28</t>
  </si>
  <si>
    <t>TR3_one375</t>
  </si>
  <si>
    <t>Load_TR3_F1_29</t>
  </si>
  <si>
    <t>TR3_one410</t>
  </si>
  <si>
    <t>Load_TR3_F1_3</t>
  </si>
  <si>
    <t>TR3_one50</t>
  </si>
  <si>
    <t>Load_TR3_F1_31</t>
  </si>
  <si>
    <t>TR3_one423</t>
  </si>
  <si>
    <t>Load_TR3_F1_32</t>
  </si>
  <si>
    <t>TR3_one446</t>
  </si>
  <si>
    <t>Load_TR3_F1_33</t>
  </si>
  <si>
    <t>TR3_one469</t>
  </si>
  <si>
    <t>Load_TR3_F1_34</t>
  </si>
  <si>
    <t>TR3_one477</t>
  </si>
  <si>
    <t>Load_TR3_F1_35</t>
  </si>
  <si>
    <t>TR3_one480</t>
  </si>
  <si>
    <t>Load_TR3_F1_36</t>
  </si>
  <si>
    <t>TR3_one482</t>
  </si>
  <si>
    <t>Load_TR3_F1_37</t>
  </si>
  <si>
    <t>TR3_one521</t>
  </si>
  <si>
    <t>Load_TR3_F1_38</t>
  </si>
  <si>
    <t>TR3_one528</t>
  </si>
  <si>
    <t>Load_TR3_F1_4</t>
  </si>
  <si>
    <t>TR3_one61</t>
  </si>
  <si>
    <t>Load_TR3_F1_40</t>
  </si>
  <si>
    <t>TR3_one544</t>
  </si>
  <si>
    <t>Load_TR3_F1_41</t>
  </si>
  <si>
    <t>TR3_one552</t>
  </si>
  <si>
    <t>Load_TR3_F1_42</t>
  </si>
  <si>
    <t>TR3_one559</t>
  </si>
  <si>
    <t>Load_TR3_F1_44</t>
  </si>
  <si>
    <t>TR3_one570</t>
  </si>
  <si>
    <t>Load_TR3_F1_47</t>
  </si>
  <si>
    <t>TR3_one605</t>
  </si>
  <si>
    <t>Load_TR3_F1_48</t>
  </si>
  <si>
    <t>TR3_one614</t>
  </si>
  <si>
    <t>Load_TR3_F1_49</t>
  </si>
  <si>
    <t>TR3_one617</t>
  </si>
  <si>
    <t>Load_TR3_F1_5</t>
  </si>
  <si>
    <t>TR3_one73</t>
  </si>
  <si>
    <t>Load_TR3_F1_6</t>
  </si>
  <si>
    <t>TR3_one76</t>
  </si>
  <si>
    <t>Load_TR3_F1_8</t>
  </si>
  <si>
    <t>TR3_one137</t>
  </si>
  <si>
    <t>Load_TR3_F1_9</t>
  </si>
  <si>
    <t>TR3_one176</t>
  </si>
  <si>
    <t>Load_TR3_F2_1</t>
  </si>
  <si>
    <t>TR3_two130</t>
  </si>
  <si>
    <t>Load_TR3_F2_10</t>
  </si>
  <si>
    <t>TR3_two249</t>
  </si>
  <si>
    <t>Load_TR3_F2_11</t>
  </si>
  <si>
    <t>TR3_two267</t>
  </si>
  <si>
    <t>Load_TR3_F2_14</t>
  </si>
  <si>
    <t>TR3_two292</t>
  </si>
  <si>
    <t>Load_TR3_F2_16</t>
  </si>
  <si>
    <t>TR3_two308</t>
  </si>
  <si>
    <t>Load_TR3_F2_18</t>
  </si>
  <si>
    <t>TR3_two313</t>
  </si>
  <si>
    <t>Load_TR3_F2_2</t>
  </si>
  <si>
    <t>TR3_two137</t>
  </si>
  <si>
    <t>Load_TR3_F2_20</t>
  </si>
  <si>
    <t>TR3_two316</t>
  </si>
  <si>
    <t>Load_TR3_F2_21</t>
  </si>
  <si>
    <t>TR3_two339</t>
  </si>
  <si>
    <t>Load_TR3_F2_3</t>
  </si>
  <si>
    <t>TR3_two149</t>
  </si>
  <si>
    <t>Load_TR3_F2_5</t>
  </si>
  <si>
    <t>TR3_two225</t>
  </si>
  <si>
    <t>Load_TR3_F2_6</t>
  </si>
  <si>
    <t>TR3_two229</t>
  </si>
  <si>
    <t>Load_TR3_F2_9</t>
  </si>
  <si>
    <t>TR3_two242</t>
  </si>
  <si>
    <t>Raw PV per load</t>
  </si>
  <si>
    <t>Verbatim copy of PV_generation_kW (TR3_load_PV_48periods.xlsx). One row per connection, 48 half-hours (kW).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</si>
  <si>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</si>
  <si>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</si>
  <si>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</si>
  <si>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</si>
  <si>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</si>
  <si>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</si>
  <si>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</si>
  <si>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</si>
  <si>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</si>
  <si>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</si>
  <si>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</si>
  <si>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</si>
  <si>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</si>
  <si>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</si>
  <si>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</si>
  <si>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</si>
  <si>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</si>
  <si>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</si>
  <si>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</si>
  <si>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</si>
  <si>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</si>
  <si>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</si>
  <si>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</si>
  <si>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</si>
  <si>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</si>
  <si>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</si>
  <si>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</si>
  <si>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</si>
  <si>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</si>
  <si>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</si>
  <si>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</si>
  <si>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</si>
  <si>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</si>
  <si>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</si>
  <si>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</si>
  <si>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</si>
  <si>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</si>
  <si>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</si>
  <si>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</si>
  <si>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</si>
  <si>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</si>
  <si>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</si>
  <si>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</si>
  <si>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</si>
  <si>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</si>
  <si>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</si>
  <si>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</si>
  <si>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</si>
  <si>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Raw load per load</t>
  </si>
  <si>
    <t>Verbatim copy of Load_P_kW (TR3_load_PV_48periods.xlsx), tagged by type. One row per connection, 48 half-hours (kW).</t>
  </si>
  <si>
    <t>Raw batt charge</t>
  </si>
  <si>
    <t>Verbatim copy of Charge_kW (TR3_analysis_data.xlsx). One row per half-hour, one column per battery (kW).</t>
  </si>
  <si>
    <t>period</t>
  </si>
  <si>
    <t>hour</t>
  </si>
  <si>
    <t>BES_TR3_one195_C</t>
  </si>
  <si>
    <t>BES_TR3_one235_A</t>
  </si>
  <si>
    <t>BES_TR3_one242_B</t>
  </si>
  <si>
    <t>BES_TR3_one252_C</t>
  </si>
  <si>
    <t>BES_TR3_one260_C</t>
  </si>
  <si>
    <t>BES_TR3_one299_B</t>
  </si>
  <si>
    <t>BES_TR3_one313_A</t>
  </si>
  <si>
    <t>BES_TR3_one42_B</t>
  </si>
  <si>
    <t>BES_TR3_one320_B</t>
  </si>
  <si>
    <t>BES_TR3_one346_C</t>
  </si>
  <si>
    <t>BES_TR3_one363_C</t>
  </si>
  <si>
    <t>BES_TR3_one366_B</t>
  </si>
  <si>
    <t>BES_TR3_one371_C</t>
  </si>
  <si>
    <t>BES_TR3_one375_C</t>
  </si>
  <si>
    <t>BES_TR3_one410_B</t>
  </si>
  <si>
    <t>BES_TR3_one50_A</t>
  </si>
  <si>
    <t>BES_TR3_one423_B</t>
  </si>
  <si>
    <t>BES_TR3_one446_B</t>
  </si>
  <si>
    <t>BES_TR3_one469_A</t>
  </si>
  <si>
    <t>BES_TR3_one477_A</t>
  </si>
  <si>
    <t>BES_TR3_one480_A</t>
  </si>
  <si>
    <t>BES_TR3_one482_B</t>
  </si>
  <si>
    <t>BES_TR3_one521_C</t>
  </si>
  <si>
    <t>BES_TR3_one528_C</t>
  </si>
  <si>
    <t>BES_TR3_one61_A</t>
  </si>
  <si>
    <t>BES_TR3_one544_A</t>
  </si>
  <si>
    <t>BES_TR3_one552_B</t>
  </si>
  <si>
    <t>BES_TR3_one559_C</t>
  </si>
  <si>
    <t>BES_TR3_one570_B</t>
  </si>
  <si>
    <t>BES_TR3_one605_A</t>
  </si>
  <si>
    <t>BES_TR3_one614_B</t>
  </si>
  <si>
    <t>BES_TR3_one617_A</t>
  </si>
  <si>
    <t>BES_TR3_one73_A</t>
  </si>
  <si>
    <t>BES_TR3_one76_A</t>
  </si>
  <si>
    <t>BES_TR3_one137_A</t>
  </si>
  <si>
    <t>BES_TR3_one176_A</t>
  </si>
  <si>
    <t>BES_TR3_two130_C</t>
  </si>
  <si>
    <t>BES_TR3_two249_A</t>
  </si>
  <si>
    <t>BES_TR3_two267_C</t>
  </si>
  <si>
    <t>BES_TR3_two292_B</t>
  </si>
  <si>
    <t>BES_TR3_two308_A</t>
  </si>
  <si>
    <t>BES_TR3_two313_C</t>
  </si>
  <si>
    <t>BES_TR3_two137_B</t>
  </si>
  <si>
    <t>BES_TR3_two316_A</t>
  </si>
  <si>
    <t>BES_TR3_two339_A</t>
  </si>
  <si>
    <t>BES_TR3_two149_B</t>
  </si>
  <si>
    <t>BES_TR3_two225_C</t>
  </si>
  <si>
    <t>BES_TR3_two229_A</t>
  </si>
  <si>
    <t>BES_TR3_two242_B</t>
  </si>
  <si>
    <t>Raw batt discharge</t>
  </si>
  <si>
    <t>Verbatim copy of Discharge_kW (TR3_analysis_data.xlsx). One row per half-hour, one column per battery (kW).</t>
  </si>
  <si>
    <t>TR3 PV allocation — per half-hour</t>
  </si>
  <si>
    <t>VIOLET = aggregated live from the raw sheets 3–6 (SUM / SUMIF).  AMBER = priority split (MIN formulas): PV → prosumer load → battery → customer load → export.</t>
  </si>
  <si>
    <t>hour
(h)</t>
  </si>
  <si>
    <t>PV
(kW)</t>
  </si>
  <si>
    <t>prosumer
load (kW)</t>
  </si>
  <si>
    <t>customer
load (kW)</t>
  </si>
  <si>
    <t>batt
charge (kW)</t>
  </si>
  <si>
    <t>batt
discharge (kW)</t>
  </si>
  <si>
    <t>batt net
=chg−dis</t>
  </si>
  <si>
    <t>PV→
prosumer</t>
  </si>
  <si>
    <t>PV→
battery</t>
  </si>
  <si>
    <t>PV→
customer</t>
  </si>
  <si>
    <t>PV→
export</t>
  </si>
  <si>
    <t>customer
←grid</t>
  </si>
  <si>
    <t>TOTAL</t>
  </si>
  <si>
    <t>Each half-hour is 0.5 h, so daily energy (kWh) = Σ(power in kW) × 0.5.</t>
  </si>
  <si>
    <t>Trace any input: e.g. cell C5 = SUM of column C on sheet 3 (PV of all 70 connections at 00:00). Click it to see the formula.</t>
  </si>
  <si>
    <t>TR3 PV allocation — results</t>
  </si>
  <si>
    <t>Where the day's PV goes</t>
  </si>
  <si>
    <t>How the customers (21) are supplied</t>
  </si>
  <si>
    <t>Destination</t>
  </si>
  <si>
    <t>Source</t>
  </si>
  <si>
    <t>% of cust. load</t>
  </si>
  <si>
    <t>PV → prosumers' own load</t>
  </si>
  <si>
    <t>From prosumer PV (day)</t>
  </si>
  <si>
    <t>From grid import (night)</t>
  </si>
  <si>
    <t>TOTAL customer load</t>
  </si>
  <si>
    <t>TOTAL (= PV)</t>
  </si>
  <si>
    <t>Charts read live from sheet 7, which reads live from raw sheets 3–6.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</si>
</sst>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15"/>
      <color rgb="FF1F3864"/>
      <name val="Calibri"/>
    </font>
    <font>
      <b/>
      <sz val="11"/>
      <color rgb="FF2E5496"/>
      <name val="Calibri"/>
    </font>
    <font>
      <b/>
      <sz val="11"/>
      <name val="Calibri"/>
    </font>
    <font>
      <sz val="9"/>
      <name val="Consolas"/>
    </font>
    <font>
      <b/>
      <sz val="10"/>
      <color rgb="FFFFFFFF"/>
      <name val="Calibri"/>
    </font>
    <font>
      <i/>
      <sz val="9"/>
      <color rgb="FF66666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4DFE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 wrapText="1"/>
    </xf>
    <xf numFmtId="0" fontId="0" fillId="0" borderId="1" xfId="0" applyBorder="1"/>
    <xf numFmtId="164" fontId="0" fillId="4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0" fillId="4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/>
    </xf>
    <xf numFmtId="0" fontId="6" fillId="0" borderId="0" xfId="0" applyFont="1"/>
    <xf numFmtId="166" fontId="0" fillId="0" borderId="0" xfId="0" applyNumberFormat="1"/>
    <xf numFmtId="0" fontId="0" fillId="5" borderId="1" xfId="0" applyFill="1" applyBorder="1"/>
    <xf numFmtId="166" fontId="0" fillId="5" borderId="0" xfId="0" applyNumberFormat="1" applyFill="1"/>
    <xf numFmtId="164" fontId="0" fillId="0" borderId="1" xfId="0" applyNumberFormat="1" applyBorder="1"/>
    <xf numFmtId="164" fontId="0" fillId="6" borderId="1" xfId="0" applyNumberFormat="1" applyFill="1" applyBorder="1"/>
    <xf numFmtId="164" fontId="0" fillId="4" borderId="1" xfId="0" applyNumberFormat="1" applyFill="1" applyBorder="1"/>
    <xf numFmtId="0" fontId="3" fillId="7" borderId="1" xfId="0" applyFont="1" applyFill="1" applyBorder="1"/>
    <xf numFmtId="164" fontId="3" fillId="7" borderId="1" xfId="0" applyNumberFormat="1" applyFont="1" applyFill="1" applyBorder="1"/>
    <xf numFmtId="165" fontId="0" fillId="4" borderId="1" xfId="0" applyNumberFormat="1" applyFill="1" applyBorder="1"/>
    <xf numFmtId="165" fontId="3" fillId="7" borderId="1" xfId="0" applyNumberFormat="1" applyFont="1" applyFill="1" applyBorder="1"/>
    <xf numFmtId="0" fontId="0" fillId="0" borderId="0" xfId="0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effectLst/>
              </a:rPr>
              <a:t>Where the PV goes across the day (stacked, kW)</a:t>
            </a:r>
            <a:endParaRPr lang="en-US" sz="700">
              <a:effectLst/>
            </a:endParaRP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'7. PV allocation (per period)'!$I$4</c:f>
              <c:strCache>
                <c:ptCount val="1"/>
                <c:pt idx="0">
                  <c:v>PV→
prosumer</c:v>
                </c:pt>
              </c:strCache>
            </c:strRef>
          </c:tx>
          <c:spPr>
            <a:ln>
              <a:prstDash val="solid"/>
            </a:ln>
          </c:spPr>
          <c:cat>
            <c:numRef>
              <c:f>'7. PV allocation (per period)'!$B$5:$B$52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'7. PV allocation (per period)'!$I$5:$I$52</c:f>
              <c:numCache>
                <c:formatCode>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0.1394</c:v>
                </c:pt>
                <c:pt idx="8">
                  <c:v>2.0261000000000009</c:v>
                </c:pt>
                <c:pt idx="9">
                  <c:v>6.9676000000000009</c:v>
                </c:pt>
                <c:pt idx="10">
                  <c:v>6.3844000000000003</c:v>
                </c:pt>
                <c:pt idx="11">
                  <c:v>5.4489000000000001</c:v>
                </c:pt>
                <c:pt idx="12">
                  <c:v>7.6680000000000001</c:v>
                </c:pt>
                <c:pt idx="13">
                  <c:v>6.2176000000000009</c:v>
                </c:pt>
                <c:pt idx="14">
                  <c:v>11.415100000000006</c:v>
                </c:pt>
                <c:pt idx="15">
                  <c:v>8.7083999999999993</c:v>
                </c:pt>
                <c:pt idx="16">
                  <c:v>15.055800000000005</c:v>
                </c:pt>
                <c:pt idx="17">
                  <c:v>13.321300000000003</c:v>
                </c:pt>
                <c:pt idx="18">
                  <c:v>19.065600000000007</c:v>
                </c:pt>
                <c:pt idx="19">
                  <c:v>17.143799999999999</c:v>
                </c:pt>
                <c:pt idx="20">
                  <c:v>16.898500000000002</c:v>
                </c:pt>
                <c:pt idx="21">
                  <c:v>14.295500000000004</c:v>
                </c:pt>
                <c:pt idx="22">
                  <c:v>22.2333</c:v>
                </c:pt>
                <c:pt idx="23">
                  <c:v>21.988800000000001</c:v>
                </c:pt>
                <c:pt idx="24">
                  <c:v>11.953099999999999</c:v>
                </c:pt>
                <c:pt idx="25">
                  <c:v>12.7509</c:v>
                </c:pt>
                <c:pt idx="26">
                  <c:v>18.135600000000004</c:v>
                </c:pt>
                <c:pt idx="27">
                  <c:v>17.409100000000002</c:v>
                </c:pt>
                <c:pt idx="28">
                  <c:v>14.084300000000001</c:v>
                </c:pt>
                <c:pt idx="29">
                  <c:v>15.673100000000002</c:v>
                </c:pt>
                <c:pt idx="30">
                  <c:v>20.618200000000005</c:v>
                </c:pt>
                <c:pt idx="31">
                  <c:v>16.178500000000003</c:v>
                </c:pt>
                <c:pt idx="32">
                  <c:v>15.944800000000004</c:v>
                </c:pt>
                <c:pt idx="33">
                  <c:v>18.520299999999999</c:v>
                </c:pt>
                <c:pt idx="34">
                  <c:v>17.212400000000006</c:v>
                </c:pt>
                <c:pt idx="35">
                  <c:v>16.910700000000006</c:v>
                </c:pt>
                <c:pt idx="36">
                  <c:v>16.613500000000005</c:v>
                </c:pt>
                <c:pt idx="37">
                  <c:v>20.2104</c:v>
                </c:pt>
                <c:pt idx="38">
                  <c:v>14.9613</c:v>
                </c:pt>
                <c:pt idx="39">
                  <c:v>4.3684000000000021</c:v>
                </c:pt>
                <c:pt idx="40">
                  <c:v>0.80640000000000023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95-44F3-AAC6-D6ABF56765ED}"/>
            </c:ext>
          </c:extLst>
        </c:ser>
        <c:ser>
          <c:idx val="1"/>
          <c:order val="1"/>
          <c:tx>
            <c:strRef>
              <c:f>'7. PV allocation (per period)'!$J$4</c:f>
              <c:strCache>
                <c:ptCount val="1"/>
                <c:pt idx="0">
                  <c:v>PV→
battery</c:v>
                </c:pt>
              </c:strCache>
            </c:strRef>
          </c:tx>
          <c:spPr>
            <a:ln>
              <a:prstDash val="solid"/>
            </a:ln>
          </c:spPr>
          <c:cat>
            <c:numRef>
              <c:f>'7. PV allocation (per period)'!$B$5:$B$52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'7. PV allocation (per period)'!$J$5:$J$52</c:f>
              <c:numCache>
                <c:formatCode>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2.5103999999999989</c:v>
                </c:pt>
                <c:pt idx="10">
                  <c:v>12.41449999999999</c:v>
                </c:pt>
                <c:pt idx="11">
                  <c:v>24.781999999999993</c:v>
                </c:pt>
                <c:pt idx="12">
                  <c:v>35.033899999999974</c:v>
                </c:pt>
                <c:pt idx="13">
                  <c:v>49.109500000000025</c:v>
                </c:pt>
                <c:pt idx="14">
                  <c:v>56.473699999999965</c:v>
                </c:pt>
                <c:pt idx="15">
                  <c:v>62.519000000000005</c:v>
                </c:pt>
                <c:pt idx="16">
                  <c:v>32.341999999999992</c:v>
                </c:pt>
                <c:pt idx="17">
                  <c:v>20.594999999999999</c:v>
                </c:pt>
                <c:pt idx="18">
                  <c:v>13.307000000000002</c:v>
                </c:pt>
                <c:pt idx="19">
                  <c:v>8.729000000000001</c:v>
                </c:pt>
                <c:pt idx="20">
                  <c:v>2.7009999999999996</c:v>
                </c:pt>
                <c:pt idx="21">
                  <c:v>1.7670000000000001</c:v>
                </c:pt>
                <c:pt idx="22">
                  <c:v>0</c:v>
                </c:pt>
                <c:pt idx="23">
                  <c:v>0.32900000000000001</c:v>
                </c:pt>
                <c:pt idx="24">
                  <c:v>0.48099999999999998</c:v>
                </c:pt>
                <c:pt idx="25">
                  <c:v>0</c:v>
                </c:pt>
                <c:pt idx="26">
                  <c:v>0</c:v>
                </c:pt>
                <c:pt idx="27">
                  <c:v>0.68200000000000005</c:v>
                </c:pt>
                <c:pt idx="28">
                  <c:v>0</c:v>
                </c:pt>
                <c:pt idx="29">
                  <c:v>0.11700000000000002</c:v>
                </c:pt>
                <c:pt idx="30">
                  <c:v>0</c:v>
                </c:pt>
                <c:pt idx="31">
                  <c:v>0</c:v>
                </c:pt>
                <c:pt idx="32">
                  <c:v>2.1030000000000002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95-44F3-AAC6-D6ABF56765ED}"/>
            </c:ext>
          </c:extLst>
        </c:ser>
        <c:ser>
          <c:idx val="2"/>
          <c:order val="2"/>
          <c:tx>
            <c:strRef>
              <c:f>'7. PV allocation (per period)'!$K$4</c:f>
              <c:strCache>
                <c:ptCount val="1"/>
                <c:pt idx="0">
                  <c:v>PV→
customer</c:v>
                </c:pt>
              </c:strCache>
            </c:strRef>
          </c:tx>
          <c:spPr>
            <a:ln>
              <a:prstDash val="solid"/>
            </a:ln>
          </c:spPr>
          <c:cat>
            <c:numRef>
              <c:f>'7. PV allocation (per period)'!$B$5:$B$52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'7. PV allocation (per period)'!$K$5:$K$52</c:f>
              <c:numCache>
                <c:formatCode>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6.0000000000925979E-4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5.7131999999999996</c:v>
                </c:pt>
                <c:pt idx="16">
                  <c:v>8.5454999999999988</c:v>
                </c:pt>
                <c:pt idx="17">
                  <c:v>4.6213999999999995</c:v>
                </c:pt>
                <c:pt idx="18">
                  <c:v>6.2218999999999989</c:v>
                </c:pt>
                <c:pt idx="19">
                  <c:v>6.073199999999999</c:v>
                </c:pt>
                <c:pt idx="20">
                  <c:v>7.2628000000000004</c:v>
                </c:pt>
                <c:pt idx="21">
                  <c:v>5.8191999999999995</c:v>
                </c:pt>
                <c:pt idx="22">
                  <c:v>5.5863000000000005</c:v>
                </c:pt>
                <c:pt idx="23">
                  <c:v>3.8169999999999993</c:v>
                </c:pt>
                <c:pt idx="24">
                  <c:v>9.3622999999999994</c:v>
                </c:pt>
                <c:pt idx="25">
                  <c:v>9.5228000000000002</c:v>
                </c:pt>
                <c:pt idx="26">
                  <c:v>12.329299999999998</c:v>
                </c:pt>
                <c:pt idx="27">
                  <c:v>5.9407999999999994</c:v>
                </c:pt>
                <c:pt idx="28">
                  <c:v>7.8220000000000001</c:v>
                </c:pt>
                <c:pt idx="29">
                  <c:v>9.5163000000000011</c:v>
                </c:pt>
                <c:pt idx="30">
                  <c:v>6.9962000000000009</c:v>
                </c:pt>
                <c:pt idx="31">
                  <c:v>4.5420999999999996</c:v>
                </c:pt>
                <c:pt idx="32">
                  <c:v>6.4482000000000008</c:v>
                </c:pt>
                <c:pt idx="33">
                  <c:v>8.3592999999999993</c:v>
                </c:pt>
                <c:pt idx="34">
                  <c:v>8.6307999999999971</c:v>
                </c:pt>
                <c:pt idx="35">
                  <c:v>9.0881000000000043</c:v>
                </c:pt>
                <c:pt idx="36">
                  <c:v>12.005699999999999</c:v>
                </c:pt>
                <c:pt idx="37">
                  <c:v>5.4940000000000069</c:v>
                </c:pt>
                <c:pt idx="38">
                  <c:v>4.7399999999996112E-2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95-44F3-AAC6-D6ABF56765ED}"/>
            </c:ext>
          </c:extLst>
        </c:ser>
        <c:ser>
          <c:idx val="3"/>
          <c:order val="3"/>
          <c:tx>
            <c:strRef>
              <c:f>'7. PV allocation (per period)'!$L$4</c:f>
              <c:strCache>
                <c:ptCount val="1"/>
                <c:pt idx="0">
                  <c:v>PV→
export</c:v>
                </c:pt>
              </c:strCache>
            </c:strRef>
          </c:tx>
          <c:spPr>
            <a:ln>
              <a:prstDash val="solid"/>
            </a:ln>
          </c:spPr>
          <c:cat>
            <c:numRef>
              <c:f>'7. PV allocation (per period)'!$B$5:$B$52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'7. PV allocation (per period)'!$L$5:$L$52</c:f>
              <c:numCache>
                <c:formatCode>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3.5248000000000141</c:v>
                </c:pt>
                <c:pt idx="16">
                  <c:v>36.327400000000026</c:v>
                </c:pt>
                <c:pt idx="17">
                  <c:v>64.832000000000008</c:v>
                </c:pt>
                <c:pt idx="18">
                  <c:v>74.225500000000068</c:v>
                </c:pt>
                <c:pt idx="19">
                  <c:v>88.93480000000001</c:v>
                </c:pt>
                <c:pt idx="20">
                  <c:v>101.09270000000004</c:v>
                </c:pt>
                <c:pt idx="21">
                  <c:v>111.91339999999994</c:v>
                </c:pt>
                <c:pt idx="22">
                  <c:v>110.11900000000004</c:v>
                </c:pt>
                <c:pt idx="23">
                  <c:v>113.62139999999994</c:v>
                </c:pt>
                <c:pt idx="24">
                  <c:v>118.4855</c:v>
                </c:pt>
                <c:pt idx="25">
                  <c:v>117.02240000000008</c:v>
                </c:pt>
                <c:pt idx="26">
                  <c:v>105.52529999999992</c:v>
                </c:pt>
                <c:pt idx="27">
                  <c:v>106.91100000000004</c:v>
                </c:pt>
                <c:pt idx="28">
                  <c:v>103.01279999999994</c:v>
                </c:pt>
                <c:pt idx="29">
                  <c:v>91.97980000000004</c:v>
                </c:pt>
                <c:pt idx="30">
                  <c:v>81.559300000000022</c:v>
                </c:pt>
                <c:pt idx="31">
                  <c:v>78.692400000000006</c:v>
                </c:pt>
                <c:pt idx="32">
                  <c:v>63.923800000000014</c:v>
                </c:pt>
                <c:pt idx="33">
                  <c:v>48.267099999999999</c:v>
                </c:pt>
                <c:pt idx="34">
                  <c:v>36.879200000000026</c:v>
                </c:pt>
                <c:pt idx="35">
                  <c:v>23.957699999999988</c:v>
                </c:pt>
                <c:pt idx="36">
                  <c:v>8.9898999999999862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95-44F3-AAC6-D6ABF5676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050" b="1" i="0" baseline="0">
                    <a:effectLst/>
                  </a:rPr>
                  <a:t>hour of day</a:t>
                </a:r>
                <a:endParaRPr lang="en-US" sz="500">
                  <a:effectLst/>
                </a:endParaRPr>
              </a:p>
            </c:rich>
          </c:tx>
          <c:overlay val="0"/>
        </c:title>
        <c:numFmt formatCode="0" sourceLinked="0"/>
        <c:majorTickMark val="cross"/>
        <c:minorTickMark val="none"/>
        <c:tickLblPos val="nextTo"/>
        <c:spPr>
          <a:ln/>
        </c:spPr>
        <c:crossAx val="100"/>
        <c:crosses val="autoZero"/>
        <c:auto val="1"/>
        <c:lblAlgn val="ctr"/>
        <c:lblOffset val="100"/>
        <c:tickLblSkip val="2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kW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effectLst/>
              </a:rPr>
              <a:t>Daily PV destination (kWh)</a:t>
            </a:r>
            <a:endParaRPr lang="en-US" sz="700">
              <a:effectLst/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dLbl>
              <c:idx val="0"/>
              <c:layout>
                <c:manualLayout>
                  <c:x val="3.2070707070707069E-3"/>
                  <c:y val="-3.96875000000000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BD3-4B1F-B92B-F85EBA56AB88}"/>
                </c:ext>
              </c:extLst>
            </c:dLbl>
            <c:dLbl>
              <c:idx val="3"/>
              <c:layout>
                <c:manualLayout>
                  <c:x val="-1.1759123416862102E-16"/>
                  <c:y val="-3.086805555555557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BD3-4B1F-B92B-F85EBA56AB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Results &amp; charts'!$A$5:$A$8</c:f>
              <c:strCache>
                <c:ptCount val="4"/>
                <c:pt idx="0">
                  <c:v>PV → prosumers' own load</c:v>
                </c:pt>
                <c:pt idx="1">
                  <c:v>PV → battery storage</c:v>
                </c:pt>
                <c:pt idx="2">
                  <c:v>PV → customers</c:v>
                </c:pt>
                <c:pt idx="3">
                  <c:v>PV → export to grid</c:v>
                </c:pt>
              </c:strCache>
            </c:strRef>
          </c:cat>
          <c:val>
            <c:numRef>
              <c:f>'8. Results &amp; charts'!$B$5:$B$8</c:f>
              <c:numCache>
                <c:formatCode>0.0</c:formatCode>
                <c:ptCount val="4"/>
                <c:pt idx="0">
                  <c:v>223.66454999999999</c:v>
                </c:pt>
                <c:pt idx="1">
                  <c:v>162.99800000000002</c:v>
                </c:pt>
                <c:pt idx="2">
                  <c:v>84.883199999999988</c:v>
                </c:pt>
                <c:pt idx="3">
                  <c:v>844.89860000000022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D3-4B1F-B92B-F85EBA56A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050" b="1" i="0" baseline="0">
                    <a:effectLst/>
                  </a:rPr>
                  <a:t>kWh/day</a:t>
                </a:r>
                <a:endParaRPr lang="en-US" sz="500">
                  <a:effectLst/>
                </a:endParaRP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effectLst/>
              </a:rPr>
              <a:t>Customer load: PV vs grid (kWh)</a:t>
            </a:r>
            <a:endParaRPr lang="en-US" sz="700">
              <a:effectLst/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dLbl>
              <c:idx val="1"/>
              <c:layout>
                <c:manualLayout>
                  <c:x val="0"/>
                  <c:y val="-6.17361111111111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6A2-4ADA-BCCD-3A5D2C3299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Results &amp; charts'!$E$5:$E$6</c:f>
              <c:strCache>
                <c:ptCount val="2"/>
                <c:pt idx="0">
                  <c:v>From prosumer PV (day)</c:v>
                </c:pt>
                <c:pt idx="1">
                  <c:v>From grid import (night)</c:v>
                </c:pt>
              </c:strCache>
            </c:strRef>
          </c:cat>
          <c:val>
            <c:numRef>
              <c:f>'8. Results &amp; charts'!$F$5:$F$6</c:f>
              <c:numCache>
                <c:formatCode>0.0</c:formatCode>
                <c:ptCount val="2"/>
                <c:pt idx="0">
                  <c:v>84.883199999999988</c:v>
                </c:pt>
                <c:pt idx="1">
                  <c:v>79.339699999999993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A2-4ADA-BCCD-3A5D2C329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050" b="1" i="0" baseline="0">
                    <a:effectLst/>
                  </a:rPr>
                  <a:t>kWh/day</a:t>
                </a:r>
                <a:endParaRPr lang="en-US" sz="500">
                  <a:effectLst/>
                </a:endParaRP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190499</xdr:rowOff>
    </xdr:from>
    <xdr:ext cx="7981950" cy="3857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39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47625</xdr:colOff>
      <xdr:row>32</xdr:row>
      <xdr:rowOff>9525</xdr:rowOff>
    </xdr:from>
    <xdr:ext cx="396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44"/>
  <sheetViews>
    <sheetView showGridLines="0" workbookViewId="0">
      <selection activeCell="K14" sqref="K14"/>
    </sheetView>
  </sheetViews>
  <sheetFormatPr defaultRowHeight="15" x14ac:dyDescent="0.25"/>
  <cols>
    <col min="1" max="1" width="2" customWidth="1"/>
    <col min="2" max="2" width="32" customWidth="1"/>
    <col min="3" max="3" width="16" customWidth="1"/>
    <col min="4" max="4" width="19.85546875" customWidth="1"/>
    <col min="5" max="5" width="40" customWidth="1"/>
  </cols>
  <sheetData>
    <row r="2" spans="2:5" ht="19.5" x14ac:dyDescent="0.3">
      <c r="B2" s="1" t="s">
        <v>0</v>
      </c>
    </row>
    <row r="3" spans="2:5" x14ac:dyDescent="0.25">
      <c r="B3" s="2" t="s">
        <v>1</v>
      </c>
    </row>
    <row r="5" spans="2:5" x14ac:dyDescent="0.25">
      <c r="B5" s="2" t="s">
        <v>2</v>
      </c>
    </row>
    <row r="6" spans="2:5" x14ac:dyDescent="0.25">
      <c r="B6" s="26" t="s">
        <v>3</v>
      </c>
      <c r="C6" s="27"/>
      <c r="D6" s="27"/>
      <c r="E6" s="27"/>
    </row>
    <row r="7" spans="2:5" x14ac:dyDescent="0.25">
      <c r="B7" s="27"/>
      <c r="C7" s="27"/>
      <c r="D7" s="27"/>
      <c r="E7" s="27"/>
    </row>
    <row r="8" spans="2:5" x14ac:dyDescent="0.25">
      <c r="B8" s="27"/>
      <c r="C8" s="27"/>
      <c r="D8" s="27"/>
      <c r="E8" s="27"/>
    </row>
    <row r="10" spans="2:5" x14ac:dyDescent="0.25">
      <c r="B10" s="2" t="s">
        <v>4</v>
      </c>
    </row>
    <row r="11" spans="2:5" ht="39.950000000000003" customHeight="1" x14ac:dyDescent="0.25">
      <c r="B11" s="3" t="s">
        <v>5</v>
      </c>
      <c r="C11" s="26" t="s">
        <v>6</v>
      </c>
      <c r="D11" s="27"/>
      <c r="E11" s="27"/>
    </row>
    <row r="12" spans="2:5" ht="39.950000000000003" customHeight="1" x14ac:dyDescent="0.25">
      <c r="B12" s="3" t="s">
        <v>7</v>
      </c>
      <c r="C12" s="26" t="s">
        <v>8</v>
      </c>
      <c r="D12" s="27"/>
      <c r="E12" s="27"/>
    </row>
    <row r="13" spans="2:5" ht="39.950000000000003" customHeight="1" x14ac:dyDescent="0.25">
      <c r="B13" s="3" t="s">
        <v>9</v>
      </c>
      <c r="C13" s="26" t="s">
        <v>10</v>
      </c>
      <c r="D13" s="27"/>
      <c r="E13" s="27"/>
    </row>
    <row r="14" spans="2:5" ht="39.950000000000003" customHeight="1" x14ac:dyDescent="0.25">
      <c r="B14" s="3" t="s">
        <v>11</v>
      </c>
      <c r="C14" s="26" t="s">
        <v>12</v>
      </c>
      <c r="D14" s="27"/>
      <c r="E14" s="27"/>
    </row>
    <row r="15" spans="2:5" ht="39.950000000000003" customHeight="1" x14ac:dyDescent="0.25">
      <c r="B15" s="3" t="s">
        <v>13</v>
      </c>
      <c r="C15" s="26" t="s">
        <v>14</v>
      </c>
      <c r="D15" s="27"/>
      <c r="E15" s="27"/>
    </row>
    <row r="16" spans="2:5" ht="39.950000000000003" customHeight="1" x14ac:dyDescent="0.25">
      <c r="B16" s="3" t="s">
        <v>15</v>
      </c>
      <c r="C16" s="26" t="s">
        <v>16</v>
      </c>
      <c r="D16" s="27"/>
      <c r="E16" s="27"/>
    </row>
    <row r="18" spans="2:5" x14ac:dyDescent="0.25">
      <c r="B18" s="2" t="s">
        <v>17</v>
      </c>
    </row>
    <row r="19" spans="2:5" x14ac:dyDescent="0.25">
      <c r="B19" s="4" t="s">
        <v>18</v>
      </c>
      <c r="C19" s="28"/>
      <c r="D19" s="27"/>
      <c r="E19" s="27"/>
    </row>
    <row r="20" spans="2:5" x14ac:dyDescent="0.25">
      <c r="B20" s="4" t="s">
        <v>19</v>
      </c>
      <c r="C20" s="28"/>
      <c r="D20" s="27"/>
      <c r="E20" s="27"/>
    </row>
    <row r="21" spans="2:5" x14ac:dyDescent="0.25">
      <c r="B21" s="4" t="s">
        <v>20</v>
      </c>
      <c r="C21" s="28"/>
      <c r="D21" s="27"/>
      <c r="E21" s="27"/>
    </row>
    <row r="22" spans="2:5" x14ac:dyDescent="0.25">
      <c r="B22" s="4" t="s">
        <v>21</v>
      </c>
      <c r="C22" s="28"/>
      <c r="D22" s="27"/>
      <c r="E22" s="27"/>
    </row>
    <row r="23" spans="2:5" x14ac:dyDescent="0.25">
      <c r="B23" s="4" t="s">
        <v>22</v>
      </c>
      <c r="C23" s="28"/>
      <c r="D23" s="27"/>
      <c r="E23" s="27"/>
    </row>
    <row r="25" spans="2:5" x14ac:dyDescent="0.25">
      <c r="B25" s="2" t="s">
        <v>23</v>
      </c>
    </row>
    <row r="26" spans="2:5" x14ac:dyDescent="0.25">
      <c r="B26" s="5" t="s">
        <v>24</v>
      </c>
      <c r="C26" s="5" t="s">
        <v>25</v>
      </c>
      <c r="D26" s="5" t="s">
        <v>26</v>
      </c>
    </row>
    <row r="27" spans="2:5" x14ac:dyDescent="0.25">
      <c r="B27" s="6" t="s">
        <v>27</v>
      </c>
      <c r="C27" s="7">
        <v>49</v>
      </c>
      <c r="D27" s="7" t="s">
        <v>28</v>
      </c>
    </row>
    <row r="28" spans="2:5" x14ac:dyDescent="0.25">
      <c r="B28" s="6" t="s">
        <v>29</v>
      </c>
      <c r="C28" s="7">
        <v>21</v>
      </c>
      <c r="D28" s="7" t="s">
        <v>28</v>
      </c>
    </row>
    <row r="29" spans="2:5" x14ac:dyDescent="0.25">
      <c r="B29" s="8" t="s">
        <v>30</v>
      </c>
      <c r="C29" s="9">
        <f>'7. PV allocation (per period)'!C53</f>
        <v>1316.4443499999998</v>
      </c>
      <c r="D29" s="10" t="s">
        <v>31</v>
      </c>
    </row>
    <row r="30" spans="2:5" x14ac:dyDescent="0.25">
      <c r="B30" s="8" t="s">
        <v>32</v>
      </c>
      <c r="C30" s="9">
        <f>'7. PV allocation (per period)'!I53</f>
        <v>223.66454999999999</v>
      </c>
      <c r="D30" s="10" t="s">
        <v>31</v>
      </c>
    </row>
    <row r="31" spans="2:5" x14ac:dyDescent="0.25">
      <c r="B31" s="8" t="s">
        <v>33</v>
      </c>
      <c r="C31" s="9">
        <f>'7. PV allocation (per period)'!J53</f>
        <v>162.99800000000002</v>
      </c>
      <c r="D31" s="10" t="s">
        <v>31</v>
      </c>
    </row>
    <row r="32" spans="2:5" x14ac:dyDescent="0.25">
      <c r="B32" s="8" t="s">
        <v>34</v>
      </c>
      <c r="C32" s="9">
        <f>'7. PV allocation (per period)'!K53</f>
        <v>84.883199999999988</v>
      </c>
      <c r="D32" s="10" t="s">
        <v>31</v>
      </c>
    </row>
    <row r="33" spans="2:5" x14ac:dyDescent="0.25">
      <c r="B33" s="8" t="s">
        <v>35</v>
      </c>
      <c r="C33" s="9">
        <f>'7. PV allocation (per period)'!L53</f>
        <v>844.89860000000022</v>
      </c>
      <c r="D33" s="10" t="s">
        <v>31</v>
      </c>
    </row>
    <row r="34" spans="2:5" x14ac:dyDescent="0.25">
      <c r="B34" s="8" t="s">
        <v>36</v>
      </c>
      <c r="C34" s="11">
        <f>'7. PV allocation (per period)'!K53/'7. PV allocation (per period)'!C53</f>
        <v>6.4479140344975469E-2</v>
      </c>
      <c r="D34" s="10" t="s">
        <v>37</v>
      </c>
    </row>
    <row r="35" spans="2:5" x14ac:dyDescent="0.25">
      <c r="B35" s="8" t="s">
        <v>38</v>
      </c>
      <c r="C35" s="11">
        <f>'7. PV allocation (per period)'!K53/'7. PV allocation (per period)'!E53</f>
        <v>0.51687797499617905</v>
      </c>
      <c r="D35" s="10" t="s">
        <v>39</v>
      </c>
    </row>
    <row r="36" spans="2:5" x14ac:dyDescent="0.25">
      <c r="B36" s="8" t="s">
        <v>40</v>
      </c>
      <c r="C36" s="11">
        <f>'7. PV allocation (per period)'!M53/'7. PV allocation (per period)'!E53</f>
        <v>0.48312202500382112</v>
      </c>
      <c r="D36" s="10" t="s">
        <v>39</v>
      </c>
    </row>
    <row r="39" spans="2:5" x14ac:dyDescent="0.25">
      <c r="B39" s="2" t="s">
        <v>41</v>
      </c>
    </row>
    <row r="40" spans="2:5" x14ac:dyDescent="0.25">
      <c r="B40" s="26" t="s">
        <v>42</v>
      </c>
      <c r="C40" s="27"/>
      <c r="D40" s="27"/>
      <c r="E40" s="27"/>
    </row>
    <row r="41" spans="2:5" x14ac:dyDescent="0.25">
      <c r="B41" s="26" t="s">
        <v>43</v>
      </c>
      <c r="C41" s="27"/>
      <c r="D41" s="27"/>
      <c r="E41" s="27"/>
    </row>
    <row r="42" spans="2:5" x14ac:dyDescent="0.25">
      <c r="B42" s="26" t="s">
        <v>44</v>
      </c>
      <c r="C42" s="27"/>
      <c r="D42" s="27"/>
      <c r="E42" s="27"/>
    </row>
    <row r="43" spans="2:5" x14ac:dyDescent="0.25">
      <c r="B43" s="26" t="s">
        <v>45</v>
      </c>
      <c r="C43" s="27"/>
      <c r="D43" s="27"/>
      <c r="E43" s="27"/>
    </row>
    <row r="44" spans="2:5" x14ac:dyDescent="0.25">
      <c r="B44" s="26" t="s">
        <v>46</v>
      </c>
      <c r="C44" s="27"/>
      <c r="D44" s="27"/>
      <c r="E44" s="27"/>
    </row>
  </sheetData>
  <mergeCells count="17">
    <mergeCell ref="B44:E44"/>
    <mergeCell ref="C21:E21"/>
    <mergeCell ref="C20:E20"/>
    <mergeCell ref="C12:E12"/>
    <mergeCell ref="B43:E43"/>
    <mergeCell ref="C23:E23"/>
    <mergeCell ref="B42:E42"/>
    <mergeCell ref="C15:E15"/>
    <mergeCell ref="C22:E22"/>
    <mergeCell ref="C16:E16"/>
    <mergeCell ref="B6:E8"/>
    <mergeCell ref="B40:E40"/>
    <mergeCell ref="B41:E41"/>
    <mergeCell ref="C14:E14"/>
    <mergeCell ref="C11:E11"/>
    <mergeCell ref="C13:E13"/>
    <mergeCell ref="C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4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7" customWidth="1"/>
    <col min="2" max="2" width="26" customWidth="1"/>
    <col min="3" max="3" width="16" customWidth="1"/>
    <col min="4" max="4" width="7" customWidth="1"/>
    <col min="5" max="6" width="13" customWidth="1"/>
  </cols>
  <sheetData>
    <row r="1" spans="1:6" ht="19.5" x14ac:dyDescent="0.3">
      <c r="A1" s="1" t="s">
        <v>47</v>
      </c>
    </row>
    <row r="2" spans="1:6" x14ac:dyDescent="0.25">
      <c r="A2" s="2" t="s">
        <v>48</v>
      </c>
    </row>
    <row r="4" spans="1:6" x14ac:dyDescent="0.25">
      <c r="A4" s="5" t="s">
        <v>49</v>
      </c>
      <c r="B4" s="5" t="s">
        <v>50</v>
      </c>
      <c r="C4" s="5" t="s">
        <v>51</v>
      </c>
      <c r="D4" s="5" t="s">
        <v>52</v>
      </c>
      <c r="E4" s="5" t="s">
        <v>53</v>
      </c>
      <c r="F4" s="5" t="s">
        <v>54</v>
      </c>
    </row>
    <row r="5" spans="1:6" x14ac:dyDescent="0.25">
      <c r="A5" s="10">
        <v>310</v>
      </c>
      <c r="B5" s="12" t="s">
        <v>55</v>
      </c>
      <c r="C5" s="10" t="s">
        <v>56</v>
      </c>
      <c r="D5" s="10">
        <v>2</v>
      </c>
      <c r="E5" s="10">
        <v>0</v>
      </c>
      <c r="F5" s="10" t="s">
        <v>57</v>
      </c>
    </row>
    <row r="6" spans="1:6" x14ac:dyDescent="0.25">
      <c r="A6" s="10">
        <v>312</v>
      </c>
      <c r="B6" s="12" t="s">
        <v>58</v>
      </c>
      <c r="C6" s="10" t="s">
        <v>59</v>
      </c>
      <c r="D6" s="10">
        <v>2</v>
      </c>
      <c r="E6" s="10">
        <v>0</v>
      </c>
      <c r="F6" s="10" t="s">
        <v>57</v>
      </c>
    </row>
    <row r="7" spans="1:6" x14ac:dyDescent="0.25">
      <c r="A7" s="10">
        <v>317</v>
      </c>
      <c r="B7" s="12" t="s">
        <v>60</v>
      </c>
      <c r="C7" s="10" t="s">
        <v>61</v>
      </c>
      <c r="D7" s="10">
        <v>1</v>
      </c>
      <c r="E7" s="10">
        <v>0</v>
      </c>
      <c r="F7" s="10" t="s">
        <v>57</v>
      </c>
    </row>
    <row r="8" spans="1:6" x14ac:dyDescent="0.25">
      <c r="A8" s="10">
        <v>318</v>
      </c>
      <c r="B8" s="12" t="s">
        <v>62</v>
      </c>
      <c r="C8" s="10" t="s">
        <v>63</v>
      </c>
      <c r="D8" s="10">
        <v>2</v>
      </c>
      <c r="E8" s="10">
        <v>0</v>
      </c>
      <c r="F8" s="10" t="s">
        <v>57</v>
      </c>
    </row>
    <row r="9" spans="1:6" x14ac:dyDescent="0.25">
      <c r="A9" s="10">
        <v>323</v>
      </c>
      <c r="B9" s="12" t="s">
        <v>64</v>
      </c>
      <c r="C9" s="10" t="s">
        <v>65</v>
      </c>
      <c r="D9" s="10">
        <v>3</v>
      </c>
      <c r="E9" s="10">
        <v>0</v>
      </c>
      <c r="F9" s="10" t="s">
        <v>57</v>
      </c>
    </row>
    <row r="10" spans="1:6" x14ac:dyDescent="0.25">
      <c r="A10" s="10">
        <v>324</v>
      </c>
      <c r="B10" s="12" t="s">
        <v>66</v>
      </c>
      <c r="C10" s="10" t="s">
        <v>67</v>
      </c>
      <c r="D10" s="10">
        <v>1</v>
      </c>
      <c r="E10" s="10">
        <v>0</v>
      </c>
      <c r="F10" s="10" t="s">
        <v>57</v>
      </c>
    </row>
    <row r="11" spans="1:6" x14ac:dyDescent="0.25">
      <c r="A11" s="10">
        <v>325</v>
      </c>
      <c r="B11" s="12" t="s">
        <v>68</v>
      </c>
      <c r="C11" s="10" t="s">
        <v>69</v>
      </c>
      <c r="D11" s="10">
        <v>1</v>
      </c>
      <c r="E11" s="10">
        <v>0</v>
      </c>
      <c r="F11" s="10" t="s">
        <v>57</v>
      </c>
    </row>
    <row r="12" spans="1:6" x14ac:dyDescent="0.25">
      <c r="A12" s="10">
        <v>333</v>
      </c>
      <c r="B12" s="12" t="s">
        <v>70</v>
      </c>
      <c r="C12" s="10" t="s">
        <v>71</v>
      </c>
      <c r="D12" s="10">
        <v>3</v>
      </c>
      <c r="E12" s="10">
        <v>0</v>
      </c>
      <c r="F12" s="10" t="s">
        <v>57</v>
      </c>
    </row>
    <row r="13" spans="1:6" x14ac:dyDescent="0.25">
      <c r="A13" s="10">
        <v>342</v>
      </c>
      <c r="B13" s="12" t="s">
        <v>72</v>
      </c>
      <c r="C13" s="10" t="s">
        <v>73</v>
      </c>
      <c r="D13" s="10">
        <v>1</v>
      </c>
      <c r="E13" s="10">
        <v>0</v>
      </c>
      <c r="F13" s="10" t="s">
        <v>57</v>
      </c>
    </row>
    <row r="14" spans="1:6" x14ac:dyDescent="0.25">
      <c r="A14" s="10">
        <v>347</v>
      </c>
      <c r="B14" s="12" t="s">
        <v>74</v>
      </c>
      <c r="C14" s="10" t="s">
        <v>75</v>
      </c>
      <c r="D14" s="10">
        <v>3</v>
      </c>
      <c r="E14" s="10">
        <v>0</v>
      </c>
      <c r="F14" s="10" t="s">
        <v>57</v>
      </c>
    </row>
    <row r="15" spans="1:6" x14ac:dyDescent="0.25">
      <c r="A15" s="10">
        <v>349</v>
      </c>
      <c r="B15" s="12" t="s">
        <v>76</v>
      </c>
      <c r="C15" s="10" t="s">
        <v>77</v>
      </c>
      <c r="D15" s="10">
        <v>1</v>
      </c>
      <c r="E15" s="10">
        <v>0</v>
      </c>
      <c r="F15" s="10" t="s">
        <v>57</v>
      </c>
    </row>
    <row r="16" spans="1:6" x14ac:dyDescent="0.25">
      <c r="A16" s="10">
        <v>350</v>
      </c>
      <c r="B16" s="12" t="s">
        <v>78</v>
      </c>
      <c r="C16" s="10" t="s">
        <v>79</v>
      </c>
      <c r="D16" s="10">
        <v>1</v>
      </c>
      <c r="E16" s="10">
        <v>0</v>
      </c>
      <c r="F16" s="10" t="s">
        <v>57</v>
      </c>
    </row>
    <row r="17" spans="1:6" x14ac:dyDescent="0.25">
      <c r="A17" s="10">
        <v>356</v>
      </c>
      <c r="B17" s="12" t="s">
        <v>80</v>
      </c>
      <c r="C17" s="10" t="s">
        <v>81</v>
      </c>
      <c r="D17" s="10">
        <v>1</v>
      </c>
      <c r="E17" s="10">
        <v>0</v>
      </c>
      <c r="F17" s="10" t="s">
        <v>57</v>
      </c>
    </row>
    <row r="18" spans="1:6" x14ac:dyDescent="0.25">
      <c r="A18" s="10">
        <v>362</v>
      </c>
      <c r="B18" s="12" t="s">
        <v>82</v>
      </c>
      <c r="C18" s="10" t="s">
        <v>83</v>
      </c>
      <c r="D18" s="10">
        <v>3</v>
      </c>
      <c r="E18" s="10">
        <v>0</v>
      </c>
      <c r="F18" s="10" t="s">
        <v>57</v>
      </c>
    </row>
    <row r="19" spans="1:6" x14ac:dyDescent="0.25">
      <c r="A19" s="10">
        <v>363</v>
      </c>
      <c r="B19" s="12" t="s">
        <v>84</v>
      </c>
      <c r="C19" s="10" t="s">
        <v>85</v>
      </c>
      <c r="D19" s="10">
        <v>2</v>
      </c>
      <c r="E19" s="10">
        <v>0</v>
      </c>
      <c r="F19" s="10" t="s">
        <v>57</v>
      </c>
    </row>
    <row r="20" spans="1:6" x14ac:dyDescent="0.25">
      <c r="A20" s="10">
        <v>365</v>
      </c>
      <c r="B20" s="12" t="s">
        <v>86</v>
      </c>
      <c r="C20" s="10" t="s">
        <v>87</v>
      </c>
      <c r="D20" s="10">
        <v>1</v>
      </c>
      <c r="E20" s="10">
        <v>0</v>
      </c>
      <c r="F20" s="10" t="s">
        <v>57</v>
      </c>
    </row>
    <row r="21" spans="1:6" x14ac:dyDescent="0.25">
      <c r="A21" s="10">
        <v>367</v>
      </c>
      <c r="B21" s="12" t="s">
        <v>88</v>
      </c>
      <c r="C21" s="10" t="s">
        <v>89</v>
      </c>
      <c r="D21" s="10">
        <v>3</v>
      </c>
      <c r="E21" s="10">
        <v>0</v>
      </c>
      <c r="F21" s="10" t="s">
        <v>57</v>
      </c>
    </row>
    <row r="22" spans="1:6" x14ac:dyDescent="0.25">
      <c r="A22" s="10">
        <v>369</v>
      </c>
      <c r="B22" s="12" t="s">
        <v>90</v>
      </c>
      <c r="C22" s="10" t="s">
        <v>91</v>
      </c>
      <c r="D22" s="10">
        <v>1</v>
      </c>
      <c r="E22" s="10">
        <v>0</v>
      </c>
      <c r="F22" s="10" t="s">
        <v>57</v>
      </c>
    </row>
    <row r="23" spans="1:6" x14ac:dyDescent="0.25">
      <c r="A23" s="10">
        <v>374</v>
      </c>
      <c r="B23" s="12" t="s">
        <v>92</v>
      </c>
      <c r="C23" s="10" t="s">
        <v>93</v>
      </c>
      <c r="D23" s="10">
        <v>1</v>
      </c>
      <c r="E23" s="10">
        <v>0</v>
      </c>
      <c r="F23" s="10" t="s">
        <v>57</v>
      </c>
    </row>
    <row r="24" spans="1:6" x14ac:dyDescent="0.25">
      <c r="A24" s="10">
        <v>377</v>
      </c>
      <c r="B24" s="12" t="s">
        <v>94</v>
      </c>
      <c r="C24" s="10" t="s">
        <v>95</v>
      </c>
      <c r="D24" s="10">
        <v>1</v>
      </c>
      <c r="E24" s="10">
        <v>0</v>
      </c>
      <c r="F24" s="10" t="s">
        <v>57</v>
      </c>
    </row>
    <row r="25" spans="1:6" x14ac:dyDescent="0.25">
      <c r="A25" s="10">
        <v>378</v>
      </c>
      <c r="B25" s="12" t="s">
        <v>96</v>
      </c>
      <c r="C25" s="10" t="s">
        <v>97</v>
      </c>
      <c r="D25" s="10">
        <v>3</v>
      </c>
      <c r="E25" s="10">
        <v>0</v>
      </c>
      <c r="F25" s="10" t="s">
        <v>57</v>
      </c>
    </row>
    <row r="26" spans="1:6" x14ac:dyDescent="0.25">
      <c r="A26" s="13">
        <v>311</v>
      </c>
      <c r="B26" s="14" t="s">
        <v>98</v>
      </c>
      <c r="C26" s="13" t="s">
        <v>99</v>
      </c>
      <c r="D26" s="13">
        <v>3</v>
      </c>
      <c r="E26" s="13">
        <v>4</v>
      </c>
      <c r="F26" s="13" t="s">
        <v>100</v>
      </c>
    </row>
    <row r="27" spans="1:6" x14ac:dyDescent="0.25">
      <c r="A27" s="13">
        <v>313</v>
      </c>
      <c r="B27" s="14" t="s">
        <v>101</v>
      </c>
      <c r="C27" s="13" t="s">
        <v>102</v>
      </c>
      <c r="D27" s="13">
        <v>1</v>
      </c>
      <c r="E27" s="13">
        <v>4</v>
      </c>
      <c r="F27" s="13" t="s">
        <v>100</v>
      </c>
    </row>
    <row r="28" spans="1:6" x14ac:dyDescent="0.25">
      <c r="A28" s="13">
        <v>314</v>
      </c>
      <c r="B28" s="14" t="s">
        <v>103</v>
      </c>
      <c r="C28" s="13" t="s">
        <v>104</v>
      </c>
      <c r="D28" s="13">
        <v>2</v>
      </c>
      <c r="E28" s="13">
        <v>4</v>
      </c>
      <c r="F28" s="13" t="s">
        <v>100</v>
      </c>
    </row>
    <row r="29" spans="1:6" x14ac:dyDescent="0.25">
      <c r="A29" s="13">
        <v>315</v>
      </c>
      <c r="B29" s="14" t="s">
        <v>105</v>
      </c>
      <c r="C29" s="13" t="s">
        <v>106</v>
      </c>
      <c r="D29" s="13">
        <v>3</v>
      </c>
      <c r="E29" s="13">
        <v>3</v>
      </c>
      <c r="F29" s="13" t="s">
        <v>100</v>
      </c>
    </row>
    <row r="30" spans="1:6" x14ac:dyDescent="0.25">
      <c r="A30" s="13">
        <v>316</v>
      </c>
      <c r="B30" s="14" t="s">
        <v>107</v>
      </c>
      <c r="C30" s="13" t="s">
        <v>108</v>
      </c>
      <c r="D30" s="13">
        <v>3</v>
      </c>
      <c r="E30" s="13">
        <v>4</v>
      </c>
      <c r="F30" s="13" t="s">
        <v>100</v>
      </c>
    </row>
    <row r="31" spans="1:6" x14ac:dyDescent="0.25">
      <c r="A31" s="13">
        <v>319</v>
      </c>
      <c r="B31" s="14" t="s">
        <v>109</v>
      </c>
      <c r="C31" s="13" t="s">
        <v>110</v>
      </c>
      <c r="D31" s="13">
        <v>2</v>
      </c>
      <c r="E31" s="13">
        <v>4</v>
      </c>
      <c r="F31" s="13" t="s">
        <v>100</v>
      </c>
    </row>
    <row r="32" spans="1:6" x14ac:dyDescent="0.25">
      <c r="A32" s="13">
        <v>320</v>
      </c>
      <c r="B32" s="14" t="s">
        <v>111</v>
      </c>
      <c r="C32" s="13" t="s">
        <v>112</v>
      </c>
      <c r="D32" s="13">
        <v>1</v>
      </c>
      <c r="E32" s="13">
        <v>3</v>
      </c>
      <c r="F32" s="13" t="s">
        <v>100</v>
      </c>
    </row>
    <row r="33" spans="1:6" x14ac:dyDescent="0.25">
      <c r="A33" s="13">
        <v>321</v>
      </c>
      <c r="B33" s="14" t="s">
        <v>113</v>
      </c>
      <c r="C33" s="13" t="s">
        <v>114</v>
      </c>
      <c r="D33" s="13">
        <v>2</v>
      </c>
      <c r="E33" s="13">
        <v>3.5</v>
      </c>
      <c r="F33" s="13" t="s">
        <v>100</v>
      </c>
    </row>
    <row r="34" spans="1:6" x14ac:dyDescent="0.25">
      <c r="A34" s="13">
        <v>322</v>
      </c>
      <c r="B34" s="14" t="s">
        <v>115</v>
      </c>
      <c r="C34" s="13" t="s">
        <v>116</v>
      </c>
      <c r="D34" s="13">
        <v>2</v>
      </c>
      <c r="E34" s="13">
        <v>4</v>
      </c>
      <c r="F34" s="13" t="s">
        <v>100</v>
      </c>
    </row>
    <row r="35" spans="1:6" x14ac:dyDescent="0.25">
      <c r="A35" s="13">
        <v>326</v>
      </c>
      <c r="B35" s="14" t="s">
        <v>117</v>
      </c>
      <c r="C35" s="13" t="s">
        <v>118</v>
      </c>
      <c r="D35" s="13">
        <v>3</v>
      </c>
      <c r="E35" s="13">
        <v>4</v>
      </c>
      <c r="F35" s="13" t="s">
        <v>100</v>
      </c>
    </row>
    <row r="36" spans="1:6" x14ac:dyDescent="0.25">
      <c r="A36" s="13">
        <v>327</v>
      </c>
      <c r="B36" s="14" t="s">
        <v>119</v>
      </c>
      <c r="C36" s="13" t="s">
        <v>120</v>
      </c>
      <c r="D36" s="13">
        <v>3</v>
      </c>
      <c r="E36" s="13">
        <v>2</v>
      </c>
      <c r="F36" s="13" t="s">
        <v>100</v>
      </c>
    </row>
    <row r="37" spans="1:6" x14ac:dyDescent="0.25">
      <c r="A37" s="13">
        <v>328</v>
      </c>
      <c r="B37" s="14" t="s">
        <v>121</v>
      </c>
      <c r="C37" s="13" t="s">
        <v>122</v>
      </c>
      <c r="D37" s="13">
        <v>2</v>
      </c>
      <c r="E37" s="13">
        <v>2</v>
      </c>
      <c r="F37" s="13" t="s">
        <v>100</v>
      </c>
    </row>
    <row r="38" spans="1:6" x14ac:dyDescent="0.25">
      <c r="A38" s="13">
        <v>329</v>
      </c>
      <c r="B38" s="14" t="s">
        <v>123</v>
      </c>
      <c r="C38" s="13" t="s">
        <v>124</v>
      </c>
      <c r="D38" s="13">
        <v>3</v>
      </c>
      <c r="E38" s="13">
        <v>4</v>
      </c>
      <c r="F38" s="13" t="s">
        <v>100</v>
      </c>
    </row>
    <row r="39" spans="1:6" x14ac:dyDescent="0.25">
      <c r="A39" s="13">
        <v>330</v>
      </c>
      <c r="B39" s="14" t="s">
        <v>125</v>
      </c>
      <c r="C39" s="13" t="s">
        <v>126</v>
      </c>
      <c r="D39" s="13">
        <v>3</v>
      </c>
      <c r="E39" s="13">
        <v>4</v>
      </c>
      <c r="F39" s="13" t="s">
        <v>100</v>
      </c>
    </row>
    <row r="40" spans="1:6" x14ac:dyDescent="0.25">
      <c r="A40" s="13">
        <v>331</v>
      </c>
      <c r="B40" s="14" t="s">
        <v>127</v>
      </c>
      <c r="C40" s="13" t="s">
        <v>128</v>
      </c>
      <c r="D40" s="13">
        <v>2</v>
      </c>
      <c r="E40" s="13">
        <v>2</v>
      </c>
      <c r="F40" s="13" t="s">
        <v>100</v>
      </c>
    </row>
    <row r="41" spans="1:6" x14ac:dyDescent="0.25">
      <c r="A41" s="13">
        <v>332</v>
      </c>
      <c r="B41" s="14" t="s">
        <v>129</v>
      </c>
      <c r="C41" s="13" t="s">
        <v>130</v>
      </c>
      <c r="D41" s="13">
        <v>1</v>
      </c>
      <c r="E41" s="13">
        <v>2.5</v>
      </c>
      <c r="F41" s="13" t="s">
        <v>100</v>
      </c>
    </row>
    <row r="42" spans="1:6" x14ac:dyDescent="0.25">
      <c r="A42" s="13">
        <v>334</v>
      </c>
      <c r="B42" s="14" t="s">
        <v>131</v>
      </c>
      <c r="C42" s="13" t="s">
        <v>132</v>
      </c>
      <c r="D42" s="13">
        <v>2</v>
      </c>
      <c r="E42" s="13">
        <v>3.5</v>
      </c>
      <c r="F42" s="13" t="s">
        <v>100</v>
      </c>
    </row>
    <row r="43" spans="1:6" x14ac:dyDescent="0.25">
      <c r="A43" s="13">
        <v>335</v>
      </c>
      <c r="B43" s="14" t="s">
        <v>133</v>
      </c>
      <c r="C43" s="13" t="s">
        <v>134</v>
      </c>
      <c r="D43" s="13">
        <v>2</v>
      </c>
      <c r="E43" s="13">
        <v>4</v>
      </c>
      <c r="F43" s="13" t="s">
        <v>100</v>
      </c>
    </row>
    <row r="44" spans="1:6" x14ac:dyDescent="0.25">
      <c r="A44" s="13">
        <v>336</v>
      </c>
      <c r="B44" s="14" t="s">
        <v>135</v>
      </c>
      <c r="C44" s="13" t="s">
        <v>136</v>
      </c>
      <c r="D44" s="13">
        <v>1</v>
      </c>
      <c r="E44" s="13">
        <v>3.5</v>
      </c>
      <c r="F44" s="13" t="s">
        <v>100</v>
      </c>
    </row>
    <row r="45" spans="1:6" x14ac:dyDescent="0.25">
      <c r="A45" s="13">
        <v>337</v>
      </c>
      <c r="B45" s="14" t="s">
        <v>137</v>
      </c>
      <c r="C45" s="13" t="s">
        <v>138</v>
      </c>
      <c r="D45" s="13">
        <v>1</v>
      </c>
      <c r="E45" s="13">
        <v>1.5</v>
      </c>
      <c r="F45" s="13" t="s">
        <v>100</v>
      </c>
    </row>
    <row r="46" spans="1:6" x14ac:dyDescent="0.25">
      <c r="A46" s="13">
        <v>338</v>
      </c>
      <c r="B46" s="14" t="s">
        <v>139</v>
      </c>
      <c r="C46" s="13" t="s">
        <v>140</v>
      </c>
      <c r="D46" s="13">
        <v>1</v>
      </c>
      <c r="E46" s="13">
        <v>4</v>
      </c>
      <c r="F46" s="13" t="s">
        <v>100</v>
      </c>
    </row>
    <row r="47" spans="1:6" x14ac:dyDescent="0.25">
      <c r="A47" s="13">
        <v>339</v>
      </c>
      <c r="B47" s="14" t="s">
        <v>141</v>
      </c>
      <c r="C47" s="13" t="s">
        <v>142</v>
      </c>
      <c r="D47" s="13">
        <v>2</v>
      </c>
      <c r="E47" s="13">
        <v>4</v>
      </c>
      <c r="F47" s="13" t="s">
        <v>100</v>
      </c>
    </row>
    <row r="48" spans="1:6" x14ac:dyDescent="0.25">
      <c r="A48" s="13">
        <v>340</v>
      </c>
      <c r="B48" s="14" t="s">
        <v>143</v>
      </c>
      <c r="C48" s="13" t="s">
        <v>144</v>
      </c>
      <c r="D48" s="13">
        <v>3</v>
      </c>
      <c r="E48" s="13">
        <v>4</v>
      </c>
      <c r="F48" s="13" t="s">
        <v>100</v>
      </c>
    </row>
    <row r="49" spans="1:6" x14ac:dyDescent="0.25">
      <c r="A49" s="13">
        <v>341</v>
      </c>
      <c r="B49" s="14" t="s">
        <v>145</v>
      </c>
      <c r="C49" s="13" t="s">
        <v>146</v>
      </c>
      <c r="D49" s="13">
        <v>3</v>
      </c>
      <c r="E49" s="13">
        <v>4</v>
      </c>
      <c r="F49" s="13" t="s">
        <v>100</v>
      </c>
    </row>
    <row r="50" spans="1:6" x14ac:dyDescent="0.25">
      <c r="A50" s="13">
        <v>343</v>
      </c>
      <c r="B50" s="14" t="s">
        <v>147</v>
      </c>
      <c r="C50" s="13" t="s">
        <v>148</v>
      </c>
      <c r="D50" s="13">
        <v>1</v>
      </c>
      <c r="E50" s="13">
        <v>2.5</v>
      </c>
      <c r="F50" s="13" t="s">
        <v>100</v>
      </c>
    </row>
    <row r="51" spans="1:6" x14ac:dyDescent="0.25">
      <c r="A51" s="13">
        <v>344</v>
      </c>
      <c r="B51" s="14" t="s">
        <v>149</v>
      </c>
      <c r="C51" s="13" t="s">
        <v>150</v>
      </c>
      <c r="D51" s="13">
        <v>1</v>
      </c>
      <c r="E51" s="13">
        <v>4</v>
      </c>
      <c r="F51" s="13" t="s">
        <v>100</v>
      </c>
    </row>
    <row r="52" spans="1:6" x14ac:dyDescent="0.25">
      <c r="A52" s="13">
        <v>345</v>
      </c>
      <c r="B52" s="14" t="s">
        <v>151</v>
      </c>
      <c r="C52" s="13" t="s">
        <v>152</v>
      </c>
      <c r="D52" s="13">
        <v>2</v>
      </c>
      <c r="E52" s="13">
        <v>3.5</v>
      </c>
      <c r="F52" s="13" t="s">
        <v>100</v>
      </c>
    </row>
    <row r="53" spans="1:6" x14ac:dyDescent="0.25">
      <c r="A53" s="13">
        <v>346</v>
      </c>
      <c r="B53" s="14" t="s">
        <v>153</v>
      </c>
      <c r="C53" s="13" t="s">
        <v>154</v>
      </c>
      <c r="D53" s="13">
        <v>3</v>
      </c>
      <c r="E53" s="13">
        <v>4</v>
      </c>
      <c r="F53" s="13" t="s">
        <v>100</v>
      </c>
    </row>
    <row r="54" spans="1:6" x14ac:dyDescent="0.25">
      <c r="A54" s="13">
        <v>348</v>
      </c>
      <c r="B54" s="14" t="s">
        <v>155</v>
      </c>
      <c r="C54" s="13" t="s">
        <v>156</v>
      </c>
      <c r="D54" s="13">
        <v>2</v>
      </c>
      <c r="E54" s="13">
        <v>3</v>
      </c>
      <c r="F54" s="13" t="s">
        <v>100</v>
      </c>
    </row>
    <row r="55" spans="1:6" x14ac:dyDescent="0.25">
      <c r="A55" s="13">
        <v>351</v>
      </c>
      <c r="B55" s="14" t="s">
        <v>157</v>
      </c>
      <c r="C55" s="13" t="s">
        <v>158</v>
      </c>
      <c r="D55" s="13">
        <v>1</v>
      </c>
      <c r="E55" s="13">
        <v>4</v>
      </c>
      <c r="F55" s="13" t="s">
        <v>100</v>
      </c>
    </row>
    <row r="56" spans="1:6" x14ac:dyDescent="0.25">
      <c r="A56" s="13">
        <v>352</v>
      </c>
      <c r="B56" s="14" t="s">
        <v>159</v>
      </c>
      <c r="C56" s="13" t="s">
        <v>160</v>
      </c>
      <c r="D56" s="13">
        <v>2</v>
      </c>
      <c r="E56" s="13">
        <v>3</v>
      </c>
      <c r="F56" s="13" t="s">
        <v>100</v>
      </c>
    </row>
    <row r="57" spans="1:6" x14ac:dyDescent="0.25">
      <c r="A57" s="13">
        <v>353</v>
      </c>
      <c r="B57" s="14" t="s">
        <v>161</v>
      </c>
      <c r="C57" s="13" t="s">
        <v>162</v>
      </c>
      <c r="D57" s="13">
        <v>1</v>
      </c>
      <c r="E57" s="13">
        <v>4</v>
      </c>
      <c r="F57" s="13" t="s">
        <v>100</v>
      </c>
    </row>
    <row r="58" spans="1:6" x14ac:dyDescent="0.25">
      <c r="A58" s="13">
        <v>354</v>
      </c>
      <c r="B58" s="14" t="s">
        <v>163</v>
      </c>
      <c r="C58" s="13" t="s">
        <v>164</v>
      </c>
      <c r="D58" s="13">
        <v>1</v>
      </c>
      <c r="E58" s="13">
        <v>3.5</v>
      </c>
      <c r="F58" s="13" t="s">
        <v>100</v>
      </c>
    </row>
    <row r="59" spans="1:6" x14ac:dyDescent="0.25">
      <c r="A59" s="13">
        <v>355</v>
      </c>
      <c r="B59" s="14" t="s">
        <v>165</v>
      </c>
      <c r="C59" s="13" t="s">
        <v>166</v>
      </c>
      <c r="D59" s="13">
        <v>1</v>
      </c>
      <c r="E59" s="13">
        <v>2.5</v>
      </c>
      <c r="F59" s="13" t="s">
        <v>100</v>
      </c>
    </row>
    <row r="60" spans="1:6" x14ac:dyDescent="0.25">
      <c r="A60" s="13">
        <v>357</v>
      </c>
      <c r="B60" s="14" t="s">
        <v>167</v>
      </c>
      <c r="C60" s="13" t="s">
        <v>168</v>
      </c>
      <c r="D60" s="13">
        <v>1</v>
      </c>
      <c r="E60" s="13">
        <v>4</v>
      </c>
      <c r="F60" s="13" t="s">
        <v>100</v>
      </c>
    </row>
    <row r="61" spans="1:6" x14ac:dyDescent="0.25">
      <c r="A61" s="13">
        <v>358</v>
      </c>
      <c r="B61" s="14" t="s">
        <v>169</v>
      </c>
      <c r="C61" s="13" t="s">
        <v>170</v>
      </c>
      <c r="D61" s="13">
        <v>1</v>
      </c>
      <c r="E61" s="13">
        <v>2</v>
      </c>
      <c r="F61" s="13" t="s">
        <v>100</v>
      </c>
    </row>
    <row r="62" spans="1:6" x14ac:dyDescent="0.25">
      <c r="A62" s="13">
        <v>359</v>
      </c>
      <c r="B62" s="14" t="s">
        <v>171</v>
      </c>
      <c r="C62" s="13" t="s">
        <v>172</v>
      </c>
      <c r="D62" s="13">
        <v>3</v>
      </c>
      <c r="E62" s="13">
        <v>4</v>
      </c>
      <c r="F62" s="13" t="s">
        <v>100</v>
      </c>
    </row>
    <row r="63" spans="1:6" x14ac:dyDescent="0.25">
      <c r="A63" s="13">
        <v>360</v>
      </c>
      <c r="B63" s="14" t="s">
        <v>173</v>
      </c>
      <c r="C63" s="13" t="s">
        <v>174</v>
      </c>
      <c r="D63" s="13">
        <v>1</v>
      </c>
      <c r="E63" s="13">
        <v>4</v>
      </c>
      <c r="F63" s="13" t="s">
        <v>100</v>
      </c>
    </row>
    <row r="64" spans="1:6" x14ac:dyDescent="0.25">
      <c r="A64" s="13">
        <v>361</v>
      </c>
      <c r="B64" s="14" t="s">
        <v>175</v>
      </c>
      <c r="C64" s="13" t="s">
        <v>176</v>
      </c>
      <c r="D64" s="13">
        <v>3</v>
      </c>
      <c r="E64" s="13">
        <v>4</v>
      </c>
      <c r="F64" s="13" t="s">
        <v>100</v>
      </c>
    </row>
    <row r="65" spans="1:6" x14ac:dyDescent="0.25">
      <c r="A65" s="13">
        <v>364</v>
      </c>
      <c r="B65" s="14" t="s">
        <v>177</v>
      </c>
      <c r="C65" s="13" t="s">
        <v>178</v>
      </c>
      <c r="D65" s="13">
        <v>2</v>
      </c>
      <c r="E65" s="13">
        <v>4</v>
      </c>
      <c r="F65" s="13" t="s">
        <v>100</v>
      </c>
    </row>
    <row r="66" spans="1:6" x14ac:dyDescent="0.25">
      <c r="A66" s="13">
        <v>366</v>
      </c>
      <c r="B66" s="14" t="s">
        <v>179</v>
      </c>
      <c r="C66" s="13" t="s">
        <v>180</v>
      </c>
      <c r="D66" s="13">
        <v>1</v>
      </c>
      <c r="E66" s="13">
        <v>3</v>
      </c>
      <c r="F66" s="13" t="s">
        <v>100</v>
      </c>
    </row>
    <row r="67" spans="1:6" x14ac:dyDescent="0.25">
      <c r="A67" s="13">
        <v>368</v>
      </c>
      <c r="B67" s="14" t="s">
        <v>181</v>
      </c>
      <c r="C67" s="13" t="s">
        <v>182</v>
      </c>
      <c r="D67" s="13">
        <v>3</v>
      </c>
      <c r="E67" s="13">
        <v>2.5</v>
      </c>
      <c r="F67" s="13" t="s">
        <v>100</v>
      </c>
    </row>
    <row r="68" spans="1:6" x14ac:dyDescent="0.25">
      <c r="A68" s="13">
        <v>370</v>
      </c>
      <c r="B68" s="14" t="s">
        <v>183</v>
      </c>
      <c r="C68" s="13" t="s">
        <v>184</v>
      </c>
      <c r="D68" s="13">
        <v>2</v>
      </c>
      <c r="E68" s="13">
        <v>3.5</v>
      </c>
      <c r="F68" s="13" t="s">
        <v>100</v>
      </c>
    </row>
    <row r="69" spans="1:6" x14ac:dyDescent="0.25">
      <c r="A69" s="13">
        <v>371</v>
      </c>
      <c r="B69" s="14" t="s">
        <v>185</v>
      </c>
      <c r="C69" s="13" t="s">
        <v>186</v>
      </c>
      <c r="D69" s="13">
        <v>1</v>
      </c>
      <c r="E69" s="13">
        <v>3</v>
      </c>
      <c r="F69" s="13" t="s">
        <v>100</v>
      </c>
    </row>
    <row r="70" spans="1:6" x14ac:dyDescent="0.25">
      <c r="A70" s="13">
        <v>372</v>
      </c>
      <c r="B70" s="14" t="s">
        <v>187</v>
      </c>
      <c r="C70" s="13" t="s">
        <v>188</v>
      </c>
      <c r="D70" s="13">
        <v>1</v>
      </c>
      <c r="E70" s="13">
        <v>3.5</v>
      </c>
      <c r="F70" s="13" t="s">
        <v>100</v>
      </c>
    </row>
    <row r="71" spans="1:6" x14ac:dyDescent="0.25">
      <c r="A71" s="13">
        <v>373</v>
      </c>
      <c r="B71" s="14" t="s">
        <v>189</v>
      </c>
      <c r="C71" s="13" t="s">
        <v>190</v>
      </c>
      <c r="D71" s="13">
        <v>2</v>
      </c>
      <c r="E71" s="13">
        <v>3.5</v>
      </c>
      <c r="F71" s="13" t="s">
        <v>100</v>
      </c>
    </row>
    <row r="72" spans="1:6" x14ac:dyDescent="0.25">
      <c r="A72" s="13">
        <v>375</v>
      </c>
      <c r="B72" s="14" t="s">
        <v>191</v>
      </c>
      <c r="C72" s="13" t="s">
        <v>192</v>
      </c>
      <c r="D72" s="13">
        <v>3</v>
      </c>
      <c r="E72" s="13">
        <v>2</v>
      </c>
      <c r="F72" s="13" t="s">
        <v>100</v>
      </c>
    </row>
    <row r="73" spans="1:6" x14ac:dyDescent="0.25">
      <c r="A73" s="13">
        <v>376</v>
      </c>
      <c r="B73" s="14" t="s">
        <v>193</v>
      </c>
      <c r="C73" s="13" t="s">
        <v>194</v>
      </c>
      <c r="D73" s="13">
        <v>1</v>
      </c>
      <c r="E73" s="13">
        <v>1.5</v>
      </c>
      <c r="F73" s="13" t="s">
        <v>100</v>
      </c>
    </row>
    <row r="74" spans="1:6" x14ac:dyDescent="0.25">
      <c r="A74" s="13">
        <v>379</v>
      </c>
      <c r="B74" s="14" t="s">
        <v>195</v>
      </c>
      <c r="C74" s="13" t="s">
        <v>196</v>
      </c>
      <c r="D74" s="13">
        <v>2</v>
      </c>
      <c r="E74" s="13">
        <v>2</v>
      </c>
      <c r="F74" s="13" t="s">
        <v>100</v>
      </c>
    </row>
  </sheetData>
  <autoFilter ref="A4:F7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74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4" customWidth="1"/>
    <col min="2" max="2" width="11" customWidth="1"/>
    <col min="3" max="50" width="7" customWidth="1"/>
  </cols>
  <sheetData>
    <row r="1" spans="1:50" ht="19.5" x14ac:dyDescent="0.3">
      <c r="A1" s="1" t="s">
        <v>197</v>
      </c>
    </row>
    <row r="2" spans="1:50" x14ac:dyDescent="0.25">
      <c r="A2" s="29" t="s">
        <v>198</v>
      </c>
      <c r="B2" s="27"/>
      <c r="C2" s="27"/>
      <c r="D2" s="27"/>
      <c r="E2" s="27"/>
      <c r="F2" s="27"/>
    </row>
    <row r="4" spans="1:50" x14ac:dyDescent="0.25">
      <c r="A4" s="5" t="s">
        <v>50</v>
      </c>
      <c r="B4" s="5" t="s">
        <v>54</v>
      </c>
      <c r="C4" s="5" t="s">
        <v>199</v>
      </c>
      <c r="D4" s="5" t="s">
        <v>200</v>
      </c>
      <c r="E4" s="5" t="s">
        <v>201</v>
      </c>
      <c r="F4" s="5" t="s">
        <v>202</v>
      </c>
      <c r="G4" s="5" t="s">
        <v>203</v>
      </c>
      <c r="H4" s="5" t="s">
        <v>204</v>
      </c>
      <c r="I4" s="5" t="s">
        <v>205</v>
      </c>
      <c r="J4" s="5" t="s">
        <v>206</v>
      </c>
      <c r="K4" s="5" t="s">
        <v>207</v>
      </c>
      <c r="L4" s="5" t="s">
        <v>208</v>
      </c>
      <c r="M4" s="5" t="s">
        <v>209</v>
      </c>
      <c r="N4" s="5" t="s">
        <v>210</v>
      </c>
      <c r="O4" s="5" t="s">
        <v>211</v>
      </c>
      <c r="P4" s="5" t="s">
        <v>212</v>
      </c>
      <c r="Q4" s="5" t="s">
        <v>213</v>
      </c>
      <c r="R4" s="5" t="s">
        <v>214</v>
      </c>
      <c r="S4" s="5" t="s">
        <v>215</v>
      </c>
      <c r="T4" s="5" t="s">
        <v>216</v>
      </c>
      <c r="U4" s="5" t="s">
        <v>217</v>
      </c>
      <c r="V4" s="5" t="s">
        <v>218</v>
      </c>
      <c r="W4" s="5" t="s">
        <v>219</v>
      </c>
      <c r="X4" s="5" t="s">
        <v>220</v>
      </c>
      <c r="Y4" s="5" t="s">
        <v>221</v>
      </c>
      <c r="Z4" s="5" t="s">
        <v>222</v>
      </c>
      <c r="AA4" s="5" t="s">
        <v>223</v>
      </c>
      <c r="AB4" s="5" t="s">
        <v>224</v>
      </c>
      <c r="AC4" s="5" t="s">
        <v>225</v>
      </c>
      <c r="AD4" s="5" t="s">
        <v>226</v>
      </c>
      <c r="AE4" s="5" t="s">
        <v>227</v>
      </c>
      <c r="AF4" s="5" t="s">
        <v>228</v>
      </c>
      <c r="AG4" s="5" t="s">
        <v>229</v>
      </c>
      <c r="AH4" s="5" t="s">
        <v>230</v>
      </c>
      <c r="AI4" s="5" t="s">
        <v>231</v>
      </c>
      <c r="AJ4" s="5" t="s">
        <v>232</v>
      </c>
      <c r="AK4" s="5" t="s">
        <v>233</v>
      </c>
      <c r="AL4" s="5" t="s">
        <v>234</v>
      </c>
      <c r="AM4" s="5" t="s">
        <v>235</v>
      </c>
      <c r="AN4" s="5" t="s">
        <v>236</v>
      </c>
      <c r="AO4" s="5" t="s">
        <v>237</v>
      </c>
      <c r="AP4" s="5" t="s">
        <v>238</v>
      </c>
      <c r="AQ4" s="5" t="s">
        <v>239</v>
      </c>
      <c r="AR4" s="5" t="s">
        <v>240</v>
      </c>
      <c r="AS4" s="5" t="s">
        <v>241</v>
      </c>
      <c r="AT4" s="5" t="s">
        <v>242</v>
      </c>
      <c r="AU4" s="5" t="s">
        <v>243</v>
      </c>
      <c r="AV4" s="5" t="s">
        <v>244</v>
      </c>
      <c r="AW4" s="5" t="s">
        <v>245</v>
      </c>
      <c r="AX4" s="5" t="s">
        <v>246</v>
      </c>
    </row>
    <row r="5" spans="1:50" x14ac:dyDescent="0.25">
      <c r="A5" s="8" t="s">
        <v>55</v>
      </c>
      <c r="B5" s="10" t="s">
        <v>57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  <c r="AK5" s="16">
        <v>0</v>
      </c>
      <c r="AL5" s="16">
        <v>0</v>
      </c>
      <c r="AM5" s="16">
        <v>0</v>
      </c>
      <c r="AN5" s="16">
        <v>0</v>
      </c>
      <c r="AO5" s="16">
        <v>0</v>
      </c>
      <c r="AP5" s="16">
        <v>0</v>
      </c>
      <c r="AQ5" s="16">
        <v>0</v>
      </c>
      <c r="AR5" s="16">
        <v>0</v>
      </c>
      <c r="AS5" s="16">
        <v>0</v>
      </c>
      <c r="AT5" s="16">
        <v>0</v>
      </c>
      <c r="AU5" s="16">
        <v>0</v>
      </c>
      <c r="AV5" s="16">
        <v>0</v>
      </c>
      <c r="AW5" s="16">
        <v>0</v>
      </c>
      <c r="AX5" s="16">
        <v>0</v>
      </c>
    </row>
    <row r="6" spans="1:50" x14ac:dyDescent="0.25">
      <c r="A6" s="17" t="s">
        <v>98</v>
      </c>
      <c r="B6" s="13" t="s">
        <v>100</v>
      </c>
      <c r="C6" s="18">
        <v>0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3.3999999999999998E-3</v>
      </c>
      <c r="K6" s="18">
        <v>4.9700000000000001E-2</v>
      </c>
      <c r="L6" s="18">
        <v>0.2326</v>
      </c>
      <c r="M6" s="18">
        <v>0.46129999999999999</v>
      </c>
      <c r="N6" s="18">
        <v>0.7419</v>
      </c>
      <c r="O6" s="18">
        <v>1.0479000000000001</v>
      </c>
      <c r="P6" s="18">
        <v>1.3576999999999999</v>
      </c>
      <c r="Q6" s="18">
        <v>1.6659999999999999</v>
      </c>
      <c r="R6" s="18">
        <v>1.9745999999999999</v>
      </c>
      <c r="S6" s="18">
        <v>2.2643</v>
      </c>
      <c r="T6" s="18">
        <v>2.5367000000000002</v>
      </c>
      <c r="U6" s="18">
        <v>2.7686000000000002</v>
      </c>
      <c r="V6" s="18">
        <v>2.9664000000000001</v>
      </c>
      <c r="W6" s="18">
        <v>3.14</v>
      </c>
      <c r="X6" s="18">
        <v>3.2833000000000001</v>
      </c>
      <c r="Y6" s="18">
        <v>3.3849999999999998</v>
      </c>
      <c r="Z6" s="18">
        <v>3.4296000000000002</v>
      </c>
      <c r="AA6" s="18">
        <v>3.4424999999999999</v>
      </c>
      <c r="AB6" s="18">
        <v>3.4182999999999999</v>
      </c>
      <c r="AC6" s="18">
        <v>3.3372000000000002</v>
      </c>
      <c r="AD6" s="18">
        <v>3.2132999999999998</v>
      </c>
      <c r="AE6" s="18">
        <v>3.0655000000000001</v>
      </c>
      <c r="AF6" s="18">
        <v>2.8782000000000001</v>
      </c>
      <c r="AG6" s="18">
        <v>2.6791</v>
      </c>
      <c r="AH6" s="18">
        <v>2.4396</v>
      </c>
      <c r="AI6" s="18">
        <v>2.1698</v>
      </c>
      <c r="AJ6" s="18">
        <v>1.8441000000000001</v>
      </c>
      <c r="AK6" s="18">
        <v>1.5391999999999999</v>
      </c>
      <c r="AL6" s="18">
        <v>1.2259</v>
      </c>
      <c r="AM6" s="18">
        <v>0.92290000000000005</v>
      </c>
      <c r="AN6" s="18">
        <v>0.63080000000000003</v>
      </c>
      <c r="AO6" s="18">
        <v>0.36830000000000002</v>
      </c>
      <c r="AP6" s="18">
        <v>0.1072</v>
      </c>
      <c r="AQ6" s="18">
        <v>1.9800000000000002E-2</v>
      </c>
      <c r="AR6" s="18">
        <v>0</v>
      </c>
      <c r="AS6" s="18">
        <v>0</v>
      </c>
      <c r="AT6" s="18">
        <v>0</v>
      </c>
      <c r="AU6" s="18">
        <v>0</v>
      </c>
      <c r="AV6" s="18">
        <v>0</v>
      </c>
      <c r="AW6" s="18">
        <v>0</v>
      </c>
      <c r="AX6" s="18">
        <v>0</v>
      </c>
    </row>
    <row r="7" spans="1:50" x14ac:dyDescent="0.25">
      <c r="A7" s="8" t="s">
        <v>58</v>
      </c>
      <c r="B7" s="10" t="s">
        <v>57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</row>
    <row r="8" spans="1:50" x14ac:dyDescent="0.25">
      <c r="A8" s="17" t="s">
        <v>101</v>
      </c>
      <c r="B8" s="13" t="s">
        <v>100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3.3999999999999998E-3</v>
      </c>
      <c r="K8" s="18">
        <v>4.9700000000000001E-2</v>
      </c>
      <c r="L8" s="18">
        <v>0.2326</v>
      </c>
      <c r="M8" s="18">
        <v>0.46129999999999999</v>
      </c>
      <c r="N8" s="18">
        <v>0.7419</v>
      </c>
      <c r="O8" s="18">
        <v>1.0479000000000001</v>
      </c>
      <c r="P8" s="18">
        <v>1.3576999999999999</v>
      </c>
      <c r="Q8" s="18">
        <v>1.6659999999999999</v>
      </c>
      <c r="R8" s="18">
        <v>1.9745999999999999</v>
      </c>
      <c r="S8" s="18">
        <v>2.2643</v>
      </c>
      <c r="T8" s="18">
        <v>2.5367000000000002</v>
      </c>
      <c r="U8" s="18">
        <v>2.7686000000000002</v>
      </c>
      <c r="V8" s="18">
        <v>2.9664000000000001</v>
      </c>
      <c r="W8" s="18">
        <v>3.14</v>
      </c>
      <c r="X8" s="18">
        <v>3.2833000000000001</v>
      </c>
      <c r="Y8" s="18">
        <v>3.3849999999999998</v>
      </c>
      <c r="Z8" s="18">
        <v>3.4296000000000002</v>
      </c>
      <c r="AA8" s="18">
        <v>3.4424999999999999</v>
      </c>
      <c r="AB8" s="18">
        <v>3.4182999999999999</v>
      </c>
      <c r="AC8" s="18">
        <v>3.3372000000000002</v>
      </c>
      <c r="AD8" s="18">
        <v>3.2132999999999998</v>
      </c>
      <c r="AE8" s="18">
        <v>3.0655000000000001</v>
      </c>
      <c r="AF8" s="18">
        <v>2.8782000000000001</v>
      </c>
      <c r="AG8" s="18">
        <v>2.6791</v>
      </c>
      <c r="AH8" s="18">
        <v>2.4396</v>
      </c>
      <c r="AI8" s="18">
        <v>2.1698</v>
      </c>
      <c r="AJ8" s="18">
        <v>1.8441000000000001</v>
      </c>
      <c r="AK8" s="18">
        <v>1.5391999999999999</v>
      </c>
      <c r="AL8" s="18">
        <v>1.2259</v>
      </c>
      <c r="AM8" s="18">
        <v>0.92290000000000005</v>
      </c>
      <c r="AN8" s="18">
        <v>0.63080000000000003</v>
      </c>
      <c r="AO8" s="18">
        <v>0.36830000000000002</v>
      </c>
      <c r="AP8" s="18">
        <v>0.1072</v>
      </c>
      <c r="AQ8" s="18">
        <v>1.9800000000000002E-2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</row>
    <row r="9" spans="1:50" x14ac:dyDescent="0.25">
      <c r="A9" s="17" t="s">
        <v>103</v>
      </c>
      <c r="B9" s="13" t="s">
        <v>100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3.3999999999999998E-3</v>
      </c>
      <c r="K9" s="18">
        <v>4.9700000000000001E-2</v>
      </c>
      <c r="L9" s="18">
        <v>0.2326</v>
      </c>
      <c r="M9" s="18">
        <v>0.46129999999999999</v>
      </c>
      <c r="N9" s="18">
        <v>0.7419</v>
      </c>
      <c r="O9" s="18">
        <v>1.0479000000000001</v>
      </c>
      <c r="P9" s="18">
        <v>1.3576999999999999</v>
      </c>
      <c r="Q9" s="18">
        <v>1.6659999999999999</v>
      </c>
      <c r="R9" s="18">
        <v>1.9745999999999999</v>
      </c>
      <c r="S9" s="18">
        <v>2.2643</v>
      </c>
      <c r="T9" s="18">
        <v>2.5367000000000002</v>
      </c>
      <c r="U9" s="18">
        <v>2.7686000000000002</v>
      </c>
      <c r="V9" s="18">
        <v>2.9664000000000001</v>
      </c>
      <c r="W9" s="18">
        <v>3.14</v>
      </c>
      <c r="X9" s="18">
        <v>3.2833000000000001</v>
      </c>
      <c r="Y9" s="18">
        <v>3.3849999999999998</v>
      </c>
      <c r="Z9" s="18">
        <v>3.4296000000000002</v>
      </c>
      <c r="AA9" s="18">
        <v>3.4424999999999999</v>
      </c>
      <c r="AB9" s="18">
        <v>3.4182999999999999</v>
      </c>
      <c r="AC9" s="18">
        <v>3.3372000000000002</v>
      </c>
      <c r="AD9" s="18">
        <v>3.2132999999999998</v>
      </c>
      <c r="AE9" s="18">
        <v>3.0655000000000001</v>
      </c>
      <c r="AF9" s="18">
        <v>2.8782000000000001</v>
      </c>
      <c r="AG9" s="18">
        <v>2.6791</v>
      </c>
      <c r="AH9" s="18">
        <v>2.4396</v>
      </c>
      <c r="AI9" s="18">
        <v>2.1698</v>
      </c>
      <c r="AJ9" s="18">
        <v>1.8441000000000001</v>
      </c>
      <c r="AK9" s="18">
        <v>1.5391999999999999</v>
      </c>
      <c r="AL9" s="18">
        <v>1.2259</v>
      </c>
      <c r="AM9" s="18">
        <v>0.92290000000000005</v>
      </c>
      <c r="AN9" s="18">
        <v>0.63080000000000003</v>
      </c>
      <c r="AO9" s="18">
        <v>0.36830000000000002</v>
      </c>
      <c r="AP9" s="18">
        <v>0.1072</v>
      </c>
      <c r="AQ9" s="18">
        <v>1.9800000000000002E-2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</row>
    <row r="10" spans="1:50" x14ac:dyDescent="0.25">
      <c r="A10" s="17" t="s">
        <v>105</v>
      </c>
      <c r="B10" s="13" t="s">
        <v>100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2.5999999999999999E-3</v>
      </c>
      <c r="K10" s="18">
        <v>3.73E-2</v>
      </c>
      <c r="L10" s="18">
        <v>0.1744</v>
      </c>
      <c r="M10" s="18">
        <v>0.34599999999999997</v>
      </c>
      <c r="N10" s="18">
        <v>0.55640000000000001</v>
      </c>
      <c r="O10" s="18">
        <v>0.78590000000000004</v>
      </c>
      <c r="P10" s="18">
        <v>1.0183</v>
      </c>
      <c r="Q10" s="18">
        <v>1.2495000000000001</v>
      </c>
      <c r="R10" s="18">
        <v>1.4810000000000001</v>
      </c>
      <c r="S10" s="18">
        <v>1.6981999999999999</v>
      </c>
      <c r="T10" s="18">
        <v>1.9025000000000001</v>
      </c>
      <c r="U10" s="18">
        <v>2.0764</v>
      </c>
      <c r="V10" s="18">
        <v>2.2248000000000001</v>
      </c>
      <c r="W10" s="18">
        <v>2.355</v>
      </c>
      <c r="X10" s="18">
        <v>2.4624999999999999</v>
      </c>
      <c r="Y10" s="18">
        <v>2.5387</v>
      </c>
      <c r="Z10" s="18">
        <v>2.5722</v>
      </c>
      <c r="AA10" s="18">
        <v>2.5819000000000001</v>
      </c>
      <c r="AB10" s="18">
        <v>2.5636999999999999</v>
      </c>
      <c r="AC10" s="18">
        <v>2.5028999999999999</v>
      </c>
      <c r="AD10" s="18">
        <v>2.41</v>
      </c>
      <c r="AE10" s="18">
        <v>2.2991000000000001</v>
      </c>
      <c r="AF10" s="18">
        <v>2.1585999999999999</v>
      </c>
      <c r="AG10" s="18">
        <v>2.0093000000000001</v>
      </c>
      <c r="AH10" s="18">
        <v>1.8297000000000001</v>
      </c>
      <c r="AI10" s="18">
        <v>1.6274</v>
      </c>
      <c r="AJ10" s="18">
        <v>1.3831</v>
      </c>
      <c r="AK10" s="18">
        <v>1.1544000000000001</v>
      </c>
      <c r="AL10" s="18">
        <v>0.91949999999999998</v>
      </c>
      <c r="AM10" s="18">
        <v>0.69220000000000004</v>
      </c>
      <c r="AN10" s="18">
        <v>0.47310000000000002</v>
      </c>
      <c r="AO10" s="18">
        <v>0.2762</v>
      </c>
      <c r="AP10" s="18">
        <v>8.0399999999999999E-2</v>
      </c>
      <c r="AQ10" s="18">
        <v>1.4800000000000001E-2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</row>
    <row r="11" spans="1:50" x14ac:dyDescent="0.25">
      <c r="A11" s="17" t="s">
        <v>107</v>
      </c>
      <c r="B11" s="13" t="s">
        <v>100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3.3999999999999998E-3</v>
      </c>
      <c r="K11" s="18">
        <v>4.9700000000000001E-2</v>
      </c>
      <c r="L11" s="18">
        <v>0.2326</v>
      </c>
      <c r="M11" s="18">
        <v>0.46129999999999999</v>
      </c>
      <c r="N11" s="18">
        <v>0.7419</v>
      </c>
      <c r="O11" s="18">
        <v>1.0479000000000001</v>
      </c>
      <c r="P11" s="18">
        <v>1.3576999999999999</v>
      </c>
      <c r="Q11" s="18">
        <v>1.6659999999999999</v>
      </c>
      <c r="R11" s="18">
        <v>1.9745999999999999</v>
      </c>
      <c r="S11" s="18">
        <v>2.2643</v>
      </c>
      <c r="T11" s="18">
        <v>2.5367000000000002</v>
      </c>
      <c r="U11" s="18">
        <v>2.7686000000000002</v>
      </c>
      <c r="V11" s="18">
        <v>2.9664000000000001</v>
      </c>
      <c r="W11" s="18">
        <v>3.14</v>
      </c>
      <c r="X11" s="18">
        <v>3.2833000000000001</v>
      </c>
      <c r="Y11" s="18">
        <v>3.3849999999999998</v>
      </c>
      <c r="Z11" s="18">
        <v>3.4296000000000002</v>
      </c>
      <c r="AA11" s="18">
        <v>3.4424999999999999</v>
      </c>
      <c r="AB11" s="18">
        <v>3.4182999999999999</v>
      </c>
      <c r="AC11" s="18">
        <v>3.3372000000000002</v>
      </c>
      <c r="AD11" s="18">
        <v>3.2132999999999998</v>
      </c>
      <c r="AE11" s="18">
        <v>3.0655000000000001</v>
      </c>
      <c r="AF11" s="18">
        <v>2.8782000000000001</v>
      </c>
      <c r="AG11" s="18">
        <v>2.6791</v>
      </c>
      <c r="AH11" s="18">
        <v>2.4396</v>
      </c>
      <c r="AI11" s="18">
        <v>2.1698</v>
      </c>
      <c r="AJ11" s="18">
        <v>1.8441000000000001</v>
      </c>
      <c r="AK11" s="18">
        <v>1.5391999999999999</v>
      </c>
      <c r="AL11" s="18">
        <v>1.2259</v>
      </c>
      <c r="AM11" s="18">
        <v>0.92290000000000005</v>
      </c>
      <c r="AN11" s="18">
        <v>0.63080000000000003</v>
      </c>
      <c r="AO11" s="18">
        <v>0.36830000000000002</v>
      </c>
      <c r="AP11" s="18">
        <v>0.1072</v>
      </c>
      <c r="AQ11" s="18">
        <v>1.9800000000000002E-2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</row>
    <row r="12" spans="1:50" x14ac:dyDescent="0.25">
      <c r="A12" s="8" t="s">
        <v>60</v>
      </c>
      <c r="B12" s="10" t="s">
        <v>57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</row>
    <row r="13" spans="1:50" x14ac:dyDescent="0.25">
      <c r="A13" s="8" t="s">
        <v>62</v>
      </c>
      <c r="B13" s="10" t="s">
        <v>57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</row>
    <row r="14" spans="1:50" x14ac:dyDescent="0.25">
      <c r="A14" s="17" t="s">
        <v>109</v>
      </c>
      <c r="B14" s="13" t="s">
        <v>100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3.3999999999999998E-3</v>
      </c>
      <c r="K14" s="18">
        <v>4.9700000000000001E-2</v>
      </c>
      <c r="L14" s="18">
        <v>0.2326</v>
      </c>
      <c r="M14" s="18">
        <v>0.46129999999999999</v>
      </c>
      <c r="N14" s="18">
        <v>0.7419</v>
      </c>
      <c r="O14" s="18">
        <v>1.0479000000000001</v>
      </c>
      <c r="P14" s="18">
        <v>1.3576999999999999</v>
      </c>
      <c r="Q14" s="18">
        <v>1.6659999999999999</v>
      </c>
      <c r="R14" s="18">
        <v>1.9745999999999999</v>
      </c>
      <c r="S14" s="18">
        <v>2.2643</v>
      </c>
      <c r="T14" s="18">
        <v>2.5367000000000002</v>
      </c>
      <c r="U14" s="18">
        <v>2.7686000000000002</v>
      </c>
      <c r="V14" s="18">
        <v>2.9664000000000001</v>
      </c>
      <c r="W14" s="18">
        <v>3.14</v>
      </c>
      <c r="X14" s="18">
        <v>3.2833000000000001</v>
      </c>
      <c r="Y14" s="18">
        <v>3.3849999999999998</v>
      </c>
      <c r="Z14" s="18">
        <v>3.4296000000000002</v>
      </c>
      <c r="AA14" s="18">
        <v>3.4424999999999999</v>
      </c>
      <c r="AB14" s="18">
        <v>3.4182999999999999</v>
      </c>
      <c r="AC14" s="18">
        <v>3.3372000000000002</v>
      </c>
      <c r="AD14" s="18">
        <v>3.2132999999999998</v>
      </c>
      <c r="AE14" s="18">
        <v>3.0655000000000001</v>
      </c>
      <c r="AF14" s="18">
        <v>2.8782000000000001</v>
      </c>
      <c r="AG14" s="18">
        <v>2.6791</v>
      </c>
      <c r="AH14" s="18">
        <v>2.4396</v>
      </c>
      <c r="AI14" s="18">
        <v>2.1698</v>
      </c>
      <c r="AJ14" s="18">
        <v>1.8441000000000001</v>
      </c>
      <c r="AK14" s="18">
        <v>1.5391999999999999</v>
      </c>
      <c r="AL14" s="18">
        <v>1.2259</v>
      </c>
      <c r="AM14" s="18">
        <v>0.92290000000000005</v>
      </c>
      <c r="AN14" s="18">
        <v>0.63080000000000003</v>
      </c>
      <c r="AO14" s="18">
        <v>0.36830000000000002</v>
      </c>
      <c r="AP14" s="18">
        <v>0.1072</v>
      </c>
      <c r="AQ14" s="18">
        <v>1.9800000000000002E-2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</row>
    <row r="15" spans="1:50" x14ac:dyDescent="0.25">
      <c r="A15" s="17" t="s">
        <v>111</v>
      </c>
      <c r="B15" s="13" t="s">
        <v>100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2.5999999999999999E-3</v>
      </c>
      <c r="K15" s="18">
        <v>3.73E-2</v>
      </c>
      <c r="L15" s="18">
        <v>0.1744</v>
      </c>
      <c r="M15" s="18">
        <v>0.34599999999999997</v>
      </c>
      <c r="N15" s="18">
        <v>0.55640000000000001</v>
      </c>
      <c r="O15" s="18">
        <v>0.78590000000000004</v>
      </c>
      <c r="P15" s="18">
        <v>1.0183</v>
      </c>
      <c r="Q15" s="18">
        <v>1.2495000000000001</v>
      </c>
      <c r="R15" s="18">
        <v>1.4810000000000001</v>
      </c>
      <c r="S15" s="18">
        <v>1.6981999999999999</v>
      </c>
      <c r="T15" s="18">
        <v>1.9025000000000001</v>
      </c>
      <c r="U15" s="18">
        <v>2.0764</v>
      </c>
      <c r="V15" s="18">
        <v>2.2248000000000001</v>
      </c>
      <c r="W15" s="18">
        <v>2.355</v>
      </c>
      <c r="X15" s="18">
        <v>2.4624999999999999</v>
      </c>
      <c r="Y15" s="18">
        <v>2.5387</v>
      </c>
      <c r="Z15" s="18">
        <v>2.5722</v>
      </c>
      <c r="AA15" s="18">
        <v>2.5819000000000001</v>
      </c>
      <c r="AB15" s="18">
        <v>2.5636999999999999</v>
      </c>
      <c r="AC15" s="18">
        <v>2.5028999999999999</v>
      </c>
      <c r="AD15" s="18">
        <v>2.41</v>
      </c>
      <c r="AE15" s="18">
        <v>2.2991000000000001</v>
      </c>
      <c r="AF15" s="18">
        <v>2.1585999999999999</v>
      </c>
      <c r="AG15" s="18">
        <v>2.0093000000000001</v>
      </c>
      <c r="AH15" s="18">
        <v>1.8297000000000001</v>
      </c>
      <c r="AI15" s="18">
        <v>1.6274</v>
      </c>
      <c r="AJ15" s="18">
        <v>1.3831</v>
      </c>
      <c r="AK15" s="18">
        <v>1.1544000000000001</v>
      </c>
      <c r="AL15" s="18">
        <v>0.91949999999999998</v>
      </c>
      <c r="AM15" s="18">
        <v>0.69220000000000004</v>
      </c>
      <c r="AN15" s="18">
        <v>0.47310000000000002</v>
      </c>
      <c r="AO15" s="18">
        <v>0.2762</v>
      </c>
      <c r="AP15" s="18">
        <v>8.0399999999999999E-2</v>
      </c>
      <c r="AQ15" s="18">
        <v>1.4800000000000001E-2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</row>
    <row r="16" spans="1:50" x14ac:dyDescent="0.25">
      <c r="A16" s="17" t="s">
        <v>113</v>
      </c>
      <c r="B16" s="13" t="s">
        <v>100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3.0000000000000001E-3</v>
      </c>
      <c r="K16" s="18">
        <v>4.3499999999999997E-2</v>
      </c>
      <c r="L16" s="18">
        <v>0.20349999999999999</v>
      </c>
      <c r="M16" s="18">
        <v>0.4037</v>
      </c>
      <c r="N16" s="18">
        <v>0.64910000000000001</v>
      </c>
      <c r="O16" s="18">
        <v>0.91690000000000005</v>
      </c>
      <c r="P16" s="18">
        <v>1.1879999999999999</v>
      </c>
      <c r="Q16" s="18">
        <v>1.4577</v>
      </c>
      <c r="R16" s="18">
        <v>1.7278</v>
      </c>
      <c r="S16" s="18">
        <v>1.9813000000000001</v>
      </c>
      <c r="T16" s="18">
        <v>2.2195999999999998</v>
      </c>
      <c r="U16" s="18">
        <v>2.4224999999999999</v>
      </c>
      <c r="V16" s="18">
        <v>2.5956000000000001</v>
      </c>
      <c r="W16" s="18">
        <v>2.7475000000000001</v>
      </c>
      <c r="X16" s="18">
        <v>2.8729</v>
      </c>
      <c r="Y16" s="18">
        <v>2.9619</v>
      </c>
      <c r="Z16" s="18">
        <v>3.0009000000000001</v>
      </c>
      <c r="AA16" s="18">
        <v>3.0122</v>
      </c>
      <c r="AB16" s="18">
        <v>2.9910000000000001</v>
      </c>
      <c r="AC16" s="18">
        <v>2.92</v>
      </c>
      <c r="AD16" s="18">
        <v>2.8117000000000001</v>
      </c>
      <c r="AE16" s="18">
        <v>2.6823000000000001</v>
      </c>
      <c r="AF16" s="18">
        <v>2.5184000000000002</v>
      </c>
      <c r="AG16" s="18">
        <v>2.3441999999999998</v>
      </c>
      <c r="AH16" s="18">
        <v>2.1345999999999998</v>
      </c>
      <c r="AI16" s="18">
        <v>1.8986000000000001</v>
      </c>
      <c r="AJ16" s="18">
        <v>1.6135999999999999</v>
      </c>
      <c r="AK16" s="18">
        <v>1.3468</v>
      </c>
      <c r="AL16" s="18">
        <v>1.0727</v>
      </c>
      <c r="AM16" s="18">
        <v>0.80759999999999998</v>
      </c>
      <c r="AN16" s="18">
        <v>0.55189999999999995</v>
      </c>
      <c r="AO16" s="18">
        <v>0.32229999999999998</v>
      </c>
      <c r="AP16" s="18">
        <v>9.3799999999999994E-2</v>
      </c>
      <c r="AQ16" s="18">
        <v>1.7299999999999999E-2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</row>
    <row r="17" spans="1:50" x14ac:dyDescent="0.25">
      <c r="A17" s="17" t="s">
        <v>115</v>
      </c>
      <c r="B17" s="13" t="s">
        <v>100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3.3999999999999998E-3</v>
      </c>
      <c r="K17" s="18">
        <v>4.9700000000000001E-2</v>
      </c>
      <c r="L17" s="18">
        <v>0.2326</v>
      </c>
      <c r="M17" s="18">
        <v>0.46129999999999999</v>
      </c>
      <c r="N17" s="18">
        <v>0.7419</v>
      </c>
      <c r="O17" s="18">
        <v>1.0479000000000001</v>
      </c>
      <c r="P17" s="18">
        <v>1.3576999999999999</v>
      </c>
      <c r="Q17" s="18">
        <v>1.6659999999999999</v>
      </c>
      <c r="R17" s="18">
        <v>1.9745999999999999</v>
      </c>
      <c r="S17" s="18">
        <v>2.2643</v>
      </c>
      <c r="T17" s="18">
        <v>2.5367000000000002</v>
      </c>
      <c r="U17" s="18">
        <v>2.7686000000000002</v>
      </c>
      <c r="V17" s="18">
        <v>2.9664000000000001</v>
      </c>
      <c r="W17" s="18">
        <v>3.14</v>
      </c>
      <c r="X17" s="18">
        <v>3.2833000000000001</v>
      </c>
      <c r="Y17" s="18">
        <v>3.3849999999999998</v>
      </c>
      <c r="Z17" s="18">
        <v>3.4296000000000002</v>
      </c>
      <c r="AA17" s="18">
        <v>3.4424999999999999</v>
      </c>
      <c r="AB17" s="18">
        <v>3.4182999999999999</v>
      </c>
      <c r="AC17" s="18">
        <v>3.3372000000000002</v>
      </c>
      <c r="AD17" s="18">
        <v>3.2132999999999998</v>
      </c>
      <c r="AE17" s="18">
        <v>3.0655000000000001</v>
      </c>
      <c r="AF17" s="18">
        <v>2.8782000000000001</v>
      </c>
      <c r="AG17" s="18">
        <v>2.6791</v>
      </c>
      <c r="AH17" s="18">
        <v>2.4396</v>
      </c>
      <c r="AI17" s="18">
        <v>2.1698</v>
      </c>
      <c r="AJ17" s="18">
        <v>1.8441000000000001</v>
      </c>
      <c r="AK17" s="18">
        <v>1.5391999999999999</v>
      </c>
      <c r="AL17" s="18">
        <v>1.2259</v>
      </c>
      <c r="AM17" s="18">
        <v>0.92290000000000005</v>
      </c>
      <c r="AN17" s="18">
        <v>0.63080000000000003</v>
      </c>
      <c r="AO17" s="18">
        <v>0.36830000000000002</v>
      </c>
      <c r="AP17" s="18">
        <v>0.1072</v>
      </c>
      <c r="AQ17" s="18">
        <v>1.9800000000000002E-2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</row>
    <row r="18" spans="1:50" x14ac:dyDescent="0.25">
      <c r="A18" s="8" t="s">
        <v>64</v>
      </c>
      <c r="B18" s="10" t="s">
        <v>57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</row>
    <row r="19" spans="1:50" x14ac:dyDescent="0.25">
      <c r="A19" s="8" t="s">
        <v>66</v>
      </c>
      <c r="B19" s="10" t="s">
        <v>57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</row>
    <row r="20" spans="1:50" x14ac:dyDescent="0.25">
      <c r="A20" s="8" t="s">
        <v>68</v>
      </c>
      <c r="B20" s="10" t="s">
        <v>57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</row>
    <row r="21" spans="1:50" x14ac:dyDescent="0.25">
      <c r="A21" s="17" t="s">
        <v>117</v>
      </c>
      <c r="B21" s="13" t="s">
        <v>100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3.3999999999999998E-3</v>
      </c>
      <c r="K21" s="18">
        <v>4.9700000000000001E-2</v>
      </c>
      <c r="L21" s="18">
        <v>0.2326</v>
      </c>
      <c r="M21" s="18">
        <v>0.46129999999999999</v>
      </c>
      <c r="N21" s="18">
        <v>0.7419</v>
      </c>
      <c r="O21" s="18">
        <v>1.0479000000000001</v>
      </c>
      <c r="P21" s="18">
        <v>1.3576999999999999</v>
      </c>
      <c r="Q21" s="18">
        <v>1.6659999999999999</v>
      </c>
      <c r="R21" s="18">
        <v>1.9745999999999999</v>
      </c>
      <c r="S21" s="18">
        <v>2.2643</v>
      </c>
      <c r="T21" s="18">
        <v>2.5367000000000002</v>
      </c>
      <c r="U21" s="18">
        <v>2.7686000000000002</v>
      </c>
      <c r="V21" s="18">
        <v>2.9664000000000001</v>
      </c>
      <c r="W21" s="18">
        <v>3.14</v>
      </c>
      <c r="X21" s="18">
        <v>3.2833000000000001</v>
      </c>
      <c r="Y21" s="18">
        <v>3.3849999999999998</v>
      </c>
      <c r="Z21" s="18">
        <v>3.4296000000000002</v>
      </c>
      <c r="AA21" s="18">
        <v>3.4424999999999999</v>
      </c>
      <c r="AB21" s="18">
        <v>3.4182999999999999</v>
      </c>
      <c r="AC21" s="18">
        <v>3.3372000000000002</v>
      </c>
      <c r="AD21" s="18">
        <v>3.2132999999999998</v>
      </c>
      <c r="AE21" s="18">
        <v>3.0655000000000001</v>
      </c>
      <c r="AF21" s="18">
        <v>2.8782000000000001</v>
      </c>
      <c r="AG21" s="18">
        <v>2.6791</v>
      </c>
      <c r="AH21" s="18">
        <v>2.4396</v>
      </c>
      <c r="AI21" s="18">
        <v>2.1698</v>
      </c>
      <c r="AJ21" s="18">
        <v>1.8441000000000001</v>
      </c>
      <c r="AK21" s="18">
        <v>1.5391999999999999</v>
      </c>
      <c r="AL21" s="18">
        <v>1.2259</v>
      </c>
      <c r="AM21" s="18">
        <v>0.92290000000000005</v>
      </c>
      <c r="AN21" s="18">
        <v>0.63080000000000003</v>
      </c>
      <c r="AO21" s="18">
        <v>0.36830000000000002</v>
      </c>
      <c r="AP21" s="18">
        <v>0.1072</v>
      </c>
      <c r="AQ21" s="18">
        <v>1.9800000000000002E-2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</row>
    <row r="22" spans="1:50" x14ac:dyDescent="0.25">
      <c r="A22" s="17" t="s">
        <v>119</v>
      </c>
      <c r="B22" s="13" t="s">
        <v>100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1.6999999999999999E-3</v>
      </c>
      <c r="K22" s="18">
        <v>2.4899999999999999E-2</v>
      </c>
      <c r="L22" s="18">
        <v>0.1163</v>
      </c>
      <c r="M22" s="18">
        <v>0.23069999999999999</v>
      </c>
      <c r="N22" s="18">
        <v>0.37090000000000001</v>
      </c>
      <c r="O22" s="18">
        <v>0.52400000000000002</v>
      </c>
      <c r="P22" s="18">
        <v>0.67889999999999995</v>
      </c>
      <c r="Q22" s="18">
        <v>0.83299999999999996</v>
      </c>
      <c r="R22" s="18">
        <v>0.98729999999999996</v>
      </c>
      <c r="S22" s="18">
        <v>1.1322000000000001</v>
      </c>
      <c r="T22" s="18">
        <v>1.2683</v>
      </c>
      <c r="U22" s="18">
        <v>1.3843000000000001</v>
      </c>
      <c r="V22" s="18">
        <v>1.4832000000000001</v>
      </c>
      <c r="W22" s="18">
        <v>1.57</v>
      </c>
      <c r="X22" s="18">
        <v>1.6416999999999999</v>
      </c>
      <c r="Y22" s="18">
        <v>1.6924999999999999</v>
      </c>
      <c r="Z22" s="18">
        <v>1.7148000000000001</v>
      </c>
      <c r="AA22" s="18">
        <v>1.7212000000000001</v>
      </c>
      <c r="AB22" s="18">
        <v>1.7092000000000001</v>
      </c>
      <c r="AC22" s="18">
        <v>1.6686000000000001</v>
      </c>
      <c r="AD22" s="18">
        <v>1.6067</v>
      </c>
      <c r="AE22" s="18">
        <v>1.5327999999999999</v>
      </c>
      <c r="AF22" s="18">
        <v>1.4391</v>
      </c>
      <c r="AG22" s="18">
        <v>1.3395999999999999</v>
      </c>
      <c r="AH22" s="18">
        <v>1.2198</v>
      </c>
      <c r="AI22" s="18">
        <v>1.0849</v>
      </c>
      <c r="AJ22" s="18">
        <v>0.92200000000000004</v>
      </c>
      <c r="AK22" s="18">
        <v>0.76959999999999995</v>
      </c>
      <c r="AL22" s="18">
        <v>0.61299999999999999</v>
      </c>
      <c r="AM22" s="18">
        <v>0.46150000000000002</v>
      </c>
      <c r="AN22" s="18">
        <v>0.31540000000000001</v>
      </c>
      <c r="AO22" s="18">
        <v>0.1842</v>
      </c>
      <c r="AP22" s="18">
        <v>5.3600000000000002E-2</v>
      </c>
      <c r="AQ22" s="18">
        <v>9.9000000000000008E-3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</row>
    <row r="23" spans="1:50" x14ac:dyDescent="0.25">
      <c r="A23" s="17" t="s">
        <v>121</v>
      </c>
      <c r="B23" s="13" t="s">
        <v>100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1.6999999999999999E-3</v>
      </c>
      <c r="K23" s="18">
        <v>2.4899999999999999E-2</v>
      </c>
      <c r="L23" s="18">
        <v>0.1163</v>
      </c>
      <c r="M23" s="18">
        <v>0.23069999999999999</v>
      </c>
      <c r="N23" s="18">
        <v>0.37090000000000001</v>
      </c>
      <c r="O23" s="18">
        <v>0.52400000000000002</v>
      </c>
      <c r="P23" s="18">
        <v>0.67889999999999995</v>
      </c>
      <c r="Q23" s="18">
        <v>0.83299999999999996</v>
      </c>
      <c r="R23" s="18">
        <v>0.98729999999999996</v>
      </c>
      <c r="S23" s="18">
        <v>1.1322000000000001</v>
      </c>
      <c r="T23" s="18">
        <v>1.2683</v>
      </c>
      <c r="U23" s="18">
        <v>1.3843000000000001</v>
      </c>
      <c r="V23" s="18">
        <v>1.4832000000000001</v>
      </c>
      <c r="W23" s="18">
        <v>1.57</v>
      </c>
      <c r="X23" s="18">
        <v>1.6416999999999999</v>
      </c>
      <c r="Y23" s="18">
        <v>1.6924999999999999</v>
      </c>
      <c r="Z23" s="18">
        <v>1.7148000000000001</v>
      </c>
      <c r="AA23" s="18">
        <v>1.7212000000000001</v>
      </c>
      <c r="AB23" s="18">
        <v>1.7092000000000001</v>
      </c>
      <c r="AC23" s="18">
        <v>1.6686000000000001</v>
      </c>
      <c r="AD23" s="18">
        <v>1.6067</v>
      </c>
      <c r="AE23" s="18">
        <v>1.5327999999999999</v>
      </c>
      <c r="AF23" s="18">
        <v>1.4391</v>
      </c>
      <c r="AG23" s="18">
        <v>1.3395999999999999</v>
      </c>
      <c r="AH23" s="18">
        <v>1.2198</v>
      </c>
      <c r="AI23" s="18">
        <v>1.0849</v>
      </c>
      <c r="AJ23" s="18">
        <v>0.92200000000000004</v>
      </c>
      <c r="AK23" s="18">
        <v>0.76959999999999995</v>
      </c>
      <c r="AL23" s="18">
        <v>0.61299999999999999</v>
      </c>
      <c r="AM23" s="18">
        <v>0.46150000000000002</v>
      </c>
      <c r="AN23" s="18">
        <v>0.31540000000000001</v>
      </c>
      <c r="AO23" s="18">
        <v>0.1842</v>
      </c>
      <c r="AP23" s="18">
        <v>5.3600000000000002E-2</v>
      </c>
      <c r="AQ23" s="18">
        <v>9.9000000000000008E-3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</row>
    <row r="24" spans="1:50" x14ac:dyDescent="0.25">
      <c r="A24" s="17" t="s">
        <v>123</v>
      </c>
      <c r="B24" s="13" t="s">
        <v>100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3.3999999999999998E-3</v>
      </c>
      <c r="K24" s="18">
        <v>4.9700000000000001E-2</v>
      </c>
      <c r="L24" s="18">
        <v>0.2326</v>
      </c>
      <c r="M24" s="18">
        <v>0.46129999999999999</v>
      </c>
      <c r="N24" s="18">
        <v>0.7419</v>
      </c>
      <c r="O24" s="18">
        <v>1.0479000000000001</v>
      </c>
      <c r="P24" s="18">
        <v>1.3576999999999999</v>
      </c>
      <c r="Q24" s="18">
        <v>1.6659999999999999</v>
      </c>
      <c r="R24" s="18">
        <v>1.9745999999999999</v>
      </c>
      <c r="S24" s="18">
        <v>2.2643</v>
      </c>
      <c r="T24" s="18">
        <v>2.5367000000000002</v>
      </c>
      <c r="U24" s="18">
        <v>2.7686000000000002</v>
      </c>
      <c r="V24" s="18">
        <v>2.9664000000000001</v>
      </c>
      <c r="W24" s="18">
        <v>3.14</v>
      </c>
      <c r="X24" s="18">
        <v>3.2833000000000001</v>
      </c>
      <c r="Y24" s="18">
        <v>3.3849999999999998</v>
      </c>
      <c r="Z24" s="18">
        <v>3.4296000000000002</v>
      </c>
      <c r="AA24" s="18">
        <v>3.4424999999999999</v>
      </c>
      <c r="AB24" s="18">
        <v>3.4182999999999999</v>
      </c>
      <c r="AC24" s="18">
        <v>3.3372000000000002</v>
      </c>
      <c r="AD24" s="18">
        <v>3.2132999999999998</v>
      </c>
      <c r="AE24" s="18">
        <v>3.0655000000000001</v>
      </c>
      <c r="AF24" s="18">
        <v>2.8782000000000001</v>
      </c>
      <c r="AG24" s="18">
        <v>2.6791</v>
      </c>
      <c r="AH24" s="18">
        <v>2.4396</v>
      </c>
      <c r="AI24" s="18">
        <v>2.1698</v>
      </c>
      <c r="AJ24" s="18">
        <v>1.8441000000000001</v>
      </c>
      <c r="AK24" s="18">
        <v>1.5391999999999999</v>
      </c>
      <c r="AL24" s="18">
        <v>1.2259</v>
      </c>
      <c r="AM24" s="18">
        <v>0.92290000000000005</v>
      </c>
      <c r="AN24" s="18">
        <v>0.63080000000000003</v>
      </c>
      <c r="AO24" s="18">
        <v>0.36830000000000002</v>
      </c>
      <c r="AP24" s="18">
        <v>0.1072</v>
      </c>
      <c r="AQ24" s="18">
        <v>1.9800000000000002E-2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</row>
    <row r="25" spans="1:50" x14ac:dyDescent="0.25">
      <c r="A25" s="17" t="s">
        <v>125</v>
      </c>
      <c r="B25" s="13" t="s">
        <v>100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3.3999999999999998E-3</v>
      </c>
      <c r="K25" s="18">
        <v>4.9700000000000001E-2</v>
      </c>
      <c r="L25" s="18">
        <v>0.2326</v>
      </c>
      <c r="M25" s="18">
        <v>0.46129999999999999</v>
      </c>
      <c r="N25" s="18">
        <v>0.7419</v>
      </c>
      <c r="O25" s="18">
        <v>1.0479000000000001</v>
      </c>
      <c r="P25" s="18">
        <v>1.3576999999999999</v>
      </c>
      <c r="Q25" s="18">
        <v>1.6659999999999999</v>
      </c>
      <c r="R25" s="18">
        <v>1.9745999999999999</v>
      </c>
      <c r="S25" s="18">
        <v>2.2643</v>
      </c>
      <c r="T25" s="18">
        <v>2.5367000000000002</v>
      </c>
      <c r="U25" s="18">
        <v>2.7686000000000002</v>
      </c>
      <c r="V25" s="18">
        <v>2.9664000000000001</v>
      </c>
      <c r="W25" s="18">
        <v>3.14</v>
      </c>
      <c r="X25" s="18">
        <v>3.2833000000000001</v>
      </c>
      <c r="Y25" s="18">
        <v>3.3849999999999998</v>
      </c>
      <c r="Z25" s="18">
        <v>3.4296000000000002</v>
      </c>
      <c r="AA25" s="18">
        <v>3.4424999999999999</v>
      </c>
      <c r="AB25" s="18">
        <v>3.4182999999999999</v>
      </c>
      <c r="AC25" s="18">
        <v>3.3372000000000002</v>
      </c>
      <c r="AD25" s="18">
        <v>3.2132999999999998</v>
      </c>
      <c r="AE25" s="18">
        <v>3.0655000000000001</v>
      </c>
      <c r="AF25" s="18">
        <v>2.8782000000000001</v>
      </c>
      <c r="AG25" s="18">
        <v>2.6791</v>
      </c>
      <c r="AH25" s="18">
        <v>2.4396</v>
      </c>
      <c r="AI25" s="18">
        <v>2.1698</v>
      </c>
      <c r="AJ25" s="18">
        <v>1.8441000000000001</v>
      </c>
      <c r="AK25" s="18">
        <v>1.5391999999999999</v>
      </c>
      <c r="AL25" s="18">
        <v>1.2259</v>
      </c>
      <c r="AM25" s="18">
        <v>0.92290000000000005</v>
      </c>
      <c r="AN25" s="18">
        <v>0.63080000000000003</v>
      </c>
      <c r="AO25" s="18">
        <v>0.36830000000000002</v>
      </c>
      <c r="AP25" s="18">
        <v>0.1072</v>
      </c>
      <c r="AQ25" s="18">
        <v>1.9800000000000002E-2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</row>
    <row r="26" spans="1:50" x14ac:dyDescent="0.25">
      <c r="A26" s="17" t="s">
        <v>127</v>
      </c>
      <c r="B26" s="13" t="s">
        <v>100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1.6999999999999999E-3</v>
      </c>
      <c r="K26" s="18">
        <v>2.4899999999999999E-2</v>
      </c>
      <c r="L26" s="18">
        <v>0.1163</v>
      </c>
      <c r="M26" s="18">
        <v>0.23069999999999999</v>
      </c>
      <c r="N26" s="18">
        <v>0.37090000000000001</v>
      </c>
      <c r="O26" s="18">
        <v>0.52400000000000002</v>
      </c>
      <c r="P26" s="18">
        <v>0.67889999999999995</v>
      </c>
      <c r="Q26" s="18">
        <v>0.83299999999999996</v>
      </c>
      <c r="R26" s="18">
        <v>0.98729999999999996</v>
      </c>
      <c r="S26" s="18">
        <v>1.1322000000000001</v>
      </c>
      <c r="T26" s="18">
        <v>1.2683</v>
      </c>
      <c r="U26" s="18">
        <v>1.3843000000000001</v>
      </c>
      <c r="V26" s="18">
        <v>1.4832000000000001</v>
      </c>
      <c r="W26" s="18">
        <v>1.57</v>
      </c>
      <c r="X26" s="18">
        <v>1.6416999999999999</v>
      </c>
      <c r="Y26" s="18">
        <v>1.6924999999999999</v>
      </c>
      <c r="Z26" s="18">
        <v>1.7148000000000001</v>
      </c>
      <c r="AA26" s="18">
        <v>1.7212000000000001</v>
      </c>
      <c r="AB26" s="18">
        <v>1.7092000000000001</v>
      </c>
      <c r="AC26" s="18">
        <v>1.6686000000000001</v>
      </c>
      <c r="AD26" s="18">
        <v>1.6067</v>
      </c>
      <c r="AE26" s="18">
        <v>1.5327999999999999</v>
      </c>
      <c r="AF26" s="18">
        <v>1.4391</v>
      </c>
      <c r="AG26" s="18">
        <v>1.3395999999999999</v>
      </c>
      <c r="AH26" s="18">
        <v>1.2198</v>
      </c>
      <c r="AI26" s="18">
        <v>1.0849</v>
      </c>
      <c r="AJ26" s="18">
        <v>0.92200000000000004</v>
      </c>
      <c r="AK26" s="18">
        <v>0.76959999999999995</v>
      </c>
      <c r="AL26" s="18">
        <v>0.61299999999999999</v>
      </c>
      <c r="AM26" s="18">
        <v>0.46150000000000002</v>
      </c>
      <c r="AN26" s="18">
        <v>0.31540000000000001</v>
      </c>
      <c r="AO26" s="18">
        <v>0.1842</v>
      </c>
      <c r="AP26" s="18">
        <v>5.3600000000000002E-2</v>
      </c>
      <c r="AQ26" s="18">
        <v>9.9000000000000008E-3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</row>
    <row r="27" spans="1:50" x14ac:dyDescent="0.25">
      <c r="A27" s="17" t="s">
        <v>129</v>
      </c>
      <c r="B27" s="13" t="s">
        <v>100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2.2000000000000001E-3</v>
      </c>
      <c r="K27" s="18">
        <v>3.1099999999999999E-2</v>
      </c>
      <c r="L27" s="18">
        <v>0.1454</v>
      </c>
      <c r="M27" s="18">
        <v>0.2883</v>
      </c>
      <c r="N27" s="18">
        <v>0.4637</v>
      </c>
      <c r="O27" s="18">
        <v>0.65490000000000004</v>
      </c>
      <c r="P27" s="18">
        <v>0.84860000000000002</v>
      </c>
      <c r="Q27" s="18">
        <v>1.0411999999999999</v>
      </c>
      <c r="R27" s="18">
        <v>1.2341</v>
      </c>
      <c r="S27" s="18">
        <v>1.4152</v>
      </c>
      <c r="T27" s="18">
        <v>1.5853999999999999</v>
      </c>
      <c r="U27" s="18">
        <v>1.7303999999999999</v>
      </c>
      <c r="V27" s="18">
        <v>1.8540000000000001</v>
      </c>
      <c r="W27" s="18">
        <v>1.9624999999999999</v>
      </c>
      <c r="X27" s="18">
        <v>2.0520999999999998</v>
      </c>
      <c r="Y27" s="18">
        <v>2.1156000000000001</v>
      </c>
      <c r="Z27" s="18">
        <v>2.1435</v>
      </c>
      <c r="AA27" s="18">
        <v>2.1516000000000002</v>
      </c>
      <c r="AB27" s="18">
        <v>2.1364999999999998</v>
      </c>
      <c r="AC27" s="18">
        <v>2.0857000000000001</v>
      </c>
      <c r="AD27" s="18">
        <v>2.0083000000000002</v>
      </c>
      <c r="AE27" s="18">
        <v>1.9158999999999999</v>
      </c>
      <c r="AF27" s="18">
        <v>1.7988999999999999</v>
      </c>
      <c r="AG27" s="18">
        <v>1.6745000000000001</v>
      </c>
      <c r="AH27" s="18">
        <v>1.5246999999999999</v>
      </c>
      <c r="AI27" s="18">
        <v>1.3561000000000001</v>
      </c>
      <c r="AJ27" s="18">
        <v>1.1525000000000001</v>
      </c>
      <c r="AK27" s="18">
        <v>0.96199999999999997</v>
      </c>
      <c r="AL27" s="18">
        <v>0.76619999999999999</v>
      </c>
      <c r="AM27" s="18">
        <v>0.57679999999999998</v>
      </c>
      <c r="AN27" s="18">
        <v>0.39419999999999999</v>
      </c>
      <c r="AO27" s="18">
        <v>0.23019999999999999</v>
      </c>
      <c r="AP27" s="18">
        <v>6.7000000000000004E-2</v>
      </c>
      <c r="AQ27" s="18">
        <v>1.24E-2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</row>
    <row r="28" spans="1:50" x14ac:dyDescent="0.25">
      <c r="A28" s="8" t="s">
        <v>70</v>
      </c>
      <c r="B28" s="10" t="s">
        <v>57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</row>
    <row r="29" spans="1:50" x14ac:dyDescent="0.25">
      <c r="A29" s="17" t="s">
        <v>131</v>
      </c>
      <c r="B29" s="13" t="s">
        <v>100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3.0000000000000001E-3</v>
      </c>
      <c r="K29" s="18">
        <v>4.3499999999999997E-2</v>
      </c>
      <c r="L29" s="18">
        <v>0.20349999999999999</v>
      </c>
      <c r="M29" s="18">
        <v>0.4037</v>
      </c>
      <c r="N29" s="18">
        <v>0.64910000000000001</v>
      </c>
      <c r="O29" s="18">
        <v>0.91690000000000005</v>
      </c>
      <c r="P29" s="18">
        <v>1.1879999999999999</v>
      </c>
      <c r="Q29" s="18">
        <v>1.4577</v>
      </c>
      <c r="R29" s="18">
        <v>1.7278</v>
      </c>
      <c r="S29" s="18">
        <v>1.9813000000000001</v>
      </c>
      <c r="T29" s="18">
        <v>2.2195999999999998</v>
      </c>
      <c r="U29" s="18">
        <v>2.4224999999999999</v>
      </c>
      <c r="V29" s="18">
        <v>2.5956000000000001</v>
      </c>
      <c r="W29" s="18">
        <v>2.7475000000000001</v>
      </c>
      <c r="X29" s="18">
        <v>2.8729</v>
      </c>
      <c r="Y29" s="18">
        <v>2.9619</v>
      </c>
      <c r="Z29" s="18">
        <v>3.0009000000000001</v>
      </c>
      <c r="AA29" s="18">
        <v>3.0122</v>
      </c>
      <c r="AB29" s="18">
        <v>2.9910000000000001</v>
      </c>
      <c r="AC29" s="18">
        <v>2.92</v>
      </c>
      <c r="AD29" s="18">
        <v>2.8117000000000001</v>
      </c>
      <c r="AE29" s="18">
        <v>2.6823000000000001</v>
      </c>
      <c r="AF29" s="18">
        <v>2.5184000000000002</v>
      </c>
      <c r="AG29" s="18">
        <v>2.3441999999999998</v>
      </c>
      <c r="AH29" s="18">
        <v>2.1345999999999998</v>
      </c>
      <c r="AI29" s="18">
        <v>1.8986000000000001</v>
      </c>
      <c r="AJ29" s="18">
        <v>1.6135999999999999</v>
      </c>
      <c r="AK29" s="18">
        <v>1.3468</v>
      </c>
      <c r="AL29" s="18">
        <v>1.0727</v>
      </c>
      <c r="AM29" s="18">
        <v>0.80759999999999998</v>
      </c>
      <c r="AN29" s="18">
        <v>0.55189999999999995</v>
      </c>
      <c r="AO29" s="18">
        <v>0.32229999999999998</v>
      </c>
      <c r="AP29" s="18">
        <v>9.3799999999999994E-2</v>
      </c>
      <c r="AQ29" s="18">
        <v>1.7299999999999999E-2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</row>
    <row r="30" spans="1:50" x14ac:dyDescent="0.25">
      <c r="A30" s="17" t="s">
        <v>133</v>
      </c>
      <c r="B30" s="13" t="s">
        <v>100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3.3999999999999998E-3</v>
      </c>
      <c r="K30" s="18">
        <v>4.9700000000000001E-2</v>
      </c>
      <c r="L30" s="18">
        <v>0.2326</v>
      </c>
      <c r="M30" s="18">
        <v>0.46129999999999999</v>
      </c>
      <c r="N30" s="18">
        <v>0.7419</v>
      </c>
      <c r="O30" s="18">
        <v>1.0479000000000001</v>
      </c>
      <c r="P30" s="18">
        <v>1.3576999999999999</v>
      </c>
      <c r="Q30" s="18">
        <v>1.6659999999999999</v>
      </c>
      <c r="R30" s="18">
        <v>1.9745999999999999</v>
      </c>
      <c r="S30" s="18">
        <v>2.2643</v>
      </c>
      <c r="T30" s="18">
        <v>2.5367000000000002</v>
      </c>
      <c r="U30" s="18">
        <v>2.7686000000000002</v>
      </c>
      <c r="V30" s="18">
        <v>2.9664000000000001</v>
      </c>
      <c r="W30" s="18">
        <v>3.14</v>
      </c>
      <c r="X30" s="18">
        <v>3.2833000000000001</v>
      </c>
      <c r="Y30" s="18">
        <v>3.3849999999999998</v>
      </c>
      <c r="Z30" s="18">
        <v>3.4296000000000002</v>
      </c>
      <c r="AA30" s="18">
        <v>3.4424999999999999</v>
      </c>
      <c r="AB30" s="18">
        <v>3.4182999999999999</v>
      </c>
      <c r="AC30" s="18">
        <v>3.3372000000000002</v>
      </c>
      <c r="AD30" s="18">
        <v>3.2132999999999998</v>
      </c>
      <c r="AE30" s="18">
        <v>3.0655000000000001</v>
      </c>
      <c r="AF30" s="18">
        <v>2.8782000000000001</v>
      </c>
      <c r="AG30" s="18">
        <v>2.6791</v>
      </c>
      <c r="AH30" s="18">
        <v>2.4396</v>
      </c>
      <c r="AI30" s="18">
        <v>2.1698</v>
      </c>
      <c r="AJ30" s="18">
        <v>1.8441000000000001</v>
      </c>
      <c r="AK30" s="18">
        <v>1.5391999999999999</v>
      </c>
      <c r="AL30" s="18">
        <v>1.2259</v>
      </c>
      <c r="AM30" s="18">
        <v>0.92290000000000005</v>
      </c>
      <c r="AN30" s="18">
        <v>0.63080000000000003</v>
      </c>
      <c r="AO30" s="18">
        <v>0.36830000000000002</v>
      </c>
      <c r="AP30" s="18">
        <v>0.1072</v>
      </c>
      <c r="AQ30" s="18">
        <v>1.9800000000000002E-2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</row>
    <row r="31" spans="1:50" x14ac:dyDescent="0.25">
      <c r="A31" s="17" t="s">
        <v>135</v>
      </c>
      <c r="B31" s="13" t="s">
        <v>100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3.0000000000000001E-3</v>
      </c>
      <c r="K31" s="18">
        <v>4.3499999999999997E-2</v>
      </c>
      <c r="L31" s="18">
        <v>0.20349999999999999</v>
      </c>
      <c r="M31" s="18">
        <v>0.4037</v>
      </c>
      <c r="N31" s="18">
        <v>0.64910000000000001</v>
      </c>
      <c r="O31" s="18">
        <v>0.91690000000000005</v>
      </c>
      <c r="P31" s="18">
        <v>1.1879999999999999</v>
      </c>
      <c r="Q31" s="18">
        <v>1.4577</v>
      </c>
      <c r="R31" s="18">
        <v>1.7278</v>
      </c>
      <c r="S31" s="18">
        <v>1.9813000000000001</v>
      </c>
      <c r="T31" s="18">
        <v>2.2195999999999998</v>
      </c>
      <c r="U31" s="18">
        <v>2.4224999999999999</v>
      </c>
      <c r="V31" s="18">
        <v>2.5956000000000001</v>
      </c>
      <c r="W31" s="18">
        <v>2.7475000000000001</v>
      </c>
      <c r="X31" s="18">
        <v>2.8729</v>
      </c>
      <c r="Y31" s="18">
        <v>2.9619</v>
      </c>
      <c r="Z31" s="18">
        <v>3.0009000000000001</v>
      </c>
      <c r="AA31" s="18">
        <v>3.0122</v>
      </c>
      <c r="AB31" s="18">
        <v>2.9910000000000001</v>
      </c>
      <c r="AC31" s="18">
        <v>2.92</v>
      </c>
      <c r="AD31" s="18">
        <v>2.8117000000000001</v>
      </c>
      <c r="AE31" s="18">
        <v>2.6823000000000001</v>
      </c>
      <c r="AF31" s="18">
        <v>2.5184000000000002</v>
      </c>
      <c r="AG31" s="18">
        <v>2.3441999999999998</v>
      </c>
      <c r="AH31" s="18">
        <v>2.1345999999999998</v>
      </c>
      <c r="AI31" s="18">
        <v>1.8986000000000001</v>
      </c>
      <c r="AJ31" s="18">
        <v>1.6135999999999999</v>
      </c>
      <c r="AK31" s="18">
        <v>1.3468</v>
      </c>
      <c r="AL31" s="18">
        <v>1.0727</v>
      </c>
      <c r="AM31" s="18">
        <v>0.80759999999999998</v>
      </c>
      <c r="AN31" s="18">
        <v>0.55189999999999995</v>
      </c>
      <c r="AO31" s="18">
        <v>0.32229999999999998</v>
      </c>
      <c r="AP31" s="18">
        <v>9.3799999999999994E-2</v>
      </c>
      <c r="AQ31" s="18">
        <v>1.7299999999999999E-2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</row>
    <row r="32" spans="1:50" x14ac:dyDescent="0.25">
      <c r="A32" s="17" t="s">
        <v>137</v>
      </c>
      <c r="B32" s="13" t="s">
        <v>100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1.2999999999999999E-3</v>
      </c>
      <c r="K32" s="18">
        <v>1.8700000000000001E-2</v>
      </c>
      <c r="L32" s="18">
        <v>8.72E-2</v>
      </c>
      <c r="M32" s="18">
        <v>0.17299999999999999</v>
      </c>
      <c r="N32" s="18">
        <v>0.2782</v>
      </c>
      <c r="O32" s="18">
        <v>0.39300000000000002</v>
      </c>
      <c r="P32" s="18">
        <v>0.50919999999999999</v>
      </c>
      <c r="Q32" s="18">
        <v>0.62470000000000003</v>
      </c>
      <c r="R32" s="18">
        <v>0.74050000000000005</v>
      </c>
      <c r="S32" s="18">
        <v>0.84909999999999997</v>
      </c>
      <c r="T32" s="18">
        <v>0.95120000000000005</v>
      </c>
      <c r="U32" s="18">
        <v>1.0382</v>
      </c>
      <c r="V32" s="18">
        <v>1.1124000000000001</v>
      </c>
      <c r="W32" s="18">
        <v>1.1775</v>
      </c>
      <c r="X32" s="18">
        <v>1.2312000000000001</v>
      </c>
      <c r="Y32" s="18">
        <v>1.2694000000000001</v>
      </c>
      <c r="Z32" s="18">
        <v>1.2861</v>
      </c>
      <c r="AA32" s="18">
        <v>1.2908999999999999</v>
      </c>
      <c r="AB32" s="18">
        <v>1.2819</v>
      </c>
      <c r="AC32" s="18">
        <v>1.2514000000000001</v>
      </c>
      <c r="AD32" s="18">
        <v>1.2050000000000001</v>
      </c>
      <c r="AE32" s="18">
        <v>1.1496</v>
      </c>
      <c r="AF32" s="18">
        <v>1.0792999999999999</v>
      </c>
      <c r="AG32" s="18">
        <v>1.0046999999999999</v>
      </c>
      <c r="AH32" s="18">
        <v>0.91479999999999995</v>
      </c>
      <c r="AI32" s="18">
        <v>0.81369999999999998</v>
      </c>
      <c r="AJ32" s="18">
        <v>0.6915</v>
      </c>
      <c r="AK32" s="18">
        <v>0.57720000000000005</v>
      </c>
      <c r="AL32" s="18">
        <v>0.4597</v>
      </c>
      <c r="AM32" s="18">
        <v>0.34610000000000002</v>
      </c>
      <c r="AN32" s="18">
        <v>0.23649999999999999</v>
      </c>
      <c r="AO32" s="18">
        <v>0.1381</v>
      </c>
      <c r="AP32" s="18">
        <v>4.02E-2</v>
      </c>
      <c r="AQ32" s="18">
        <v>7.4000000000000003E-3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</row>
    <row r="33" spans="1:50" x14ac:dyDescent="0.25">
      <c r="A33" s="17" t="s">
        <v>139</v>
      </c>
      <c r="B33" s="13" t="s">
        <v>100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3.3999999999999998E-3</v>
      </c>
      <c r="K33" s="18">
        <v>4.9700000000000001E-2</v>
      </c>
      <c r="L33" s="18">
        <v>0.2326</v>
      </c>
      <c r="M33" s="18">
        <v>0.46129999999999999</v>
      </c>
      <c r="N33" s="18">
        <v>0.7419</v>
      </c>
      <c r="O33" s="18">
        <v>1.0479000000000001</v>
      </c>
      <c r="P33" s="18">
        <v>1.3576999999999999</v>
      </c>
      <c r="Q33" s="18">
        <v>1.6659999999999999</v>
      </c>
      <c r="R33" s="18">
        <v>1.9745999999999999</v>
      </c>
      <c r="S33" s="18">
        <v>2.2643</v>
      </c>
      <c r="T33" s="18">
        <v>2.5367000000000002</v>
      </c>
      <c r="U33" s="18">
        <v>2.7686000000000002</v>
      </c>
      <c r="V33" s="18">
        <v>2.9664000000000001</v>
      </c>
      <c r="W33" s="18">
        <v>3.14</v>
      </c>
      <c r="X33" s="18">
        <v>3.2833000000000001</v>
      </c>
      <c r="Y33" s="18">
        <v>3.3849999999999998</v>
      </c>
      <c r="Z33" s="18">
        <v>3.4296000000000002</v>
      </c>
      <c r="AA33" s="18">
        <v>3.4424999999999999</v>
      </c>
      <c r="AB33" s="18">
        <v>3.4182999999999999</v>
      </c>
      <c r="AC33" s="18">
        <v>3.3372000000000002</v>
      </c>
      <c r="AD33" s="18">
        <v>3.2132999999999998</v>
      </c>
      <c r="AE33" s="18">
        <v>3.0655000000000001</v>
      </c>
      <c r="AF33" s="18">
        <v>2.8782000000000001</v>
      </c>
      <c r="AG33" s="18">
        <v>2.6791</v>
      </c>
      <c r="AH33" s="18">
        <v>2.4396</v>
      </c>
      <c r="AI33" s="18">
        <v>2.1698</v>
      </c>
      <c r="AJ33" s="18">
        <v>1.8441000000000001</v>
      </c>
      <c r="AK33" s="18">
        <v>1.5391999999999999</v>
      </c>
      <c r="AL33" s="18">
        <v>1.2259</v>
      </c>
      <c r="AM33" s="18">
        <v>0.92290000000000005</v>
      </c>
      <c r="AN33" s="18">
        <v>0.63080000000000003</v>
      </c>
      <c r="AO33" s="18">
        <v>0.36830000000000002</v>
      </c>
      <c r="AP33" s="18">
        <v>0.1072</v>
      </c>
      <c r="AQ33" s="18">
        <v>1.9800000000000002E-2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</row>
    <row r="34" spans="1:50" x14ac:dyDescent="0.25">
      <c r="A34" s="17" t="s">
        <v>141</v>
      </c>
      <c r="B34" s="13" t="s">
        <v>100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3.3999999999999998E-3</v>
      </c>
      <c r="K34" s="18">
        <v>4.9700000000000001E-2</v>
      </c>
      <c r="L34" s="18">
        <v>0.2326</v>
      </c>
      <c r="M34" s="18">
        <v>0.46129999999999999</v>
      </c>
      <c r="N34" s="18">
        <v>0.7419</v>
      </c>
      <c r="O34" s="18">
        <v>1.0479000000000001</v>
      </c>
      <c r="P34" s="18">
        <v>1.3576999999999999</v>
      </c>
      <c r="Q34" s="18">
        <v>1.6659999999999999</v>
      </c>
      <c r="R34" s="18">
        <v>1.9745999999999999</v>
      </c>
      <c r="S34" s="18">
        <v>2.2643</v>
      </c>
      <c r="T34" s="18">
        <v>2.5367000000000002</v>
      </c>
      <c r="U34" s="18">
        <v>2.7686000000000002</v>
      </c>
      <c r="V34" s="18">
        <v>2.9664000000000001</v>
      </c>
      <c r="W34" s="18">
        <v>3.14</v>
      </c>
      <c r="X34" s="18">
        <v>3.2833000000000001</v>
      </c>
      <c r="Y34" s="18">
        <v>3.3849999999999998</v>
      </c>
      <c r="Z34" s="18">
        <v>3.4296000000000002</v>
      </c>
      <c r="AA34" s="18">
        <v>3.4424999999999999</v>
      </c>
      <c r="AB34" s="18">
        <v>3.4182999999999999</v>
      </c>
      <c r="AC34" s="18">
        <v>3.3372000000000002</v>
      </c>
      <c r="AD34" s="18">
        <v>3.2132999999999998</v>
      </c>
      <c r="AE34" s="18">
        <v>3.0655000000000001</v>
      </c>
      <c r="AF34" s="18">
        <v>2.8782000000000001</v>
      </c>
      <c r="AG34" s="18">
        <v>2.6791</v>
      </c>
      <c r="AH34" s="18">
        <v>2.4396</v>
      </c>
      <c r="AI34" s="18">
        <v>2.1698</v>
      </c>
      <c r="AJ34" s="18">
        <v>1.8441000000000001</v>
      </c>
      <c r="AK34" s="18">
        <v>1.5391999999999999</v>
      </c>
      <c r="AL34" s="18">
        <v>1.2259</v>
      </c>
      <c r="AM34" s="18">
        <v>0.92290000000000005</v>
      </c>
      <c r="AN34" s="18">
        <v>0.63080000000000003</v>
      </c>
      <c r="AO34" s="18">
        <v>0.36830000000000002</v>
      </c>
      <c r="AP34" s="18">
        <v>0.1072</v>
      </c>
      <c r="AQ34" s="18">
        <v>1.9800000000000002E-2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</row>
    <row r="35" spans="1:50" x14ac:dyDescent="0.25">
      <c r="A35" s="17" t="s">
        <v>143</v>
      </c>
      <c r="B35" s="13" t="s">
        <v>100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3.3999999999999998E-3</v>
      </c>
      <c r="K35" s="18">
        <v>4.9700000000000001E-2</v>
      </c>
      <c r="L35" s="18">
        <v>0.2326</v>
      </c>
      <c r="M35" s="18">
        <v>0.46129999999999999</v>
      </c>
      <c r="N35" s="18">
        <v>0.7419</v>
      </c>
      <c r="O35" s="18">
        <v>1.0479000000000001</v>
      </c>
      <c r="P35" s="18">
        <v>1.3576999999999999</v>
      </c>
      <c r="Q35" s="18">
        <v>1.6659999999999999</v>
      </c>
      <c r="R35" s="18">
        <v>1.9745999999999999</v>
      </c>
      <c r="S35" s="18">
        <v>2.2643</v>
      </c>
      <c r="T35" s="18">
        <v>2.5367000000000002</v>
      </c>
      <c r="U35" s="18">
        <v>2.7686000000000002</v>
      </c>
      <c r="V35" s="18">
        <v>2.9664000000000001</v>
      </c>
      <c r="W35" s="18">
        <v>3.14</v>
      </c>
      <c r="X35" s="18">
        <v>3.2833000000000001</v>
      </c>
      <c r="Y35" s="18">
        <v>3.3849999999999998</v>
      </c>
      <c r="Z35" s="18">
        <v>3.4296000000000002</v>
      </c>
      <c r="AA35" s="18">
        <v>3.4424999999999999</v>
      </c>
      <c r="AB35" s="18">
        <v>3.4182999999999999</v>
      </c>
      <c r="AC35" s="18">
        <v>3.3372000000000002</v>
      </c>
      <c r="AD35" s="18">
        <v>3.2132999999999998</v>
      </c>
      <c r="AE35" s="18">
        <v>3.0655000000000001</v>
      </c>
      <c r="AF35" s="18">
        <v>2.8782000000000001</v>
      </c>
      <c r="AG35" s="18">
        <v>2.6791</v>
      </c>
      <c r="AH35" s="18">
        <v>2.4396</v>
      </c>
      <c r="AI35" s="18">
        <v>2.1698</v>
      </c>
      <c r="AJ35" s="18">
        <v>1.8441000000000001</v>
      </c>
      <c r="AK35" s="18">
        <v>1.5391999999999999</v>
      </c>
      <c r="AL35" s="18">
        <v>1.2259</v>
      </c>
      <c r="AM35" s="18">
        <v>0.92290000000000005</v>
      </c>
      <c r="AN35" s="18">
        <v>0.63080000000000003</v>
      </c>
      <c r="AO35" s="18">
        <v>0.36830000000000002</v>
      </c>
      <c r="AP35" s="18">
        <v>0.1072</v>
      </c>
      <c r="AQ35" s="18">
        <v>1.9800000000000002E-2</v>
      </c>
      <c r="AR35" s="18">
        <v>0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</row>
    <row r="36" spans="1:50" x14ac:dyDescent="0.25">
      <c r="A36" s="17" t="s">
        <v>145</v>
      </c>
      <c r="B36" s="13" t="s">
        <v>100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3.3999999999999998E-3</v>
      </c>
      <c r="K36" s="18">
        <v>4.9700000000000001E-2</v>
      </c>
      <c r="L36" s="18">
        <v>0.2326</v>
      </c>
      <c r="M36" s="18">
        <v>0.46129999999999999</v>
      </c>
      <c r="N36" s="18">
        <v>0.7419</v>
      </c>
      <c r="O36" s="18">
        <v>1.0479000000000001</v>
      </c>
      <c r="P36" s="18">
        <v>1.3576999999999999</v>
      </c>
      <c r="Q36" s="18">
        <v>1.6659999999999999</v>
      </c>
      <c r="R36" s="18">
        <v>1.9745999999999999</v>
      </c>
      <c r="S36" s="18">
        <v>2.2643</v>
      </c>
      <c r="T36" s="18">
        <v>2.5367000000000002</v>
      </c>
      <c r="U36" s="18">
        <v>2.7686000000000002</v>
      </c>
      <c r="V36" s="18">
        <v>2.9664000000000001</v>
      </c>
      <c r="W36" s="18">
        <v>3.14</v>
      </c>
      <c r="X36" s="18">
        <v>3.2833000000000001</v>
      </c>
      <c r="Y36" s="18">
        <v>3.3849999999999998</v>
      </c>
      <c r="Z36" s="18">
        <v>3.4296000000000002</v>
      </c>
      <c r="AA36" s="18">
        <v>3.4424999999999999</v>
      </c>
      <c r="AB36" s="18">
        <v>3.4182999999999999</v>
      </c>
      <c r="AC36" s="18">
        <v>3.3372000000000002</v>
      </c>
      <c r="AD36" s="18">
        <v>3.2132999999999998</v>
      </c>
      <c r="AE36" s="18">
        <v>3.0655000000000001</v>
      </c>
      <c r="AF36" s="18">
        <v>2.8782000000000001</v>
      </c>
      <c r="AG36" s="18">
        <v>2.6791</v>
      </c>
      <c r="AH36" s="18">
        <v>2.4396</v>
      </c>
      <c r="AI36" s="18">
        <v>2.1698</v>
      </c>
      <c r="AJ36" s="18">
        <v>1.8441000000000001</v>
      </c>
      <c r="AK36" s="18">
        <v>1.5391999999999999</v>
      </c>
      <c r="AL36" s="18">
        <v>1.2259</v>
      </c>
      <c r="AM36" s="18">
        <v>0.92290000000000005</v>
      </c>
      <c r="AN36" s="18">
        <v>0.63080000000000003</v>
      </c>
      <c r="AO36" s="18">
        <v>0.36830000000000002</v>
      </c>
      <c r="AP36" s="18">
        <v>0.1072</v>
      </c>
      <c r="AQ36" s="18">
        <v>1.9800000000000002E-2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</row>
    <row r="37" spans="1:50" x14ac:dyDescent="0.25">
      <c r="A37" s="8" t="s">
        <v>72</v>
      </c>
      <c r="B37" s="10" t="s">
        <v>57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</row>
    <row r="38" spans="1:50" x14ac:dyDescent="0.25">
      <c r="A38" s="17" t="s">
        <v>147</v>
      </c>
      <c r="B38" s="13" t="s">
        <v>100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2.2000000000000001E-3</v>
      </c>
      <c r="K38" s="18">
        <v>3.1099999999999999E-2</v>
      </c>
      <c r="L38" s="18">
        <v>0.1454</v>
      </c>
      <c r="M38" s="18">
        <v>0.2883</v>
      </c>
      <c r="N38" s="18">
        <v>0.4637</v>
      </c>
      <c r="O38" s="18">
        <v>0.65490000000000004</v>
      </c>
      <c r="P38" s="18">
        <v>0.84860000000000002</v>
      </c>
      <c r="Q38" s="18">
        <v>1.0411999999999999</v>
      </c>
      <c r="R38" s="18">
        <v>1.2341</v>
      </c>
      <c r="S38" s="18">
        <v>1.4152</v>
      </c>
      <c r="T38" s="18">
        <v>1.5853999999999999</v>
      </c>
      <c r="U38" s="18">
        <v>1.7303999999999999</v>
      </c>
      <c r="V38" s="18">
        <v>1.8540000000000001</v>
      </c>
      <c r="W38" s="18">
        <v>1.9624999999999999</v>
      </c>
      <c r="X38" s="18">
        <v>2.0520999999999998</v>
      </c>
      <c r="Y38" s="18">
        <v>2.1156000000000001</v>
      </c>
      <c r="Z38" s="18">
        <v>2.1435</v>
      </c>
      <c r="AA38" s="18">
        <v>2.1516000000000002</v>
      </c>
      <c r="AB38" s="18">
        <v>2.1364999999999998</v>
      </c>
      <c r="AC38" s="18">
        <v>2.0857000000000001</v>
      </c>
      <c r="AD38" s="18">
        <v>2.0083000000000002</v>
      </c>
      <c r="AE38" s="18">
        <v>1.9158999999999999</v>
      </c>
      <c r="AF38" s="18">
        <v>1.7988999999999999</v>
      </c>
      <c r="AG38" s="18">
        <v>1.6745000000000001</v>
      </c>
      <c r="AH38" s="18">
        <v>1.5246999999999999</v>
      </c>
      <c r="AI38" s="18">
        <v>1.3561000000000001</v>
      </c>
      <c r="AJ38" s="18">
        <v>1.1525000000000001</v>
      </c>
      <c r="AK38" s="18">
        <v>0.96199999999999997</v>
      </c>
      <c r="AL38" s="18">
        <v>0.76619999999999999</v>
      </c>
      <c r="AM38" s="18">
        <v>0.57679999999999998</v>
      </c>
      <c r="AN38" s="18">
        <v>0.39419999999999999</v>
      </c>
      <c r="AO38" s="18">
        <v>0.23019999999999999</v>
      </c>
      <c r="AP38" s="18">
        <v>6.7000000000000004E-2</v>
      </c>
      <c r="AQ38" s="18">
        <v>1.24E-2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</row>
    <row r="39" spans="1:50" x14ac:dyDescent="0.25">
      <c r="A39" s="17" t="s">
        <v>149</v>
      </c>
      <c r="B39" s="13" t="s">
        <v>100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3.3999999999999998E-3</v>
      </c>
      <c r="K39" s="18">
        <v>4.9700000000000001E-2</v>
      </c>
      <c r="L39" s="18">
        <v>0.2326</v>
      </c>
      <c r="M39" s="18">
        <v>0.46129999999999999</v>
      </c>
      <c r="N39" s="18">
        <v>0.7419</v>
      </c>
      <c r="O39" s="18">
        <v>1.0479000000000001</v>
      </c>
      <c r="P39" s="18">
        <v>1.3576999999999999</v>
      </c>
      <c r="Q39" s="18">
        <v>1.6659999999999999</v>
      </c>
      <c r="R39" s="18">
        <v>1.9745999999999999</v>
      </c>
      <c r="S39" s="18">
        <v>2.2643</v>
      </c>
      <c r="T39" s="18">
        <v>2.5367000000000002</v>
      </c>
      <c r="U39" s="18">
        <v>2.7686000000000002</v>
      </c>
      <c r="V39" s="18">
        <v>2.9664000000000001</v>
      </c>
      <c r="W39" s="18">
        <v>3.14</v>
      </c>
      <c r="X39" s="18">
        <v>3.2833000000000001</v>
      </c>
      <c r="Y39" s="18">
        <v>3.3849999999999998</v>
      </c>
      <c r="Z39" s="18">
        <v>3.4296000000000002</v>
      </c>
      <c r="AA39" s="18">
        <v>3.4424999999999999</v>
      </c>
      <c r="AB39" s="18">
        <v>3.4182999999999999</v>
      </c>
      <c r="AC39" s="18">
        <v>3.3372000000000002</v>
      </c>
      <c r="AD39" s="18">
        <v>3.2132999999999998</v>
      </c>
      <c r="AE39" s="18">
        <v>3.0655000000000001</v>
      </c>
      <c r="AF39" s="18">
        <v>2.8782000000000001</v>
      </c>
      <c r="AG39" s="18">
        <v>2.6791</v>
      </c>
      <c r="AH39" s="18">
        <v>2.4396</v>
      </c>
      <c r="AI39" s="18">
        <v>2.1698</v>
      </c>
      <c r="AJ39" s="18">
        <v>1.8441000000000001</v>
      </c>
      <c r="AK39" s="18">
        <v>1.5391999999999999</v>
      </c>
      <c r="AL39" s="18">
        <v>1.2259</v>
      </c>
      <c r="AM39" s="18">
        <v>0.92290000000000005</v>
      </c>
      <c r="AN39" s="18">
        <v>0.63080000000000003</v>
      </c>
      <c r="AO39" s="18">
        <v>0.36830000000000002</v>
      </c>
      <c r="AP39" s="18">
        <v>0.1072</v>
      </c>
      <c r="AQ39" s="18">
        <v>1.9800000000000002E-2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</row>
    <row r="40" spans="1:50" x14ac:dyDescent="0.25">
      <c r="A40" s="17" t="s">
        <v>151</v>
      </c>
      <c r="B40" s="13" t="s">
        <v>100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3.0000000000000001E-3</v>
      </c>
      <c r="K40" s="18">
        <v>4.3499999999999997E-2</v>
      </c>
      <c r="L40" s="18">
        <v>0.20349999999999999</v>
      </c>
      <c r="M40" s="18">
        <v>0.4037</v>
      </c>
      <c r="N40" s="18">
        <v>0.64910000000000001</v>
      </c>
      <c r="O40" s="18">
        <v>0.91690000000000005</v>
      </c>
      <c r="P40" s="18">
        <v>1.1879999999999999</v>
      </c>
      <c r="Q40" s="18">
        <v>1.4577</v>
      </c>
      <c r="R40" s="18">
        <v>1.7278</v>
      </c>
      <c r="S40" s="18">
        <v>1.9813000000000001</v>
      </c>
      <c r="T40" s="18">
        <v>2.2195999999999998</v>
      </c>
      <c r="U40" s="18">
        <v>2.4224999999999999</v>
      </c>
      <c r="V40" s="18">
        <v>2.5956000000000001</v>
      </c>
      <c r="W40" s="18">
        <v>2.7475000000000001</v>
      </c>
      <c r="X40" s="18">
        <v>2.8729</v>
      </c>
      <c r="Y40" s="18">
        <v>2.9619</v>
      </c>
      <c r="Z40" s="18">
        <v>3.0009000000000001</v>
      </c>
      <c r="AA40" s="18">
        <v>3.0122</v>
      </c>
      <c r="AB40" s="18">
        <v>2.9910000000000001</v>
      </c>
      <c r="AC40" s="18">
        <v>2.92</v>
      </c>
      <c r="AD40" s="18">
        <v>2.8117000000000001</v>
      </c>
      <c r="AE40" s="18">
        <v>2.6823000000000001</v>
      </c>
      <c r="AF40" s="18">
        <v>2.5184000000000002</v>
      </c>
      <c r="AG40" s="18">
        <v>2.3441999999999998</v>
      </c>
      <c r="AH40" s="18">
        <v>2.1345999999999998</v>
      </c>
      <c r="AI40" s="18">
        <v>1.8986000000000001</v>
      </c>
      <c r="AJ40" s="18">
        <v>1.6135999999999999</v>
      </c>
      <c r="AK40" s="18">
        <v>1.3468</v>
      </c>
      <c r="AL40" s="18">
        <v>1.0727</v>
      </c>
      <c r="AM40" s="18">
        <v>0.80759999999999998</v>
      </c>
      <c r="AN40" s="18">
        <v>0.55189999999999995</v>
      </c>
      <c r="AO40" s="18">
        <v>0.32229999999999998</v>
      </c>
      <c r="AP40" s="18">
        <v>9.3799999999999994E-2</v>
      </c>
      <c r="AQ40" s="18">
        <v>1.7299999999999999E-2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</row>
    <row r="41" spans="1:50" x14ac:dyDescent="0.25">
      <c r="A41" s="17" t="s">
        <v>153</v>
      </c>
      <c r="B41" s="13" t="s">
        <v>100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3.3999999999999998E-3</v>
      </c>
      <c r="K41" s="18">
        <v>4.9700000000000001E-2</v>
      </c>
      <c r="L41" s="18">
        <v>0.2326</v>
      </c>
      <c r="M41" s="18">
        <v>0.46129999999999999</v>
      </c>
      <c r="N41" s="18">
        <v>0.7419</v>
      </c>
      <c r="O41" s="18">
        <v>1.0479000000000001</v>
      </c>
      <c r="P41" s="18">
        <v>1.3576999999999999</v>
      </c>
      <c r="Q41" s="18">
        <v>1.6659999999999999</v>
      </c>
      <c r="R41" s="18">
        <v>1.9745999999999999</v>
      </c>
      <c r="S41" s="18">
        <v>2.2643</v>
      </c>
      <c r="T41" s="18">
        <v>2.5367000000000002</v>
      </c>
      <c r="U41" s="18">
        <v>2.7686000000000002</v>
      </c>
      <c r="V41" s="18">
        <v>2.9664000000000001</v>
      </c>
      <c r="W41" s="18">
        <v>3.14</v>
      </c>
      <c r="X41" s="18">
        <v>3.2833000000000001</v>
      </c>
      <c r="Y41" s="18">
        <v>3.3849999999999998</v>
      </c>
      <c r="Z41" s="18">
        <v>3.4296000000000002</v>
      </c>
      <c r="AA41" s="18">
        <v>3.4424999999999999</v>
      </c>
      <c r="AB41" s="18">
        <v>3.4182999999999999</v>
      </c>
      <c r="AC41" s="18">
        <v>3.3372000000000002</v>
      </c>
      <c r="AD41" s="18">
        <v>3.2132999999999998</v>
      </c>
      <c r="AE41" s="18">
        <v>3.0655000000000001</v>
      </c>
      <c r="AF41" s="18">
        <v>2.8782000000000001</v>
      </c>
      <c r="AG41" s="18">
        <v>2.6791</v>
      </c>
      <c r="AH41" s="18">
        <v>2.4396</v>
      </c>
      <c r="AI41" s="18">
        <v>2.1698</v>
      </c>
      <c r="AJ41" s="18">
        <v>1.8441000000000001</v>
      </c>
      <c r="AK41" s="18">
        <v>1.5391999999999999</v>
      </c>
      <c r="AL41" s="18">
        <v>1.2259</v>
      </c>
      <c r="AM41" s="18">
        <v>0.92290000000000005</v>
      </c>
      <c r="AN41" s="18">
        <v>0.63080000000000003</v>
      </c>
      <c r="AO41" s="18">
        <v>0.36830000000000002</v>
      </c>
      <c r="AP41" s="18">
        <v>0.1072</v>
      </c>
      <c r="AQ41" s="18">
        <v>1.9800000000000002E-2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</row>
    <row r="42" spans="1:50" x14ac:dyDescent="0.25">
      <c r="A42" s="8" t="s">
        <v>74</v>
      </c>
      <c r="B42" s="10" t="s">
        <v>57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</row>
    <row r="43" spans="1:50" x14ac:dyDescent="0.25">
      <c r="A43" s="17" t="s">
        <v>155</v>
      </c>
      <c r="B43" s="13" t="s">
        <v>100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2.5999999999999999E-3</v>
      </c>
      <c r="K43" s="18">
        <v>3.73E-2</v>
      </c>
      <c r="L43" s="18">
        <v>0.1744</v>
      </c>
      <c r="M43" s="18">
        <v>0.34599999999999997</v>
      </c>
      <c r="N43" s="18">
        <v>0.55640000000000001</v>
      </c>
      <c r="O43" s="18">
        <v>0.78590000000000004</v>
      </c>
      <c r="P43" s="18">
        <v>1.0183</v>
      </c>
      <c r="Q43" s="18">
        <v>1.2495000000000001</v>
      </c>
      <c r="R43" s="18">
        <v>1.4810000000000001</v>
      </c>
      <c r="S43" s="18">
        <v>1.6981999999999999</v>
      </c>
      <c r="T43" s="18">
        <v>1.9025000000000001</v>
      </c>
      <c r="U43" s="18">
        <v>2.0764</v>
      </c>
      <c r="V43" s="18">
        <v>2.2248000000000001</v>
      </c>
      <c r="W43" s="18">
        <v>2.355</v>
      </c>
      <c r="X43" s="18">
        <v>2.4624999999999999</v>
      </c>
      <c r="Y43" s="18">
        <v>2.5387</v>
      </c>
      <c r="Z43" s="18">
        <v>2.5722</v>
      </c>
      <c r="AA43" s="18">
        <v>2.5819000000000001</v>
      </c>
      <c r="AB43" s="18">
        <v>2.5636999999999999</v>
      </c>
      <c r="AC43" s="18">
        <v>2.5028999999999999</v>
      </c>
      <c r="AD43" s="18">
        <v>2.41</v>
      </c>
      <c r="AE43" s="18">
        <v>2.2991000000000001</v>
      </c>
      <c r="AF43" s="18">
        <v>2.1585999999999999</v>
      </c>
      <c r="AG43" s="18">
        <v>2.0093000000000001</v>
      </c>
      <c r="AH43" s="18">
        <v>1.8297000000000001</v>
      </c>
      <c r="AI43" s="18">
        <v>1.6274</v>
      </c>
      <c r="AJ43" s="18">
        <v>1.3831</v>
      </c>
      <c r="AK43" s="18">
        <v>1.1544000000000001</v>
      </c>
      <c r="AL43" s="18">
        <v>0.91949999999999998</v>
      </c>
      <c r="AM43" s="18">
        <v>0.69220000000000004</v>
      </c>
      <c r="AN43" s="18">
        <v>0.47310000000000002</v>
      </c>
      <c r="AO43" s="18">
        <v>0.2762</v>
      </c>
      <c r="AP43" s="18">
        <v>8.0399999999999999E-2</v>
      </c>
      <c r="AQ43" s="18">
        <v>1.4800000000000001E-2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</row>
    <row r="44" spans="1:50" x14ac:dyDescent="0.25">
      <c r="A44" s="8" t="s">
        <v>76</v>
      </c>
      <c r="B44" s="10" t="s">
        <v>57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</row>
    <row r="45" spans="1:50" x14ac:dyDescent="0.25">
      <c r="A45" s="8" t="s">
        <v>78</v>
      </c>
      <c r="B45" s="10" t="s">
        <v>57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</row>
    <row r="46" spans="1:50" x14ac:dyDescent="0.25">
      <c r="A46" s="17" t="s">
        <v>157</v>
      </c>
      <c r="B46" s="13" t="s">
        <v>100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3.3999999999999998E-3</v>
      </c>
      <c r="K46" s="18">
        <v>4.9700000000000001E-2</v>
      </c>
      <c r="L46" s="18">
        <v>0.2326</v>
      </c>
      <c r="M46" s="18">
        <v>0.46129999999999999</v>
      </c>
      <c r="N46" s="18">
        <v>0.7419</v>
      </c>
      <c r="O46" s="18">
        <v>1.0479000000000001</v>
      </c>
      <c r="P46" s="18">
        <v>1.3576999999999999</v>
      </c>
      <c r="Q46" s="18">
        <v>1.6659999999999999</v>
      </c>
      <c r="R46" s="18">
        <v>1.9745999999999999</v>
      </c>
      <c r="S46" s="18">
        <v>2.2643</v>
      </c>
      <c r="T46" s="18">
        <v>2.5367000000000002</v>
      </c>
      <c r="U46" s="18">
        <v>2.7686000000000002</v>
      </c>
      <c r="V46" s="18">
        <v>2.9664000000000001</v>
      </c>
      <c r="W46" s="18">
        <v>3.14</v>
      </c>
      <c r="X46" s="18">
        <v>3.2833000000000001</v>
      </c>
      <c r="Y46" s="18">
        <v>3.3849999999999998</v>
      </c>
      <c r="Z46" s="18">
        <v>3.4296000000000002</v>
      </c>
      <c r="AA46" s="18">
        <v>3.4424999999999999</v>
      </c>
      <c r="AB46" s="18">
        <v>3.4182999999999999</v>
      </c>
      <c r="AC46" s="18">
        <v>3.3372000000000002</v>
      </c>
      <c r="AD46" s="18">
        <v>3.2132999999999998</v>
      </c>
      <c r="AE46" s="18">
        <v>3.0655000000000001</v>
      </c>
      <c r="AF46" s="18">
        <v>2.8782000000000001</v>
      </c>
      <c r="AG46" s="18">
        <v>2.6791</v>
      </c>
      <c r="AH46" s="18">
        <v>2.4396</v>
      </c>
      <c r="AI46" s="18">
        <v>2.1698</v>
      </c>
      <c r="AJ46" s="18">
        <v>1.8441000000000001</v>
      </c>
      <c r="AK46" s="18">
        <v>1.5391999999999999</v>
      </c>
      <c r="AL46" s="18">
        <v>1.2259</v>
      </c>
      <c r="AM46" s="18">
        <v>0.92290000000000005</v>
      </c>
      <c r="AN46" s="18">
        <v>0.63080000000000003</v>
      </c>
      <c r="AO46" s="18">
        <v>0.36830000000000002</v>
      </c>
      <c r="AP46" s="18">
        <v>0.1072</v>
      </c>
      <c r="AQ46" s="18">
        <v>1.9800000000000002E-2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</row>
    <row r="47" spans="1:50" x14ac:dyDescent="0.25">
      <c r="A47" s="17" t="s">
        <v>159</v>
      </c>
      <c r="B47" s="13" t="s">
        <v>100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2.5999999999999999E-3</v>
      </c>
      <c r="K47" s="18">
        <v>3.73E-2</v>
      </c>
      <c r="L47" s="18">
        <v>0.1744</v>
      </c>
      <c r="M47" s="18">
        <v>0.34599999999999997</v>
      </c>
      <c r="N47" s="18">
        <v>0.55640000000000001</v>
      </c>
      <c r="O47" s="18">
        <v>0.78590000000000004</v>
      </c>
      <c r="P47" s="18">
        <v>1.0183</v>
      </c>
      <c r="Q47" s="18">
        <v>1.2495000000000001</v>
      </c>
      <c r="R47" s="18">
        <v>1.4810000000000001</v>
      </c>
      <c r="S47" s="18">
        <v>1.6981999999999999</v>
      </c>
      <c r="T47" s="18">
        <v>1.9025000000000001</v>
      </c>
      <c r="U47" s="18">
        <v>2.0764</v>
      </c>
      <c r="V47" s="18">
        <v>2.2248000000000001</v>
      </c>
      <c r="W47" s="18">
        <v>2.355</v>
      </c>
      <c r="X47" s="18">
        <v>2.4624999999999999</v>
      </c>
      <c r="Y47" s="18">
        <v>2.5387</v>
      </c>
      <c r="Z47" s="18">
        <v>2.5722</v>
      </c>
      <c r="AA47" s="18">
        <v>2.5819000000000001</v>
      </c>
      <c r="AB47" s="18">
        <v>2.5636999999999999</v>
      </c>
      <c r="AC47" s="18">
        <v>2.5028999999999999</v>
      </c>
      <c r="AD47" s="18">
        <v>2.41</v>
      </c>
      <c r="AE47" s="18">
        <v>2.2991000000000001</v>
      </c>
      <c r="AF47" s="18">
        <v>2.1585999999999999</v>
      </c>
      <c r="AG47" s="18">
        <v>2.0093000000000001</v>
      </c>
      <c r="AH47" s="18">
        <v>1.8297000000000001</v>
      </c>
      <c r="AI47" s="18">
        <v>1.6274</v>
      </c>
      <c r="AJ47" s="18">
        <v>1.3831</v>
      </c>
      <c r="AK47" s="18">
        <v>1.1544000000000001</v>
      </c>
      <c r="AL47" s="18">
        <v>0.91949999999999998</v>
      </c>
      <c r="AM47" s="18">
        <v>0.69220000000000004</v>
      </c>
      <c r="AN47" s="18">
        <v>0.47310000000000002</v>
      </c>
      <c r="AO47" s="18">
        <v>0.2762</v>
      </c>
      <c r="AP47" s="18">
        <v>8.0399999999999999E-2</v>
      </c>
      <c r="AQ47" s="18">
        <v>1.4800000000000001E-2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</row>
    <row r="48" spans="1:50" x14ac:dyDescent="0.25">
      <c r="A48" s="17" t="s">
        <v>161</v>
      </c>
      <c r="B48" s="13" t="s">
        <v>100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3.3999999999999998E-3</v>
      </c>
      <c r="K48" s="18">
        <v>4.9700000000000001E-2</v>
      </c>
      <c r="L48" s="18">
        <v>0.2326</v>
      </c>
      <c r="M48" s="18">
        <v>0.46129999999999999</v>
      </c>
      <c r="N48" s="18">
        <v>0.7419</v>
      </c>
      <c r="O48" s="18">
        <v>1.0479000000000001</v>
      </c>
      <c r="P48" s="18">
        <v>1.3576999999999999</v>
      </c>
      <c r="Q48" s="18">
        <v>1.6659999999999999</v>
      </c>
      <c r="R48" s="18">
        <v>1.9745999999999999</v>
      </c>
      <c r="S48" s="18">
        <v>2.2643</v>
      </c>
      <c r="T48" s="18">
        <v>2.5367000000000002</v>
      </c>
      <c r="U48" s="18">
        <v>2.7686000000000002</v>
      </c>
      <c r="V48" s="18">
        <v>2.9664000000000001</v>
      </c>
      <c r="W48" s="18">
        <v>3.14</v>
      </c>
      <c r="X48" s="18">
        <v>3.2833000000000001</v>
      </c>
      <c r="Y48" s="18">
        <v>3.3849999999999998</v>
      </c>
      <c r="Z48" s="18">
        <v>3.4296000000000002</v>
      </c>
      <c r="AA48" s="18">
        <v>3.4424999999999999</v>
      </c>
      <c r="AB48" s="18">
        <v>3.4182999999999999</v>
      </c>
      <c r="AC48" s="18">
        <v>3.3372000000000002</v>
      </c>
      <c r="AD48" s="18">
        <v>3.2132999999999998</v>
      </c>
      <c r="AE48" s="18">
        <v>3.0655000000000001</v>
      </c>
      <c r="AF48" s="18">
        <v>2.8782000000000001</v>
      </c>
      <c r="AG48" s="18">
        <v>2.6791</v>
      </c>
      <c r="AH48" s="18">
        <v>2.4396</v>
      </c>
      <c r="AI48" s="18">
        <v>2.1698</v>
      </c>
      <c r="AJ48" s="18">
        <v>1.8441000000000001</v>
      </c>
      <c r="AK48" s="18">
        <v>1.5391999999999999</v>
      </c>
      <c r="AL48" s="18">
        <v>1.2259</v>
      </c>
      <c r="AM48" s="18">
        <v>0.92290000000000005</v>
      </c>
      <c r="AN48" s="18">
        <v>0.63080000000000003</v>
      </c>
      <c r="AO48" s="18">
        <v>0.36830000000000002</v>
      </c>
      <c r="AP48" s="18">
        <v>0.1072</v>
      </c>
      <c r="AQ48" s="18">
        <v>1.9800000000000002E-2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</row>
    <row r="49" spans="1:50" x14ac:dyDescent="0.25">
      <c r="A49" s="17" t="s">
        <v>163</v>
      </c>
      <c r="B49" s="13" t="s">
        <v>100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3.0000000000000001E-3</v>
      </c>
      <c r="K49" s="18">
        <v>4.3499999999999997E-2</v>
      </c>
      <c r="L49" s="18">
        <v>0.20349999999999999</v>
      </c>
      <c r="M49" s="18">
        <v>0.4037</v>
      </c>
      <c r="N49" s="18">
        <v>0.64910000000000001</v>
      </c>
      <c r="O49" s="18">
        <v>0.91690000000000005</v>
      </c>
      <c r="P49" s="18">
        <v>1.1879999999999999</v>
      </c>
      <c r="Q49" s="18">
        <v>1.4577</v>
      </c>
      <c r="R49" s="18">
        <v>1.7278</v>
      </c>
      <c r="S49" s="18">
        <v>1.9813000000000001</v>
      </c>
      <c r="T49" s="18">
        <v>2.2195999999999998</v>
      </c>
      <c r="U49" s="18">
        <v>2.4224999999999999</v>
      </c>
      <c r="V49" s="18">
        <v>2.5956000000000001</v>
      </c>
      <c r="W49" s="18">
        <v>2.7475000000000001</v>
      </c>
      <c r="X49" s="18">
        <v>2.8729</v>
      </c>
      <c r="Y49" s="18">
        <v>2.9619</v>
      </c>
      <c r="Z49" s="18">
        <v>3.0009000000000001</v>
      </c>
      <c r="AA49" s="18">
        <v>3.0122</v>
      </c>
      <c r="AB49" s="18">
        <v>2.9910000000000001</v>
      </c>
      <c r="AC49" s="18">
        <v>2.92</v>
      </c>
      <c r="AD49" s="18">
        <v>2.8117000000000001</v>
      </c>
      <c r="AE49" s="18">
        <v>2.6823000000000001</v>
      </c>
      <c r="AF49" s="18">
        <v>2.5184000000000002</v>
      </c>
      <c r="AG49" s="18">
        <v>2.3441999999999998</v>
      </c>
      <c r="AH49" s="18">
        <v>2.1345999999999998</v>
      </c>
      <c r="AI49" s="18">
        <v>1.8986000000000001</v>
      </c>
      <c r="AJ49" s="18">
        <v>1.6135999999999999</v>
      </c>
      <c r="AK49" s="18">
        <v>1.3468</v>
      </c>
      <c r="AL49" s="18">
        <v>1.0727</v>
      </c>
      <c r="AM49" s="18">
        <v>0.80759999999999998</v>
      </c>
      <c r="AN49" s="18">
        <v>0.55189999999999995</v>
      </c>
      <c r="AO49" s="18">
        <v>0.32229999999999998</v>
      </c>
      <c r="AP49" s="18">
        <v>9.3799999999999994E-2</v>
      </c>
      <c r="AQ49" s="18">
        <v>1.7299999999999999E-2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0</v>
      </c>
      <c r="AX49" s="18">
        <v>0</v>
      </c>
    </row>
    <row r="50" spans="1:50" x14ac:dyDescent="0.25">
      <c r="A50" s="17" t="s">
        <v>165</v>
      </c>
      <c r="B50" s="13" t="s">
        <v>100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2.2000000000000001E-3</v>
      </c>
      <c r="K50" s="18">
        <v>3.1099999999999999E-2</v>
      </c>
      <c r="L50" s="18">
        <v>0.1454</v>
      </c>
      <c r="M50" s="18">
        <v>0.2883</v>
      </c>
      <c r="N50" s="18">
        <v>0.4637</v>
      </c>
      <c r="O50" s="18">
        <v>0.65490000000000004</v>
      </c>
      <c r="P50" s="18">
        <v>0.84860000000000002</v>
      </c>
      <c r="Q50" s="18">
        <v>1.0411999999999999</v>
      </c>
      <c r="R50" s="18">
        <v>1.2341</v>
      </c>
      <c r="S50" s="18">
        <v>1.4152</v>
      </c>
      <c r="T50" s="18">
        <v>1.5853999999999999</v>
      </c>
      <c r="U50" s="18">
        <v>1.7303999999999999</v>
      </c>
      <c r="V50" s="18">
        <v>1.8540000000000001</v>
      </c>
      <c r="W50" s="18">
        <v>1.9624999999999999</v>
      </c>
      <c r="X50" s="18">
        <v>2.0520999999999998</v>
      </c>
      <c r="Y50" s="18">
        <v>2.1156000000000001</v>
      </c>
      <c r="Z50" s="18">
        <v>2.1435</v>
      </c>
      <c r="AA50" s="18">
        <v>2.1516000000000002</v>
      </c>
      <c r="AB50" s="18">
        <v>2.1364999999999998</v>
      </c>
      <c r="AC50" s="18">
        <v>2.0857000000000001</v>
      </c>
      <c r="AD50" s="18">
        <v>2.0083000000000002</v>
      </c>
      <c r="AE50" s="18">
        <v>1.9158999999999999</v>
      </c>
      <c r="AF50" s="18">
        <v>1.7988999999999999</v>
      </c>
      <c r="AG50" s="18">
        <v>1.6745000000000001</v>
      </c>
      <c r="AH50" s="18">
        <v>1.5246999999999999</v>
      </c>
      <c r="AI50" s="18">
        <v>1.3561000000000001</v>
      </c>
      <c r="AJ50" s="18">
        <v>1.1525000000000001</v>
      </c>
      <c r="AK50" s="18">
        <v>0.96199999999999997</v>
      </c>
      <c r="AL50" s="18">
        <v>0.76619999999999999</v>
      </c>
      <c r="AM50" s="18">
        <v>0.57679999999999998</v>
      </c>
      <c r="AN50" s="18">
        <v>0.39419999999999999</v>
      </c>
      <c r="AO50" s="18">
        <v>0.23019999999999999</v>
      </c>
      <c r="AP50" s="18">
        <v>6.7000000000000004E-2</v>
      </c>
      <c r="AQ50" s="18">
        <v>1.24E-2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</row>
    <row r="51" spans="1:50" x14ac:dyDescent="0.25">
      <c r="A51" s="8" t="s">
        <v>80</v>
      </c>
      <c r="B51" s="10" t="s">
        <v>57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</row>
    <row r="52" spans="1:50" x14ac:dyDescent="0.25">
      <c r="A52" s="17" t="s">
        <v>167</v>
      </c>
      <c r="B52" s="13" t="s">
        <v>100</v>
      </c>
      <c r="C52" s="18">
        <v>0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3.3999999999999998E-3</v>
      </c>
      <c r="K52" s="18">
        <v>4.9700000000000001E-2</v>
      </c>
      <c r="L52" s="18">
        <v>0.2326</v>
      </c>
      <c r="M52" s="18">
        <v>0.46129999999999999</v>
      </c>
      <c r="N52" s="18">
        <v>0.7419</v>
      </c>
      <c r="O52" s="18">
        <v>1.0479000000000001</v>
      </c>
      <c r="P52" s="18">
        <v>1.3576999999999999</v>
      </c>
      <c r="Q52" s="18">
        <v>1.6659999999999999</v>
      </c>
      <c r="R52" s="18">
        <v>1.9745999999999999</v>
      </c>
      <c r="S52" s="18">
        <v>2.2643</v>
      </c>
      <c r="T52" s="18">
        <v>2.5367000000000002</v>
      </c>
      <c r="U52" s="18">
        <v>2.7686000000000002</v>
      </c>
      <c r="V52" s="18">
        <v>2.9664000000000001</v>
      </c>
      <c r="W52" s="18">
        <v>3.14</v>
      </c>
      <c r="X52" s="18">
        <v>3.2833000000000001</v>
      </c>
      <c r="Y52" s="18">
        <v>3.3849999999999998</v>
      </c>
      <c r="Z52" s="18">
        <v>3.4296000000000002</v>
      </c>
      <c r="AA52" s="18">
        <v>3.4424999999999999</v>
      </c>
      <c r="AB52" s="18">
        <v>3.4182999999999999</v>
      </c>
      <c r="AC52" s="18">
        <v>3.3372000000000002</v>
      </c>
      <c r="AD52" s="18">
        <v>3.2132999999999998</v>
      </c>
      <c r="AE52" s="18">
        <v>3.0655000000000001</v>
      </c>
      <c r="AF52" s="18">
        <v>2.8782000000000001</v>
      </c>
      <c r="AG52" s="18">
        <v>2.6791</v>
      </c>
      <c r="AH52" s="18">
        <v>2.4396</v>
      </c>
      <c r="AI52" s="18">
        <v>2.1698</v>
      </c>
      <c r="AJ52" s="18">
        <v>1.8441000000000001</v>
      </c>
      <c r="AK52" s="18">
        <v>1.5391999999999999</v>
      </c>
      <c r="AL52" s="18">
        <v>1.2259</v>
      </c>
      <c r="AM52" s="18">
        <v>0.92290000000000005</v>
      </c>
      <c r="AN52" s="18">
        <v>0.63080000000000003</v>
      </c>
      <c r="AO52" s="18">
        <v>0.36830000000000002</v>
      </c>
      <c r="AP52" s="18">
        <v>0.1072</v>
      </c>
      <c r="AQ52" s="18">
        <v>1.9800000000000002E-2</v>
      </c>
      <c r="AR52" s="18">
        <v>0</v>
      </c>
      <c r="AS52" s="18">
        <v>0</v>
      </c>
      <c r="AT52" s="18">
        <v>0</v>
      </c>
      <c r="AU52" s="18">
        <v>0</v>
      </c>
      <c r="AV52" s="18">
        <v>0</v>
      </c>
      <c r="AW52" s="18">
        <v>0</v>
      </c>
      <c r="AX52" s="18">
        <v>0</v>
      </c>
    </row>
    <row r="53" spans="1:50" x14ac:dyDescent="0.25">
      <c r="A53" s="17" t="s">
        <v>169</v>
      </c>
      <c r="B53" s="13" t="s">
        <v>100</v>
      </c>
      <c r="C53" s="18">
        <v>0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1.6999999999999999E-3</v>
      </c>
      <c r="K53" s="18">
        <v>2.4899999999999999E-2</v>
      </c>
      <c r="L53" s="18">
        <v>0.1163</v>
      </c>
      <c r="M53" s="18">
        <v>0.23069999999999999</v>
      </c>
      <c r="N53" s="18">
        <v>0.37090000000000001</v>
      </c>
      <c r="O53" s="18">
        <v>0.52400000000000002</v>
      </c>
      <c r="P53" s="18">
        <v>0.67889999999999995</v>
      </c>
      <c r="Q53" s="18">
        <v>0.83299999999999996</v>
      </c>
      <c r="R53" s="18">
        <v>0.98729999999999996</v>
      </c>
      <c r="S53" s="18">
        <v>1.1322000000000001</v>
      </c>
      <c r="T53" s="18">
        <v>1.2683</v>
      </c>
      <c r="U53" s="18">
        <v>1.3843000000000001</v>
      </c>
      <c r="V53" s="18">
        <v>1.4832000000000001</v>
      </c>
      <c r="W53" s="18">
        <v>1.57</v>
      </c>
      <c r="X53" s="18">
        <v>1.6416999999999999</v>
      </c>
      <c r="Y53" s="18">
        <v>1.6924999999999999</v>
      </c>
      <c r="Z53" s="18">
        <v>1.7148000000000001</v>
      </c>
      <c r="AA53" s="18">
        <v>1.7212000000000001</v>
      </c>
      <c r="AB53" s="18">
        <v>1.7092000000000001</v>
      </c>
      <c r="AC53" s="18">
        <v>1.6686000000000001</v>
      </c>
      <c r="AD53" s="18">
        <v>1.6067</v>
      </c>
      <c r="AE53" s="18">
        <v>1.5327999999999999</v>
      </c>
      <c r="AF53" s="18">
        <v>1.4391</v>
      </c>
      <c r="AG53" s="18">
        <v>1.3395999999999999</v>
      </c>
      <c r="AH53" s="18">
        <v>1.2198</v>
      </c>
      <c r="AI53" s="18">
        <v>1.0849</v>
      </c>
      <c r="AJ53" s="18">
        <v>0.92200000000000004</v>
      </c>
      <c r="AK53" s="18">
        <v>0.76959999999999995</v>
      </c>
      <c r="AL53" s="18">
        <v>0.61299999999999999</v>
      </c>
      <c r="AM53" s="18">
        <v>0.46150000000000002</v>
      </c>
      <c r="AN53" s="18">
        <v>0.31540000000000001</v>
      </c>
      <c r="AO53" s="18">
        <v>0.1842</v>
      </c>
      <c r="AP53" s="18">
        <v>5.3600000000000002E-2</v>
      </c>
      <c r="AQ53" s="18">
        <v>9.9000000000000008E-3</v>
      </c>
      <c r="AR53" s="18">
        <v>0</v>
      </c>
      <c r="AS53" s="18">
        <v>0</v>
      </c>
      <c r="AT53" s="18">
        <v>0</v>
      </c>
      <c r="AU53" s="18">
        <v>0</v>
      </c>
      <c r="AV53" s="18">
        <v>0</v>
      </c>
      <c r="AW53" s="18">
        <v>0</v>
      </c>
      <c r="AX53" s="18">
        <v>0</v>
      </c>
    </row>
    <row r="54" spans="1:50" x14ac:dyDescent="0.25">
      <c r="A54" s="17" t="s">
        <v>171</v>
      </c>
      <c r="B54" s="13" t="s">
        <v>100</v>
      </c>
      <c r="C54" s="18">
        <v>0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3.3999999999999998E-3</v>
      </c>
      <c r="K54" s="18">
        <v>4.9700000000000001E-2</v>
      </c>
      <c r="L54" s="18">
        <v>0.2326</v>
      </c>
      <c r="M54" s="18">
        <v>0.46129999999999999</v>
      </c>
      <c r="N54" s="18">
        <v>0.7419</v>
      </c>
      <c r="O54" s="18">
        <v>1.0479000000000001</v>
      </c>
      <c r="P54" s="18">
        <v>1.3576999999999999</v>
      </c>
      <c r="Q54" s="18">
        <v>1.6659999999999999</v>
      </c>
      <c r="R54" s="18">
        <v>1.9745999999999999</v>
      </c>
      <c r="S54" s="18">
        <v>2.2643</v>
      </c>
      <c r="T54" s="18">
        <v>2.5367000000000002</v>
      </c>
      <c r="U54" s="18">
        <v>2.7686000000000002</v>
      </c>
      <c r="V54" s="18">
        <v>2.9664000000000001</v>
      </c>
      <c r="W54" s="18">
        <v>3.14</v>
      </c>
      <c r="X54" s="18">
        <v>3.2833000000000001</v>
      </c>
      <c r="Y54" s="18">
        <v>3.3849999999999998</v>
      </c>
      <c r="Z54" s="18">
        <v>3.4296000000000002</v>
      </c>
      <c r="AA54" s="18">
        <v>3.4424999999999999</v>
      </c>
      <c r="AB54" s="18">
        <v>3.4182999999999999</v>
      </c>
      <c r="AC54" s="18">
        <v>3.3372000000000002</v>
      </c>
      <c r="AD54" s="18">
        <v>3.2132999999999998</v>
      </c>
      <c r="AE54" s="18">
        <v>3.0655000000000001</v>
      </c>
      <c r="AF54" s="18">
        <v>2.8782000000000001</v>
      </c>
      <c r="AG54" s="18">
        <v>2.6791</v>
      </c>
      <c r="AH54" s="18">
        <v>2.4396</v>
      </c>
      <c r="AI54" s="18">
        <v>2.1698</v>
      </c>
      <c r="AJ54" s="18">
        <v>1.8441000000000001</v>
      </c>
      <c r="AK54" s="18">
        <v>1.5391999999999999</v>
      </c>
      <c r="AL54" s="18">
        <v>1.2259</v>
      </c>
      <c r="AM54" s="18">
        <v>0.92290000000000005</v>
      </c>
      <c r="AN54" s="18">
        <v>0.63080000000000003</v>
      </c>
      <c r="AO54" s="18">
        <v>0.36830000000000002</v>
      </c>
      <c r="AP54" s="18">
        <v>0.1072</v>
      </c>
      <c r="AQ54" s="18">
        <v>1.9800000000000002E-2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0</v>
      </c>
      <c r="AX54" s="18">
        <v>0</v>
      </c>
    </row>
    <row r="55" spans="1:50" x14ac:dyDescent="0.25">
      <c r="A55" s="17" t="s">
        <v>173</v>
      </c>
      <c r="B55" s="13" t="s">
        <v>100</v>
      </c>
      <c r="C55" s="18">
        <v>0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3.3999999999999998E-3</v>
      </c>
      <c r="K55" s="18">
        <v>4.9700000000000001E-2</v>
      </c>
      <c r="L55" s="18">
        <v>0.2326</v>
      </c>
      <c r="M55" s="18">
        <v>0.46129999999999999</v>
      </c>
      <c r="N55" s="18">
        <v>0.7419</v>
      </c>
      <c r="O55" s="18">
        <v>1.0479000000000001</v>
      </c>
      <c r="P55" s="18">
        <v>1.3576999999999999</v>
      </c>
      <c r="Q55" s="18">
        <v>1.6659999999999999</v>
      </c>
      <c r="R55" s="18">
        <v>1.9745999999999999</v>
      </c>
      <c r="S55" s="18">
        <v>2.2643</v>
      </c>
      <c r="T55" s="18">
        <v>2.5367000000000002</v>
      </c>
      <c r="U55" s="18">
        <v>2.7686000000000002</v>
      </c>
      <c r="V55" s="18">
        <v>2.9664000000000001</v>
      </c>
      <c r="W55" s="18">
        <v>3.14</v>
      </c>
      <c r="X55" s="18">
        <v>3.2833000000000001</v>
      </c>
      <c r="Y55" s="18">
        <v>3.3849999999999998</v>
      </c>
      <c r="Z55" s="18">
        <v>3.4296000000000002</v>
      </c>
      <c r="AA55" s="18">
        <v>3.4424999999999999</v>
      </c>
      <c r="AB55" s="18">
        <v>3.4182999999999999</v>
      </c>
      <c r="AC55" s="18">
        <v>3.3372000000000002</v>
      </c>
      <c r="AD55" s="18">
        <v>3.2132999999999998</v>
      </c>
      <c r="AE55" s="18">
        <v>3.0655000000000001</v>
      </c>
      <c r="AF55" s="18">
        <v>2.8782000000000001</v>
      </c>
      <c r="AG55" s="18">
        <v>2.6791</v>
      </c>
      <c r="AH55" s="18">
        <v>2.4396</v>
      </c>
      <c r="AI55" s="18">
        <v>2.1698</v>
      </c>
      <c r="AJ55" s="18">
        <v>1.8441000000000001</v>
      </c>
      <c r="AK55" s="18">
        <v>1.5391999999999999</v>
      </c>
      <c r="AL55" s="18">
        <v>1.2259</v>
      </c>
      <c r="AM55" s="18">
        <v>0.92290000000000005</v>
      </c>
      <c r="AN55" s="18">
        <v>0.63080000000000003</v>
      </c>
      <c r="AO55" s="18">
        <v>0.36830000000000002</v>
      </c>
      <c r="AP55" s="18">
        <v>0.1072</v>
      </c>
      <c r="AQ55" s="18">
        <v>1.9800000000000002E-2</v>
      </c>
      <c r="AR55" s="18">
        <v>0</v>
      </c>
      <c r="AS55" s="18">
        <v>0</v>
      </c>
      <c r="AT55" s="18">
        <v>0</v>
      </c>
      <c r="AU55" s="18">
        <v>0</v>
      </c>
      <c r="AV55" s="18">
        <v>0</v>
      </c>
      <c r="AW55" s="18">
        <v>0</v>
      </c>
      <c r="AX55" s="18">
        <v>0</v>
      </c>
    </row>
    <row r="56" spans="1:50" x14ac:dyDescent="0.25">
      <c r="A56" s="17" t="s">
        <v>175</v>
      </c>
      <c r="B56" s="13" t="s">
        <v>100</v>
      </c>
      <c r="C56" s="18">
        <v>0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3.3999999999999998E-3</v>
      </c>
      <c r="K56" s="18">
        <v>4.9700000000000001E-2</v>
      </c>
      <c r="L56" s="18">
        <v>0.2326</v>
      </c>
      <c r="M56" s="18">
        <v>0.46129999999999999</v>
      </c>
      <c r="N56" s="18">
        <v>0.7419</v>
      </c>
      <c r="O56" s="18">
        <v>1.0479000000000001</v>
      </c>
      <c r="P56" s="18">
        <v>1.3576999999999999</v>
      </c>
      <c r="Q56" s="18">
        <v>1.6659999999999999</v>
      </c>
      <c r="R56" s="18">
        <v>1.9745999999999999</v>
      </c>
      <c r="S56" s="18">
        <v>2.2643</v>
      </c>
      <c r="T56" s="18">
        <v>2.5367000000000002</v>
      </c>
      <c r="U56" s="18">
        <v>2.7686000000000002</v>
      </c>
      <c r="V56" s="18">
        <v>2.9664000000000001</v>
      </c>
      <c r="W56" s="18">
        <v>3.14</v>
      </c>
      <c r="X56" s="18">
        <v>3.2833000000000001</v>
      </c>
      <c r="Y56" s="18">
        <v>3.3849999999999998</v>
      </c>
      <c r="Z56" s="18">
        <v>3.4296000000000002</v>
      </c>
      <c r="AA56" s="18">
        <v>3.4424999999999999</v>
      </c>
      <c r="AB56" s="18">
        <v>3.4182999999999999</v>
      </c>
      <c r="AC56" s="18">
        <v>3.3372000000000002</v>
      </c>
      <c r="AD56" s="18">
        <v>3.2132999999999998</v>
      </c>
      <c r="AE56" s="18">
        <v>3.0655000000000001</v>
      </c>
      <c r="AF56" s="18">
        <v>2.8782000000000001</v>
      </c>
      <c r="AG56" s="18">
        <v>2.6791</v>
      </c>
      <c r="AH56" s="18">
        <v>2.4396</v>
      </c>
      <c r="AI56" s="18">
        <v>2.1698</v>
      </c>
      <c r="AJ56" s="18">
        <v>1.8441000000000001</v>
      </c>
      <c r="AK56" s="18">
        <v>1.5391999999999999</v>
      </c>
      <c r="AL56" s="18">
        <v>1.2259</v>
      </c>
      <c r="AM56" s="18">
        <v>0.92290000000000005</v>
      </c>
      <c r="AN56" s="18">
        <v>0.63080000000000003</v>
      </c>
      <c r="AO56" s="18">
        <v>0.36830000000000002</v>
      </c>
      <c r="AP56" s="18">
        <v>0.1072</v>
      </c>
      <c r="AQ56" s="18">
        <v>1.9800000000000002E-2</v>
      </c>
      <c r="AR56" s="18">
        <v>0</v>
      </c>
      <c r="AS56" s="18">
        <v>0</v>
      </c>
      <c r="AT56" s="18">
        <v>0</v>
      </c>
      <c r="AU56" s="18">
        <v>0</v>
      </c>
      <c r="AV56" s="18">
        <v>0</v>
      </c>
      <c r="AW56" s="18">
        <v>0</v>
      </c>
      <c r="AX56" s="18">
        <v>0</v>
      </c>
    </row>
    <row r="57" spans="1:50" x14ac:dyDescent="0.25">
      <c r="A57" s="8" t="s">
        <v>82</v>
      </c>
      <c r="B57" s="10" t="s">
        <v>57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</row>
    <row r="58" spans="1:50" x14ac:dyDescent="0.25">
      <c r="A58" s="8" t="s">
        <v>84</v>
      </c>
      <c r="B58" s="10" t="s">
        <v>57</v>
      </c>
      <c r="C58" s="16">
        <v>0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</row>
    <row r="59" spans="1:50" x14ac:dyDescent="0.25">
      <c r="A59" s="17" t="s">
        <v>177</v>
      </c>
      <c r="B59" s="13" t="s">
        <v>100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3.3999999999999998E-3</v>
      </c>
      <c r="K59" s="18">
        <v>4.9700000000000001E-2</v>
      </c>
      <c r="L59" s="18">
        <v>0.2326</v>
      </c>
      <c r="M59" s="18">
        <v>0.46129999999999999</v>
      </c>
      <c r="N59" s="18">
        <v>0.7419</v>
      </c>
      <c r="O59" s="18">
        <v>1.0479000000000001</v>
      </c>
      <c r="P59" s="18">
        <v>1.3576999999999999</v>
      </c>
      <c r="Q59" s="18">
        <v>1.6659999999999999</v>
      </c>
      <c r="R59" s="18">
        <v>1.9745999999999999</v>
      </c>
      <c r="S59" s="18">
        <v>2.2643</v>
      </c>
      <c r="T59" s="18">
        <v>2.5367000000000002</v>
      </c>
      <c r="U59" s="18">
        <v>2.7686000000000002</v>
      </c>
      <c r="V59" s="18">
        <v>2.9664000000000001</v>
      </c>
      <c r="W59" s="18">
        <v>3.14</v>
      </c>
      <c r="X59" s="18">
        <v>3.2833000000000001</v>
      </c>
      <c r="Y59" s="18">
        <v>3.3849999999999998</v>
      </c>
      <c r="Z59" s="18">
        <v>3.4296000000000002</v>
      </c>
      <c r="AA59" s="18">
        <v>3.4424999999999999</v>
      </c>
      <c r="AB59" s="18">
        <v>3.4182999999999999</v>
      </c>
      <c r="AC59" s="18">
        <v>3.3372000000000002</v>
      </c>
      <c r="AD59" s="18">
        <v>3.2132999999999998</v>
      </c>
      <c r="AE59" s="18">
        <v>3.0655000000000001</v>
      </c>
      <c r="AF59" s="18">
        <v>2.8782000000000001</v>
      </c>
      <c r="AG59" s="18">
        <v>2.6791</v>
      </c>
      <c r="AH59" s="18">
        <v>2.4396</v>
      </c>
      <c r="AI59" s="18">
        <v>2.1698</v>
      </c>
      <c r="AJ59" s="18">
        <v>1.8441000000000001</v>
      </c>
      <c r="AK59" s="18">
        <v>1.5391999999999999</v>
      </c>
      <c r="AL59" s="18">
        <v>1.2259</v>
      </c>
      <c r="AM59" s="18">
        <v>0.92290000000000005</v>
      </c>
      <c r="AN59" s="18">
        <v>0.63080000000000003</v>
      </c>
      <c r="AO59" s="18">
        <v>0.36830000000000002</v>
      </c>
      <c r="AP59" s="18">
        <v>0.1072</v>
      </c>
      <c r="AQ59" s="18">
        <v>1.9800000000000002E-2</v>
      </c>
      <c r="AR59" s="18">
        <v>0</v>
      </c>
      <c r="AS59" s="18">
        <v>0</v>
      </c>
      <c r="AT59" s="18">
        <v>0</v>
      </c>
      <c r="AU59" s="18">
        <v>0</v>
      </c>
      <c r="AV59" s="18">
        <v>0</v>
      </c>
      <c r="AW59" s="18">
        <v>0</v>
      </c>
      <c r="AX59" s="18">
        <v>0</v>
      </c>
    </row>
    <row r="60" spans="1:50" x14ac:dyDescent="0.25">
      <c r="A60" s="8" t="s">
        <v>86</v>
      </c>
      <c r="B60" s="10" t="s">
        <v>57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</row>
    <row r="61" spans="1:50" x14ac:dyDescent="0.25">
      <c r="A61" s="17" t="s">
        <v>179</v>
      </c>
      <c r="B61" s="13" t="s">
        <v>100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2.5999999999999999E-3</v>
      </c>
      <c r="K61" s="18">
        <v>3.73E-2</v>
      </c>
      <c r="L61" s="18">
        <v>0.1744</v>
      </c>
      <c r="M61" s="18">
        <v>0.34599999999999997</v>
      </c>
      <c r="N61" s="18">
        <v>0.55640000000000001</v>
      </c>
      <c r="O61" s="18">
        <v>0.78590000000000004</v>
      </c>
      <c r="P61" s="18">
        <v>1.0183</v>
      </c>
      <c r="Q61" s="18">
        <v>1.2495000000000001</v>
      </c>
      <c r="R61" s="18">
        <v>1.4810000000000001</v>
      </c>
      <c r="S61" s="18">
        <v>1.6981999999999999</v>
      </c>
      <c r="T61" s="18">
        <v>1.9025000000000001</v>
      </c>
      <c r="U61" s="18">
        <v>2.0764</v>
      </c>
      <c r="V61" s="18">
        <v>2.2248000000000001</v>
      </c>
      <c r="W61" s="18">
        <v>2.355</v>
      </c>
      <c r="X61" s="18">
        <v>2.4624999999999999</v>
      </c>
      <c r="Y61" s="18">
        <v>2.5387</v>
      </c>
      <c r="Z61" s="18">
        <v>2.5722</v>
      </c>
      <c r="AA61" s="18">
        <v>2.5819000000000001</v>
      </c>
      <c r="AB61" s="18">
        <v>2.5636999999999999</v>
      </c>
      <c r="AC61" s="18">
        <v>2.5028999999999999</v>
      </c>
      <c r="AD61" s="18">
        <v>2.41</v>
      </c>
      <c r="AE61" s="18">
        <v>2.2991000000000001</v>
      </c>
      <c r="AF61" s="18">
        <v>2.1585999999999999</v>
      </c>
      <c r="AG61" s="18">
        <v>2.0093000000000001</v>
      </c>
      <c r="AH61" s="18">
        <v>1.8297000000000001</v>
      </c>
      <c r="AI61" s="18">
        <v>1.6274</v>
      </c>
      <c r="AJ61" s="18">
        <v>1.3831</v>
      </c>
      <c r="AK61" s="18">
        <v>1.1544000000000001</v>
      </c>
      <c r="AL61" s="18">
        <v>0.91949999999999998</v>
      </c>
      <c r="AM61" s="18">
        <v>0.69220000000000004</v>
      </c>
      <c r="AN61" s="18">
        <v>0.47310000000000002</v>
      </c>
      <c r="AO61" s="18">
        <v>0.2762</v>
      </c>
      <c r="AP61" s="18">
        <v>8.0399999999999999E-2</v>
      </c>
      <c r="AQ61" s="18">
        <v>1.4800000000000001E-2</v>
      </c>
      <c r="AR61" s="18">
        <v>0</v>
      </c>
      <c r="AS61" s="18">
        <v>0</v>
      </c>
      <c r="AT61" s="18">
        <v>0</v>
      </c>
      <c r="AU61" s="18">
        <v>0</v>
      </c>
      <c r="AV61" s="18">
        <v>0</v>
      </c>
      <c r="AW61" s="18">
        <v>0</v>
      </c>
      <c r="AX61" s="18">
        <v>0</v>
      </c>
    </row>
    <row r="62" spans="1:50" x14ac:dyDescent="0.25">
      <c r="A62" s="8" t="s">
        <v>88</v>
      </c>
      <c r="B62" s="10" t="s">
        <v>57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</row>
    <row r="63" spans="1:50" x14ac:dyDescent="0.25">
      <c r="A63" s="17" t="s">
        <v>181</v>
      </c>
      <c r="B63" s="13" t="s">
        <v>100</v>
      </c>
      <c r="C63" s="18">
        <v>0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2.2000000000000001E-3</v>
      </c>
      <c r="K63" s="18">
        <v>3.1099999999999999E-2</v>
      </c>
      <c r="L63" s="18">
        <v>0.1454</v>
      </c>
      <c r="M63" s="18">
        <v>0.2883</v>
      </c>
      <c r="N63" s="18">
        <v>0.4637</v>
      </c>
      <c r="O63" s="18">
        <v>0.65490000000000004</v>
      </c>
      <c r="P63" s="18">
        <v>0.84860000000000002</v>
      </c>
      <c r="Q63" s="18">
        <v>1.0411999999999999</v>
      </c>
      <c r="R63" s="18">
        <v>1.2341</v>
      </c>
      <c r="S63" s="18">
        <v>1.4152</v>
      </c>
      <c r="T63" s="18">
        <v>1.5853999999999999</v>
      </c>
      <c r="U63" s="18">
        <v>1.7303999999999999</v>
      </c>
      <c r="V63" s="18">
        <v>1.8540000000000001</v>
      </c>
      <c r="W63" s="18">
        <v>1.9624999999999999</v>
      </c>
      <c r="X63" s="18">
        <v>2.0520999999999998</v>
      </c>
      <c r="Y63" s="18">
        <v>2.1156000000000001</v>
      </c>
      <c r="Z63" s="18">
        <v>2.1435</v>
      </c>
      <c r="AA63" s="18">
        <v>2.1516000000000002</v>
      </c>
      <c r="AB63" s="18">
        <v>2.1364999999999998</v>
      </c>
      <c r="AC63" s="18">
        <v>2.0857000000000001</v>
      </c>
      <c r="AD63" s="18">
        <v>2.0083000000000002</v>
      </c>
      <c r="AE63" s="18">
        <v>1.9158999999999999</v>
      </c>
      <c r="AF63" s="18">
        <v>1.7988999999999999</v>
      </c>
      <c r="AG63" s="18">
        <v>1.6745000000000001</v>
      </c>
      <c r="AH63" s="18">
        <v>1.5246999999999999</v>
      </c>
      <c r="AI63" s="18">
        <v>1.3561000000000001</v>
      </c>
      <c r="AJ63" s="18">
        <v>1.1525000000000001</v>
      </c>
      <c r="AK63" s="18">
        <v>0.96199999999999997</v>
      </c>
      <c r="AL63" s="18">
        <v>0.76619999999999999</v>
      </c>
      <c r="AM63" s="18">
        <v>0.57679999999999998</v>
      </c>
      <c r="AN63" s="18">
        <v>0.39419999999999999</v>
      </c>
      <c r="AO63" s="18">
        <v>0.23019999999999999</v>
      </c>
      <c r="AP63" s="18">
        <v>6.7000000000000004E-2</v>
      </c>
      <c r="AQ63" s="18">
        <v>1.24E-2</v>
      </c>
      <c r="AR63" s="18">
        <v>0</v>
      </c>
      <c r="AS63" s="18">
        <v>0</v>
      </c>
      <c r="AT63" s="18">
        <v>0</v>
      </c>
      <c r="AU63" s="18">
        <v>0</v>
      </c>
      <c r="AV63" s="18">
        <v>0</v>
      </c>
      <c r="AW63" s="18">
        <v>0</v>
      </c>
      <c r="AX63" s="18">
        <v>0</v>
      </c>
    </row>
    <row r="64" spans="1:50" x14ac:dyDescent="0.25">
      <c r="A64" s="8" t="s">
        <v>90</v>
      </c>
      <c r="B64" s="10" t="s">
        <v>57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</row>
    <row r="65" spans="1:50" x14ac:dyDescent="0.25">
      <c r="A65" s="17" t="s">
        <v>183</v>
      </c>
      <c r="B65" s="13" t="s">
        <v>100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3.0000000000000001E-3</v>
      </c>
      <c r="K65" s="18">
        <v>4.3499999999999997E-2</v>
      </c>
      <c r="L65" s="18">
        <v>0.20349999999999999</v>
      </c>
      <c r="M65" s="18">
        <v>0.4037</v>
      </c>
      <c r="N65" s="18">
        <v>0.64910000000000001</v>
      </c>
      <c r="O65" s="18">
        <v>0.91690000000000005</v>
      </c>
      <c r="P65" s="18">
        <v>1.1879999999999999</v>
      </c>
      <c r="Q65" s="18">
        <v>1.4577</v>
      </c>
      <c r="R65" s="18">
        <v>1.7278</v>
      </c>
      <c r="S65" s="18">
        <v>1.9813000000000001</v>
      </c>
      <c r="T65" s="18">
        <v>2.2195999999999998</v>
      </c>
      <c r="U65" s="18">
        <v>2.4224999999999999</v>
      </c>
      <c r="V65" s="18">
        <v>2.5956000000000001</v>
      </c>
      <c r="W65" s="18">
        <v>2.7475000000000001</v>
      </c>
      <c r="X65" s="18">
        <v>2.8729</v>
      </c>
      <c r="Y65" s="18">
        <v>2.9619</v>
      </c>
      <c r="Z65" s="18">
        <v>3.0009000000000001</v>
      </c>
      <c r="AA65" s="18">
        <v>3.0122</v>
      </c>
      <c r="AB65" s="18">
        <v>2.9910000000000001</v>
      </c>
      <c r="AC65" s="18">
        <v>2.92</v>
      </c>
      <c r="AD65" s="18">
        <v>2.8117000000000001</v>
      </c>
      <c r="AE65" s="18">
        <v>2.6823000000000001</v>
      </c>
      <c r="AF65" s="18">
        <v>2.5184000000000002</v>
      </c>
      <c r="AG65" s="18">
        <v>2.3441999999999998</v>
      </c>
      <c r="AH65" s="18">
        <v>2.1345999999999998</v>
      </c>
      <c r="AI65" s="18">
        <v>1.8986000000000001</v>
      </c>
      <c r="AJ65" s="18">
        <v>1.6135999999999999</v>
      </c>
      <c r="AK65" s="18">
        <v>1.3468</v>
      </c>
      <c r="AL65" s="18">
        <v>1.0727</v>
      </c>
      <c r="AM65" s="18">
        <v>0.80759999999999998</v>
      </c>
      <c r="AN65" s="18">
        <v>0.55189999999999995</v>
      </c>
      <c r="AO65" s="18">
        <v>0.32229999999999998</v>
      </c>
      <c r="AP65" s="18">
        <v>9.3799999999999994E-2</v>
      </c>
      <c r="AQ65" s="18">
        <v>1.7299999999999999E-2</v>
      </c>
      <c r="AR65" s="18">
        <v>0</v>
      </c>
      <c r="AS65" s="18">
        <v>0</v>
      </c>
      <c r="AT65" s="18">
        <v>0</v>
      </c>
      <c r="AU65" s="18">
        <v>0</v>
      </c>
      <c r="AV65" s="18">
        <v>0</v>
      </c>
      <c r="AW65" s="18">
        <v>0</v>
      </c>
      <c r="AX65" s="18">
        <v>0</v>
      </c>
    </row>
    <row r="66" spans="1:50" x14ac:dyDescent="0.25">
      <c r="A66" s="17" t="s">
        <v>185</v>
      </c>
      <c r="B66" s="13" t="s">
        <v>100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2.5999999999999999E-3</v>
      </c>
      <c r="K66" s="18">
        <v>3.73E-2</v>
      </c>
      <c r="L66" s="18">
        <v>0.1744</v>
      </c>
      <c r="M66" s="18">
        <v>0.34599999999999997</v>
      </c>
      <c r="N66" s="18">
        <v>0.55640000000000001</v>
      </c>
      <c r="O66" s="18">
        <v>0.78590000000000004</v>
      </c>
      <c r="P66" s="18">
        <v>1.0183</v>
      </c>
      <c r="Q66" s="18">
        <v>1.2495000000000001</v>
      </c>
      <c r="R66" s="18">
        <v>1.4810000000000001</v>
      </c>
      <c r="S66" s="18">
        <v>1.6981999999999999</v>
      </c>
      <c r="T66" s="18">
        <v>1.9025000000000001</v>
      </c>
      <c r="U66" s="18">
        <v>2.0764</v>
      </c>
      <c r="V66" s="18">
        <v>2.2248000000000001</v>
      </c>
      <c r="W66" s="18">
        <v>2.355</v>
      </c>
      <c r="X66" s="18">
        <v>2.4624999999999999</v>
      </c>
      <c r="Y66" s="18">
        <v>2.5387</v>
      </c>
      <c r="Z66" s="18">
        <v>2.5722</v>
      </c>
      <c r="AA66" s="18">
        <v>2.5819000000000001</v>
      </c>
      <c r="AB66" s="18">
        <v>2.5636999999999999</v>
      </c>
      <c r="AC66" s="18">
        <v>2.5028999999999999</v>
      </c>
      <c r="AD66" s="18">
        <v>2.41</v>
      </c>
      <c r="AE66" s="18">
        <v>2.2991000000000001</v>
      </c>
      <c r="AF66" s="18">
        <v>2.1585999999999999</v>
      </c>
      <c r="AG66" s="18">
        <v>2.0093000000000001</v>
      </c>
      <c r="AH66" s="18">
        <v>1.8297000000000001</v>
      </c>
      <c r="AI66" s="18">
        <v>1.6274</v>
      </c>
      <c r="AJ66" s="18">
        <v>1.3831</v>
      </c>
      <c r="AK66" s="18">
        <v>1.1544000000000001</v>
      </c>
      <c r="AL66" s="18">
        <v>0.91949999999999998</v>
      </c>
      <c r="AM66" s="18">
        <v>0.69220000000000004</v>
      </c>
      <c r="AN66" s="18">
        <v>0.47310000000000002</v>
      </c>
      <c r="AO66" s="18">
        <v>0.2762</v>
      </c>
      <c r="AP66" s="18">
        <v>8.0399999999999999E-2</v>
      </c>
      <c r="AQ66" s="18">
        <v>1.4800000000000001E-2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</row>
    <row r="67" spans="1:50" x14ac:dyDescent="0.25">
      <c r="A67" s="17" t="s">
        <v>187</v>
      </c>
      <c r="B67" s="13" t="s">
        <v>100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3.0000000000000001E-3</v>
      </c>
      <c r="K67" s="18">
        <v>4.3499999999999997E-2</v>
      </c>
      <c r="L67" s="18">
        <v>0.20349999999999999</v>
      </c>
      <c r="M67" s="18">
        <v>0.4037</v>
      </c>
      <c r="N67" s="18">
        <v>0.64910000000000001</v>
      </c>
      <c r="O67" s="18">
        <v>0.91690000000000005</v>
      </c>
      <c r="P67" s="18">
        <v>1.1879999999999999</v>
      </c>
      <c r="Q67" s="18">
        <v>1.4577</v>
      </c>
      <c r="R67" s="18">
        <v>1.7278</v>
      </c>
      <c r="S67" s="18">
        <v>1.9813000000000001</v>
      </c>
      <c r="T67" s="18">
        <v>2.2195999999999998</v>
      </c>
      <c r="U67" s="18">
        <v>2.4224999999999999</v>
      </c>
      <c r="V67" s="18">
        <v>2.5956000000000001</v>
      </c>
      <c r="W67" s="18">
        <v>2.7475000000000001</v>
      </c>
      <c r="X67" s="18">
        <v>2.8729</v>
      </c>
      <c r="Y67" s="18">
        <v>2.9619</v>
      </c>
      <c r="Z67" s="18">
        <v>3.0009000000000001</v>
      </c>
      <c r="AA67" s="18">
        <v>3.0122</v>
      </c>
      <c r="AB67" s="18">
        <v>2.9910000000000001</v>
      </c>
      <c r="AC67" s="18">
        <v>2.92</v>
      </c>
      <c r="AD67" s="18">
        <v>2.8117000000000001</v>
      </c>
      <c r="AE67" s="18">
        <v>2.6823000000000001</v>
      </c>
      <c r="AF67" s="18">
        <v>2.5184000000000002</v>
      </c>
      <c r="AG67" s="18">
        <v>2.3441999999999998</v>
      </c>
      <c r="AH67" s="18">
        <v>2.1345999999999998</v>
      </c>
      <c r="AI67" s="18">
        <v>1.8986000000000001</v>
      </c>
      <c r="AJ67" s="18">
        <v>1.6135999999999999</v>
      </c>
      <c r="AK67" s="18">
        <v>1.3468</v>
      </c>
      <c r="AL67" s="18">
        <v>1.0727</v>
      </c>
      <c r="AM67" s="18">
        <v>0.80759999999999998</v>
      </c>
      <c r="AN67" s="18">
        <v>0.55189999999999995</v>
      </c>
      <c r="AO67" s="18">
        <v>0.32229999999999998</v>
      </c>
      <c r="AP67" s="18">
        <v>9.3799999999999994E-2</v>
      </c>
      <c r="AQ67" s="18">
        <v>1.7299999999999999E-2</v>
      </c>
      <c r="AR67" s="18">
        <v>0</v>
      </c>
      <c r="AS67" s="18">
        <v>0</v>
      </c>
      <c r="AT67" s="18">
        <v>0</v>
      </c>
      <c r="AU67" s="18">
        <v>0</v>
      </c>
      <c r="AV67" s="18">
        <v>0</v>
      </c>
      <c r="AW67" s="18">
        <v>0</v>
      </c>
      <c r="AX67" s="18">
        <v>0</v>
      </c>
    </row>
    <row r="68" spans="1:50" x14ac:dyDescent="0.25">
      <c r="A68" s="17" t="s">
        <v>189</v>
      </c>
      <c r="B68" s="13" t="s">
        <v>100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3.0000000000000001E-3</v>
      </c>
      <c r="K68" s="18">
        <v>4.3499999999999997E-2</v>
      </c>
      <c r="L68" s="18">
        <v>0.20349999999999999</v>
      </c>
      <c r="M68" s="18">
        <v>0.4037</v>
      </c>
      <c r="N68" s="18">
        <v>0.64910000000000001</v>
      </c>
      <c r="O68" s="18">
        <v>0.91690000000000005</v>
      </c>
      <c r="P68" s="18">
        <v>1.1879999999999999</v>
      </c>
      <c r="Q68" s="18">
        <v>1.4577</v>
      </c>
      <c r="R68" s="18">
        <v>1.7278</v>
      </c>
      <c r="S68" s="18">
        <v>1.9813000000000001</v>
      </c>
      <c r="T68" s="18">
        <v>2.2195999999999998</v>
      </c>
      <c r="U68" s="18">
        <v>2.4224999999999999</v>
      </c>
      <c r="V68" s="18">
        <v>2.5956000000000001</v>
      </c>
      <c r="W68" s="18">
        <v>2.7475000000000001</v>
      </c>
      <c r="X68" s="18">
        <v>2.8729</v>
      </c>
      <c r="Y68" s="18">
        <v>2.9619</v>
      </c>
      <c r="Z68" s="18">
        <v>3.0009000000000001</v>
      </c>
      <c r="AA68" s="18">
        <v>3.0122</v>
      </c>
      <c r="AB68" s="18">
        <v>2.9910000000000001</v>
      </c>
      <c r="AC68" s="18">
        <v>2.92</v>
      </c>
      <c r="AD68" s="18">
        <v>2.8117000000000001</v>
      </c>
      <c r="AE68" s="18">
        <v>2.6823000000000001</v>
      </c>
      <c r="AF68" s="18">
        <v>2.5184000000000002</v>
      </c>
      <c r="AG68" s="18">
        <v>2.3441999999999998</v>
      </c>
      <c r="AH68" s="18">
        <v>2.1345999999999998</v>
      </c>
      <c r="AI68" s="18">
        <v>1.8986000000000001</v>
      </c>
      <c r="AJ68" s="18">
        <v>1.6135999999999999</v>
      </c>
      <c r="AK68" s="18">
        <v>1.3468</v>
      </c>
      <c r="AL68" s="18">
        <v>1.0727</v>
      </c>
      <c r="AM68" s="18">
        <v>0.80759999999999998</v>
      </c>
      <c r="AN68" s="18">
        <v>0.55189999999999995</v>
      </c>
      <c r="AO68" s="18">
        <v>0.32229999999999998</v>
      </c>
      <c r="AP68" s="18">
        <v>9.3799999999999994E-2</v>
      </c>
      <c r="AQ68" s="18">
        <v>1.7299999999999999E-2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</row>
    <row r="69" spans="1:50" x14ac:dyDescent="0.25">
      <c r="A69" s="8" t="s">
        <v>92</v>
      </c>
      <c r="B69" s="10" t="s">
        <v>57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</row>
    <row r="70" spans="1:50" x14ac:dyDescent="0.25">
      <c r="A70" s="17" t="s">
        <v>191</v>
      </c>
      <c r="B70" s="13" t="s">
        <v>100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1.6999999999999999E-3</v>
      </c>
      <c r="K70" s="18">
        <v>2.4899999999999999E-2</v>
      </c>
      <c r="L70" s="18">
        <v>0.1163</v>
      </c>
      <c r="M70" s="18">
        <v>0.23069999999999999</v>
      </c>
      <c r="N70" s="18">
        <v>0.37090000000000001</v>
      </c>
      <c r="O70" s="18">
        <v>0.52400000000000002</v>
      </c>
      <c r="P70" s="18">
        <v>0.67889999999999995</v>
      </c>
      <c r="Q70" s="18">
        <v>0.83299999999999996</v>
      </c>
      <c r="R70" s="18">
        <v>0.98729999999999996</v>
      </c>
      <c r="S70" s="18">
        <v>1.1322000000000001</v>
      </c>
      <c r="T70" s="18">
        <v>1.2683</v>
      </c>
      <c r="U70" s="18">
        <v>1.3843000000000001</v>
      </c>
      <c r="V70" s="18">
        <v>1.4832000000000001</v>
      </c>
      <c r="W70" s="18">
        <v>1.57</v>
      </c>
      <c r="X70" s="18">
        <v>1.6416999999999999</v>
      </c>
      <c r="Y70" s="18">
        <v>1.6924999999999999</v>
      </c>
      <c r="Z70" s="18">
        <v>1.7148000000000001</v>
      </c>
      <c r="AA70" s="18">
        <v>1.7212000000000001</v>
      </c>
      <c r="AB70" s="18">
        <v>1.7092000000000001</v>
      </c>
      <c r="AC70" s="18">
        <v>1.6686000000000001</v>
      </c>
      <c r="AD70" s="18">
        <v>1.6067</v>
      </c>
      <c r="AE70" s="18">
        <v>1.5327999999999999</v>
      </c>
      <c r="AF70" s="18">
        <v>1.4391</v>
      </c>
      <c r="AG70" s="18">
        <v>1.3395999999999999</v>
      </c>
      <c r="AH70" s="18">
        <v>1.2198</v>
      </c>
      <c r="AI70" s="18">
        <v>1.0849</v>
      </c>
      <c r="AJ70" s="18">
        <v>0.92200000000000004</v>
      </c>
      <c r="AK70" s="18">
        <v>0.76959999999999995</v>
      </c>
      <c r="AL70" s="18">
        <v>0.61299999999999999</v>
      </c>
      <c r="AM70" s="18">
        <v>0.46150000000000002</v>
      </c>
      <c r="AN70" s="18">
        <v>0.31540000000000001</v>
      </c>
      <c r="AO70" s="18">
        <v>0.1842</v>
      </c>
      <c r="AP70" s="18">
        <v>5.3600000000000002E-2</v>
      </c>
      <c r="AQ70" s="18">
        <v>9.9000000000000008E-3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</row>
    <row r="71" spans="1:50" x14ac:dyDescent="0.25">
      <c r="A71" s="17" t="s">
        <v>193</v>
      </c>
      <c r="B71" s="13" t="s">
        <v>100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1.2999999999999999E-3</v>
      </c>
      <c r="K71" s="18">
        <v>1.8700000000000001E-2</v>
      </c>
      <c r="L71" s="18">
        <v>8.72E-2</v>
      </c>
      <c r="M71" s="18">
        <v>0.17299999999999999</v>
      </c>
      <c r="N71" s="18">
        <v>0.2782</v>
      </c>
      <c r="O71" s="18">
        <v>0.39300000000000002</v>
      </c>
      <c r="P71" s="18">
        <v>0.50919999999999999</v>
      </c>
      <c r="Q71" s="18">
        <v>0.62470000000000003</v>
      </c>
      <c r="R71" s="18">
        <v>0.74050000000000005</v>
      </c>
      <c r="S71" s="18">
        <v>0.84909999999999997</v>
      </c>
      <c r="T71" s="18">
        <v>0.95120000000000005</v>
      </c>
      <c r="U71" s="18">
        <v>1.0382</v>
      </c>
      <c r="V71" s="18">
        <v>1.1124000000000001</v>
      </c>
      <c r="W71" s="18">
        <v>1.1775</v>
      </c>
      <c r="X71" s="18">
        <v>1.2312000000000001</v>
      </c>
      <c r="Y71" s="18">
        <v>1.2694000000000001</v>
      </c>
      <c r="Z71" s="18">
        <v>1.2861</v>
      </c>
      <c r="AA71" s="18">
        <v>1.2908999999999999</v>
      </c>
      <c r="AB71" s="18">
        <v>1.2819</v>
      </c>
      <c r="AC71" s="18">
        <v>1.2514000000000001</v>
      </c>
      <c r="AD71" s="18">
        <v>1.2050000000000001</v>
      </c>
      <c r="AE71" s="18">
        <v>1.1496</v>
      </c>
      <c r="AF71" s="18">
        <v>1.0792999999999999</v>
      </c>
      <c r="AG71" s="18">
        <v>1.0046999999999999</v>
      </c>
      <c r="AH71" s="18">
        <v>0.91479999999999995</v>
      </c>
      <c r="AI71" s="18">
        <v>0.81369999999999998</v>
      </c>
      <c r="AJ71" s="18">
        <v>0.6915</v>
      </c>
      <c r="AK71" s="18">
        <v>0.57720000000000005</v>
      </c>
      <c r="AL71" s="18">
        <v>0.4597</v>
      </c>
      <c r="AM71" s="18">
        <v>0.34610000000000002</v>
      </c>
      <c r="AN71" s="18">
        <v>0.23649999999999999</v>
      </c>
      <c r="AO71" s="18">
        <v>0.1381</v>
      </c>
      <c r="AP71" s="18">
        <v>4.02E-2</v>
      </c>
      <c r="AQ71" s="18">
        <v>7.4000000000000003E-3</v>
      </c>
      <c r="AR71" s="18">
        <v>0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0</v>
      </c>
    </row>
    <row r="72" spans="1:50" x14ac:dyDescent="0.25">
      <c r="A72" s="8" t="s">
        <v>94</v>
      </c>
      <c r="B72" s="10" t="s">
        <v>57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</row>
    <row r="73" spans="1:50" x14ac:dyDescent="0.25">
      <c r="A73" s="8" t="s">
        <v>96</v>
      </c>
      <c r="B73" s="10" t="s">
        <v>57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</row>
    <row r="74" spans="1:50" x14ac:dyDescent="0.25">
      <c r="A74" s="17" t="s">
        <v>195</v>
      </c>
      <c r="B74" s="13" t="s">
        <v>100</v>
      </c>
      <c r="C74" s="18">
        <v>0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1.6999999999999999E-3</v>
      </c>
      <c r="K74" s="18">
        <v>2.4899999999999999E-2</v>
      </c>
      <c r="L74" s="18">
        <v>0.1163</v>
      </c>
      <c r="M74" s="18">
        <v>0.23069999999999999</v>
      </c>
      <c r="N74" s="18">
        <v>0.37090000000000001</v>
      </c>
      <c r="O74" s="18">
        <v>0.52400000000000002</v>
      </c>
      <c r="P74" s="18">
        <v>0.67889999999999995</v>
      </c>
      <c r="Q74" s="18">
        <v>0.83299999999999996</v>
      </c>
      <c r="R74" s="18">
        <v>0.98729999999999996</v>
      </c>
      <c r="S74" s="18">
        <v>1.1322000000000001</v>
      </c>
      <c r="T74" s="18">
        <v>1.2683</v>
      </c>
      <c r="U74" s="18">
        <v>1.3843000000000001</v>
      </c>
      <c r="V74" s="18">
        <v>1.4832000000000001</v>
      </c>
      <c r="W74" s="18">
        <v>1.57</v>
      </c>
      <c r="X74" s="18">
        <v>1.6416999999999999</v>
      </c>
      <c r="Y74" s="18">
        <v>1.6924999999999999</v>
      </c>
      <c r="Z74" s="18">
        <v>1.7148000000000001</v>
      </c>
      <c r="AA74" s="18">
        <v>1.7212000000000001</v>
      </c>
      <c r="AB74" s="18">
        <v>1.7092000000000001</v>
      </c>
      <c r="AC74" s="18">
        <v>1.6686000000000001</v>
      </c>
      <c r="AD74" s="18">
        <v>1.6067</v>
      </c>
      <c r="AE74" s="18">
        <v>1.5327999999999999</v>
      </c>
      <c r="AF74" s="18">
        <v>1.4391</v>
      </c>
      <c r="AG74" s="18">
        <v>1.3395999999999999</v>
      </c>
      <c r="AH74" s="18">
        <v>1.2198</v>
      </c>
      <c r="AI74" s="18">
        <v>1.0849</v>
      </c>
      <c r="AJ74" s="18">
        <v>0.92200000000000004</v>
      </c>
      <c r="AK74" s="18">
        <v>0.76959999999999995</v>
      </c>
      <c r="AL74" s="18">
        <v>0.61299999999999999</v>
      </c>
      <c r="AM74" s="18">
        <v>0.46150000000000002</v>
      </c>
      <c r="AN74" s="18">
        <v>0.31540000000000001</v>
      </c>
      <c r="AO74" s="18">
        <v>0.1842</v>
      </c>
      <c r="AP74" s="18">
        <v>5.3600000000000002E-2</v>
      </c>
      <c r="AQ74" s="18">
        <v>9.9000000000000008E-3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18">
        <v>0</v>
      </c>
      <c r="AX74" s="18">
        <v>0</v>
      </c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74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4" customWidth="1"/>
    <col min="2" max="2" width="11" customWidth="1"/>
    <col min="3" max="50" width="7" customWidth="1"/>
  </cols>
  <sheetData>
    <row r="1" spans="1:50" ht="19.5" x14ac:dyDescent="0.3">
      <c r="A1" s="1" t="s">
        <v>247</v>
      </c>
    </row>
    <row r="2" spans="1:50" x14ac:dyDescent="0.25">
      <c r="A2" s="29" t="s">
        <v>248</v>
      </c>
      <c r="B2" s="27"/>
      <c r="C2" s="27"/>
      <c r="D2" s="27"/>
      <c r="E2" s="27"/>
      <c r="F2" s="27"/>
    </row>
    <row r="4" spans="1:50" x14ac:dyDescent="0.25">
      <c r="A4" s="5" t="s">
        <v>50</v>
      </c>
      <c r="B4" s="5" t="s">
        <v>54</v>
      </c>
      <c r="C4" s="5" t="s">
        <v>199</v>
      </c>
      <c r="D4" s="5" t="s">
        <v>200</v>
      </c>
      <c r="E4" s="5" t="s">
        <v>201</v>
      </c>
      <c r="F4" s="5" t="s">
        <v>202</v>
      </c>
      <c r="G4" s="5" t="s">
        <v>203</v>
      </c>
      <c r="H4" s="5" t="s">
        <v>204</v>
      </c>
      <c r="I4" s="5" t="s">
        <v>205</v>
      </c>
      <c r="J4" s="5" t="s">
        <v>206</v>
      </c>
      <c r="K4" s="5" t="s">
        <v>207</v>
      </c>
      <c r="L4" s="5" t="s">
        <v>208</v>
      </c>
      <c r="M4" s="5" t="s">
        <v>209</v>
      </c>
      <c r="N4" s="5" t="s">
        <v>210</v>
      </c>
      <c r="O4" s="5" t="s">
        <v>211</v>
      </c>
      <c r="P4" s="5" t="s">
        <v>212</v>
      </c>
      <c r="Q4" s="5" t="s">
        <v>213</v>
      </c>
      <c r="R4" s="5" t="s">
        <v>214</v>
      </c>
      <c r="S4" s="5" t="s">
        <v>215</v>
      </c>
      <c r="T4" s="5" t="s">
        <v>216</v>
      </c>
      <c r="U4" s="5" t="s">
        <v>217</v>
      </c>
      <c r="V4" s="5" t="s">
        <v>218</v>
      </c>
      <c r="W4" s="5" t="s">
        <v>219</v>
      </c>
      <c r="X4" s="5" t="s">
        <v>220</v>
      </c>
      <c r="Y4" s="5" t="s">
        <v>221</v>
      </c>
      <c r="Z4" s="5" t="s">
        <v>222</v>
      </c>
      <c r="AA4" s="5" t="s">
        <v>223</v>
      </c>
      <c r="AB4" s="5" t="s">
        <v>224</v>
      </c>
      <c r="AC4" s="5" t="s">
        <v>225</v>
      </c>
      <c r="AD4" s="5" t="s">
        <v>226</v>
      </c>
      <c r="AE4" s="5" t="s">
        <v>227</v>
      </c>
      <c r="AF4" s="5" t="s">
        <v>228</v>
      </c>
      <c r="AG4" s="5" t="s">
        <v>229</v>
      </c>
      <c r="AH4" s="5" t="s">
        <v>230</v>
      </c>
      <c r="AI4" s="5" t="s">
        <v>231</v>
      </c>
      <c r="AJ4" s="5" t="s">
        <v>232</v>
      </c>
      <c r="AK4" s="5" t="s">
        <v>233</v>
      </c>
      <c r="AL4" s="5" t="s">
        <v>234</v>
      </c>
      <c r="AM4" s="5" t="s">
        <v>235</v>
      </c>
      <c r="AN4" s="5" t="s">
        <v>236</v>
      </c>
      <c r="AO4" s="5" t="s">
        <v>237</v>
      </c>
      <c r="AP4" s="5" t="s">
        <v>238</v>
      </c>
      <c r="AQ4" s="5" t="s">
        <v>239</v>
      </c>
      <c r="AR4" s="5" t="s">
        <v>240</v>
      </c>
      <c r="AS4" s="5" t="s">
        <v>241</v>
      </c>
      <c r="AT4" s="5" t="s">
        <v>242</v>
      </c>
      <c r="AU4" s="5" t="s">
        <v>243</v>
      </c>
      <c r="AV4" s="5" t="s">
        <v>244</v>
      </c>
      <c r="AW4" s="5" t="s">
        <v>245</v>
      </c>
      <c r="AX4" s="5" t="s">
        <v>246</v>
      </c>
    </row>
    <row r="5" spans="1:50" x14ac:dyDescent="0.25">
      <c r="A5" s="8" t="s">
        <v>55</v>
      </c>
      <c r="B5" s="10" t="s">
        <v>57</v>
      </c>
      <c r="C5" s="16">
        <v>0.9617</v>
      </c>
      <c r="D5" s="16">
        <v>0.55610000000000004</v>
      </c>
      <c r="E5" s="16">
        <v>0.83540000000000003</v>
      </c>
      <c r="F5" s="16">
        <v>0.73619999999999997</v>
      </c>
      <c r="G5" s="16">
        <v>0.15759999999999999</v>
      </c>
      <c r="H5" s="16">
        <v>0.13700000000000001</v>
      </c>
      <c r="I5" s="16">
        <v>0.2422</v>
      </c>
      <c r="J5" s="16">
        <v>0.23069999999999999</v>
      </c>
      <c r="K5" s="16">
        <v>6.3899999999999998E-2</v>
      </c>
      <c r="L5" s="16">
        <v>0.2913</v>
      </c>
      <c r="M5" s="16">
        <v>0.19059999999999999</v>
      </c>
      <c r="N5" s="16">
        <v>0.41839999999999999</v>
      </c>
      <c r="O5" s="16">
        <v>0.63729999999999998</v>
      </c>
      <c r="P5" s="16">
        <v>0.31830000000000003</v>
      </c>
      <c r="Q5" s="16">
        <v>0.4199</v>
      </c>
      <c r="R5" s="16">
        <v>0.18190000000000001</v>
      </c>
      <c r="S5" s="16">
        <v>0.2082</v>
      </c>
      <c r="T5" s="16">
        <v>0.45710000000000001</v>
      </c>
      <c r="U5" s="16">
        <v>1.5202</v>
      </c>
      <c r="V5" s="16">
        <v>0.24890000000000001</v>
      </c>
      <c r="W5" s="16">
        <v>0.16370000000000001</v>
      </c>
      <c r="X5" s="16">
        <v>0.2213</v>
      </c>
      <c r="Y5" s="16">
        <v>0.3085</v>
      </c>
      <c r="Z5" s="16">
        <v>0.3175</v>
      </c>
      <c r="AA5" s="16">
        <v>0.1993</v>
      </c>
      <c r="AB5" s="16">
        <v>0.41810000000000003</v>
      </c>
      <c r="AC5" s="16">
        <v>0.1968</v>
      </c>
      <c r="AD5" s="16">
        <v>0.54730000000000001</v>
      </c>
      <c r="AE5" s="16">
        <v>0.75990000000000002</v>
      </c>
      <c r="AF5" s="16">
        <v>0.49320000000000003</v>
      </c>
      <c r="AG5" s="16">
        <v>0.22170000000000001</v>
      </c>
      <c r="AH5" s="16">
        <v>0.75880000000000003</v>
      </c>
      <c r="AI5" s="16">
        <v>0.18840000000000001</v>
      </c>
      <c r="AJ5" s="16">
        <v>0.2482</v>
      </c>
      <c r="AK5" s="16">
        <v>0.39040000000000002</v>
      </c>
      <c r="AL5" s="16">
        <v>0.54710000000000003</v>
      </c>
      <c r="AM5" s="16">
        <v>1.3444</v>
      </c>
      <c r="AN5" s="16">
        <v>0.76690000000000003</v>
      </c>
      <c r="AO5" s="16">
        <v>1.3423</v>
      </c>
      <c r="AP5" s="16">
        <v>0.29049999999999998</v>
      </c>
      <c r="AQ5" s="16">
        <v>0.3876</v>
      </c>
      <c r="AR5" s="16">
        <v>0.76600000000000001</v>
      </c>
      <c r="AS5" s="16">
        <v>0.26400000000000001</v>
      </c>
      <c r="AT5" s="16">
        <v>0.87939999999999996</v>
      </c>
      <c r="AU5" s="16">
        <v>1.2690999999999999</v>
      </c>
      <c r="AV5" s="16">
        <v>0.41189999999999999</v>
      </c>
      <c r="AW5" s="16">
        <v>0.62139999999999995</v>
      </c>
      <c r="AX5" s="16">
        <v>0.1681</v>
      </c>
    </row>
    <row r="6" spans="1:50" x14ac:dyDescent="0.25">
      <c r="A6" s="17" t="s">
        <v>98</v>
      </c>
      <c r="B6" s="13" t="s">
        <v>100</v>
      </c>
      <c r="C6" s="18">
        <v>0.18970000000000001</v>
      </c>
      <c r="D6" s="18">
        <v>0.2611</v>
      </c>
      <c r="E6" s="18">
        <v>7.9100000000000004E-2</v>
      </c>
      <c r="F6" s="18">
        <v>0.25950000000000001</v>
      </c>
      <c r="G6" s="18">
        <v>0.17019999999999999</v>
      </c>
      <c r="H6" s="18">
        <v>0.15429999999999999</v>
      </c>
      <c r="I6" s="18">
        <v>0.20430000000000001</v>
      </c>
      <c r="J6" s="18">
        <v>0.18179999999999999</v>
      </c>
      <c r="K6" s="18">
        <v>0.14249999999999999</v>
      </c>
      <c r="L6" s="18">
        <v>0.1147</v>
      </c>
      <c r="M6" s="18">
        <v>0.28489999999999999</v>
      </c>
      <c r="N6" s="18">
        <v>0.10920000000000001</v>
      </c>
      <c r="O6" s="18">
        <v>0.21560000000000001</v>
      </c>
      <c r="P6" s="18">
        <v>0.1754</v>
      </c>
      <c r="Q6" s="18">
        <v>0.1177</v>
      </c>
      <c r="R6" s="18">
        <v>0.25230000000000002</v>
      </c>
      <c r="S6" s="18">
        <v>3.5085999999999999</v>
      </c>
      <c r="T6" s="18">
        <v>1.2015</v>
      </c>
      <c r="U6" s="18">
        <v>0.95250000000000001</v>
      </c>
      <c r="V6" s="18">
        <v>0.316</v>
      </c>
      <c r="W6" s="18">
        <v>1.4874000000000001</v>
      </c>
      <c r="X6" s="18">
        <v>1.4209000000000001</v>
      </c>
      <c r="Y6" s="18">
        <v>1.0839000000000001</v>
      </c>
      <c r="Z6" s="18">
        <v>0.4138</v>
      </c>
      <c r="AA6" s="18">
        <v>0.26119999999999999</v>
      </c>
      <c r="AB6" s="18">
        <v>9.9299999999999999E-2</v>
      </c>
      <c r="AC6" s="18">
        <v>0.46850000000000003</v>
      </c>
      <c r="AD6" s="18">
        <v>0.10979999999999999</v>
      </c>
      <c r="AE6" s="18">
        <v>0.26490000000000002</v>
      </c>
      <c r="AF6" s="18">
        <v>0.19570000000000001</v>
      </c>
      <c r="AG6" s="18">
        <v>0.40010000000000001</v>
      </c>
      <c r="AH6" s="18">
        <v>0.2838</v>
      </c>
      <c r="AI6" s="18">
        <v>0.16250000000000001</v>
      </c>
      <c r="AJ6" s="18">
        <v>0.29809999999999998</v>
      </c>
      <c r="AK6" s="18">
        <v>0.2266</v>
      </c>
      <c r="AL6" s="18">
        <v>0.35720000000000002</v>
      </c>
      <c r="AM6" s="18">
        <v>0.26950000000000002</v>
      </c>
      <c r="AN6" s="18">
        <v>0.41710000000000003</v>
      </c>
      <c r="AO6" s="18">
        <v>0.35570000000000002</v>
      </c>
      <c r="AP6" s="18">
        <v>0.68530000000000002</v>
      </c>
      <c r="AQ6" s="18">
        <v>0.78390000000000004</v>
      </c>
      <c r="AR6" s="18">
        <v>0.63680000000000003</v>
      </c>
      <c r="AS6" s="18">
        <v>0.96899999999999997</v>
      </c>
      <c r="AT6" s="18">
        <v>0.69499999999999995</v>
      </c>
      <c r="AU6" s="18">
        <v>1.1144000000000001</v>
      </c>
      <c r="AV6" s="18">
        <v>0.98019999999999996</v>
      </c>
      <c r="AW6" s="18">
        <v>0.18010000000000001</v>
      </c>
      <c r="AX6" s="18">
        <v>0.93789999999999996</v>
      </c>
    </row>
    <row r="7" spans="1:50" x14ac:dyDescent="0.25">
      <c r="A7" s="8" t="s">
        <v>58</v>
      </c>
      <c r="B7" s="10" t="s">
        <v>57</v>
      </c>
      <c r="C7" s="16">
        <v>0.10340000000000001</v>
      </c>
      <c r="D7" s="16">
        <v>8.8999999999999996E-2</v>
      </c>
      <c r="E7" s="16">
        <v>0.20849999999999999</v>
      </c>
      <c r="F7" s="16">
        <v>0.2412</v>
      </c>
      <c r="G7" s="16">
        <v>0.27679999999999999</v>
      </c>
      <c r="H7" s="16">
        <v>4.5999999999999999E-2</v>
      </c>
      <c r="I7" s="16">
        <v>0.17510000000000001</v>
      </c>
      <c r="J7" s="16">
        <v>7.4700000000000003E-2</v>
      </c>
      <c r="K7" s="16">
        <v>0.1177</v>
      </c>
      <c r="L7" s="16">
        <v>0.1321</v>
      </c>
      <c r="M7" s="16">
        <v>4.5999999999999999E-2</v>
      </c>
      <c r="N7" s="16">
        <v>0.20380000000000001</v>
      </c>
      <c r="O7" s="16">
        <v>4.5999999999999999E-2</v>
      </c>
      <c r="P7" s="16">
        <v>0.18940000000000001</v>
      </c>
      <c r="Q7" s="16">
        <v>6.0299999999999999E-2</v>
      </c>
      <c r="R7" s="16">
        <v>4.5999999999999999E-2</v>
      </c>
      <c r="S7" s="16">
        <v>4.9399999999999999E-2</v>
      </c>
      <c r="T7" s="16">
        <v>6.9199999999999998E-2</v>
      </c>
      <c r="U7" s="16">
        <v>0.17510000000000001</v>
      </c>
      <c r="V7" s="16">
        <v>7.4700000000000003E-2</v>
      </c>
      <c r="W7" s="16">
        <v>4.5999999999999999E-2</v>
      </c>
      <c r="X7" s="16">
        <v>7.4700000000000003E-2</v>
      </c>
      <c r="Y7" s="16">
        <v>0.17510000000000001</v>
      </c>
      <c r="Z7" s="16">
        <v>4.5999999999999999E-2</v>
      </c>
      <c r="AA7" s="16">
        <v>0.32150000000000001</v>
      </c>
      <c r="AB7" s="16">
        <v>0.1177</v>
      </c>
      <c r="AC7" s="16">
        <v>4.5999999999999999E-2</v>
      </c>
      <c r="AD7" s="16">
        <v>0.21060000000000001</v>
      </c>
      <c r="AE7" s="16">
        <v>6.0100000000000001E-2</v>
      </c>
      <c r="AF7" s="16">
        <v>0.1308</v>
      </c>
      <c r="AG7" s="16">
        <v>0.48470000000000002</v>
      </c>
      <c r="AH7" s="16">
        <v>0.245</v>
      </c>
      <c r="AI7" s="16">
        <v>0.16789999999999999</v>
      </c>
      <c r="AJ7" s="16">
        <v>9.2100000000000001E-2</v>
      </c>
      <c r="AK7" s="16">
        <v>2.1324999999999998</v>
      </c>
      <c r="AL7" s="16">
        <v>2.5811999999999999</v>
      </c>
      <c r="AM7" s="16">
        <v>1.7828999999999999</v>
      </c>
      <c r="AN7" s="16">
        <v>5.1999999999999998E-2</v>
      </c>
      <c r="AO7" s="16">
        <v>0.10440000000000001</v>
      </c>
      <c r="AP7" s="16">
        <v>0.63239999999999996</v>
      </c>
      <c r="AQ7" s="16">
        <v>6.0299999999999999E-2</v>
      </c>
      <c r="AR7" s="16">
        <v>5.3199999999999997E-2</v>
      </c>
      <c r="AS7" s="16">
        <v>0.61609999999999998</v>
      </c>
      <c r="AT7" s="16">
        <v>0.46010000000000001</v>
      </c>
      <c r="AU7" s="16">
        <v>0.61639999999999995</v>
      </c>
      <c r="AV7" s="16">
        <v>0.75470000000000004</v>
      </c>
      <c r="AW7" s="16">
        <v>0.55230000000000001</v>
      </c>
      <c r="AX7" s="16">
        <v>1.4401999999999999</v>
      </c>
    </row>
    <row r="8" spans="1:50" x14ac:dyDescent="0.25">
      <c r="A8" s="17" t="s">
        <v>101</v>
      </c>
      <c r="B8" s="13" t="s">
        <v>100</v>
      </c>
      <c r="C8" s="18">
        <v>4.5999999999999999E-2</v>
      </c>
      <c r="D8" s="18">
        <v>0.1072</v>
      </c>
      <c r="E8" s="18">
        <v>0.1908</v>
      </c>
      <c r="F8" s="18">
        <v>7.2499999999999995E-2</v>
      </c>
      <c r="G8" s="18">
        <v>0.19889999999999999</v>
      </c>
      <c r="H8" s="18">
        <v>4.5999999999999999E-2</v>
      </c>
      <c r="I8" s="18">
        <v>0.24310000000000001</v>
      </c>
      <c r="J8" s="18">
        <v>8.14E-2</v>
      </c>
      <c r="K8" s="18">
        <v>8.5800000000000001E-2</v>
      </c>
      <c r="L8" s="18">
        <v>0.2387</v>
      </c>
      <c r="M8" s="18">
        <v>6.8099999999999994E-2</v>
      </c>
      <c r="N8" s="18">
        <v>0.25629999999999997</v>
      </c>
      <c r="O8" s="18">
        <v>4.5999999999999999E-2</v>
      </c>
      <c r="P8" s="18">
        <v>0.1123</v>
      </c>
      <c r="Q8" s="18">
        <v>0.21210000000000001</v>
      </c>
      <c r="R8" s="18">
        <v>4.5999999999999999E-2</v>
      </c>
      <c r="S8" s="18">
        <v>0.19600000000000001</v>
      </c>
      <c r="T8" s="18">
        <v>0.15340000000000001</v>
      </c>
      <c r="U8" s="18">
        <v>8.9800000000000005E-2</v>
      </c>
      <c r="V8" s="18">
        <v>0.99099999999999999</v>
      </c>
      <c r="W8" s="18">
        <v>0.56179999999999997</v>
      </c>
      <c r="X8" s="18">
        <v>0.39960000000000001</v>
      </c>
      <c r="Y8" s="18">
        <v>0.1351</v>
      </c>
      <c r="Z8" s="18">
        <v>0.25800000000000001</v>
      </c>
      <c r="AA8" s="18">
        <v>0.1792</v>
      </c>
      <c r="AB8" s="18">
        <v>0.10299999999999999</v>
      </c>
      <c r="AC8" s="18">
        <v>0.5726</v>
      </c>
      <c r="AD8" s="18">
        <v>5.3600000000000002E-2</v>
      </c>
      <c r="AE8" s="18">
        <v>0.1454</v>
      </c>
      <c r="AF8" s="18">
        <v>9.9500000000000005E-2</v>
      </c>
      <c r="AG8" s="18">
        <v>4.5999999999999999E-2</v>
      </c>
      <c r="AH8" s="18">
        <v>0.12559999999999999</v>
      </c>
      <c r="AI8" s="18">
        <v>8.1299999999999997E-2</v>
      </c>
      <c r="AJ8" s="18">
        <v>1.1341000000000001</v>
      </c>
      <c r="AK8" s="18">
        <v>3.1861999999999999</v>
      </c>
      <c r="AL8" s="18">
        <v>2.1118000000000001</v>
      </c>
      <c r="AM8" s="18">
        <v>0.1759</v>
      </c>
      <c r="AN8" s="18">
        <v>0.13650000000000001</v>
      </c>
      <c r="AO8" s="18">
        <v>0.1237</v>
      </c>
      <c r="AP8" s="18">
        <v>0.2102</v>
      </c>
      <c r="AQ8" s="18">
        <v>0.2442</v>
      </c>
      <c r="AR8" s="18">
        <v>0.40089999999999998</v>
      </c>
      <c r="AS8" s="18">
        <v>0.5292</v>
      </c>
      <c r="AT8" s="18">
        <v>0.33650000000000002</v>
      </c>
      <c r="AU8" s="18">
        <v>0.32029999999999997</v>
      </c>
      <c r="AV8" s="18">
        <v>0.6663</v>
      </c>
      <c r="AW8" s="18">
        <v>4.5999999999999999E-2</v>
      </c>
      <c r="AX8" s="18">
        <v>0.1759</v>
      </c>
    </row>
    <row r="9" spans="1:50" x14ac:dyDescent="0.25">
      <c r="A9" s="17" t="s">
        <v>103</v>
      </c>
      <c r="B9" s="13" t="s">
        <v>100</v>
      </c>
      <c r="C9" s="18">
        <v>4.5999999999999999E-2</v>
      </c>
      <c r="D9" s="18">
        <v>0.30980000000000002</v>
      </c>
      <c r="E9" s="18">
        <v>5.7299999999999997E-2</v>
      </c>
      <c r="F9" s="18">
        <v>0.1178</v>
      </c>
      <c r="G9" s="18">
        <v>0.16139999999999999</v>
      </c>
      <c r="H9" s="18">
        <v>6.2899999999999998E-2</v>
      </c>
      <c r="I9" s="18">
        <v>0.23599999999999999</v>
      </c>
      <c r="J9" s="18">
        <v>0.13109999999999999</v>
      </c>
      <c r="K9" s="18">
        <v>0.48</v>
      </c>
      <c r="L9" s="18">
        <v>0.2878</v>
      </c>
      <c r="M9" s="18">
        <v>0.21310000000000001</v>
      </c>
      <c r="N9" s="18">
        <v>0.27589999999999998</v>
      </c>
      <c r="O9" s="18">
        <v>0.1452</v>
      </c>
      <c r="P9" s="18">
        <v>4.5999999999999999E-2</v>
      </c>
      <c r="Q9" s="18">
        <v>0.2084</v>
      </c>
      <c r="R9" s="18">
        <v>4.5999999999999999E-2</v>
      </c>
      <c r="S9" s="18">
        <v>0.18079999999999999</v>
      </c>
      <c r="T9" s="18">
        <v>0.18629999999999999</v>
      </c>
      <c r="U9" s="18">
        <v>0.85709999999999997</v>
      </c>
      <c r="V9" s="18">
        <v>0.76380000000000003</v>
      </c>
      <c r="W9" s="18">
        <v>0.25769999999999998</v>
      </c>
      <c r="X9" s="18">
        <v>0.2316</v>
      </c>
      <c r="Y9" s="18">
        <v>0.18540000000000001</v>
      </c>
      <c r="Z9" s="18">
        <v>8.6900000000000005E-2</v>
      </c>
      <c r="AA9" s="18">
        <v>0.15490000000000001</v>
      </c>
      <c r="AB9" s="18">
        <v>0.19139999999999999</v>
      </c>
      <c r="AC9" s="18">
        <v>0.2097</v>
      </c>
      <c r="AD9" s="18">
        <v>0.18129999999999999</v>
      </c>
      <c r="AE9" s="18">
        <v>0.14630000000000001</v>
      </c>
      <c r="AF9" s="18">
        <v>0.11360000000000001</v>
      </c>
      <c r="AG9" s="18">
        <v>4.5999999999999999E-2</v>
      </c>
      <c r="AH9" s="18">
        <v>0.29349999999999998</v>
      </c>
      <c r="AI9" s="18">
        <v>0.15509999999999999</v>
      </c>
      <c r="AJ9" s="18">
        <v>7.4200000000000002E-2</v>
      </c>
      <c r="AK9" s="18">
        <v>0.23119999999999999</v>
      </c>
      <c r="AL9" s="18">
        <v>0.1077</v>
      </c>
      <c r="AM9" s="18">
        <v>0.15870000000000001</v>
      </c>
      <c r="AN9" s="18">
        <v>0.1454</v>
      </c>
      <c r="AO9" s="18">
        <v>0.32</v>
      </c>
      <c r="AP9" s="18">
        <v>0.36030000000000001</v>
      </c>
      <c r="AQ9" s="18">
        <v>0.442</v>
      </c>
      <c r="AR9" s="18">
        <v>0.5171</v>
      </c>
      <c r="AS9" s="18">
        <v>0.57569999999999999</v>
      </c>
      <c r="AT9" s="18">
        <v>0.35510000000000003</v>
      </c>
      <c r="AU9" s="18">
        <v>0.27600000000000002</v>
      </c>
      <c r="AV9" s="18">
        <v>7.4200000000000002E-2</v>
      </c>
      <c r="AW9" s="18">
        <v>0.16320000000000001</v>
      </c>
      <c r="AX9" s="18">
        <v>0.1757</v>
      </c>
    </row>
    <row r="10" spans="1:50" x14ac:dyDescent="0.25">
      <c r="A10" s="17" t="s">
        <v>105</v>
      </c>
      <c r="B10" s="13" t="s">
        <v>100</v>
      </c>
      <c r="C10" s="18">
        <v>0.3805</v>
      </c>
      <c r="D10" s="18">
        <v>0.12470000000000001</v>
      </c>
      <c r="E10" s="18">
        <v>4.8000000000000001E-2</v>
      </c>
      <c r="F10" s="18">
        <v>0.16600000000000001</v>
      </c>
      <c r="G10" s="18">
        <v>4.8000000000000001E-2</v>
      </c>
      <c r="H10" s="18">
        <v>0.16600000000000001</v>
      </c>
      <c r="I10" s="18">
        <v>4.8000000000000001E-2</v>
      </c>
      <c r="J10" s="18">
        <v>7.1599999999999997E-2</v>
      </c>
      <c r="K10" s="18">
        <v>0.1424</v>
      </c>
      <c r="L10" s="18">
        <v>4.8000000000000001E-2</v>
      </c>
      <c r="M10" s="18">
        <v>0.16600000000000001</v>
      </c>
      <c r="N10" s="18">
        <v>4.8000000000000001E-2</v>
      </c>
      <c r="O10" s="18">
        <v>0.16600000000000001</v>
      </c>
      <c r="P10" s="18">
        <v>4.8000000000000001E-2</v>
      </c>
      <c r="Q10" s="18">
        <v>1.5799000000000001</v>
      </c>
      <c r="R10" s="18">
        <v>7.1599999999999997E-2</v>
      </c>
      <c r="S10" s="18">
        <v>0.13650000000000001</v>
      </c>
      <c r="T10" s="18">
        <v>0.60760000000000003</v>
      </c>
      <c r="U10" s="18">
        <v>0.64400000000000002</v>
      </c>
      <c r="V10" s="18">
        <v>1.8738999999999999</v>
      </c>
      <c r="W10" s="18">
        <v>5.6000000000000001E-2</v>
      </c>
      <c r="X10" s="18">
        <v>7.6499999999999999E-2</v>
      </c>
      <c r="Y10" s="18">
        <v>0.23549999999999999</v>
      </c>
      <c r="Z10" s="18">
        <v>0.1938</v>
      </c>
      <c r="AA10" s="18">
        <v>0.1938</v>
      </c>
      <c r="AB10" s="18">
        <v>0.14230000000000001</v>
      </c>
      <c r="AC10" s="18">
        <v>1.3364</v>
      </c>
      <c r="AD10" s="18">
        <v>0.8488</v>
      </c>
      <c r="AE10" s="18">
        <v>0.22370000000000001</v>
      </c>
      <c r="AF10" s="18">
        <v>0.13550000000000001</v>
      </c>
      <c r="AG10" s="18">
        <v>0.16339999999999999</v>
      </c>
      <c r="AH10" s="18">
        <v>0.3957</v>
      </c>
      <c r="AI10" s="18">
        <v>8.2100000000000006E-2</v>
      </c>
      <c r="AJ10" s="18">
        <v>0.1011</v>
      </c>
      <c r="AK10" s="18">
        <v>0.1129</v>
      </c>
      <c r="AL10" s="18">
        <v>0.29349999999999998</v>
      </c>
      <c r="AM10" s="18">
        <v>2.6604999999999999</v>
      </c>
      <c r="AN10" s="18">
        <v>2.2719999999999998</v>
      </c>
      <c r="AO10" s="18">
        <v>0.1542</v>
      </c>
      <c r="AP10" s="18">
        <v>5.9799999999999999E-2</v>
      </c>
      <c r="AQ10" s="18">
        <v>4.8000000000000001E-2</v>
      </c>
      <c r="AR10" s="18">
        <v>0.2334</v>
      </c>
      <c r="AS10" s="18">
        <v>0.12690000000000001</v>
      </c>
      <c r="AT10" s="18">
        <v>0.40620000000000001</v>
      </c>
      <c r="AU10" s="18">
        <v>0.3871</v>
      </c>
      <c r="AV10" s="18">
        <v>0.48970000000000002</v>
      </c>
      <c r="AW10" s="18">
        <v>0.24979999999999999</v>
      </c>
      <c r="AX10" s="18">
        <v>4.8000000000000001E-2</v>
      </c>
    </row>
    <row r="11" spans="1:50" x14ac:dyDescent="0.25">
      <c r="A11" s="17" t="s">
        <v>107</v>
      </c>
      <c r="B11" s="13" t="s">
        <v>100</v>
      </c>
      <c r="C11" s="18">
        <v>4.8000000000000001E-2</v>
      </c>
      <c r="D11" s="18">
        <v>0.20949999999999999</v>
      </c>
      <c r="E11" s="18">
        <v>4.8000000000000001E-2</v>
      </c>
      <c r="F11" s="18">
        <v>4.8000000000000001E-2</v>
      </c>
      <c r="G11" s="18">
        <v>7.1800000000000003E-2</v>
      </c>
      <c r="H11" s="18">
        <v>0.1434</v>
      </c>
      <c r="I11" s="18">
        <v>4.8000000000000001E-2</v>
      </c>
      <c r="J11" s="18">
        <v>4.8000000000000001E-2</v>
      </c>
      <c r="K11" s="18">
        <v>4.8000000000000001E-2</v>
      </c>
      <c r="L11" s="18">
        <v>0.16719999999999999</v>
      </c>
      <c r="M11" s="18">
        <v>4.8000000000000001E-2</v>
      </c>
      <c r="N11" s="18">
        <v>0.11360000000000001</v>
      </c>
      <c r="O11" s="18">
        <v>0.1016</v>
      </c>
      <c r="P11" s="18">
        <v>4.8000000000000001E-2</v>
      </c>
      <c r="Q11" s="18">
        <v>9.5699999999999993E-2</v>
      </c>
      <c r="R11" s="18">
        <v>0.1195</v>
      </c>
      <c r="S11" s="18">
        <v>4.8000000000000001E-2</v>
      </c>
      <c r="T11" s="18">
        <v>0.16719999999999999</v>
      </c>
      <c r="U11" s="18">
        <v>9.6000000000000002E-2</v>
      </c>
      <c r="V11" s="18">
        <v>0.16719999999999999</v>
      </c>
      <c r="W11" s="18">
        <v>9.2899999999999996E-2</v>
      </c>
      <c r="X11" s="18">
        <v>5.8099999999999999E-2</v>
      </c>
      <c r="Y11" s="18">
        <v>0.17100000000000001</v>
      </c>
      <c r="Z11" s="18">
        <v>0.92630000000000001</v>
      </c>
      <c r="AA11" s="18">
        <v>4.8000000000000001E-2</v>
      </c>
      <c r="AB11" s="18">
        <v>0.35160000000000002</v>
      </c>
      <c r="AC11" s="18">
        <v>0.14799999999999999</v>
      </c>
      <c r="AD11" s="18">
        <v>0.26719999999999999</v>
      </c>
      <c r="AE11" s="18">
        <v>6.1199999999999997E-2</v>
      </c>
      <c r="AF11" s="18">
        <v>0.1023</v>
      </c>
      <c r="AG11" s="18">
        <v>0.32940000000000003</v>
      </c>
      <c r="AH11" s="18">
        <v>0.23480000000000001</v>
      </c>
      <c r="AI11" s="18">
        <v>0.37269999999999998</v>
      </c>
      <c r="AJ11" s="18">
        <v>0.23830000000000001</v>
      </c>
      <c r="AK11" s="18">
        <v>9.3100000000000002E-2</v>
      </c>
      <c r="AL11" s="18">
        <v>0.3196</v>
      </c>
      <c r="AM11" s="18">
        <v>0.37159999999999999</v>
      </c>
      <c r="AN11" s="18">
        <v>0.45019999999999999</v>
      </c>
      <c r="AO11" s="18">
        <v>0.56569999999999998</v>
      </c>
      <c r="AP11" s="18">
        <v>0.29759999999999998</v>
      </c>
      <c r="AQ11" s="18">
        <v>0.19869999999999999</v>
      </c>
      <c r="AR11" s="18">
        <v>0.94199999999999995</v>
      </c>
      <c r="AS11" s="18">
        <v>1.1321000000000001</v>
      </c>
      <c r="AT11" s="18">
        <v>0.48010000000000003</v>
      </c>
      <c r="AU11" s="18">
        <v>0.4652</v>
      </c>
      <c r="AV11" s="18">
        <v>0.34949999999999998</v>
      </c>
      <c r="AW11" s="18">
        <v>4.8000000000000001E-2</v>
      </c>
      <c r="AX11" s="18">
        <v>0.16719999999999999</v>
      </c>
    </row>
    <row r="12" spans="1:50" x14ac:dyDescent="0.25">
      <c r="A12" s="8" t="s">
        <v>60</v>
      </c>
      <c r="B12" s="10" t="s">
        <v>57</v>
      </c>
      <c r="C12" s="16">
        <v>5.1999999999999998E-2</v>
      </c>
      <c r="D12" s="16">
        <v>5.1999999999999998E-2</v>
      </c>
      <c r="E12" s="16">
        <v>5.1999999999999998E-2</v>
      </c>
      <c r="F12" s="16">
        <v>5.1999999999999998E-2</v>
      </c>
      <c r="G12" s="16">
        <v>7.17E-2</v>
      </c>
      <c r="H12" s="16">
        <v>0.1769</v>
      </c>
      <c r="I12" s="16">
        <v>5.1999999999999998E-2</v>
      </c>
      <c r="J12" s="16">
        <v>0.1769</v>
      </c>
      <c r="K12" s="16">
        <v>7.17E-2</v>
      </c>
      <c r="L12" s="16">
        <v>5.1999999999999998E-2</v>
      </c>
      <c r="M12" s="16">
        <v>0.19009999999999999</v>
      </c>
      <c r="N12" s="16">
        <v>5.8599999999999999E-2</v>
      </c>
      <c r="O12" s="16">
        <v>8.4900000000000003E-2</v>
      </c>
      <c r="P12" s="16">
        <v>0.1638</v>
      </c>
      <c r="Q12" s="16">
        <v>5.1999999999999998E-2</v>
      </c>
      <c r="R12" s="16">
        <v>5.1999999999999998E-2</v>
      </c>
      <c r="S12" s="16">
        <v>7.9799999999999996E-2</v>
      </c>
      <c r="T12" s="16">
        <v>0.18870000000000001</v>
      </c>
      <c r="U12" s="16">
        <v>8.7599999999999997E-2</v>
      </c>
      <c r="V12" s="16">
        <v>0.2011</v>
      </c>
      <c r="W12" s="16">
        <v>0.96730000000000005</v>
      </c>
      <c r="X12" s="16">
        <v>0.24790000000000001</v>
      </c>
      <c r="Y12" s="16">
        <v>0.1966</v>
      </c>
      <c r="Z12" s="16">
        <v>5.1999999999999998E-2</v>
      </c>
      <c r="AA12" s="16">
        <v>0.1835</v>
      </c>
      <c r="AB12" s="16">
        <v>6.5100000000000005E-2</v>
      </c>
      <c r="AC12" s="16">
        <v>6.5100000000000005E-2</v>
      </c>
      <c r="AD12" s="16">
        <v>0.1835</v>
      </c>
      <c r="AE12" s="16">
        <v>5.1999999999999998E-2</v>
      </c>
      <c r="AF12" s="16">
        <v>0.1966</v>
      </c>
      <c r="AG12" s="16">
        <v>5.1999999999999998E-2</v>
      </c>
      <c r="AH12" s="16">
        <v>0.15720000000000001</v>
      </c>
      <c r="AI12" s="16">
        <v>9.1399999999999995E-2</v>
      </c>
      <c r="AJ12" s="16">
        <v>0.1177</v>
      </c>
      <c r="AK12" s="16">
        <v>0.13089999999999999</v>
      </c>
      <c r="AL12" s="16">
        <v>5.6399999999999999E-2</v>
      </c>
      <c r="AM12" s="16">
        <v>0.36959999999999998</v>
      </c>
      <c r="AN12" s="16">
        <v>1.1587000000000001</v>
      </c>
      <c r="AO12" s="16">
        <v>0.24829999999999999</v>
      </c>
      <c r="AP12" s="16">
        <v>0.36330000000000001</v>
      </c>
      <c r="AQ12" s="16">
        <v>0.78979999999999995</v>
      </c>
      <c r="AR12" s="16">
        <v>0.45650000000000002</v>
      </c>
      <c r="AS12" s="16">
        <v>0.51980000000000004</v>
      </c>
      <c r="AT12" s="16">
        <v>0.53049999999999997</v>
      </c>
      <c r="AU12" s="16">
        <v>0.48020000000000002</v>
      </c>
      <c r="AV12" s="16">
        <v>0.4264</v>
      </c>
      <c r="AW12" s="16">
        <v>0.1608</v>
      </c>
      <c r="AX12" s="16">
        <v>0.1875</v>
      </c>
    </row>
    <row r="13" spans="1:50" x14ac:dyDescent="0.25">
      <c r="A13" s="8" t="s">
        <v>62</v>
      </c>
      <c r="B13" s="10" t="s">
        <v>57</v>
      </c>
      <c r="C13" s="16">
        <v>0.67120000000000002</v>
      </c>
      <c r="D13" s="16">
        <v>0.41770000000000002</v>
      </c>
      <c r="E13" s="16">
        <v>0.05</v>
      </c>
      <c r="F13" s="16">
        <v>0.05</v>
      </c>
      <c r="G13" s="16">
        <v>0.1163</v>
      </c>
      <c r="H13" s="16">
        <v>5.8299999999999998E-2</v>
      </c>
      <c r="I13" s="16">
        <v>0.108</v>
      </c>
      <c r="J13" s="16">
        <v>6.6600000000000006E-2</v>
      </c>
      <c r="K13" s="16">
        <v>9.9699999999999997E-2</v>
      </c>
      <c r="L13" s="16">
        <v>7.4899999999999994E-2</v>
      </c>
      <c r="M13" s="16">
        <v>0.05</v>
      </c>
      <c r="N13" s="16">
        <v>0.05</v>
      </c>
      <c r="O13" s="16">
        <v>0.05</v>
      </c>
      <c r="P13" s="16">
        <v>9.5600000000000004E-2</v>
      </c>
      <c r="Q13" s="16">
        <v>7.9000000000000001E-2</v>
      </c>
      <c r="R13" s="16">
        <v>0.05</v>
      </c>
      <c r="S13" s="16">
        <v>2.8976999999999999</v>
      </c>
      <c r="T13" s="16">
        <v>0.121</v>
      </c>
      <c r="U13" s="16">
        <v>0.31609999999999999</v>
      </c>
      <c r="V13" s="16">
        <v>0.2878</v>
      </c>
      <c r="W13" s="16">
        <v>0.35510000000000003</v>
      </c>
      <c r="X13" s="16">
        <v>0.25530000000000003</v>
      </c>
      <c r="Y13" s="16">
        <v>9.8900000000000002E-2</v>
      </c>
      <c r="Z13" s="16">
        <v>0.1729</v>
      </c>
      <c r="AA13" s="16">
        <v>0.64019999999999999</v>
      </c>
      <c r="AB13" s="16">
        <v>2.6501000000000001</v>
      </c>
      <c r="AC13" s="16">
        <v>3.4538000000000002</v>
      </c>
      <c r="AD13" s="16">
        <v>0.1012</v>
      </c>
      <c r="AE13" s="16">
        <v>5.2299999999999999E-2</v>
      </c>
      <c r="AF13" s="16">
        <v>0.1741</v>
      </c>
      <c r="AG13" s="16">
        <v>0.1074</v>
      </c>
      <c r="AH13" s="16">
        <v>0.05</v>
      </c>
      <c r="AI13" s="16">
        <v>0.28999999999999998</v>
      </c>
      <c r="AJ13" s="16">
        <v>0.1555</v>
      </c>
      <c r="AK13" s="16">
        <v>0.38030000000000003</v>
      </c>
      <c r="AL13" s="16">
        <v>0.68440000000000001</v>
      </c>
      <c r="AM13" s="16">
        <v>0.83599999999999997</v>
      </c>
      <c r="AN13" s="16">
        <v>0.71870000000000001</v>
      </c>
      <c r="AO13" s="16">
        <v>2.0876999999999999</v>
      </c>
      <c r="AP13" s="16">
        <v>0.77129999999999999</v>
      </c>
      <c r="AQ13" s="16">
        <v>1.3992</v>
      </c>
      <c r="AR13" s="16">
        <v>0.59299999999999997</v>
      </c>
      <c r="AS13" s="16">
        <v>0.69489999999999996</v>
      </c>
      <c r="AT13" s="16">
        <v>0.75180000000000002</v>
      </c>
      <c r="AU13" s="16">
        <v>0.5373</v>
      </c>
      <c r="AV13" s="16">
        <v>0.3644</v>
      </c>
      <c r="AW13" s="16">
        <v>0.55840000000000001</v>
      </c>
      <c r="AX13" s="16">
        <v>0.23760000000000001</v>
      </c>
    </row>
    <row r="14" spans="1:50" x14ac:dyDescent="0.25">
      <c r="A14" s="17" t="s">
        <v>109</v>
      </c>
      <c r="B14" s="13" t="s">
        <v>100</v>
      </c>
      <c r="C14" s="18">
        <v>0.1036</v>
      </c>
      <c r="D14" s="18">
        <v>0.1706</v>
      </c>
      <c r="E14" s="18">
        <v>9.7600000000000006E-2</v>
      </c>
      <c r="F14" s="18">
        <v>5.8599999999999999E-2</v>
      </c>
      <c r="G14" s="18">
        <v>0.26019999999999999</v>
      </c>
      <c r="H14" s="18">
        <v>5.2999999999999999E-2</v>
      </c>
      <c r="I14" s="18">
        <v>0.1323</v>
      </c>
      <c r="J14" s="18">
        <v>0.1865</v>
      </c>
      <c r="K14" s="18">
        <v>5.2999999999999999E-2</v>
      </c>
      <c r="L14" s="18">
        <v>0.17399999999999999</v>
      </c>
      <c r="M14" s="18">
        <v>0.14480000000000001</v>
      </c>
      <c r="N14" s="18">
        <v>5.2999999999999999E-2</v>
      </c>
      <c r="O14" s="18">
        <v>0.12230000000000001</v>
      </c>
      <c r="P14" s="18">
        <v>0.58699999999999997</v>
      </c>
      <c r="Q14" s="18">
        <v>1.4668000000000001</v>
      </c>
      <c r="R14" s="18">
        <v>0.2019</v>
      </c>
      <c r="S14" s="18">
        <v>1.5512999999999999</v>
      </c>
      <c r="T14" s="18">
        <v>0.68969999999999998</v>
      </c>
      <c r="U14" s="18">
        <v>0.30130000000000001</v>
      </c>
      <c r="V14" s="18">
        <v>0.36670000000000003</v>
      </c>
      <c r="W14" s="18">
        <v>0.20050000000000001</v>
      </c>
      <c r="X14" s="18">
        <v>0.1182</v>
      </c>
      <c r="Y14" s="18">
        <v>0.36659999999999998</v>
      </c>
      <c r="Z14" s="18">
        <v>0.35759999999999997</v>
      </c>
      <c r="AA14" s="18">
        <v>0.14219999999999999</v>
      </c>
      <c r="AB14" s="18">
        <v>0.17660000000000001</v>
      </c>
      <c r="AC14" s="18">
        <v>5.2999999999999999E-2</v>
      </c>
      <c r="AD14" s="18">
        <v>0.14219999999999999</v>
      </c>
      <c r="AE14" s="18">
        <v>0.17660000000000001</v>
      </c>
      <c r="AF14" s="18">
        <v>0.14219999999999999</v>
      </c>
      <c r="AG14" s="18">
        <v>5.2999999999999999E-2</v>
      </c>
      <c r="AH14" s="18">
        <v>0.26579999999999998</v>
      </c>
      <c r="AI14" s="18">
        <v>5.2999999999999999E-2</v>
      </c>
      <c r="AJ14" s="18">
        <v>0.13730000000000001</v>
      </c>
      <c r="AK14" s="18">
        <v>0.1716</v>
      </c>
      <c r="AL14" s="18">
        <v>0.2485</v>
      </c>
      <c r="AM14" s="18">
        <v>0.4158</v>
      </c>
      <c r="AN14" s="18">
        <v>0.37519999999999998</v>
      </c>
      <c r="AO14" s="18">
        <v>0.35589999999999999</v>
      </c>
      <c r="AP14" s="18">
        <v>0.44719999999999999</v>
      </c>
      <c r="AQ14" s="18">
        <v>0.42330000000000001</v>
      </c>
      <c r="AR14" s="18">
        <v>0.59419999999999995</v>
      </c>
      <c r="AS14" s="18">
        <v>0.442</v>
      </c>
      <c r="AT14" s="18">
        <v>1.4198</v>
      </c>
      <c r="AU14" s="18">
        <v>1.6793</v>
      </c>
      <c r="AV14" s="18">
        <v>0.4103</v>
      </c>
      <c r="AW14" s="18">
        <v>0.24110000000000001</v>
      </c>
      <c r="AX14" s="18">
        <v>0.17100000000000001</v>
      </c>
    </row>
    <row r="15" spans="1:50" x14ac:dyDescent="0.25">
      <c r="A15" s="17" t="s">
        <v>111</v>
      </c>
      <c r="B15" s="13" t="s">
        <v>100</v>
      </c>
      <c r="C15" s="18">
        <v>0.33979999999999999</v>
      </c>
      <c r="D15" s="18">
        <v>5.2999999999999999E-2</v>
      </c>
      <c r="E15" s="18">
        <v>0.16170000000000001</v>
      </c>
      <c r="F15" s="18">
        <v>0.2429</v>
      </c>
      <c r="G15" s="18">
        <v>8.6599999999999996E-2</v>
      </c>
      <c r="H15" s="18">
        <v>8.6599999999999996E-2</v>
      </c>
      <c r="I15" s="18">
        <v>0.1951</v>
      </c>
      <c r="J15" s="18">
        <v>0.15620000000000001</v>
      </c>
      <c r="K15" s="18">
        <v>0.17699999999999999</v>
      </c>
      <c r="L15" s="18">
        <v>9.0800000000000006E-2</v>
      </c>
      <c r="M15" s="18">
        <v>0.20760000000000001</v>
      </c>
      <c r="N15" s="18">
        <v>0.1643</v>
      </c>
      <c r="O15" s="18">
        <v>0.1646</v>
      </c>
      <c r="P15" s="18">
        <v>0.21529999999999999</v>
      </c>
      <c r="Q15" s="18">
        <v>0.55269999999999997</v>
      </c>
      <c r="R15" s="18">
        <v>0.63060000000000005</v>
      </c>
      <c r="S15" s="18">
        <v>0.41160000000000002</v>
      </c>
      <c r="T15" s="18">
        <v>0.23200000000000001</v>
      </c>
      <c r="U15" s="18">
        <v>0.17180000000000001</v>
      </c>
      <c r="V15" s="18">
        <v>0.1016</v>
      </c>
      <c r="W15" s="18">
        <v>0.20200000000000001</v>
      </c>
      <c r="X15" s="18">
        <v>0.2074</v>
      </c>
      <c r="Y15" s="18">
        <v>0.1173</v>
      </c>
      <c r="Z15" s="18">
        <v>0.2429</v>
      </c>
      <c r="AA15" s="18">
        <v>0.17269999999999999</v>
      </c>
      <c r="AB15" s="18">
        <v>0.19620000000000001</v>
      </c>
      <c r="AC15" s="18">
        <v>0.33579999999999999</v>
      </c>
      <c r="AD15" s="18">
        <v>0.1472</v>
      </c>
      <c r="AE15" s="18">
        <v>0.45800000000000002</v>
      </c>
      <c r="AF15" s="18">
        <v>1.2857000000000001</v>
      </c>
      <c r="AG15" s="18">
        <v>0.27489999999999998</v>
      </c>
      <c r="AH15" s="18">
        <v>0.43390000000000001</v>
      </c>
      <c r="AI15" s="18">
        <v>1.0597000000000001</v>
      </c>
      <c r="AJ15" s="18">
        <v>0.85250000000000004</v>
      </c>
      <c r="AK15" s="18">
        <v>0.4597</v>
      </c>
      <c r="AL15" s="18">
        <v>0.50319999999999998</v>
      </c>
      <c r="AM15" s="18">
        <v>0.30170000000000002</v>
      </c>
      <c r="AN15" s="18">
        <v>0.12859999999999999</v>
      </c>
      <c r="AO15" s="18">
        <v>0.23130000000000001</v>
      </c>
      <c r="AP15" s="18">
        <v>0.50280000000000002</v>
      </c>
      <c r="AQ15" s="18">
        <v>0.58579999999999999</v>
      </c>
      <c r="AR15" s="18">
        <v>0.76090000000000002</v>
      </c>
      <c r="AS15" s="18">
        <v>0.63870000000000005</v>
      </c>
      <c r="AT15" s="18">
        <v>0.77559999999999996</v>
      </c>
      <c r="AU15" s="18">
        <v>0.63670000000000004</v>
      </c>
      <c r="AV15" s="18">
        <v>0.6774</v>
      </c>
      <c r="AW15" s="18">
        <v>0.66679999999999995</v>
      </c>
      <c r="AX15" s="18">
        <v>0.1338</v>
      </c>
    </row>
    <row r="16" spans="1:50" x14ac:dyDescent="0.25">
      <c r="A16" s="17" t="s">
        <v>113</v>
      </c>
      <c r="B16" s="13" t="s">
        <v>100</v>
      </c>
      <c r="C16" s="18">
        <v>3.3000000000000002E-2</v>
      </c>
      <c r="D16" s="18">
        <v>3.3000000000000002E-2</v>
      </c>
      <c r="E16" s="18">
        <v>3.3000000000000002E-2</v>
      </c>
      <c r="F16" s="18">
        <v>6.8900000000000003E-2</v>
      </c>
      <c r="G16" s="18">
        <v>6.8900000000000003E-2</v>
      </c>
      <c r="H16" s="18">
        <v>3.3000000000000002E-2</v>
      </c>
      <c r="I16" s="18">
        <v>3.3000000000000002E-2</v>
      </c>
      <c r="J16" s="18">
        <v>3.3000000000000002E-2</v>
      </c>
      <c r="K16" s="18">
        <v>9.69E-2</v>
      </c>
      <c r="L16" s="18">
        <v>4.1000000000000002E-2</v>
      </c>
      <c r="M16" s="18">
        <v>6.0999999999999999E-2</v>
      </c>
      <c r="N16" s="18">
        <v>7.6899999999999996E-2</v>
      </c>
      <c r="O16" s="18">
        <v>8.09E-2</v>
      </c>
      <c r="P16" s="18">
        <v>5.7000000000000002E-2</v>
      </c>
      <c r="Q16" s="18">
        <v>3.3000000000000002E-2</v>
      </c>
      <c r="R16" s="18">
        <v>5.7000000000000002E-2</v>
      </c>
      <c r="S16" s="18">
        <v>0.27210000000000001</v>
      </c>
      <c r="T16" s="18">
        <v>0.1381</v>
      </c>
      <c r="U16" s="18">
        <v>0.21</v>
      </c>
      <c r="V16" s="18">
        <v>7.2800000000000004E-2</v>
      </c>
      <c r="W16" s="18">
        <v>0.13239999999999999</v>
      </c>
      <c r="X16" s="18">
        <v>8.8999999999999996E-2</v>
      </c>
      <c r="Y16" s="18">
        <v>3.11</v>
      </c>
      <c r="Z16" s="18">
        <v>2.2321</v>
      </c>
      <c r="AA16" s="18">
        <v>0.63649999999999995</v>
      </c>
      <c r="AB16" s="18">
        <v>0.10249999999999999</v>
      </c>
      <c r="AC16" s="18">
        <v>0.1166</v>
      </c>
      <c r="AD16" s="18">
        <v>5.67E-2</v>
      </c>
      <c r="AE16" s="18">
        <v>0.1186</v>
      </c>
      <c r="AF16" s="18">
        <v>5.8000000000000003E-2</v>
      </c>
      <c r="AG16" s="18">
        <v>5.2999999999999999E-2</v>
      </c>
      <c r="AH16" s="18">
        <v>0.13500000000000001</v>
      </c>
      <c r="AI16" s="18">
        <v>0.2414</v>
      </c>
      <c r="AJ16" s="18">
        <v>6.9000000000000006E-2</v>
      </c>
      <c r="AK16" s="18">
        <v>8.8900000000000007E-2</v>
      </c>
      <c r="AL16" s="18">
        <v>3.3000000000000002E-2</v>
      </c>
      <c r="AM16" s="18">
        <v>3.3000000000000002E-2</v>
      </c>
      <c r="AN16" s="18">
        <v>0.10970000000000001</v>
      </c>
      <c r="AO16" s="18">
        <v>8.1500000000000003E-2</v>
      </c>
      <c r="AP16" s="18">
        <v>4.2000000000000003E-2</v>
      </c>
      <c r="AQ16" s="18">
        <v>6.2100000000000002E-2</v>
      </c>
      <c r="AR16" s="18">
        <v>0.1009</v>
      </c>
      <c r="AS16" s="18">
        <v>3.3000000000000002E-2</v>
      </c>
      <c r="AT16" s="18">
        <v>4.1000000000000002E-2</v>
      </c>
      <c r="AU16" s="18">
        <v>9.69E-2</v>
      </c>
      <c r="AV16" s="18">
        <v>3.3000000000000002E-2</v>
      </c>
      <c r="AW16" s="18">
        <v>0.10489999999999999</v>
      </c>
      <c r="AX16" s="18">
        <v>3.3000000000000002E-2</v>
      </c>
    </row>
    <row r="17" spans="1:50" x14ac:dyDescent="0.25">
      <c r="A17" s="17" t="s">
        <v>115</v>
      </c>
      <c r="B17" s="13" t="s">
        <v>100</v>
      </c>
      <c r="C17" s="18">
        <v>4.5999999999999999E-2</v>
      </c>
      <c r="D17" s="18">
        <v>0.19939999999999999</v>
      </c>
      <c r="E17" s="18">
        <v>4.5999999999999999E-2</v>
      </c>
      <c r="F17" s="18">
        <v>0.15759999999999999</v>
      </c>
      <c r="G17" s="18">
        <v>8.7800000000000003E-2</v>
      </c>
      <c r="H17" s="18">
        <v>4.5999999999999999E-2</v>
      </c>
      <c r="I17" s="18">
        <v>0.19939999999999999</v>
      </c>
      <c r="J17" s="18">
        <v>4.5999999999999999E-2</v>
      </c>
      <c r="K17" s="18">
        <v>0.1366</v>
      </c>
      <c r="L17" s="18">
        <v>0.10879999999999999</v>
      </c>
      <c r="M17" s="18">
        <v>4.5999999999999999E-2</v>
      </c>
      <c r="N17" s="18">
        <v>4.5999999999999999E-2</v>
      </c>
      <c r="O17" s="18">
        <v>0.19939999999999999</v>
      </c>
      <c r="P17" s="18">
        <v>4.5999999999999999E-2</v>
      </c>
      <c r="Q17" s="18">
        <v>0.13919999999999999</v>
      </c>
      <c r="R17" s="18">
        <v>0.31140000000000001</v>
      </c>
      <c r="S17" s="18">
        <v>0.17860000000000001</v>
      </c>
      <c r="T17" s="18">
        <v>1.5454000000000001</v>
      </c>
      <c r="U17" s="18">
        <v>1.2938000000000001</v>
      </c>
      <c r="V17" s="18">
        <v>0.69640000000000002</v>
      </c>
      <c r="W17" s="18">
        <v>0.16450000000000001</v>
      </c>
      <c r="X17" s="18">
        <v>8.09E-2</v>
      </c>
      <c r="Y17" s="18">
        <v>4.5999999999999999E-2</v>
      </c>
      <c r="Z17" s="18">
        <v>0.19939999999999999</v>
      </c>
      <c r="AA17" s="18">
        <v>0.1681</v>
      </c>
      <c r="AB17" s="18">
        <v>0.82410000000000005</v>
      </c>
      <c r="AC17" s="18">
        <v>0.49769999999999998</v>
      </c>
      <c r="AD17" s="18">
        <v>0.37590000000000001</v>
      </c>
      <c r="AE17" s="18">
        <v>5.0200000000000002E-2</v>
      </c>
      <c r="AF17" s="18">
        <v>0.106</v>
      </c>
      <c r="AG17" s="18">
        <v>0.15709999999999999</v>
      </c>
      <c r="AH17" s="18">
        <v>5.4399999999999997E-2</v>
      </c>
      <c r="AI17" s="18">
        <v>0.21129999999999999</v>
      </c>
      <c r="AJ17" s="18">
        <v>0.16500000000000001</v>
      </c>
      <c r="AK17" s="18">
        <v>0.12740000000000001</v>
      </c>
      <c r="AL17" s="18">
        <v>0.20549999999999999</v>
      </c>
      <c r="AM17" s="18">
        <v>7.5300000000000006E-2</v>
      </c>
      <c r="AN17" s="18">
        <v>0.19239999999999999</v>
      </c>
      <c r="AO17" s="18">
        <v>7.46E-2</v>
      </c>
      <c r="AP17" s="18">
        <v>0.28839999999999999</v>
      </c>
      <c r="AQ17" s="18">
        <v>0.14019999999999999</v>
      </c>
      <c r="AR17" s="18">
        <v>0.22439999999999999</v>
      </c>
      <c r="AS17" s="18">
        <v>0.37419999999999998</v>
      </c>
      <c r="AT17" s="18">
        <v>0.25829999999999997</v>
      </c>
      <c r="AU17" s="18">
        <v>0.37840000000000001</v>
      </c>
      <c r="AV17" s="18">
        <v>0.2107</v>
      </c>
      <c r="AW17" s="18">
        <v>1.2444</v>
      </c>
      <c r="AX17" s="18">
        <v>0.22409999999999999</v>
      </c>
    </row>
    <row r="18" spans="1:50" x14ac:dyDescent="0.25">
      <c r="A18" s="8" t="s">
        <v>64</v>
      </c>
      <c r="B18" s="10" t="s">
        <v>57</v>
      </c>
      <c r="C18" s="16">
        <v>0.15770000000000001</v>
      </c>
      <c r="D18" s="16">
        <v>0.1187</v>
      </c>
      <c r="E18" s="16">
        <v>0.18920000000000001</v>
      </c>
      <c r="F18" s="16">
        <v>0.13769999999999999</v>
      </c>
      <c r="G18" s="16">
        <v>0.13020000000000001</v>
      </c>
      <c r="H18" s="16">
        <v>0.05</v>
      </c>
      <c r="I18" s="16">
        <v>0.2417</v>
      </c>
      <c r="J18" s="16">
        <v>0.1196</v>
      </c>
      <c r="K18" s="16">
        <v>0.16350000000000001</v>
      </c>
      <c r="L18" s="16">
        <v>0.19769999999999999</v>
      </c>
      <c r="M18" s="16">
        <v>0.05</v>
      </c>
      <c r="N18" s="16">
        <v>0.05</v>
      </c>
      <c r="O18" s="16">
        <v>0.16450000000000001</v>
      </c>
      <c r="P18" s="16">
        <v>6.3299999999999995E-2</v>
      </c>
      <c r="Q18" s="16">
        <v>0.1888</v>
      </c>
      <c r="R18" s="16">
        <v>1.5059</v>
      </c>
      <c r="S18" s="16">
        <v>0.32679999999999998</v>
      </c>
      <c r="T18" s="16">
        <v>0.33629999999999999</v>
      </c>
      <c r="U18" s="16">
        <v>0.2011</v>
      </c>
      <c r="V18" s="16">
        <v>0.26800000000000002</v>
      </c>
      <c r="W18" s="16">
        <v>5.2999999999999999E-2</v>
      </c>
      <c r="X18" s="16">
        <v>0.28510000000000002</v>
      </c>
      <c r="Y18" s="16">
        <v>0.1226</v>
      </c>
      <c r="Z18" s="16">
        <v>0.12920000000000001</v>
      </c>
      <c r="AA18" s="16">
        <v>0.95569999999999999</v>
      </c>
      <c r="AB18" s="16">
        <v>2.6880000000000002</v>
      </c>
      <c r="AC18" s="16">
        <v>2.6528</v>
      </c>
      <c r="AD18" s="16">
        <v>0.3785</v>
      </c>
      <c r="AE18" s="16">
        <v>8.8700000000000001E-2</v>
      </c>
      <c r="AF18" s="16">
        <v>0.25309999999999999</v>
      </c>
      <c r="AG18" s="16">
        <v>0.1081</v>
      </c>
      <c r="AH18" s="16">
        <v>0.17519999999999999</v>
      </c>
      <c r="AI18" s="16">
        <v>0.22220000000000001</v>
      </c>
      <c r="AJ18" s="16">
        <v>0.78120000000000001</v>
      </c>
      <c r="AK18" s="16">
        <v>0.56040000000000001</v>
      </c>
      <c r="AL18" s="16">
        <v>0.49680000000000002</v>
      </c>
      <c r="AM18" s="16">
        <v>7.2999999999999995E-2</v>
      </c>
      <c r="AN18" s="16">
        <v>0.2243</v>
      </c>
      <c r="AO18" s="16">
        <v>0.1794</v>
      </c>
      <c r="AP18" s="16">
        <v>0.3821</v>
      </c>
      <c r="AQ18" s="16">
        <v>0.45029999999999998</v>
      </c>
      <c r="AR18" s="16">
        <v>0.63759999999999994</v>
      </c>
      <c r="AS18" s="16">
        <v>1.169</v>
      </c>
      <c r="AT18" s="16">
        <v>0.99490000000000001</v>
      </c>
      <c r="AU18" s="16">
        <v>0.81710000000000005</v>
      </c>
      <c r="AV18" s="16">
        <v>0.82210000000000005</v>
      </c>
      <c r="AW18" s="16">
        <v>0.75449999999999995</v>
      </c>
      <c r="AX18" s="16">
        <v>0.72989999999999999</v>
      </c>
    </row>
    <row r="19" spans="1:50" x14ac:dyDescent="0.25">
      <c r="A19" s="8" t="s">
        <v>66</v>
      </c>
      <c r="B19" s="10" t="s">
        <v>57</v>
      </c>
      <c r="C19" s="16">
        <v>0.1019</v>
      </c>
      <c r="D19" s="16">
        <v>0.15840000000000001</v>
      </c>
      <c r="E19" s="16">
        <v>8.9800000000000005E-2</v>
      </c>
      <c r="F19" s="16">
        <v>4.9000000000000002E-2</v>
      </c>
      <c r="G19" s="16">
        <v>4.9000000000000002E-2</v>
      </c>
      <c r="H19" s="16">
        <v>4.9000000000000002E-2</v>
      </c>
      <c r="I19" s="16">
        <v>4.9000000000000002E-2</v>
      </c>
      <c r="J19" s="16">
        <v>4.9000000000000002E-2</v>
      </c>
      <c r="K19" s="16">
        <v>4.9000000000000002E-2</v>
      </c>
      <c r="L19" s="16">
        <v>4.9000000000000002E-2</v>
      </c>
      <c r="M19" s="16">
        <v>4.9000000000000002E-2</v>
      </c>
      <c r="N19" s="16">
        <v>4.9000000000000002E-2</v>
      </c>
      <c r="O19" s="16">
        <v>4.9000000000000002E-2</v>
      </c>
      <c r="P19" s="16">
        <v>7.3899999999999993E-2</v>
      </c>
      <c r="Q19" s="16">
        <v>7.4200000000000002E-2</v>
      </c>
      <c r="R19" s="16">
        <v>1.0915999999999999</v>
      </c>
      <c r="S19" s="16">
        <v>1.9493</v>
      </c>
      <c r="T19" s="16">
        <v>0.17180000000000001</v>
      </c>
      <c r="U19" s="16">
        <v>0.1099</v>
      </c>
      <c r="V19" s="16">
        <v>0.2555</v>
      </c>
      <c r="W19" s="16">
        <v>0.26790000000000003</v>
      </c>
      <c r="X19" s="16">
        <v>6.2300000000000001E-2</v>
      </c>
      <c r="Y19" s="16">
        <v>4.99E-2</v>
      </c>
      <c r="Z19" s="16">
        <v>4.9000000000000002E-2</v>
      </c>
      <c r="AA19" s="16">
        <v>2.1215999999999999</v>
      </c>
      <c r="AB19" s="16">
        <v>0.57469999999999999</v>
      </c>
      <c r="AC19" s="16">
        <v>5.67E-2</v>
      </c>
      <c r="AD19" s="16">
        <v>6.8400000000000002E-2</v>
      </c>
      <c r="AE19" s="16">
        <v>0.27779999999999999</v>
      </c>
      <c r="AF19" s="16">
        <v>0.1119</v>
      </c>
      <c r="AG19" s="16">
        <v>6.7100000000000007E-2</v>
      </c>
      <c r="AH19" s="16">
        <v>0.26590000000000003</v>
      </c>
      <c r="AI19" s="16">
        <v>1.1200000000000001</v>
      </c>
      <c r="AJ19" s="16">
        <v>0.91369999999999996</v>
      </c>
      <c r="AK19" s="16">
        <v>0.10349999999999999</v>
      </c>
      <c r="AL19" s="16">
        <v>5.8200000000000002E-2</v>
      </c>
      <c r="AM19" s="16">
        <v>5.7200000000000001E-2</v>
      </c>
      <c r="AN19" s="16">
        <v>1.4034</v>
      </c>
      <c r="AO19" s="16">
        <v>1.0557000000000001</v>
      </c>
      <c r="AP19" s="16">
        <v>1.1871</v>
      </c>
      <c r="AQ19" s="16">
        <v>0.84719999999999995</v>
      </c>
      <c r="AR19" s="16">
        <v>0.25919999999999999</v>
      </c>
      <c r="AS19" s="16">
        <v>0.21579999999999999</v>
      </c>
      <c r="AT19" s="16">
        <v>0.1981</v>
      </c>
      <c r="AU19" s="16">
        <v>0.46910000000000002</v>
      </c>
      <c r="AV19" s="16">
        <v>0.31559999999999999</v>
      </c>
      <c r="AW19" s="16">
        <v>0.23300000000000001</v>
      </c>
      <c r="AX19" s="16">
        <v>4.9000000000000002E-2</v>
      </c>
    </row>
    <row r="20" spans="1:50" x14ac:dyDescent="0.25">
      <c r="A20" s="8" t="s">
        <v>68</v>
      </c>
      <c r="B20" s="10" t="s">
        <v>57</v>
      </c>
      <c r="C20" s="16">
        <v>0.59140000000000004</v>
      </c>
      <c r="D20" s="16">
        <v>0.54869999999999997</v>
      </c>
      <c r="E20" s="16">
        <v>4.7E-2</v>
      </c>
      <c r="F20" s="16">
        <v>0.1283</v>
      </c>
      <c r="G20" s="16">
        <v>4.7E-2</v>
      </c>
      <c r="H20" s="16">
        <v>6.4399999999999999E-2</v>
      </c>
      <c r="I20" s="16">
        <v>0.1109</v>
      </c>
      <c r="J20" s="16">
        <v>4.7E-2</v>
      </c>
      <c r="K20" s="16">
        <v>0.1051</v>
      </c>
      <c r="L20" s="16">
        <v>7.0199999999999999E-2</v>
      </c>
      <c r="M20" s="16">
        <v>4.7E-2</v>
      </c>
      <c r="N20" s="16">
        <v>0.14399999999999999</v>
      </c>
      <c r="O20" s="16">
        <v>4.7E-2</v>
      </c>
      <c r="P20" s="16">
        <v>6.4399999999999999E-2</v>
      </c>
      <c r="Q20" s="16">
        <v>0.1109</v>
      </c>
      <c r="R20" s="16">
        <v>4.7E-2</v>
      </c>
      <c r="S20" s="16">
        <v>0.1283</v>
      </c>
      <c r="T20" s="16">
        <v>4.7E-2</v>
      </c>
      <c r="U20" s="16">
        <v>6.1199999999999997E-2</v>
      </c>
      <c r="V20" s="16">
        <v>0.32890000000000003</v>
      </c>
      <c r="W20" s="16">
        <v>0.25230000000000002</v>
      </c>
      <c r="X20" s="16">
        <v>9.8799999999999999E-2</v>
      </c>
      <c r="Y20" s="16">
        <v>0.94469999999999998</v>
      </c>
      <c r="Z20" s="16">
        <v>0.115</v>
      </c>
      <c r="AA20" s="16">
        <v>1.4616</v>
      </c>
      <c r="AB20" s="16">
        <v>0.1225</v>
      </c>
      <c r="AC20" s="16">
        <v>4.7E-2</v>
      </c>
      <c r="AD20" s="16">
        <v>7.5999999999999998E-2</v>
      </c>
      <c r="AE20" s="16">
        <v>0.2276</v>
      </c>
      <c r="AF20" s="16">
        <v>0.11260000000000001</v>
      </c>
      <c r="AG20" s="16">
        <v>0.14249999999999999</v>
      </c>
      <c r="AH20" s="16">
        <v>0.123</v>
      </c>
      <c r="AI20" s="16">
        <v>0.1414</v>
      </c>
      <c r="AJ20" s="16">
        <v>0.1353</v>
      </c>
      <c r="AK20" s="16">
        <v>9.1899999999999996E-2</v>
      </c>
      <c r="AL20" s="16">
        <v>0.30630000000000002</v>
      </c>
      <c r="AM20" s="16">
        <v>0.77470000000000006</v>
      </c>
      <c r="AN20" s="16">
        <v>0.46100000000000002</v>
      </c>
      <c r="AO20" s="16">
        <v>0.24160000000000001</v>
      </c>
      <c r="AP20" s="16">
        <v>0.17530000000000001</v>
      </c>
      <c r="AQ20" s="16">
        <v>4.7E-2</v>
      </c>
      <c r="AR20" s="16">
        <v>0.1283</v>
      </c>
      <c r="AS20" s="16">
        <v>0.29420000000000002</v>
      </c>
      <c r="AT20" s="16">
        <v>0.80059999999999998</v>
      </c>
      <c r="AU20" s="16">
        <v>0.45760000000000001</v>
      </c>
      <c r="AV20" s="16">
        <v>0.40260000000000001</v>
      </c>
      <c r="AW20" s="16">
        <v>0.27800000000000002</v>
      </c>
      <c r="AX20" s="16">
        <v>0.1283</v>
      </c>
    </row>
    <row r="21" spans="1:50" x14ac:dyDescent="0.25">
      <c r="A21" s="17" t="s">
        <v>117</v>
      </c>
      <c r="B21" s="13" t="s">
        <v>100</v>
      </c>
      <c r="C21" s="18">
        <v>9.7600000000000006E-2</v>
      </c>
      <c r="D21" s="18">
        <v>7.8200000000000006E-2</v>
      </c>
      <c r="E21" s="18">
        <v>9.3700000000000006E-2</v>
      </c>
      <c r="F21" s="18">
        <v>5.0999999999999997E-2</v>
      </c>
      <c r="G21" s="18">
        <v>5.0999999999999997E-2</v>
      </c>
      <c r="H21" s="18">
        <v>5.0999999999999997E-2</v>
      </c>
      <c r="I21" s="18">
        <v>0.12089999999999999</v>
      </c>
      <c r="J21" s="18">
        <v>5.0999999999999997E-2</v>
      </c>
      <c r="K21" s="18">
        <v>5.0999999999999997E-2</v>
      </c>
      <c r="L21" s="18">
        <v>5.0999999999999997E-2</v>
      </c>
      <c r="M21" s="18">
        <v>9.3700000000000006E-2</v>
      </c>
      <c r="N21" s="18">
        <v>7.8200000000000006E-2</v>
      </c>
      <c r="O21" s="18">
        <v>5.0999999999999997E-2</v>
      </c>
      <c r="P21" s="18">
        <v>0.12089999999999999</v>
      </c>
      <c r="Q21" s="18">
        <v>5.0999999999999997E-2</v>
      </c>
      <c r="R21" s="18">
        <v>7.7399999999999997E-2</v>
      </c>
      <c r="S21" s="18">
        <v>9.9400000000000002E-2</v>
      </c>
      <c r="T21" s="18">
        <v>9.3899999999999997E-2</v>
      </c>
      <c r="U21" s="18">
        <v>0.9849</v>
      </c>
      <c r="V21" s="18">
        <v>5.5199999999999999E-2</v>
      </c>
      <c r="W21" s="18">
        <v>6.6699999999999995E-2</v>
      </c>
      <c r="X21" s="18">
        <v>0.36349999999999999</v>
      </c>
      <c r="Y21" s="18">
        <v>1.4397</v>
      </c>
      <c r="Z21" s="18">
        <v>0.23150000000000001</v>
      </c>
      <c r="AA21" s="18">
        <v>0.45090000000000002</v>
      </c>
      <c r="AB21" s="18">
        <v>1.8620000000000001</v>
      </c>
      <c r="AC21" s="18">
        <v>0.96099999999999997</v>
      </c>
      <c r="AD21" s="18">
        <v>0.44969999999999999</v>
      </c>
      <c r="AE21" s="18">
        <v>0.40210000000000001</v>
      </c>
      <c r="AF21" s="18">
        <v>0.51849999999999996</v>
      </c>
      <c r="AG21" s="18">
        <v>0.62609999999999999</v>
      </c>
      <c r="AH21" s="18">
        <v>0.31459999999999999</v>
      </c>
      <c r="AI21" s="18">
        <v>0.27960000000000002</v>
      </c>
      <c r="AJ21" s="18">
        <v>0.3427</v>
      </c>
      <c r="AK21" s="18">
        <v>0.439</v>
      </c>
      <c r="AL21" s="18">
        <v>0.90749999999999997</v>
      </c>
      <c r="AM21" s="18">
        <v>0.53249999999999997</v>
      </c>
      <c r="AN21" s="18">
        <v>0.57050000000000001</v>
      </c>
      <c r="AO21" s="18">
        <v>0.18379999999999999</v>
      </c>
      <c r="AP21" s="18">
        <v>0.56759999999999999</v>
      </c>
      <c r="AQ21" s="18">
        <v>0.4355</v>
      </c>
      <c r="AR21" s="18">
        <v>0.68520000000000003</v>
      </c>
      <c r="AS21" s="18">
        <v>0.70199999999999996</v>
      </c>
      <c r="AT21" s="18">
        <v>0.62029999999999996</v>
      </c>
      <c r="AU21" s="18">
        <v>0.74490000000000001</v>
      </c>
      <c r="AV21" s="18">
        <v>0.46910000000000002</v>
      </c>
      <c r="AW21" s="18">
        <v>0.56679999999999997</v>
      </c>
      <c r="AX21" s="18">
        <v>0.18210000000000001</v>
      </c>
    </row>
    <row r="22" spans="1:50" x14ac:dyDescent="0.25">
      <c r="A22" s="17" t="s">
        <v>119</v>
      </c>
      <c r="B22" s="13" t="s">
        <v>100</v>
      </c>
      <c r="C22" s="18">
        <v>5.3999999999999999E-2</v>
      </c>
      <c r="D22" s="18">
        <v>0.1719</v>
      </c>
      <c r="E22" s="18">
        <v>7.8600000000000003E-2</v>
      </c>
      <c r="F22" s="18">
        <v>8.2199999999999995E-2</v>
      </c>
      <c r="G22" s="18">
        <v>8.9200000000000002E-2</v>
      </c>
      <c r="H22" s="18">
        <v>5.3999999999999999E-2</v>
      </c>
      <c r="I22" s="18">
        <v>5.3999999999999999E-2</v>
      </c>
      <c r="J22" s="18">
        <v>0.1173</v>
      </c>
      <c r="K22" s="18">
        <v>5.3999999999999999E-2</v>
      </c>
      <c r="L22" s="18">
        <v>5.3999999999999999E-2</v>
      </c>
      <c r="M22" s="18">
        <v>0.1173</v>
      </c>
      <c r="N22" s="18">
        <v>5.3999999999999999E-2</v>
      </c>
      <c r="O22" s="18">
        <v>8.5699999999999998E-2</v>
      </c>
      <c r="P22" s="18">
        <v>8.5699999999999998E-2</v>
      </c>
      <c r="Q22" s="18">
        <v>5.3999999999999999E-2</v>
      </c>
      <c r="R22" s="18">
        <v>0.1173</v>
      </c>
      <c r="S22" s="18">
        <v>0.30580000000000002</v>
      </c>
      <c r="T22" s="18">
        <v>0.30280000000000001</v>
      </c>
      <c r="U22" s="18">
        <v>6.6900000000000001E-2</v>
      </c>
      <c r="V22" s="18">
        <v>0.3347</v>
      </c>
      <c r="W22" s="18">
        <v>0.20399999999999999</v>
      </c>
      <c r="X22" s="18">
        <v>5.3999999999999999E-2</v>
      </c>
      <c r="Y22" s="18">
        <v>5.3999999999999999E-2</v>
      </c>
      <c r="Z22" s="18">
        <v>0.1138</v>
      </c>
      <c r="AA22" s="18">
        <v>5.7500000000000002E-2</v>
      </c>
      <c r="AB22" s="18">
        <v>5.3999999999999999E-2</v>
      </c>
      <c r="AC22" s="18">
        <v>9.9699999999999997E-2</v>
      </c>
      <c r="AD22" s="18">
        <v>7.1599999999999997E-2</v>
      </c>
      <c r="AE22" s="18">
        <v>0.1033</v>
      </c>
      <c r="AF22" s="18">
        <v>6.8099999999999994E-2</v>
      </c>
      <c r="AG22" s="18">
        <v>0.1173</v>
      </c>
      <c r="AH22" s="18">
        <v>0.1193</v>
      </c>
      <c r="AI22" s="18">
        <v>0.2397</v>
      </c>
      <c r="AJ22" s="18">
        <v>2.8576999999999999</v>
      </c>
      <c r="AK22" s="18">
        <v>0.434</v>
      </c>
      <c r="AL22" s="18">
        <v>0.20380000000000001</v>
      </c>
      <c r="AM22" s="18">
        <v>0.27239999999999998</v>
      </c>
      <c r="AN22" s="18">
        <v>0.27860000000000001</v>
      </c>
      <c r="AO22" s="18">
        <v>0.44769999999999999</v>
      </c>
      <c r="AP22" s="18">
        <v>0.4133</v>
      </c>
      <c r="AQ22" s="18">
        <v>0.47170000000000001</v>
      </c>
      <c r="AR22" s="18">
        <v>0.90949999999999998</v>
      </c>
      <c r="AS22" s="18">
        <v>1.2033</v>
      </c>
      <c r="AT22" s="18">
        <v>0.43269999999999997</v>
      </c>
      <c r="AU22" s="18">
        <v>0.44169999999999998</v>
      </c>
      <c r="AV22" s="18">
        <v>0.34760000000000002</v>
      </c>
      <c r="AW22" s="18">
        <v>8.2199999999999995E-2</v>
      </c>
      <c r="AX22" s="18">
        <v>8.9200000000000002E-2</v>
      </c>
    </row>
    <row r="23" spans="1:50" x14ac:dyDescent="0.25">
      <c r="A23" s="17" t="s">
        <v>121</v>
      </c>
      <c r="B23" s="13" t="s">
        <v>100</v>
      </c>
      <c r="C23" s="18">
        <v>0.59940000000000004</v>
      </c>
      <c r="D23" s="18">
        <v>0.54420000000000002</v>
      </c>
      <c r="E23" s="18">
        <v>0.54749999999999999</v>
      </c>
      <c r="F23" s="18">
        <v>0.65629999999999999</v>
      </c>
      <c r="G23" s="18">
        <v>0.33389999999999997</v>
      </c>
      <c r="H23" s="18">
        <v>9.6000000000000002E-2</v>
      </c>
      <c r="I23" s="18">
        <v>4.4999999999999998E-2</v>
      </c>
      <c r="J23" s="18">
        <v>0.1867</v>
      </c>
      <c r="K23" s="18">
        <v>0.1313</v>
      </c>
      <c r="L23" s="18">
        <v>0.1673</v>
      </c>
      <c r="M23" s="18">
        <v>6.4299999999999996E-2</v>
      </c>
      <c r="N23" s="18">
        <v>5.79E-2</v>
      </c>
      <c r="O23" s="18">
        <v>0.17380000000000001</v>
      </c>
      <c r="P23" s="18">
        <v>9.7699999999999995E-2</v>
      </c>
      <c r="Q23" s="18">
        <v>0.22020000000000001</v>
      </c>
      <c r="R23" s="18">
        <v>9.2899999999999996E-2</v>
      </c>
      <c r="S23" s="18">
        <v>0.16059999999999999</v>
      </c>
      <c r="T23" s="18">
        <v>0.1094</v>
      </c>
      <c r="U23" s="18">
        <v>8.2799999999999999E-2</v>
      </c>
      <c r="V23" s="18">
        <v>0.32479999999999998</v>
      </c>
      <c r="W23" s="18">
        <v>0.12870000000000001</v>
      </c>
      <c r="X23" s="18">
        <v>4.4999999999999998E-2</v>
      </c>
      <c r="Y23" s="18">
        <v>6.1699999999999998E-2</v>
      </c>
      <c r="Z23" s="18">
        <v>1.0719000000000001</v>
      </c>
      <c r="AA23" s="18">
        <v>0.20449999999999999</v>
      </c>
      <c r="AB23" s="18">
        <v>0.16109999999999999</v>
      </c>
      <c r="AC23" s="18">
        <v>0.15179999999999999</v>
      </c>
      <c r="AD23" s="18">
        <v>0.27989999999999998</v>
      </c>
      <c r="AE23" s="18">
        <v>5.5500000000000001E-2</v>
      </c>
      <c r="AF23" s="18">
        <v>0.28699999999999998</v>
      </c>
      <c r="AG23" s="18">
        <v>0.1089</v>
      </c>
      <c r="AH23" s="18">
        <v>0.17860000000000001</v>
      </c>
      <c r="AI23" s="18">
        <v>0.52400000000000002</v>
      </c>
      <c r="AJ23" s="18">
        <v>0.1265</v>
      </c>
      <c r="AK23" s="18">
        <v>0.1867</v>
      </c>
      <c r="AL23" s="18">
        <v>0.13930000000000001</v>
      </c>
      <c r="AM23" s="18">
        <v>0.1055</v>
      </c>
      <c r="AN23" s="18">
        <v>0.17130000000000001</v>
      </c>
      <c r="AO23" s="18">
        <v>0.19489999999999999</v>
      </c>
      <c r="AP23" s="18">
        <v>1.2712000000000001</v>
      </c>
      <c r="AQ23" s="18">
        <v>0.3241</v>
      </c>
      <c r="AR23" s="18">
        <v>0.45269999999999999</v>
      </c>
      <c r="AS23" s="18">
        <v>0.55149999999999999</v>
      </c>
      <c r="AT23" s="18">
        <v>0.54930000000000001</v>
      </c>
      <c r="AU23" s="18">
        <v>0.36480000000000001</v>
      </c>
      <c r="AV23" s="18">
        <v>0.36059999999999998</v>
      </c>
      <c r="AW23" s="18">
        <v>0.10249999999999999</v>
      </c>
      <c r="AX23" s="18">
        <v>7.3800000000000004E-2</v>
      </c>
    </row>
    <row r="24" spans="1:50" x14ac:dyDescent="0.25">
      <c r="A24" s="17" t="s">
        <v>123</v>
      </c>
      <c r="B24" s="13" t="s">
        <v>100</v>
      </c>
      <c r="C24" s="18">
        <v>7.1900000000000006E-2</v>
      </c>
      <c r="D24" s="18">
        <v>4.2000000000000003E-2</v>
      </c>
      <c r="E24" s="18">
        <v>4.2000000000000003E-2</v>
      </c>
      <c r="F24" s="18">
        <v>0.20619999999999999</v>
      </c>
      <c r="G24" s="18">
        <v>4.2000000000000003E-2</v>
      </c>
      <c r="H24" s="18">
        <v>8.6800000000000002E-2</v>
      </c>
      <c r="I24" s="18">
        <v>0.16139999999999999</v>
      </c>
      <c r="J24" s="18">
        <v>4.2000000000000003E-2</v>
      </c>
      <c r="K24" s="18">
        <v>4.2000000000000003E-2</v>
      </c>
      <c r="L24" s="18">
        <v>0.20619999999999999</v>
      </c>
      <c r="M24" s="18">
        <v>4.2000000000000003E-2</v>
      </c>
      <c r="N24" s="18">
        <v>7.9299999999999995E-2</v>
      </c>
      <c r="O24" s="18">
        <v>0.16889999999999999</v>
      </c>
      <c r="P24" s="18">
        <v>4.2000000000000003E-2</v>
      </c>
      <c r="Q24" s="18">
        <v>4.2000000000000003E-2</v>
      </c>
      <c r="R24" s="18">
        <v>0.1212</v>
      </c>
      <c r="S24" s="18">
        <v>0.2172</v>
      </c>
      <c r="T24" s="18">
        <v>4.41E-2</v>
      </c>
      <c r="U24" s="18">
        <v>0.9284</v>
      </c>
      <c r="V24" s="18">
        <v>0.29930000000000001</v>
      </c>
      <c r="W24" s="18">
        <v>1.5256000000000001</v>
      </c>
      <c r="X24" s="18">
        <v>2.1318000000000001</v>
      </c>
      <c r="Y24" s="18">
        <v>2.6132</v>
      </c>
      <c r="Z24" s="18">
        <v>0.73260000000000003</v>
      </c>
      <c r="AA24" s="18">
        <v>0.23949999999999999</v>
      </c>
      <c r="AB24" s="18">
        <v>0.53310000000000002</v>
      </c>
      <c r="AC24" s="18">
        <v>4.1265000000000001</v>
      </c>
      <c r="AD24" s="18">
        <v>2.5312000000000001</v>
      </c>
      <c r="AE24" s="18">
        <v>0.37269999999999998</v>
      </c>
      <c r="AF24" s="18">
        <v>0.38850000000000001</v>
      </c>
      <c r="AG24" s="18">
        <v>3.9087000000000001</v>
      </c>
      <c r="AH24" s="18">
        <v>2.8208000000000002</v>
      </c>
      <c r="AI24" s="18">
        <v>0.55500000000000005</v>
      </c>
      <c r="AJ24" s="18">
        <v>0.5504</v>
      </c>
      <c r="AK24" s="18">
        <v>1.3130999999999999</v>
      </c>
      <c r="AL24" s="18">
        <v>0.61760000000000004</v>
      </c>
      <c r="AM24" s="18">
        <v>0.10100000000000001</v>
      </c>
      <c r="AN24" s="18">
        <v>0.20619999999999999</v>
      </c>
      <c r="AO24" s="18">
        <v>0.1007</v>
      </c>
      <c r="AP24" s="18">
        <v>0.3896</v>
      </c>
      <c r="AQ24" s="18">
        <v>0.36720000000000003</v>
      </c>
      <c r="AR24" s="18">
        <v>0.3629</v>
      </c>
      <c r="AS24" s="18">
        <v>0.1615</v>
      </c>
      <c r="AT24" s="18">
        <v>0.40360000000000001</v>
      </c>
      <c r="AU24" s="18">
        <v>0.36909999999999998</v>
      </c>
      <c r="AV24" s="18">
        <v>0.30120000000000002</v>
      </c>
      <c r="AW24" s="18">
        <v>0.45810000000000001</v>
      </c>
      <c r="AX24" s="18">
        <v>0.10920000000000001</v>
      </c>
    </row>
    <row r="25" spans="1:50" x14ac:dyDescent="0.25">
      <c r="A25" s="17" t="s">
        <v>125</v>
      </c>
      <c r="B25" s="13" t="s">
        <v>100</v>
      </c>
      <c r="C25" s="18">
        <v>0.1444</v>
      </c>
      <c r="D25" s="18">
        <v>0.2298</v>
      </c>
      <c r="E25" s="18">
        <v>0.16109999999999999</v>
      </c>
      <c r="F25" s="18">
        <v>0.153</v>
      </c>
      <c r="G25" s="18">
        <v>9.6299999999999997E-2</v>
      </c>
      <c r="H25" s="18">
        <v>0.30359999999999998</v>
      </c>
      <c r="I25" s="18">
        <v>9.4E-2</v>
      </c>
      <c r="J25" s="18">
        <v>0.183</v>
      </c>
      <c r="K25" s="18">
        <v>0.19059999999999999</v>
      </c>
      <c r="L25" s="18">
        <v>0.2472</v>
      </c>
      <c r="M25" s="18">
        <v>0.1842</v>
      </c>
      <c r="N25" s="18">
        <v>0.19339999999999999</v>
      </c>
      <c r="O25" s="18">
        <v>0.1515</v>
      </c>
      <c r="P25" s="18">
        <v>0.21260000000000001</v>
      </c>
      <c r="Q25" s="18">
        <v>0.3054</v>
      </c>
      <c r="R25" s="18">
        <v>0.23419999999999999</v>
      </c>
      <c r="S25" s="18">
        <v>0.36480000000000001</v>
      </c>
      <c r="T25" s="18">
        <v>8.4199999999999997E-2</v>
      </c>
      <c r="U25" s="18">
        <v>9.5799999999999996E-2</v>
      </c>
      <c r="V25" s="18">
        <v>0.22239999999999999</v>
      </c>
      <c r="W25" s="18">
        <v>0.2155</v>
      </c>
      <c r="X25" s="18">
        <v>0.14760000000000001</v>
      </c>
      <c r="Y25" s="18">
        <v>0.29020000000000001</v>
      </c>
      <c r="Z25" s="18">
        <v>7.0400000000000004E-2</v>
      </c>
      <c r="AA25" s="18">
        <v>0.13150000000000001</v>
      </c>
      <c r="AB25" s="18">
        <v>0.253</v>
      </c>
      <c r="AC25" s="18">
        <v>0.1565</v>
      </c>
      <c r="AD25" s="18">
        <v>0.9093</v>
      </c>
      <c r="AE25" s="18">
        <v>0.4148</v>
      </c>
      <c r="AF25" s="18">
        <v>0.71240000000000003</v>
      </c>
      <c r="AG25" s="18">
        <v>0.1774</v>
      </c>
      <c r="AH25" s="18">
        <v>0.16689999999999999</v>
      </c>
      <c r="AI25" s="18">
        <v>0.63</v>
      </c>
      <c r="AJ25" s="18">
        <v>0.16320000000000001</v>
      </c>
      <c r="AK25" s="18">
        <v>0.33550000000000002</v>
      </c>
      <c r="AL25" s="18">
        <v>0.55559999999999998</v>
      </c>
      <c r="AM25" s="18">
        <v>0.124</v>
      </c>
      <c r="AN25" s="18">
        <v>0.25950000000000001</v>
      </c>
      <c r="AO25" s="18">
        <v>0.28489999999999999</v>
      </c>
      <c r="AP25" s="18">
        <v>0.43309999999999998</v>
      </c>
      <c r="AQ25" s="18">
        <v>0.52910000000000001</v>
      </c>
      <c r="AR25" s="18">
        <v>0.42099999999999999</v>
      </c>
      <c r="AS25" s="18">
        <v>0.4536</v>
      </c>
      <c r="AT25" s="18">
        <v>0.41899999999999998</v>
      </c>
      <c r="AU25" s="18">
        <v>0.43809999999999999</v>
      </c>
      <c r="AV25" s="18">
        <v>0.27539999999999998</v>
      </c>
      <c r="AW25" s="18">
        <v>0.20130000000000001</v>
      </c>
      <c r="AX25" s="18">
        <v>0.14940000000000001</v>
      </c>
    </row>
    <row r="26" spans="1:50" x14ac:dyDescent="0.25">
      <c r="A26" s="17" t="s">
        <v>127</v>
      </c>
      <c r="B26" s="13" t="s">
        <v>100</v>
      </c>
      <c r="C26" s="18">
        <v>0.1651</v>
      </c>
      <c r="D26" s="18">
        <v>4.7E-2</v>
      </c>
      <c r="E26" s="18">
        <v>0.22070000000000001</v>
      </c>
      <c r="F26" s="18">
        <v>0.1215</v>
      </c>
      <c r="G26" s="18">
        <v>8.2500000000000004E-2</v>
      </c>
      <c r="H26" s="18">
        <v>9.1300000000000006E-2</v>
      </c>
      <c r="I26" s="18">
        <v>0.19239999999999999</v>
      </c>
      <c r="J26" s="18">
        <v>8.3299999999999999E-2</v>
      </c>
      <c r="K26" s="18">
        <v>0.20530000000000001</v>
      </c>
      <c r="L26" s="18">
        <v>0.1235</v>
      </c>
      <c r="M26" s="18">
        <v>0.1268</v>
      </c>
      <c r="N26" s="18">
        <v>0.2198</v>
      </c>
      <c r="O26" s="18">
        <v>0.12230000000000001</v>
      </c>
      <c r="P26" s="18">
        <v>0.10059999999999999</v>
      </c>
      <c r="Q26" s="18">
        <v>0.29830000000000001</v>
      </c>
      <c r="R26" s="18">
        <v>0.1835</v>
      </c>
      <c r="S26" s="18">
        <v>0.84760000000000002</v>
      </c>
      <c r="T26" s="18">
        <v>0.13800000000000001</v>
      </c>
      <c r="U26" s="18">
        <v>0.1268</v>
      </c>
      <c r="V26" s="18">
        <v>4.7E-2</v>
      </c>
      <c r="W26" s="18">
        <v>0.59350000000000003</v>
      </c>
      <c r="X26" s="18">
        <v>0.2266</v>
      </c>
      <c r="Y26" s="18">
        <v>0.2853</v>
      </c>
      <c r="Z26" s="18">
        <v>0.1769</v>
      </c>
      <c r="AA26" s="18">
        <v>0.1268</v>
      </c>
      <c r="AB26" s="18">
        <v>0.21540000000000001</v>
      </c>
      <c r="AC26" s="18">
        <v>8.2500000000000004E-2</v>
      </c>
      <c r="AD26" s="18">
        <v>9.1300000000000006E-2</v>
      </c>
      <c r="AE26" s="18">
        <v>0.21540000000000001</v>
      </c>
      <c r="AF26" s="18">
        <v>0.1268</v>
      </c>
      <c r="AG26" s="18">
        <v>4.7E-2</v>
      </c>
      <c r="AH26" s="18">
        <v>4.7E-2</v>
      </c>
      <c r="AI26" s="18">
        <v>0.27300000000000002</v>
      </c>
      <c r="AJ26" s="18">
        <v>6.9199999999999998E-2</v>
      </c>
      <c r="AK26" s="18">
        <v>0.18959999999999999</v>
      </c>
      <c r="AL26" s="18">
        <v>0.15260000000000001</v>
      </c>
      <c r="AM26" s="18">
        <v>4.7E-2</v>
      </c>
      <c r="AN26" s="18">
        <v>0.1268</v>
      </c>
      <c r="AO26" s="18">
        <v>0.16950000000000001</v>
      </c>
      <c r="AP26" s="18">
        <v>0.13800000000000001</v>
      </c>
      <c r="AQ26" s="18">
        <v>0.1096</v>
      </c>
      <c r="AR26" s="18">
        <v>0.36940000000000001</v>
      </c>
      <c r="AS26" s="18">
        <v>0.2127</v>
      </c>
      <c r="AT26" s="18">
        <v>0.36909999999999998</v>
      </c>
      <c r="AU26" s="18">
        <v>5.9200000000000003E-2</v>
      </c>
      <c r="AV26" s="18">
        <v>0.1817</v>
      </c>
      <c r="AW26" s="18">
        <v>1.5382</v>
      </c>
      <c r="AX26" s="18">
        <v>1.4055</v>
      </c>
    </row>
    <row r="27" spans="1:50" x14ac:dyDescent="0.25">
      <c r="A27" s="17" t="s">
        <v>129</v>
      </c>
      <c r="B27" s="13" t="s">
        <v>100</v>
      </c>
      <c r="C27" s="18">
        <v>0.16039999999999999</v>
      </c>
      <c r="D27" s="18">
        <v>5.5E-2</v>
      </c>
      <c r="E27" s="18">
        <v>5.5E-2</v>
      </c>
      <c r="F27" s="18">
        <v>0.1118</v>
      </c>
      <c r="G27" s="18">
        <v>0.17660000000000001</v>
      </c>
      <c r="H27" s="18">
        <v>5.5E-2</v>
      </c>
      <c r="I27" s="18">
        <v>0.2334</v>
      </c>
      <c r="J27" s="18">
        <v>5.5E-2</v>
      </c>
      <c r="K27" s="18">
        <v>0.65629999999999999</v>
      </c>
      <c r="L27" s="18">
        <v>0.91469999999999996</v>
      </c>
      <c r="M27" s="18">
        <v>0.47220000000000001</v>
      </c>
      <c r="N27" s="18">
        <v>5.5E-2</v>
      </c>
      <c r="O27" s="18">
        <v>0.1847</v>
      </c>
      <c r="P27" s="18">
        <v>0.23530000000000001</v>
      </c>
      <c r="Q27" s="18">
        <v>5.5E-2</v>
      </c>
      <c r="R27" s="18">
        <v>0.2334</v>
      </c>
      <c r="S27" s="18">
        <v>5.5E-2</v>
      </c>
      <c r="T27" s="18">
        <v>0.1036</v>
      </c>
      <c r="U27" s="18">
        <v>0.51090000000000002</v>
      </c>
      <c r="V27" s="18">
        <v>1.4865999999999999</v>
      </c>
      <c r="W27" s="18">
        <v>1.7703</v>
      </c>
      <c r="X27" s="18">
        <v>2.1890999999999998</v>
      </c>
      <c r="Y27" s="18">
        <v>2.5585</v>
      </c>
      <c r="Z27" s="18">
        <v>1.9797</v>
      </c>
      <c r="AA27" s="18">
        <v>0.1361</v>
      </c>
      <c r="AB27" s="18">
        <v>5.5E-2</v>
      </c>
      <c r="AC27" s="18">
        <v>5.5E-2</v>
      </c>
      <c r="AD27" s="18">
        <v>0.16800000000000001</v>
      </c>
      <c r="AE27" s="18">
        <v>0.8155</v>
      </c>
      <c r="AF27" s="18">
        <v>5.5E-2</v>
      </c>
      <c r="AG27" s="18">
        <v>0.11990000000000001</v>
      </c>
      <c r="AH27" s="18">
        <v>1.6688000000000001</v>
      </c>
      <c r="AI27" s="18">
        <v>0.49480000000000002</v>
      </c>
      <c r="AJ27" s="18">
        <v>0.72750000000000004</v>
      </c>
      <c r="AK27" s="18">
        <v>0.27650000000000002</v>
      </c>
      <c r="AL27" s="18">
        <v>0.2253</v>
      </c>
      <c r="AM27" s="18">
        <v>7.17E-2</v>
      </c>
      <c r="AN27" s="18">
        <v>0.41070000000000001</v>
      </c>
      <c r="AO27" s="18">
        <v>0.6492</v>
      </c>
      <c r="AP27" s="18">
        <v>0.86260000000000003</v>
      </c>
      <c r="AQ27" s="18">
        <v>0.92679999999999996</v>
      </c>
      <c r="AR27" s="18">
        <v>2.4161999999999999</v>
      </c>
      <c r="AS27" s="18">
        <v>2.2719</v>
      </c>
      <c r="AT27" s="18">
        <v>1.1693</v>
      </c>
      <c r="AU27" s="18">
        <v>0.95609999999999995</v>
      </c>
      <c r="AV27" s="18">
        <v>1.0327999999999999</v>
      </c>
      <c r="AW27" s="18">
        <v>0.16039999999999999</v>
      </c>
      <c r="AX27" s="18">
        <v>0.128</v>
      </c>
    </row>
    <row r="28" spans="1:50" x14ac:dyDescent="0.25">
      <c r="A28" s="8" t="s">
        <v>70</v>
      </c>
      <c r="B28" s="10" t="s">
        <v>57</v>
      </c>
      <c r="C28" s="16">
        <v>0.5998</v>
      </c>
      <c r="D28" s="16">
        <v>0.22789999999999999</v>
      </c>
      <c r="E28" s="16">
        <v>5.6000000000000001E-2</v>
      </c>
      <c r="F28" s="16">
        <v>5.6000000000000001E-2</v>
      </c>
      <c r="G28" s="16">
        <v>7.9399999999999998E-2</v>
      </c>
      <c r="H28" s="16">
        <v>0.2044</v>
      </c>
      <c r="I28" s="16">
        <v>5.6000000000000001E-2</v>
      </c>
      <c r="J28" s="16">
        <v>0.22009999999999999</v>
      </c>
      <c r="K28" s="16">
        <v>6.3799999999999996E-2</v>
      </c>
      <c r="L28" s="16">
        <v>7.9399999999999998E-2</v>
      </c>
      <c r="M28" s="16">
        <v>0.2044</v>
      </c>
      <c r="N28" s="16">
        <v>5.6000000000000001E-2</v>
      </c>
      <c r="O28" s="16">
        <v>0.1263</v>
      </c>
      <c r="P28" s="16">
        <v>0.15759999999999999</v>
      </c>
      <c r="Q28" s="16">
        <v>5.6000000000000001E-2</v>
      </c>
      <c r="R28" s="16">
        <v>0.1956</v>
      </c>
      <c r="S28" s="16">
        <v>0.25469999999999998</v>
      </c>
      <c r="T28" s="16">
        <v>0.18099999999999999</v>
      </c>
      <c r="U28" s="16">
        <v>0.2263</v>
      </c>
      <c r="V28" s="16">
        <v>0.2576</v>
      </c>
      <c r="W28" s="16">
        <v>0.21340000000000001</v>
      </c>
      <c r="X28" s="16">
        <v>0.40629999999999999</v>
      </c>
      <c r="Y28" s="16">
        <v>0.37509999999999999</v>
      </c>
      <c r="Z28" s="16">
        <v>0.3846</v>
      </c>
      <c r="AA28" s="16">
        <v>0.60160000000000002</v>
      </c>
      <c r="AB28" s="16">
        <v>0.51280000000000003</v>
      </c>
      <c r="AC28" s="16">
        <v>0.50429999999999997</v>
      </c>
      <c r="AD28" s="16">
        <v>0.26769999999999999</v>
      </c>
      <c r="AE28" s="16">
        <v>1.107</v>
      </c>
      <c r="AF28" s="16">
        <v>1.8169999999999999</v>
      </c>
      <c r="AG28" s="16">
        <v>2.3479999999999999</v>
      </c>
      <c r="AH28" s="16">
        <v>0.17050000000000001</v>
      </c>
      <c r="AI28" s="16">
        <v>0.1825</v>
      </c>
      <c r="AJ28" s="16">
        <v>0.48449999999999999</v>
      </c>
      <c r="AK28" s="16">
        <v>5.6000000000000001E-2</v>
      </c>
      <c r="AL28" s="16">
        <v>0.12820000000000001</v>
      </c>
      <c r="AM28" s="16">
        <v>0.37640000000000001</v>
      </c>
      <c r="AN28" s="16">
        <v>0.12239999999999999</v>
      </c>
      <c r="AO28" s="16">
        <v>1.6757</v>
      </c>
      <c r="AP28" s="16">
        <v>1.4086000000000001</v>
      </c>
      <c r="AQ28" s="16">
        <v>1.375</v>
      </c>
      <c r="AR28" s="16">
        <v>0.4526</v>
      </c>
      <c r="AS28" s="16">
        <v>0.25509999999999999</v>
      </c>
      <c r="AT28" s="16">
        <v>0.46750000000000003</v>
      </c>
      <c r="AU28" s="16">
        <v>0.26190000000000002</v>
      </c>
      <c r="AV28" s="16">
        <v>0.24310000000000001</v>
      </c>
      <c r="AW28" s="16">
        <v>8.7300000000000003E-2</v>
      </c>
      <c r="AX28" s="16">
        <v>0.1966</v>
      </c>
    </row>
    <row r="29" spans="1:50" x14ac:dyDescent="0.25">
      <c r="A29" s="17" t="s">
        <v>131</v>
      </c>
      <c r="B29" s="13" t="s">
        <v>100</v>
      </c>
      <c r="C29" s="18">
        <v>0.13139999999999999</v>
      </c>
      <c r="D29" s="18">
        <v>5.5E-2</v>
      </c>
      <c r="E29" s="18">
        <v>8.6800000000000002E-2</v>
      </c>
      <c r="F29" s="18">
        <v>0.1633</v>
      </c>
      <c r="G29" s="18">
        <v>5.5E-2</v>
      </c>
      <c r="H29" s="18">
        <v>5.5E-2</v>
      </c>
      <c r="I29" s="18">
        <v>0.1951</v>
      </c>
      <c r="J29" s="18">
        <v>5.5E-2</v>
      </c>
      <c r="K29" s="18">
        <v>0.1187</v>
      </c>
      <c r="L29" s="18">
        <v>0.13139999999999999</v>
      </c>
      <c r="M29" s="18">
        <v>6.7699999999999996E-2</v>
      </c>
      <c r="N29" s="18">
        <v>0.18240000000000001</v>
      </c>
      <c r="O29" s="18">
        <v>5.5E-2</v>
      </c>
      <c r="P29" s="18">
        <v>0.23949999999999999</v>
      </c>
      <c r="Q29" s="18">
        <v>1.9225000000000001</v>
      </c>
      <c r="R29" s="18">
        <v>0.97540000000000004</v>
      </c>
      <c r="S29" s="18">
        <v>1.3232999999999999</v>
      </c>
      <c r="T29" s="18">
        <v>1.8482000000000001</v>
      </c>
      <c r="U29" s="18">
        <v>1.2958000000000001</v>
      </c>
      <c r="V29" s="18">
        <v>0.2631</v>
      </c>
      <c r="W29" s="18">
        <v>0.27529999999999999</v>
      </c>
      <c r="X29" s="18">
        <v>0.40260000000000001</v>
      </c>
      <c r="Y29" s="18">
        <v>0.1484</v>
      </c>
      <c r="Z29" s="18">
        <v>0.2069</v>
      </c>
      <c r="AA29" s="18">
        <v>0.5373</v>
      </c>
      <c r="AB29" s="18">
        <v>0.56769999999999998</v>
      </c>
      <c r="AC29" s="18">
        <v>0.54010000000000002</v>
      </c>
      <c r="AD29" s="18">
        <v>0.29859999999999998</v>
      </c>
      <c r="AE29" s="18">
        <v>0.45860000000000001</v>
      </c>
      <c r="AF29" s="18">
        <v>0.29530000000000001</v>
      </c>
      <c r="AG29" s="18">
        <v>0.30230000000000001</v>
      </c>
      <c r="AH29" s="18">
        <v>0.4501</v>
      </c>
      <c r="AI29" s="18">
        <v>0.22020000000000001</v>
      </c>
      <c r="AJ29" s="18">
        <v>0.35560000000000003</v>
      </c>
      <c r="AK29" s="18">
        <v>1.3429</v>
      </c>
      <c r="AL29" s="18">
        <v>0.1535</v>
      </c>
      <c r="AM29" s="18">
        <v>0.20669999999999999</v>
      </c>
      <c r="AN29" s="18">
        <v>9.6799999999999997E-2</v>
      </c>
      <c r="AO29" s="18">
        <v>0.20849999999999999</v>
      </c>
      <c r="AP29" s="18">
        <v>0.22170000000000001</v>
      </c>
      <c r="AQ29" s="18">
        <v>0.34760000000000002</v>
      </c>
      <c r="AR29" s="18">
        <v>0.52800000000000002</v>
      </c>
      <c r="AS29" s="18">
        <v>0.36659999999999998</v>
      </c>
      <c r="AT29" s="18">
        <v>0.39739999999999998</v>
      </c>
      <c r="AU29" s="18">
        <v>1.0337000000000001</v>
      </c>
      <c r="AV29" s="18">
        <v>0.30530000000000002</v>
      </c>
      <c r="AW29" s="18">
        <v>0.50580000000000003</v>
      </c>
      <c r="AX29" s="18">
        <v>0.17100000000000001</v>
      </c>
    </row>
    <row r="30" spans="1:50" x14ac:dyDescent="0.25">
      <c r="A30" s="17" t="s">
        <v>133</v>
      </c>
      <c r="B30" s="13" t="s">
        <v>100</v>
      </c>
      <c r="C30" s="18">
        <v>0.14849999999999999</v>
      </c>
      <c r="D30" s="18">
        <v>0.1704</v>
      </c>
      <c r="E30" s="18">
        <v>0.2205</v>
      </c>
      <c r="F30" s="18">
        <v>0.1769</v>
      </c>
      <c r="G30" s="18">
        <v>4.8000000000000001E-2</v>
      </c>
      <c r="H30" s="18">
        <v>0.2205</v>
      </c>
      <c r="I30" s="18">
        <v>0.1769</v>
      </c>
      <c r="J30" s="18">
        <v>0.13420000000000001</v>
      </c>
      <c r="K30" s="18">
        <v>0.25019999999999998</v>
      </c>
      <c r="L30" s="18">
        <v>6.0900000000000003E-2</v>
      </c>
      <c r="M30" s="18">
        <v>0.2205</v>
      </c>
      <c r="N30" s="18">
        <v>0.106</v>
      </c>
      <c r="O30" s="18">
        <v>0.24429999999999999</v>
      </c>
      <c r="P30" s="18">
        <v>9.5000000000000001E-2</v>
      </c>
      <c r="Q30" s="18">
        <v>0.1769</v>
      </c>
      <c r="R30" s="18">
        <v>0.2205</v>
      </c>
      <c r="S30" s="18">
        <v>0.44030000000000002</v>
      </c>
      <c r="T30" s="18">
        <v>0.25159999999999999</v>
      </c>
      <c r="U30" s="18">
        <v>0.24740000000000001</v>
      </c>
      <c r="V30" s="18">
        <v>4.8000000000000001E-2</v>
      </c>
      <c r="W30" s="18">
        <v>0.1769</v>
      </c>
      <c r="X30" s="18">
        <v>0.2205</v>
      </c>
      <c r="Y30" s="18">
        <v>0.1769</v>
      </c>
      <c r="Z30" s="18">
        <v>9.5000000000000001E-2</v>
      </c>
      <c r="AA30" s="18">
        <v>0.1734</v>
      </c>
      <c r="AB30" s="18">
        <v>5.4399999999999997E-2</v>
      </c>
      <c r="AC30" s="18">
        <v>0.24099999999999999</v>
      </c>
      <c r="AD30" s="18">
        <v>0.14990000000000001</v>
      </c>
      <c r="AE30" s="18">
        <v>0.13819999999999999</v>
      </c>
      <c r="AF30" s="18">
        <v>0.21990000000000001</v>
      </c>
      <c r="AG30" s="18">
        <v>0.1709</v>
      </c>
      <c r="AH30" s="18">
        <v>0.17929999999999999</v>
      </c>
      <c r="AI30" s="18">
        <v>0.3705</v>
      </c>
      <c r="AJ30" s="18">
        <v>0.14099999999999999</v>
      </c>
      <c r="AK30" s="18">
        <v>0.41370000000000001</v>
      </c>
      <c r="AL30" s="18">
        <v>0.42049999999999998</v>
      </c>
      <c r="AM30" s="18">
        <v>0.43509999999999999</v>
      </c>
      <c r="AN30" s="18">
        <v>0.39879999999999999</v>
      </c>
      <c r="AO30" s="18">
        <v>0.54459999999999997</v>
      </c>
      <c r="AP30" s="18">
        <v>0.59899999999999998</v>
      </c>
      <c r="AQ30" s="18">
        <v>0.58309999999999995</v>
      </c>
      <c r="AR30" s="18">
        <v>0.80449999999999999</v>
      </c>
      <c r="AS30" s="18">
        <v>0.62229999999999996</v>
      </c>
      <c r="AT30" s="18">
        <v>0.80149999999999999</v>
      </c>
      <c r="AU30" s="18">
        <v>0.90010000000000001</v>
      </c>
      <c r="AV30" s="18">
        <v>0.76180000000000003</v>
      </c>
      <c r="AW30" s="18">
        <v>0.57999999999999996</v>
      </c>
      <c r="AX30" s="18">
        <v>0.99139999999999995</v>
      </c>
    </row>
    <row r="31" spans="1:50" x14ac:dyDescent="0.25">
      <c r="A31" s="17" t="s">
        <v>135</v>
      </c>
      <c r="B31" s="13" t="s">
        <v>100</v>
      </c>
      <c r="C31" s="18">
        <v>4.8000000000000001E-2</v>
      </c>
      <c r="D31" s="18">
        <v>9.0999999999999998E-2</v>
      </c>
      <c r="E31" s="18">
        <v>0.1628</v>
      </c>
      <c r="F31" s="18">
        <v>0.12590000000000001</v>
      </c>
      <c r="G31" s="18">
        <v>0.20580000000000001</v>
      </c>
      <c r="H31" s="18">
        <v>0.12590000000000001</v>
      </c>
      <c r="I31" s="18">
        <v>4.8000000000000001E-2</v>
      </c>
      <c r="J31" s="18">
        <v>0.26640000000000003</v>
      </c>
      <c r="K31" s="18">
        <v>6.5299999999999997E-2</v>
      </c>
      <c r="L31" s="18">
        <v>0.15459999999999999</v>
      </c>
      <c r="M31" s="18">
        <v>0.17710000000000001</v>
      </c>
      <c r="N31" s="18">
        <v>0.12590000000000001</v>
      </c>
      <c r="O31" s="18">
        <v>0.20580000000000001</v>
      </c>
      <c r="P31" s="18">
        <v>0.12590000000000001</v>
      </c>
      <c r="Q31" s="18">
        <v>0.1197</v>
      </c>
      <c r="R31" s="18">
        <v>0.16839999999999999</v>
      </c>
      <c r="S31" s="18">
        <v>0.1076</v>
      </c>
      <c r="T31" s="18">
        <v>0.10979999999999999</v>
      </c>
      <c r="U31" s="18">
        <v>0.2147</v>
      </c>
      <c r="V31" s="18">
        <v>0.1671</v>
      </c>
      <c r="W31" s="18">
        <v>0.2203</v>
      </c>
      <c r="X31" s="18">
        <v>0.1114</v>
      </c>
      <c r="Y31" s="18">
        <v>9.1300000000000006E-2</v>
      </c>
      <c r="Z31" s="18">
        <v>8.2600000000000007E-2</v>
      </c>
      <c r="AA31" s="18">
        <v>0.2707</v>
      </c>
      <c r="AB31" s="18">
        <v>6.0999999999999999E-2</v>
      </c>
      <c r="AC31" s="18">
        <v>0.12590000000000001</v>
      </c>
      <c r="AD31" s="18">
        <v>0.20580000000000001</v>
      </c>
      <c r="AE31" s="18">
        <v>0.23649999999999999</v>
      </c>
      <c r="AF31" s="18">
        <v>0.37919999999999998</v>
      </c>
      <c r="AG31" s="18">
        <v>0.33019999999999999</v>
      </c>
      <c r="AH31" s="18">
        <v>5.67E-2</v>
      </c>
      <c r="AI31" s="18">
        <v>0.33860000000000001</v>
      </c>
      <c r="AJ31" s="18">
        <v>0.20150000000000001</v>
      </c>
      <c r="AK31" s="18">
        <v>0.2571</v>
      </c>
      <c r="AL31" s="18">
        <v>0.18479999999999999</v>
      </c>
      <c r="AM31" s="18">
        <v>0.36520000000000002</v>
      </c>
      <c r="AN31" s="18">
        <v>0.24160000000000001</v>
      </c>
      <c r="AO31" s="18">
        <v>0.15210000000000001</v>
      </c>
      <c r="AP31" s="18">
        <v>0.54600000000000004</v>
      </c>
      <c r="AQ31" s="18">
        <v>0.32290000000000002</v>
      </c>
      <c r="AR31" s="18">
        <v>4.8000000000000001E-2</v>
      </c>
      <c r="AS31" s="18">
        <v>0.28370000000000001</v>
      </c>
      <c r="AT31" s="18">
        <v>4.8000000000000001E-2</v>
      </c>
      <c r="AU31" s="18">
        <v>9.5600000000000004E-2</v>
      </c>
      <c r="AV31" s="18">
        <v>0.2361</v>
      </c>
      <c r="AW31" s="18">
        <v>4.8000000000000001E-2</v>
      </c>
      <c r="AX31" s="18">
        <v>0.2334</v>
      </c>
    </row>
    <row r="32" spans="1:50" x14ac:dyDescent="0.25">
      <c r="A32" s="17" t="s">
        <v>137</v>
      </c>
      <c r="B32" s="13" t="s">
        <v>100</v>
      </c>
      <c r="C32" s="18">
        <v>0.14910000000000001</v>
      </c>
      <c r="D32" s="18">
        <v>0.1391</v>
      </c>
      <c r="E32" s="18">
        <v>8.3000000000000004E-2</v>
      </c>
      <c r="F32" s="18">
        <v>3.4000000000000002E-2</v>
      </c>
      <c r="G32" s="18">
        <v>0.19109999999999999</v>
      </c>
      <c r="H32" s="18">
        <v>0.14610000000000001</v>
      </c>
      <c r="I32" s="18">
        <v>3.4000000000000002E-2</v>
      </c>
      <c r="J32" s="18">
        <v>0.18809999999999999</v>
      </c>
      <c r="K32" s="18">
        <v>0.10299999999999999</v>
      </c>
      <c r="L32" s="18">
        <v>0.08</v>
      </c>
      <c r="M32" s="18">
        <v>0.18809999999999999</v>
      </c>
      <c r="N32" s="18">
        <v>0.14910000000000001</v>
      </c>
      <c r="O32" s="18">
        <v>9.7000000000000003E-2</v>
      </c>
      <c r="P32" s="18">
        <v>0.12509999999999999</v>
      </c>
      <c r="Q32" s="18">
        <v>0.2994</v>
      </c>
      <c r="R32" s="18">
        <v>0.47370000000000001</v>
      </c>
      <c r="S32" s="18">
        <v>0.23830000000000001</v>
      </c>
      <c r="T32" s="18">
        <v>0.59740000000000004</v>
      </c>
      <c r="U32" s="18">
        <v>4.1000000000000002E-2</v>
      </c>
      <c r="V32" s="18">
        <v>7.4300000000000005E-2</v>
      </c>
      <c r="W32" s="18">
        <v>0.20680000000000001</v>
      </c>
      <c r="X32" s="18">
        <v>0.09</v>
      </c>
      <c r="Y32" s="18">
        <v>6.08E-2</v>
      </c>
      <c r="Z32" s="18">
        <v>0.27639999999999998</v>
      </c>
      <c r="AA32" s="18">
        <v>3.4000000000000002E-2</v>
      </c>
      <c r="AB32" s="18">
        <v>0.14910000000000001</v>
      </c>
      <c r="AC32" s="18">
        <v>0.1706</v>
      </c>
      <c r="AD32" s="18">
        <v>0.53759999999999997</v>
      </c>
      <c r="AE32" s="18">
        <v>0.45660000000000001</v>
      </c>
      <c r="AF32" s="18">
        <v>0.34910000000000002</v>
      </c>
      <c r="AG32" s="18">
        <v>0.36230000000000001</v>
      </c>
      <c r="AH32" s="18">
        <v>0.35899999999999999</v>
      </c>
      <c r="AI32" s="18">
        <v>0.43369999999999997</v>
      </c>
      <c r="AJ32" s="18">
        <v>0.18779999999999999</v>
      </c>
      <c r="AK32" s="18">
        <v>0.88200000000000001</v>
      </c>
      <c r="AL32" s="18">
        <v>1.9298999999999999</v>
      </c>
      <c r="AM32" s="18">
        <v>0.46139999999999998</v>
      </c>
      <c r="AN32" s="18">
        <v>0.2341</v>
      </c>
      <c r="AO32" s="18">
        <v>1.177</v>
      </c>
      <c r="AP32" s="18">
        <v>0.76080000000000003</v>
      </c>
      <c r="AQ32" s="18">
        <v>0.68089999999999995</v>
      </c>
      <c r="AR32" s="18">
        <v>0.77680000000000005</v>
      </c>
      <c r="AS32" s="18">
        <v>0.98050000000000004</v>
      </c>
      <c r="AT32" s="18">
        <v>0.70120000000000005</v>
      </c>
      <c r="AU32" s="18">
        <v>0.76029999999999998</v>
      </c>
      <c r="AV32" s="18">
        <v>0.89270000000000005</v>
      </c>
      <c r="AW32" s="18">
        <v>0.98619999999999997</v>
      </c>
      <c r="AX32" s="18">
        <v>0.67669999999999997</v>
      </c>
    </row>
    <row r="33" spans="1:50" x14ac:dyDescent="0.25">
      <c r="A33" s="17" t="s">
        <v>139</v>
      </c>
      <c r="B33" s="13" t="s">
        <v>100</v>
      </c>
      <c r="C33" s="18">
        <v>0.14990000000000001</v>
      </c>
      <c r="D33" s="18">
        <v>0.05</v>
      </c>
      <c r="E33" s="18">
        <v>0.05</v>
      </c>
      <c r="F33" s="18">
        <v>0.10489999999999999</v>
      </c>
      <c r="G33" s="18">
        <v>9.5000000000000001E-2</v>
      </c>
      <c r="H33" s="18">
        <v>0.05</v>
      </c>
      <c r="I33" s="18">
        <v>0.13489999999999999</v>
      </c>
      <c r="J33" s="18">
        <v>6.5000000000000002E-2</v>
      </c>
      <c r="K33" s="18">
        <v>0.05</v>
      </c>
      <c r="L33" s="18">
        <v>0.05</v>
      </c>
      <c r="M33" s="18">
        <v>5.5E-2</v>
      </c>
      <c r="N33" s="18">
        <v>0.1449</v>
      </c>
      <c r="O33" s="18">
        <v>0.05</v>
      </c>
      <c r="P33" s="18">
        <v>0.05</v>
      </c>
      <c r="Q33" s="18">
        <v>0.05</v>
      </c>
      <c r="R33" s="18">
        <v>6.1600000000000002E-2</v>
      </c>
      <c r="S33" s="18">
        <v>8.6800000000000002E-2</v>
      </c>
      <c r="T33" s="18">
        <v>0.1096</v>
      </c>
      <c r="U33" s="18">
        <v>0.1595</v>
      </c>
      <c r="V33" s="18">
        <v>6.3600000000000004E-2</v>
      </c>
      <c r="W33" s="18">
        <v>0.14990000000000001</v>
      </c>
      <c r="X33" s="18">
        <v>0.05</v>
      </c>
      <c r="Y33" s="18">
        <v>0.14990000000000001</v>
      </c>
      <c r="Z33" s="18">
        <v>0.05</v>
      </c>
      <c r="AA33" s="18">
        <v>9.5000000000000001E-2</v>
      </c>
      <c r="AB33" s="18">
        <v>0.10489999999999999</v>
      </c>
      <c r="AC33" s="18">
        <v>0.05</v>
      </c>
      <c r="AD33" s="18">
        <v>0.1991</v>
      </c>
      <c r="AE33" s="18">
        <v>0.125</v>
      </c>
      <c r="AF33" s="18">
        <v>0.22589999999999999</v>
      </c>
      <c r="AG33" s="18">
        <v>0.32800000000000001</v>
      </c>
      <c r="AH33" s="18">
        <v>0.1593</v>
      </c>
      <c r="AI33" s="18">
        <v>0.2107</v>
      </c>
      <c r="AJ33" s="18">
        <v>0.27460000000000001</v>
      </c>
      <c r="AK33" s="18">
        <v>0.15890000000000001</v>
      </c>
      <c r="AL33" s="18">
        <v>0.13650000000000001</v>
      </c>
      <c r="AM33" s="18">
        <v>0.1903</v>
      </c>
      <c r="AN33" s="18">
        <v>0.27489999999999998</v>
      </c>
      <c r="AO33" s="18">
        <v>0.23069999999999999</v>
      </c>
      <c r="AP33" s="18">
        <v>1.6831</v>
      </c>
      <c r="AQ33" s="18">
        <v>0.29089999999999999</v>
      </c>
      <c r="AR33" s="18">
        <v>0.30659999999999998</v>
      </c>
      <c r="AS33" s="18">
        <v>0.28220000000000001</v>
      </c>
      <c r="AT33" s="18">
        <v>0.37040000000000001</v>
      </c>
      <c r="AU33" s="18">
        <v>0.30819999999999997</v>
      </c>
      <c r="AV33" s="18">
        <v>0.94879999999999998</v>
      </c>
      <c r="AW33" s="18">
        <v>0.81679999999999997</v>
      </c>
      <c r="AX33" s="18">
        <v>0.2389</v>
      </c>
    </row>
    <row r="34" spans="1:50" x14ac:dyDescent="0.25">
      <c r="A34" s="17" t="s">
        <v>141</v>
      </c>
      <c r="B34" s="13" t="s">
        <v>100</v>
      </c>
      <c r="C34" s="18">
        <v>5.2999999999999999E-2</v>
      </c>
      <c r="D34" s="18">
        <v>5.2999999999999999E-2</v>
      </c>
      <c r="E34" s="18">
        <v>0.16059999999999999</v>
      </c>
      <c r="F34" s="18">
        <v>5.2999999999999999E-2</v>
      </c>
      <c r="G34" s="18">
        <v>0.1452</v>
      </c>
      <c r="H34" s="18">
        <v>6.8400000000000002E-2</v>
      </c>
      <c r="I34" s="18">
        <v>5.2999999999999999E-2</v>
      </c>
      <c r="J34" s="18">
        <v>0.15290000000000001</v>
      </c>
      <c r="K34" s="18">
        <v>6.0699999999999997E-2</v>
      </c>
      <c r="L34" s="18">
        <v>5.2999999999999999E-2</v>
      </c>
      <c r="M34" s="18">
        <v>0.16059999999999999</v>
      </c>
      <c r="N34" s="18">
        <v>5.2999999999999999E-2</v>
      </c>
      <c r="O34" s="18">
        <v>9.9099999999999994E-2</v>
      </c>
      <c r="P34" s="18">
        <v>0.1145</v>
      </c>
      <c r="Q34" s="18">
        <v>5.2999999999999999E-2</v>
      </c>
      <c r="R34" s="18">
        <v>0.16059999999999999</v>
      </c>
      <c r="S34" s="18">
        <v>5.2999999999999999E-2</v>
      </c>
      <c r="T34" s="18">
        <v>5.3699999999999998E-2</v>
      </c>
      <c r="U34" s="18">
        <v>0.16339999999999999</v>
      </c>
      <c r="V34" s="18">
        <v>0.23019999999999999</v>
      </c>
      <c r="W34" s="18">
        <v>0.30630000000000002</v>
      </c>
      <c r="X34" s="18">
        <v>0.1736</v>
      </c>
      <c r="Y34" s="18">
        <v>0.56289999999999996</v>
      </c>
      <c r="Z34" s="18">
        <v>0.99790000000000001</v>
      </c>
      <c r="AA34" s="18">
        <v>6.7500000000000004E-2</v>
      </c>
      <c r="AB34" s="18">
        <v>0.1057</v>
      </c>
      <c r="AC34" s="18">
        <v>0.14069999999999999</v>
      </c>
      <c r="AD34" s="18">
        <v>8.7800000000000003E-2</v>
      </c>
      <c r="AE34" s="18">
        <v>0.97199999999999998</v>
      </c>
      <c r="AF34" s="18">
        <v>0.1265</v>
      </c>
      <c r="AG34" s="18">
        <v>0.1479</v>
      </c>
      <c r="AH34" s="18">
        <v>7.6100000000000001E-2</v>
      </c>
      <c r="AI34" s="18">
        <v>0.13750000000000001</v>
      </c>
      <c r="AJ34" s="18">
        <v>5.2999999999999999E-2</v>
      </c>
      <c r="AK34" s="18">
        <v>5.2999999999999999E-2</v>
      </c>
      <c r="AL34" s="18">
        <v>0.18790000000000001</v>
      </c>
      <c r="AM34" s="18">
        <v>0.34989999999999999</v>
      </c>
      <c r="AN34" s="18">
        <v>1.1288</v>
      </c>
      <c r="AO34" s="18">
        <v>0.59809999999999997</v>
      </c>
      <c r="AP34" s="18">
        <v>0.2402</v>
      </c>
      <c r="AQ34" s="18">
        <v>5.2999999999999999E-2</v>
      </c>
      <c r="AR34" s="18">
        <v>5.2999999999999999E-2</v>
      </c>
      <c r="AS34" s="18">
        <v>0.16059999999999999</v>
      </c>
      <c r="AT34" s="18">
        <v>5.2999999999999999E-2</v>
      </c>
      <c r="AU34" s="18">
        <v>0.16059999999999999</v>
      </c>
      <c r="AV34" s="18">
        <v>5.2999999999999999E-2</v>
      </c>
      <c r="AW34" s="18">
        <v>6.0699999999999997E-2</v>
      </c>
      <c r="AX34" s="18">
        <v>0.15290000000000001</v>
      </c>
    </row>
    <row r="35" spans="1:50" x14ac:dyDescent="0.25">
      <c r="A35" s="17" t="s">
        <v>143</v>
      </c>
      <c r="B35" s="13" t="s">
        <v>100</v>
      </c>
      <c r="C35" s="18">
        <v>0.14779999999999999</v>
      </c>
      <c r="D35" s="18">
        <v>0.10589999999999999</v>
      </c>
      <c r="E35" s="18">
        <v>0.05</v>
      </c>
      <c r="F35" s="18">
        <v>0.05</v>
      </c>
      <c r="G35" s="18">
        <v>0.20369999999999999</v>
      </c>
      <c r="H35" s="18">
        <v>0.05</v>
      </c>
      <c r="I35" s="18">
        <v>0.12690000000000001</v>
      </c>
      <c r="J35" s="18">
        <v>0.12690000000000001</v>
      </c>
      <c r="K35" s="18">
        <v>0.05</v>
      </c>
      <c r="L35" s="18">
        <v>0.20369999999999999</v>
      </c>
      <c r="M35" s="18">
        <v>0.05</v>
      </c>
      <c r="N35" s="18">
        <v>0.20369999999999999</v>
      </c>
      <c r="O35" s="18">
        <v>0.05</v>
      </c>
      <c r="P35" s="18">
        <v>0.11990000000000001</v>
      </c>
      <c r="Q35" s="18">
        <v>0.1338</v>
      </c>
      <c r="R35" s="18">
        <v>5.4300000000000001E-2</v>
      </c>
      <c r="S35" s="18">
        <v>0.24429999999999999</v>
      </c>
      <c r="T35" s="18">
        <v>0.16139999999999999</v>
      </c>
      <c r="U35" s="18">
        <v>0.223</v>
      </c>
      <c r="V35" s="18">
        <v>0.32090000000000002</v>
      </c>
      <c r="W35" s="18">
        <v>0.1951</v>
      </c>
      <c r="X35" s="18">
        <v>0.3382</v>
      </c>
      <c r="Y35" s="18">
        <v>0.22900000000000001</v>
      </c>
      <c r="Z35" s="18">
        <v>1.3619000000000001</v>
      </c>
      <c r="AA35" s="18">
        <v>0.26500000000000001</v>
      </c>
      <c r="AB35" s="18">
        <v>0.1515</v>
      </c>
      <c r="AC35" s="18">
        <v>0.20369999999999999</v>
      </c>
      <c r="AD35" s="18">
        <v>0.05</v>
      </c>
      <c r="AE35" s="18">
        <v>0.1467</v>
      </c>
      <c r="AF35" s="18">
        <v>0.30940000000000001</v>
      </c>
      <c r="AG35" s="18">
        <v>1.2589999999999999</v>
      </c>
      <c r="AH35" s="18">
        <v>0.22869999999999999</v>
      </c>
      <c r="AI35" s="18">
        <v>9.8400000000000001E-2</v>
      </c>
      <c r="AJ35" s="18">
        <v>0.16769999999999999</v>
      </c>
      <c r="AK35" s="18">
        <v>0.24859999999999999</v>
      </c>
      <c r="AL35" s="18">
        <v>0.1656</v>
      </c>
      <c r="AM35" s="18">
        <v>0.23810000000000001</v>
      </c>
      <c r="AN35" s="18">
        <v>0.14879999999999999</v>
      </c>
      <c r="AO35" s="18">
        <v>0.16200000000000001</v>
      </c>
      <c r="AP35" s="18">
        <v>0.35439999999999999</v>
      </c>
      <c r="AQ35" s="18">
        <v>1.2101999999999999</v>
      </c>
      <c r="AR35" s="18">
        <v>0.2354</v>
      </c>
      <c r="AS35" s="18">
        <v>0.7016</v>
      </c>
      <c r="AT35" s="18">
        <v>0.44290000000000002</v>
      </c>
      <c r="AU35" s="18">
        <v>0.3211</v>
      </c>
      <c r="AV35" s="18">
        <v>0.19869999999999999</v>
      </c>
      <c r="AW35" s="18">
        <v>0.2223</v>
      </c>
      <c r="AX35" s="18">
        <v>0.57240000000000002</v>
      </c>
    </row>
    <row r="36" spans="1:50" x14ac:dyDescent="0.25">
      <c r="A36" s="17" t="s">
        <v>145</v>
      </c>
      <c r="B36" s="13" t="s">
        <v>100</v>
      </c>
      <c r="C36" s="18">
        <v>0.1096</v>
      </c>
      <c r="D36" s="18">
        <v>5.1999999999999998E-2</v>
      </c>
      <c r="E36" s="18">
        <v>0.16800000000000001</v>
      </c>
      <c r="F36" s="18">
        <v>0.1108</v>
      </c>
      <c r="G36" s="18">
        <v>9.5799999999999996E-2</v>
      </c>
      <c r="H36" s="18">
        <v>0.1399</v>
      </c>
      <c r="I36" s="18">
        <v>9.5100000000000004E-2</v>
      </c>
      <c r="J36" s="18">
        <v>0.1197</v>
      </c>
      <c r="K36" s="18">
        <v>4.8000000000000001E-2</v>
      </c>
      <c r="L36" s="18">
        <v>0.1197</v>
      </c>
      <c r="M36" s="18">
        <v>0.18310000000000001</v>
      </c>
      <c r="N36" s="18">
        <v>9.98E-2</v>
      </c>
      <c r="O36" s="18">
        <v>0.1739</v>
      </c>
      <c r="P36" s="18">
        <v>0.109</v>
      </c>
      <c r="Q36" s="18">
        <v>4.8000000000000001E-2</v>
      </c>
      <c r="R36" s="18">
        <v>0.2349</v>
      </c>
      <c r="S36" s="18">
        <v>4.8000000000000001E-2</v>
      </c>
      <c r="T36" s="18">
        <v>0.12130000000000001</v>
      </c>
      <c r="U36" s="18">
        <v>0.16159999999999999</v>
      </c>
      <c r="V36" s="18">
        <v>4.8000000000000001E-2</v>
      </c>
      <c r="W36" s="18">
        <v>0.15629999999999999</v>
      </c>
      <c r="X36" s="18">
        <v>0.1265</v>
      </c>
      <c r="Y36" s="18">
        <v>0.1077</v>
      </c>
      <c r="Z36" s="18">
        <v>0.15939999999999999</v>
      </c>
      <c r="AA36" s="18">
        <v>6.3700000000000007E-2</v>
      </c>
      <c r="AB36" s="18">
        <v>0.11609999999999999</v>
      </c>
      <c r="AC36" s="18">
        <v>9.5100000000000004E-2</v>
      </c>
      <c r="AD36" s="18">
        <v>0.1157</v>
      </c>
      <c r="AE36" s="18">
        <v>0.22339999999999999</v>
      </c>
      <c r="AF36" s="18">
        <v>0.17199999999999999</v>
      </c>
      <c r="AG36" s="18">
        <v>4.8000000000000001E-2</v>
      </c>
      <c r="AH36" s="18">
        <v>0.16320000000000001</v>
      </c>
      <c r="AI36" s="18">
        <v>0.1197</v>
      </c>
      <c r="AJ36" s="18">
        <v>0.1527</v>
      </c>
      <c r="AK36" s="18">
        <v>0.32950000000000002</v>
      </c>
      <c r="AL36" s="18">
        <v>0.2339</v>
      </c>
      <c r="AM36" s="18">
        <v>0.45419999999999999</v>
      </c>
      <c r="AN36" s="18">
        <v>0.50800000000000001</v>
      </c>
      <c r="AO36" s="18">
        <v>0.34079999999999999</v>
      </c>
      <c r="AP36" s="18">
        <v>0.54249999999999998</v>
      </c>
      <c r="AQ36" s="18">
        <v>0.57850000000000001</v>
      </c>
      <c r="AR36" s="18">
        <v>0.50600000000000001</v>
      </c>
      <c r="AS36" s="18">
        <v>0.1318</v>
      </c>
      <c r="AT36" s="18">
        <v>7.5899999999999995E-2</v>
      </c>
      <c r="AU36" s="18">
        <v>0.29649999999999999</v>
      </c>
      <c r="AV36" s="18">
        <v>0.34189999999999998</v>
      </c>
      <c r="AW36" s="18">
        <v>0.39419999999999999</v>
      </c>
      <c r="AX36" s="18">
        <v>0.17929999999999999</v>
      </c>
    </row>
    <row r="37" spans="1:50" x14ac:dyDescent="0.25">
      <c r="A37" s="8" t="s">
        <v>72</v>
      </c>
      <c r="B37" s="10" t="s">
        <v>57</v>
      </c>
      <c r="C37" s="16">
        <v>0.22639999999999999</v>
      </c>
      <c r="D37" s="16">
        <v>5.1999999999999998E-2</v>
      </c>
      <c r="E37" s="16">
        <v>0.1512</v>
      </c>
      <c r="F37" s="16">
        <v>5.1999999999999998E-2</v>
      </c>
      <c r="G37" s="16">
        <v>7.6799999999999993E-2</v>
      </c>
      <c r="H37" s="16">
        <v>0.21149999999999999</v>
      </c>
      <c r="I37" s="16">
        <v>5.1999999999999998E-2</v>
      </c>
      <c r="J37" s="16">
        <v>0.2316</v>
      </c>
      <c r="K37" s="16">
        <v>5.67E-2</v>
      </c>
      <c r="L37" s="16">
        <v>0.1512</v>
      </c>
      <c r="M37" s="16">
        <v>7.0900000000000005E-2</v>
      </c>
      <c r="N37" s="16">
        <v>0.1182</v>
      </c>
      <c r="O37" s="16">
        <v>0.1512</v>
      </c>
      <c r="P37" s="16">
        <v>5.1999999999999998E-2</v>
      </c>
      <c r="Q37" s="16">
        <v>0.1958</v>
      </c>
      <c r="R37" s="16">
        <v>0.26719999999999999</v>
      </c>
      <c r="S37" s="16">
        <v>0.15409999999999999</v>
      </c>
      <c r="T37" s="16">
        <v>0.15909999999999999</v>
      </c>
      <c r="U37" s="16">
        <v>0.15490000000000001</v>
      </c>
      <c r="V37" s="16">
        <v>8.6699999999999999E-2</v>
      </c>
      <c r="W37" s="16">
        <v>0.26989999999999997</v>
      </c>
      <c r="X37" s="16">
        <v>0.1512</v>
      </c>
      <c r="Y37" s="16">
        <v>0.1371</v>
      </c>
      <c r="Z37" s="16">
        <v>7.6799999999999993E-2</v>
      </c>
      <c r="AA37" s="16">
        <v>0.12640000000000001</v>
      </c>
      <c r="AB37" s="16">
        <v>0.1371</v>
      </c>
      <c r="AC37" s="16">
        <v>6.1899999999999997E-2</v>
      </c>
      <c r="AD37" s="16">
        <v>0.1933</v>
      </c>
      <c r="AE37" s="16">
        <v>8.5099999999999995E-2</v>
      </c>
      <c r="AF37" s="16">
        <v>5.1999999999999998E-2</v>
      </c>
      <c r="AG37" s="16">
        <v>0.12640000000000001</v>
      </c>
      <c r="AH37" s="16">
        <v>7.6799999999999993E-2</v>
      </c>
      <c r="AI37" s="16">
        <v>5.7000000000000002E-2</v>
      </c>
      <c r="AJ37" s="16">
        <v>0.25330000000000003</v>
      </c>
      <c r="AK37" s="16">
        <v>7.2999999999999995E-2</v>
      </c>
      <c r="AL37" s="16">
        <v>0.10639999999999999</v>
      </c>
      <c r="AM37" s="16">
        <v>0.20330000000000001</v>
      </c>
      <c r="AN37" s="16">
        <v>5.1999999999999998E-2</v>
      </c>
      <c r="AO37" s="16">
        <v>0.14130000000000001</v>
      </c>
      <c r="AP37" s="16">
        <v>0.1045</v>
      </c>
      <c r="AQ37" s="16">
        <v>0.20269999999999999</v>
      </c>
      <c r="AR37" s="16">
        <v>1.3042</v>
      </c>
      <c r="AS37" s="16">
        <v>0.48699999999999999</v>
      </c>
      <c r="AT37" s="16">
        <v>0.51600000000000001</v>
      </c>
      <c r="AU37" s="16">
        <v>0.63019999999999998</v>
      </c>
      <c r="AV37" s="16">
        <v>0.62050000000000005</v>
      </c>
      <c r="AW37" s="16">
        <v>0.60699999999999998</v>
      </c>
      <c r="AX37" s="16">
        <v>0.25109999999999999</v>
      </c>
    </row>
    <row r="38" spans="1:50" x14ac:dyDescent="0.25">
      <c r="A38" s="17" t="s">
        <v>147</v>
      </c>
      <c r="B38" s="13" t="s">
        <v>100</v>
      </c>
      <c r="C38" s="18">
        <v>8.1000000000000003E-2</v>
      </c>
      <c r="D38" s="18">
        <v>0.27960000000000002</v>
      </c>
      <c r="E38" s="18">
        <v>4.9000000000000002E-2</v>
      </c>
      <c r="F38" s="18">
        <v>0.2026</v>
      </c>
      <c r="G38" s="18">
        <v>0.15790000000000001</v>
      </c>
      <c r="H38" s="18">
        <v>4.9000000000000002E-2</v>
      </c>
      <c r="I38" s="18">
        <v>0.1356</v>
      </c>
      <c r="J38" s="18">
        <v>0.20100000000000001</v>
      </c>
      <c r="K38" s="18">
        <v>7.2999999999999995E-2</v>
      </c>
      <c r="L38" s="18">
        <v>0.19789999999999999</v>
      </c>
      <c r="M38" s="18">
        <v>0.16259999999999999</v>
      </c>
      <c r="N38" s="18">
        <v>0.1323</v>
      </c>
      <c r="O38" s="18">
        <v>0.22819999999999999</v>
      </c>
      <c r="P38" s="18">
        <v>4.9000000000000002E-2</v>
      </c>
      <c r="Q38" s="18">
        <v>0.22500000000000001</v>
      </c>
      <c r="R38" s="18">
        <v>4.9000000000000002E-2</v>
      </c>
      <c r="S38" s="18">
        <v>4.9000000000000002E-2</v>
      </c>
      <c r="T38" s="18">
        <v>0.2283</v>
      </c>
      <c r="U38" s="18">
        <v>0.13220000000000001</v>
      </c>
      <c r="V38" s="18">
        <v>4.9000000000000002E-2</v>
      </c>
      <c r="W38" s="18">
        <v>0.12590000000000001</v>
      </c>
      <c r="X38" s="18">
        <v>0.2346</v>
      </c>
      <c r="Y38" s="18">
        <v>4.9000000000000002E-2</v>
      </c>
      <c r="Z38" s="18">
        <v>0.24909999999999999</v>
      </c>
      <c r="AA38" s="18">
        <v>0.1114</v>
      </c>
      <c r="AB38" s="18">
        <v>0.16270000000000001</v>
      </c>
      <c r="AC38" s="18">
        <v>0.19789999999999999</v>
      </c>
      <c r="AD38" s="18">
        <v>4.9000000000000002E-2</v>
      </c>
      <c r="AE38" s="18">
        <v>0.27789999999999998</v>
      </c>
      <c r="AF38" s="18">
        <v>8.2699999999999996E-2</v>
      </c>
      <c r="AG38" s="18">
        <v>0.1308</v>
      </c>
      <c r="AH38" s="18">
        <v>0.2298</v>
      </c>
      <c r="AI38" s="18">
        <v>4.9000000000000002E-2</v>
      </c>
      <c r="AJ38" s="18">
        <v>4.9000000000000002E-2</v>
      </c>
      <c r="AK38" s="18">
        <v>0.1308</v>
      </c>
      <c r="AL38" s="18">
        <v>0.2298</v>
      </c>
      <c r="AM38" s="18">
        <v>0.15210000000000001</v>
      </c>
      <c r="AN38" s="18">
        <v>0.20899999999999999</v>
      </c>
      <c r="AO38" s="18">
        <v>6.5000000000000002E-2</v>
      </c>
      <c r="AP38" s="18">
        <v>9.06E-2</v>
      </c>
      <c r="AQ38" s="18">
        <v>0.27</v>
      </c>
      <c r="AR38" s="18">
        <v>4.9000000000000002E-2</v>
      </c>
      <c r="AS38" s="18">
        <v>0.31159999999999999</v>
      </c>
      <c r="AT38" s="18">
        <v>4.9000000000000002E-2</v>
      </c>
      <c r="AU38" s="18">
        <v>0.17699999999999999</v>
      </c>
      <c r="AV38" s="18">
        <v>9.7000000000000003E-2</v>
      </c>
      <c r="AW38" s="18">
        <v>8.1000000000000003E-2</v>
      </c>
      <c r="AX38" s="18">
        <v>0.193</v>
      </c>
    </row>
    <row r="39" spans="1:50" x14ac:dyDescent="0.25">
      <c r="A39" s="17" t="s">
        <v>149</v>
      </c>
      <c r="B39" s="13" t="s">
        <v>100</v>
      </c>
      <c r="C39" s="18">
        <v>0.33479999999999999</v>
      </c>
      <c r="D39" s="18">
        <v>1.2986</v>
      </c>
      <c r="E39" s="18">
        <v>0.4244</v>
      </c>
      <c r="F39" s="18">
        <v>0.1076</v>
      </c>
      <c r="G39" s="18">
        <v>0.12889999999999999</v>
      </c>
      <c r="H39" s="18">
        <v>0.19350000000000001</v>
      </c>
      <c r="I39" s="18">
        <v>4.2999999999999997E-2</v>
      </c>
      <c r="J39" s="18">
        <v>0.18360000000000001</v>
      </c>
      <c r="K39" s="18">
        <v>0.12089999999999999</v>
      </c>
      <c r="L39" s="18">
        <v>6.88E-2</v>
      </c>
      <c r="M39" s="18">
        <v>0.20699999999999999</v>
      </c>
      <c r="N39" s="18">
        <v>0.1076</v>
      </c>
      <c r="O39" s="18">
        <v>0.21490000000000001</v>
      </c>
      <c r="P39" s="18">
        <v>4.2999999999999997E-2</v>
      </c>
      <c r="Q39" s="18">
        <v>0.1074</v>
      </c>
      <c r="R39" s="18">
        <v>0.33600000000000002</v>
      </c>
      <c r="S39" s="18">
        <v>0.1331</v>
      </c>
      <c r="T39" s="18">
        <v>0.3342</v>
      </c>
      <c r="U39" s="18">
        <v>0.21440000000000001</v>
      </c>
      <c r="V39" s="18">
        <v>0.1326</v>
      </c>
      <c r="W39" s="18">
        <v>0.1076</v>
      </c>
      <c r="X39" s="18">
        <v>0.1055</v>
      </c>
      <c r="Y39" s="18">
        <v>0.156</v>
      </c>
      <c r="Z39" s="18">
        <v>0.1159</v>
      </c>
      <c r="AA39" s="18">
        <v>0.40960000000000002</v>
      </c>
      <c r="AB39" s="18">
        <v>0.14710000000000001</v>
      </c>
      <c r="AC39" s="18">
        <v>5.9700000000000003E-2</v>
      </c>
      <c r="AD39" s="18">
        <v>0.19700000000000001</v>
      </c>
      <c r="AE39" s="18">
        <v>0.20849999999999999</v>
      </c>
      <c r="AF39" s="18">
        <v>0.2727</v>
      </c>
      <c r="AG39" s="18">
        <v>8.2100000000000006E-2</v>
      </c>
      <c r="AH39" s="18">
        <v>0.1076</v>
      </c>
      <c r="AI39" s="18">
        <v>0.1211</v>
      </c>
      <c r="AJ39" s="18">
        <v>0.13669999999999999</v>
      </c>
      <c r="AK39" s="18">
        <v>0.1076</v>
      </c>
      <c r="AL39" s="18">
        <v>0.21490000000000001</v>
      </c>
      <c r="AM39" s="18">
        <v>5.74E-2</v>
      </c>
      <c r="AN39" s="18">
        <v>0.2651</v>
      </c>
      <c r="AO39" s="18">
        <v>0.10150000000000001</v>
      </c>
      <c r="AP39" s="18">
        <v>0.31809999999999999</v>
      </c>
      <c r="AQ39" s="18">
        <v>0.50590000000000002</v>
      </c>
      <c r="AR39" s="18">
        <v>0.4299</v>
      </c>
      <c r="AS39" s="18">
        <v>0.48749999999999999</v>
      </c>
      <c r="AT39" s="18">
        <v>0.32069999999999999</v>
      </c>
      <c r="AU39" s="18">
        <v>0.6321</v>
      </c>
      <c r="AV39" s="18">
        <v>0.45019999999999999</v>
      </c>
      <c r="AW39" s="18">
        <v>0.46279999999999999</v>
      </c>
      <c r="AX39" s="18">
        <v>0.2833</v>
      </c>
    </row>
    <row r="40" spans="1:50" x14ac:dyDescent="0.25">
      <c r="A40" s="17" t="s">
        <v>151</v>
      </c>
      <c r="B40" s="13" t="s">
        <v>100</v>
      </c>
      <c r="C40" s="18">
        <v>5.3999999999999999E-2</v>
      </c>
      <c r="D40" s="18">
        <v>5.3999999999999999E-2</v>
      </c>
      <c r="E40" s="18">
        <v>0.22919999999999999</v>
      </c>
      <c r="F40" s="18">
        <v>5.3999999999999999E-2</v>
      </c>
      <c r="G40" s="18">
        <v>0.20530000000000001</v>
      </c>
      <c r="H40" s="18">
        <v>7.7899999999999997E-2</v>
      </c>
      <c r="I40" s="18">
        <v>5.3999999999999999E-2</v>
      </c>
      <c r="J40" s="18">
        <v>0.22919999999999999</v>
      </c>
      <c r="K40" s="18">
        <v>5.3999999999999999E-2</v>
      </c>
      <c r="L40" s="18">
        <v>0.17349999999999999</v>
      </c>
      <c r="M40" s="18">
        <v>0.10979999999999999</v>
      </c>
      <c r="N40" s="18">
        <v>5.3999999999999999E-2</v>
      </c>
      <c r="O40" s="18">
        <v>0.22919999999999999</v>
      </c>
      <c r="P40" s="18">
        <v>5.3999999999999999E-2</v>
      </c>
      <c r="Q40" s="18">
        <v>0.25559999999999999</v>
      </c>
      <c r="R40" s="18">
        <v>0.34200000000000003</v>
      </c>
      <c r="S40" s="18">
        <v>0.21529999999999999</v>
      </c>
      <c r="T40" s="18">
        <v>0.33100000000000002</v>
      </c>
      <c r="U40" s="18">
        <v>0.29249999999999998</v>
      </c>
      <c r="V40" s="18">
        <v>0.24249999999999999</v>
      </c>
      <c r="W40" s="18">
        <v>0.39850000000000002</v>
      </c>
      <c r="X40" s="18">
        <v>0.11169999999999999</v>
      </c>
      <c r="Y40" s="18">
        <v>0.16669999999999999</v>
      </c>
      <c r="Z40" s="18">
        <v>0.1686</v>
      </c>
      <c r="AA40" s="18">
        <v>5.3999999999999999E-2</v>
      </c>
      <c r="AB40" s="18">
        <v>0.1416</v>
      </c>
      <c r="AC40" s="18">
        <v>0.1416</v>
      </c>
      <c r="AD40" s="18">
        <v>5.7500000000000002E-2</v>
      </c>
      <c r="AE40" s="18">
        <v>0.18940000000000001</v>
      </c>
      <c r="AF40" s="18">
        <v>9.3799999999999994E-2</v>
      </c>
      <c r="AG40" s="18">
        <v>9.4899999999999998E-2</v>
      </c>
      <c r="AH40" s="18">
        <v>0.3019</v>
      </c>
      <c r="AI40" s="18">
        <v>0.14699999999999999</v>
      </c>
      <c r="AJ40" s="18">
        <v>0.29799999999999999</v>
      </c>
      <c r="AK40" s="18">
        <v>0.1404</v>
      </c>
      <c r="AL40" s="18">
        <v>0.13700000000000001</v>
      </c>
      <c r="AM40" s="18">
        <v>0.2954</v>
      </c>
      <c r="AN40" s="18">
        <v>0.11600000000000001</v>
      </c>
      <c r="AO40" s="18">
        <v>0.33850000000000002</v>
      </c>
      <c r="AP40" s="18">
        <v>0.35649999999999998</v>
      </c>
      <c r="AQ40" s="18">
        <v>0.39900000000000002</v>
      </c>
      <c r="AR40" s="18">
        <v>0.58240000000000003</v>
      </c>
      <c r="AS40" s="18">
        <v>0.63959999999999995</v>
      </c>
      <c r="AT40" s="18">
        <v>0.53969999999999996</v>
      </c>
      <c r="AU40" s="18">
        <v>0.6129</v>
      </c>
      <c r="AV40" s="18">
        <v>0.39750000000000002</v>
      </c>
      <c r="AW40" s="18">
        <v>0.42859999999999998</v>
      </c>
      <c r="AX40" s="18">
        <v>9.3799999999999994E-2</v>
      </c>
    </row>
    <row r="41" spans="1:50" x14ac:dyDescent="0.25">
      <c r="A41" s="17" t="s">
        <v>153</v>
      </c>
      <c r="B41" s="13" t="s">
        <v>100</v>
      </c>
      <c r="C41" s="18">
        <v>0.06</v>
      </c>
      <c r="D41" s="18">
        <v>0.24279999999999999</v>
      </c>
      <c r="E41" s="18">
        <v>0.152</v>
      </c>
      <c r="F41" s="18">
        <v>0.19020000000000001</v>
      </c>
      <c r="G41" s="18">
        <v>0.18490000000000001</v>
      </c>
      <c r="H41" s="18">
        <v>0.2099</v>
      </c>
      <c r="I41" s="18">
        <v>0.06</v>
      </c>
      <c r="J41" s="18">
        <v>0.33479999999999999</v>
      </c>
      <c r="K41" s="18">
        <v>0.06</v>
      </c>
      <c r="L41" s="18">
        <v>0.19040000000000001</v>
      </c>
      <c r="M41" s="18">
        <v>0.2044</v>
      </c>
      <c r="N41" s="18">
        <v>0.06</v>
      </c>
      <c r="O41" s="18">
        <v>0.33479999999999999</v>
      </c>
      <c r="P41" s="18">
        <v>0.06</v>
      </c>
      <c r="Q41" s="18">
        <v>0.28889999999999999</v>
      </c>
      <c r="R41" s="18">
        <v>0.10589999999999999</v>
      </c>
      <c r="S41" s="18">
        <v>0.1386</v>
      </c>
      <c r="T41" s="18">
        <v>0.25619999999999998</v>
      </c>
      <c r="U41" s="18">
        <v>0.06</v>
      </c>
      <c r="V41" s="18">
        <v>8.6300000000000002E-2</v>
      </c>
      <c r="W41" s="18">
        <v>0.27600000000000002</v>
      </c>
      <c r="X41" s="18">
        <v>9.2499999999999999E-2</v>
      </c>
      <c r="Y41" s="18">
        <v>0.152</v>
      </c>
      <c r="Z41" s="18">
        <v>0.11260000000000001</v>
      </c>
      <c r="AA41" s="18">
        <v>0.06</v>
      </c>
      <c r="AB41" s="18">
        <v>0.2046</v>
      </c>
      <c r="AC41" s="18">
        <v>0.19020000000000001</v>
      </c>
      <c r="AD41" s="18">
        <v>0.41710000000000003</v>
      </c>
      <c r="AE41" s="18">
        <v>0.20760000000000001</v>
      </c>
      <c r="AF41" s="18">
        <v>0.23980000000000001</v>
      </c>
      <c r="AG41" s="18">
        <v>0.12570000000000001</v>
      </c>
      <c r="AH41" s="18">
        <v>0.1186</v>
      </c>
      <c r="AI41" s="18">
        <v>0.1908</v>
      </c>
      <c r="AJ41" s="18">
        <v>0.17799999999999999</v>
      </c>
      <c r="AK41" s="18">
        <v>0.1774</v>
      </c>
      <c r="AL41" s="18">
        <v>0.29630000000000001</v>
      </c>
      <c r="AM41" s="18">
        <v>0.35149999999999998</v>
      </c>
      <c r="AN41" s="18">
        <v>0.2009</v>
      </c>
      <c r="AO41" s="18">
        <v>0.64939999999999998</v>
      </c>
      <c r="AP41" s="18">
        <v>0.66869999999999996</v>
      </c>
      <c r="AQ41" s="18">
        <v>1.3503000000000001</v>
      </c>
      <c r="AR41" s="18">
        <v>1.3382000000000001</v>
      </c>
      <c r="AS41" s="18">
        <v>0.7974</v>
      </c>
      <c r="AT41" s="18">
        <v>1.0016</v>
      </c>
      <c r="AU41" s="18">
        <v>1.3008999999999999</v>
      </c>
      <c r="AV41" s="18">
        <v>1.0223</v>
      </c>
      <c r="AW41" s="18">
        <v>0.875</v>
      </c>
      <c r="AX41" s="18">
        <v>0.52159999999999995</v>
      </c>
    </row>
    <row r="42" spans="1:50" x14ac:dyDescent="0.25">
      <c r="A42" s="8" t="s">
        <v>74</v>
      </c>
      <c r="B42" s="10" t="s">
        <v>57</v>
      </c>
      <c r="C42" s="16">
        <v>0.18329999999999999</v>
      </c>
      <c r="D42" s="16">
        <v>0.15909999999999999</v>
      </c>
      <c r="E42" s="16">
        <v>3.6999999999999998E-2</v>
      </c>
      <c r="F42" s="16">
        <v>0.1394</v>
      </c>
      <c r="G42" s="16">
        <v>0.20300000000000001</v>
      </c>
      <c r="H42" s="16">
        <v>5.4100000000000002E-2</v>
      </c>
      <c r="I42" s="16">
        <v>0.20760000000000001</v>
      </c>
      <c r="J42" s="16">
        <v>3.6999999999999998E-2</v>
      </c>
      <c r="K42" s="16">
        <v>0.15690000000000001</v>
      </c>
      <c r="L42" s="16">
        <v>0.20780000000000001</v>
      </c>
      <c r="M42" s="16">
        <v>6.1699999999999998E-2</v>
      </c>
      <c r="N42" s="16">
        <v>0.1774</v>
      </c>
      <c r="O42" s="16">
        <v>0.1694</v>
      </c>
      <c r="P42" s="16">
        <v>0.1132</v>
      </c>
      <c r="Q42" s="16">
        <v>0.25290000000000001</v>
      </c>
      <c r="R42" s="16">
        <v>4.9000000000000002E-2</v>
      </c>
      <c r="S42" s="16">
        <v>0.2049</v>
      </c>
      <c r="T42" s="16">
        <v>0.1613</v>
      </c>
      <c r="U42" s="16">
        <v>0.1043</v>
      </c>
      <c r="V42" s="16">
        <v>0.24460000000000001</v>
      </c>
      <c r="W42" s="16">
        <v>0.1608</v>
      </c>
      <c r="X42" s="16">
        <v>0.27450000000000002</v>
      </c>
      <c r="Y42" s="16">
        <v>0.33989999999999998</v>
      </c>
      <c r="Z42" s="16">
        <v>0.98709999999999998</v>
      </c>
      <c r="AA42" s="16">
        <v>0.29160000000000003</v>
      </c>
      <c r="AB42" s="16">
        <v>0.2177</v>
      </c>
      <c r="AC42" s="16">
        <v>0.18190000000000001</v>
      </c>
      <c r="AD42" s="16">
        <v>0.19320000000000001</v>
      </c>
      <c r="AE42" s="16">
        <v>0.31530000000000002</v>
      </c>
      <c r="AF42" s="16">
        <v>1.7102999999999999</v>
      </c>
      <c r="AG42" s="16">
        <v>0.81030000000000002</v>
      </c>
      <c r="AH42" s="16">
        <v>0.26150000000000001</v>
      </c>
      <c r="AI42" s="16">
        <v>1.2081</v>
      </c>
      <c r="AJ42" s="16">
        <v>0.83199999999999996</v>
      </c>
      <c r="AK42" s="16">
        <v>0.30759999999999998</v>
      </c>
      <c r="AL42" s="16">
        <v>0.21110000000000001</v>
      </c>
      <c r="AM42" s="16">
        <v>0.2316</v>
      </c>
      <c r="AN42" s="16">
        <v>0.45169999999999999</v>
      </c>
      <c r="AO42" s="16">
        <v>0.31190000000000001</v>
      </c>
      <c r="AP42" s="16">
        <v>0.52110000000000001</v>
      </c>
      <c r="AQ42" s="16">
        <v>0.82609999999999995</v>
      </c>
      <c r="AR42" s="16">
        <v>1.4494</v>
      </c>
      <c r="AS42" s="16">
        <v>0.44</v>
      </c>
      <c r="AT42" s="16">
        <v>0.32869999999999999</v>
      </c>
      <c r="AU42" s="16">
        <v>0.1474</v>
      </c>
      <c r="AV42" s="16">
        <v>0.44009999999999999</v>
      </c>
      <c r="AW42" s="16">
        <v>0.26879999999999998</v>
      </c>
      <c r="AX42" s="16">
        <v>0.29599999999999999</v>
      </c>
    </row>
    <row r="43" spans="1:50" x14ac:dyDescent="0.25">
      <c r="A43" s="17" t="s">
        <v>155</v>
      </c>
      <c r="B43" s="13" t="s">
        <v>100</v>
      </c>
      <c r="C43" s="18">
        <v>4.1000000000000002E-2</v>
      </c>
      <c r="D43" s="18">
        <v>0.112</v>
      </c>
      <c r="E43" s="18">
        <v>4.1000000000000002E-2</v>
      </c>
      <c r="F43" s="18">
        <v>0.112</v>
      </c>
      <c r="G43" s="18">
        <v>4.1000000000000002E-2</v>
      </c>
      <c r="H43" s="18">
        <v>0.112</v>
      </c>
      <c r="I43" s="18">
        <v>4.1000000000000002E-2</v>
      </c>
      <c r="J43" s="18">
        <v>4.1000000000000002E-2</v>
      </c>
      <c r="K43" s="18">
        <v>4.1000000000000002E-2</v>
      </c>
      <c r="L43" s="18">
        <v>4.1000000000000002E-2</v>
      </c>
      <c r="M43" s="18">
        <v>8.0399999999999999E-2</v>
      </c>
      <c r="N43" s="18">
        <v>7.2499999999999995E-2</v>
      </c>
      <c r="O43" s="18">
        <v>1.3923000000000001</v>
      </c>
      <c r="P43" s="18">
        <v>0.2898</v>
      </c>
      <c r="Q43" s="18">
        <v>4.8300000000000003E-2</v>
      </c>
      <c r="R43" s="18">
        <v>9.2299999999999993E-2</v>
      </c>
      <c r="S43" s="18">
        <v>6.4799999999999996E-2</v>
      </c>
      <c r="T43" s="18">
        <v>4.1000000000000002E-2</v>
      </c>
      <c r="U43" s="18">
        <v>0.112</v>
      </c>
      <c r="V43" s="18">
        <v>4.1000000000000002E-2</v>
      </c>
      <c r="W43" s="18">
        <v>4.1000000000000002E-2</v>
      </c>
      <c r="X43" s="18">
        <v>0.112</v>
      </c>
      <c r="Y43" s="18">
        <v>4.1000000000000002E-2</v>
      </c>
      <c r="Z43" s="18">
        <v>4.1000000000000002E-2</v>
      </c>
      <c r="AA43" s="18">
        <v>4.2000000000000003E-2</v>
      </c>
      <c r="AB43" s="18">
        <v>0.10340000000000001</v>
      </c>
      <c r="AC43" s="18">
        <v>0.21099999999999999</v>
      </c>
      <c r="AD43" s="18">
        <v>0.36420000000000002</v>
      </c>
      <c r="AE43" s="18">
        <v>0.2427</v>
      </c>
      <c r="AF43" s="18">
        <v>0.34849999999999998</v>
      </c>
      <c r="AG43" s="18">
        <v>0.2646</v>
      </c>
      <c r="AH43" s="18">
        <v>0.39240000000000003</v>
      </c>
      <c r="AI43" s="18">
        <v>0.41830000000000001</v>
      </c>
      <c r="AJ43" s="18">
        <v>0.21809999999999999</v>
      </c>
      <c r="AK43" s="18">
        <v>0.27879999999999999</v>
      </c>
      <c r="AL43" s="18">
        <v>0.3901</v>
      </c>
      <c r="AM43" s="18">
        <v>1.3274999999999999</v>
      </c>
      <c r="AN43" s="18">
        <v>1.8434999999999999</v>
      </c>
      <c r="AO43" s="18">
        <v>0.73099999999999998</v>
      </c>
      <c r="AP43" s="18">
        <v>0.25259999999999999</v>
      </c>
      <c r="AQ43" s="18">
        <v>0.37990000000000002</v>
      </c>
      <c r="AR43" s="18">
        <v>0.37</v>
      </c>
      <c r="AS43" s="18">
        <v>0.3221</v>
      </c>
      <c r="AT43" s="18">
        <v>0.3614</v>
      </c>
      <c r="AU43" s="18">
        <v>0.19359999999999999</v>
      </c>
      <c r="AV43" s="18">
        <v>4.1000000000000002E-2</v>
      </c>
      <c r="AW43" s="18">
        <v>0.112</v>
      </c>
      <c r="AX43" s="18">
        <v>4.1000000000000002E-2</v>
      </c>
    </row>
    <row r="44" spans="1:50" x14ac:dyDescent="0.25">
      <c r="A44" s="8" t="s">
        <v>76</v>
      </c>
      <c r="B44" s="10" t="s">
        <v>57</v>
      </c>
      <c r="C44" s="16">
        <v>5.1999999999999998E-2</v>
      </c>
      <c r="D44" s="16">
        <v>0.1186</v>
      </c>
      <c r="E44" s="16">
        <v>0.1613</v>
      </c>
      <c r="F44" s="16">
        <v>5.1999999999999998E-2</v>
      </c>
      <c r="G44" s="16">
        <v>0.22789999999999999</v>
      </c>
      <c r="H44" s="16">
        <v>5.1999999999999998E-2</v>
      </c>
      <c r="I44" s="16">
        <v>0.1186</v>
      </c>
      <c r="J44" s="16">
        <v>0.1613</v>
      </c>
      <c r="K44" s="16">
        <v>5.1999999999999998E-2</v>
      </c>
      <c r="L44" s="16">
        <v>5.1999999999999998E-2</v>
      </c>
      <c r="M44" s="16">
        <v>0.11210000000000001</v>
      </c>
      <c r="N44" s="16">
        <v>0.1012</v>
      </c>
      <c r="O44" s="16">
        <v>0.1678</v>
      </c>
      <c r="P44" s="16">
        <v>0.11210000000000001</v>
      </c>
      <c r="Q44" s="16">
        <v>0.27729999999999999</v>
      </c>
      <c r="R44" s="16">
        <v>0.31130000000000002</v>
      </c>
      <c r="S44" s="16">
        <v>0.53420000000000001</v>
      </c>
      <c r="T44" s="16">
        <v>0.39179999999999998</v>
      </c>
      <c r="U44" s="16">
        <v>0.30890000000000001</v>
      </c>
      <c r="V44" s="16">
        <v>0.24399999999999999</v>
      </c>
      <c r="W44" s="16">
        <v>5.1999999999999998E-2</v>
      </c>
      <c r="X44" s="16">
        <v>5.1999999999999998E-2</v>
      </c>
      <c r="Y44" s="16">
        <v>6.6799999999999998E-2</v>
      </c>
      <c r="Z44" s="16">
        <v>0.1038</v>
      </c>
      <c r="AA44" s="16">
        <v>0.1613</v>
      </c>
      <c r="AB44" s="16">
        <v>0.1186</v>
      </c>
      <c r="AC44" s="16">
        <v>0.1613</v>
      </c>
      <c r="AD44" s="16">
        <v>5.1999999999999998E-2</v>
      </c>
      <c r="AE44" s="16">
        <v>9.2700000000000005E-2</v>
      </c>
      <c r="AF44" s="16">
        <v>0.13250000000000001</v>
      </c>
      <c r="AG44" s="16">
        <v>0.114</v>
      </c>
      <c r="AH44" s="16">
        <v>0.1658</v>
      </c>
      <c r="AI44" s="16">
        <v>0.1066</v>
      </c>
      <c r="AJ44" s="16">
        <v>0.1186</v>
      </c>
      <c r="AK44" s="16">
        <v>0.1613</v>
      </c>
      <c r="AL44" s="16">
        <v>0.1186</v>
      </c>
      <c r="AM44" s="16">
        <v>0.15579999999999999</v>
      </c>
      <c r="AN44" s="16">
        <v>5.7500000000000002E-2</v>
      </c>
      <c r="AO44" s="16">
        <v>5.1999999999999998E-2</v>
      </c>
      <c r="AP44" s="16">
        <v>0.21690000000000001</v>
      </c>
      <c r="AQ44" s="16">
        <v>6.2899999999999998E-2</v>
      </c>
      <c r="AR44" s="16">
        <v>0.38319999999999999</v>
      </c>
      <c r="AS44" s="16">
        <v>0.495</v>
      </c>
      <c r="AT44" s="16">
        <v>0.45269999999999999</v>
      </c>
      <c r="AU44" s="16">
        <v>0.24979999999999999</v>
      </c>
      <c r="AV44" s="16">
        <v>0.21310000000000001</v>
      </c>
      <c r="AW44" s="16">
        <v>6.6799999999999998E-2</v>
      </c>
      <c r="AX44" s="16">
        <v>7.0499999999999993E-2</v>
      </c>
    </row>
    <row r="45" spans="1:50" x14ac:dyDescent="0.25">
      <c r="A45" s="8" t="s">
        <v>78</v>
      </c>
      <c r="B45" s="10" t="s">
        <v>57</v>
      </c>
      <c r="C45" s="16">
        <v>4.1000000000000002E-2</v>
      </c>
      <c r="D45" s="16">
        <v>0.18770000000000001</v>
      </c>
      <c r="E45" s="16">
        <v>0.2482</v>
      </c>
      <c r="F45" s="16">
        <v>4.1000000000000002E-2</v>
      </c>
      <c r="G45" s="16">
        <v>0.25419999999999998</v>
      </c>
      <c r="H45" s="16">
        <v>0.1817</v>
      </c>
      <c r="I45" s="16">
        <v>6.5500000000000003E-2</v>
      </c>
      <c r="J45" s="16">
        <v>0.15290000000000001</v>
      </c>
      <c r="K45" s="16">
        <v>0.1817</v>
      </c>
      <c r="L45" s="16">
        <v>0.1633</v>
      </c>
      <c r="M45" s="16">
        <v>0.1178</v>
      </c>
      <c r="N45" s="16">
        <v>0.31809999999999999</v>
      </c>
      <c r="O45" s="16">
        <v>4.1000000000000002E-2</v>
      </c>
      <c r="P45" s="16">
        <v>0.27010000000000001</v>
      </c>
      <c r="Q45" s="16">
        <v>0.1658</v>
      </c>
      <c r="R45" s="16">
        <v>7.6600000000000001E-2</v>
      </c>
      <c r="S45" s="16">
        <v>0.40360000000000001</v>
      </c>
      <c r="T45" s="16">
        <v>0.31809999999999999</v>
      </c>
      <c r="U45" s="16">
        <v>0.1043</v>
      </c>
      <c r="V45" s="16">
        <v>0.71289999999999998</v>
      </c>
      <c r="W45" s="16">
        <v>1.8022</v>
      </c>
      <c r="X45" s="16">
        <v>0.87749999999999995</v>
      </c>
      <c r="Y45" s="16">
        <v>0.4</v>
      </c>
      <c r="Z45" s="16">
        <v>0.2339</v>
      </c>
      <c r="AA45" s="16">
        <v>0.33090000000000003</v>
      </c>
      <c r="AB45" s="16">
        <v>4.1000000000000002E-2</v>
      </c>
      <c r="AC45" s="16">
        <v>0.1958</v>
      </c>
      <c r="AD45" s="16">
        <v>0.1633</v>
      </c>
      <c r="AE45" s="16">
        <v>9.7299999999999998E-2</v>
      </c>
      <c r="AF45" s="16">
        <v>0.13950000000000001</v>
      </c>
      <c r="AG45" s="16">
        <v>0.19120000000000001</v>
      </c>
      <c r="AH45" s="16">
        <v>0.2447</v>
      </c>
      <c r="AI45" s="16">
        <v>4.1000000000000002E-2</v>
      </c>
      <c r="AJ45" s="16">
        <v>0.2697</v>
      </c>
      <c r="AK45" s="16">
        <v>0.1103</v>
      </c>
      <c r="AL45" s="16">
        <v>0.13489999999999999</v>
      </c>
      <c r="AM45" s="16">
        <v>0.32669999999999999</v>
      </c>
      <c r="AN45" s="16">
        <v>0.28010000000000002</v>
      </c>
      <c r="AO45" s="16">
        <v>0.3054</v>
      </c>
      <c r="AP45" s="16">
        <v>0.2802</v>
      </c>
      <c r="AQ45" s="16">
        <v>0.46779999999999999</v>
      </c>
      <c r="AR45" s="16">
        <v>0.61570000000000003</v>
      </c>
      <c r="AS45" s="16">
        <v>0.35439999999999999</v>
      </c>
      <c r="AT45" s="16">
        <v>0.24829999999999999</v>
      </c>
      <c r="AU45" s="16">
        <v>0.13300000000000001</v>
      </c>
      <c r="AV45" s="16">
        <v>0.3226</v>
      </c>
      <c r="AW45" s="16">
        <v>0.1133</v>
      </c>
      <c r="AX45" s="16">
        <v>0.20580000000000001</v>
      </c>
    </row>
    <row r="46" spans="1:50" x14ac:dyDescent="0.25">
      <c r="A46" s="17" t="s">
        <v>157</v>
      </c>
      <c r="B46" s="13" t="s">
        <v>100</v>
      </c>
      <c r="C46" s="18">
        <v>5.2999999999999999E-2</v>
      </c>
      <c r="D46" s="18">
        <v>5.2999999999999999E-2</v>
      </c>
      <c r="E46" s="18">
        <v>5.2999999999999999E-2</v>
      </c>
      <c r="F46" s="18">
        <v>5.2999999999999999E-2</v>
      </c>
      <c r="G46" s="18">
        <v>5.2999999999999999E-2</v>
      </c>
      <c r="H46" s="18">
        <v>5.2999999999999999E-2</v>
      </c>
      <c r="I46" s="18">
        <v>5.2999999999999999E-2</v>
      </c>
      <c r="J46" s="18">
        <v>5.2999999999999999E-2</v>
      </c>
      <c r="K46" s="18">
        <v>5.2999999999999999E-2</v>
      </c>
      <c r="L46" s="18">
        <v>5.2999999999999999E-2</v>
      </c>
      <c r="M46" s="18">
        <v>5.2999999999999999E-2</v>
      </c>
      <c r="N46" s="18">
        <v>5.5199999999999999E-2</v>
      </c>
      <c r="O46" s="18">
        <v>0.128</v>
      </c>
      <c r="P46" s="18">
        <v>0.18</v>
      </c>
      <c r="Q46" s="18">
        <v>0.1399</v>
      </c>
      <c r="R46" s="18">
        <v>0.20180000000000001</v>
      </c>
      <c r="S46" s="18">
        <v>0.15920000000000001</v>
      </c>
      <c r="T46" s="18">
        <v>5.2999999999999999E-2</v>
      </c>
      <c r="U46" s="18">
        <v>0.14949999999999999</v>
      </c>
      <c r="V46" s="18">
        <v>0.23619999999999999</v>
      </c>
      <c r="W46" s="18">
        <v>0.1711</v>
      </c>
      <c r="X46" s="18">
        <v>9.2999999999999999E-2</v>
      </c>
      <c r="Y46" s="18">
        <v>1.3663000000000001</v>
      </c>
      <c r="Z46" s="18">
        <v>0.17849999999999999</v>
      </c>
      <c r="AA46" s="18">
        <v>0.247</v>
      </c>
      <c r="AB46" s="18">
        <v>9.98E-2</v>
      </c>
      <c r="AC46" s="18">
        <v>5.2999999999999999E-2</v>
      </c>
      <c r="AD46" s="18">
        <v>5.2999999999999999E-2</v>
      </c>
      <c r="AE46" s="18">
        <v>5.2999999999999999E-2</v>
      </c>
      <c r="AF46" s="18">
        <v>5.2999999999999999E-2</v>
      </c>
      <c r="AG46" s="18">
        <v>5.2999999999999999E-2</v>
      </c>
      <c r="AH46" s="18">
        <v>5.2999999999999999E-2</v>
      </c>
      <c r="AI46" s="18">
        <v>5.2999999999999999E-2</v>
      </c>
      <c r="AJ46" s="18">
        <v>5.2999999999999999E-2</v>
      </c>
      <c r="AK46" s="18">
        <v>5.2999999999999999E-2</v>
      </c>
      <c r="AL46" s="18">
        <v>5.2999999999999999E-2</v>
      </c>
      <c r="AM46" s="18">
        <v>9.3799999999999994E-2</v>
      </c>
      <c r="AN46" s="18">
        <v>0.1275</v>
      </c>
      <c r="AO46" s="18">
        <v>0.1115</v>
      </c>
      <c r="AP46" s="18">
        <v>0.46560000000000001</v>
      </c>
      <c r="AQ46" s="18">
        <v>0.2979</v>
      </c>
      <c r="AR46" s="18">
        <v>0.10009999999999999</v>
      </c>
      <c r="AS46" s="18">
        <v>5.2999999999999999E-2</v>
      </c>
      <c r="AT46" s="18">
        <v>5.2999999999999999E-2</v>
      </c>
      <c r="AU46" s="18">
        <v>0.48570000000000002</v>
      </c>
      <c r="AV46" s="18">
        <v>0.4521</v>
      </c>
      <c r="AW46" s="18">
        <v>0.71260000000000001</v>
      </c>
      <c r="AX46" s="18">
        <v>0.16089999999999999</v>
      </c>
    </row>
    <row r="47" spans="1:50" x14ac:dyDescent="0.25">
      <c r="A47" s="17" t="s">
        <v>159</v>
      </c>
      <c r="B47" s="13" t="s">
        <v>100</v>
      </c>
      <c r="C47" s="18">
        <v>5.8999999999999997E-2</v>
      </c>
      <c r="D47" s="18">
        <v>0.14749999999999999</v>
      </c>
      <c r="E47" s="18">
        <v>0.1203</v>
      </c>
      <c r="F47" s="18">
        <v>7.9399999999999998E-2</v>
      </c>
      <c r="G47" s="18">
        <v>0.18840000000000001</v>
      </c>
      <c r="H47" s="18">
        <v>5.8999999999999997E-2</v>
      </c>
      <c r="I47" s="18">
        <v>5.8999999999999997E-2</v>
      </c>
      <c r="J47" s="18">
        <v>0.20880000000000001</v>
      </c>
      <c r="K47" s="18">
        <v>5.8999999999999997E-2</v>
      </c>
      <c r="L47" s="18">
        <v>8.6199999999999999E-2</v>
      </c>
      <c r="M47" s="18">
        <v>0.18160000000000001</v>
      </c>
      <c r="N47" s="18">
        <v>5.8999999999999997E-2</v>
      </c>
      <c r="O47" s="18">
        <v>5.8999999999999997E-2</v>
      </c>
      <c r="P47" s="18">
        <v>0.20880000000000001</v>
      </c>
      <c r="Q47" s="18">
        <v>5.8999999999999997E-2</v>
      </c>
      <c r="R47" s="18">
        <v>0.20200000000000001</v>
      </c>
      <c r="S47" s="18">
        <v>0.1988</v>
      </c>
      <c r="T47" s="18">
        <v>0.49809999999999999</v>
      </c>
      <c r="U47" s="18">
        <v>0.2341</v>
      </c>
      <c r="V47" s="18">
        <v>0.31190000000000001</v>
      </c>
      <c r="W47" s="18">
        <v>0.55420000000000003</v>
      </c>
      <c r="X47" s="18">
        <v>0.47249999999999998</v>
      </c>
      <c r="Y47" s="18">
        <v>0.2271</v>
      </c>
      <c r="Z47" s="18">
        <v>0.38869999999999999</v>
      </c>
      <c r="AA47" s="18">
        <v>1.5262</v>
      </c>
      <c r="AB47" s="18">
        <v>0.31330000000000002</v>
      </c>
      <c r="AC47" s="18">
        <v>0.46139999999999998</v>
      </c>
      <c r="AD47" s="18">
        <v>0.46389999999999998</v>
      </c>
      <c r="AE47" s="18">
        <v>0.1002</v>
      </c>
      <c r="AF47" s="18">
        <v>0.1913</v>
      </c>
      <c r="AG47" s="18">
        <v>0.50629999999999997</v>
      </c>
      <c r="AH47" s="18">
        <v>0.74870000000000003</v>
      </c>
      <c r="AI47" s="18">
        <v>0.68730000000000002</v>
      </c>
      <c r="AJ47" s="18">
        <v>0.81879999999999997</v>
      </c>
      <c r="AK47" s="18">
        <v>0.33710000000000001</v>
      </c>
      <c r="AL47" s="18">
        <v>0.30869999999999997</v>
      </c>
      <c r="AM47" s="18">
        <v>0.45879999999999999</v>
      </c>
      <c r="AN47" s="18">
        <v>1.7736000000000001</v>
      </c>
      <c r="AO47" s="18">
        <v>0.3947</v>
      </c>
      <c r="AP47" s="18">
        <v>0.48370000000000002</v>
      </c>
      <c r="AQ47" s="18">
        <v>1.6739999999999999</v>
      </c>
      <c r="AR47" s="18">
        <v>0.53739999999999999</v>
      </c>
      <c r="AS47" s="18">
        <v>0.66080000000000005</v>
      </c>
      <c r="AT47" s="18">
        <v>0.99050000000000005</v>
      </c>
      <c r="AU47" s="18">
        <v>1.746</v>
      </c>
      <c r="AV47" s="18">
        <v>1.6349</v>
      </c>
      <c r="AW47" s="18">
        <v>0.76019999999999999</v>
      </c>
      <c r="AX47" s="18">
        <v>7.2599999999999998E-2</v>
      </c>
    </row>
    <row r="48" spans="1:50" x14ac:dyDescent="0.25">
      <c r="A48" s="17" t="s">
        <v>161</v>
      </c>
      <c r="B48" s="13" t="s">
        <v>100</v>
      </c>
      <c r="C48" s="18">
        <v>0.1105</v>
      </c>
      <c r="D48" s="18">
        <v>0.1409</v>
      </c>
      <c r="E48" s="18">
        <v>3.5999999999999997E-2</v>
      </c>
      <c r="F48" s="18">
        <v>6.5799999999999997E-2</v>
      </c>
      <c r="G48" s="18">
        <v>0.17019999999999999</v>
      </c>
      <c r="H48" s="18">
        <v>3.5999999999999997E-2</v>
      </c>
      <c r="I48" s="18">
        <v>0.2</v>
      </c>
      <c r="J48" s="18">
        <v>3.5999999999999997E-2</v>
      </c>
      <c r="K48" s="18">
        <v>3.5999999999999997E-2</v>
      </c>
      <c r="L48" s="18">
        <v>0.2</v>
      </c>
      <c r="M48" s="18">
        <v>3.5999999999999997E-2</v>
      </c>
      <c r="N48" s="18">
        <v>3.5999999999999997E-2</v>
      </c>
      <c r="O48" s="18">
        <v>0.2</v>
      </c>
      <c r="P48" s="18">
        <v>3.5999999999999997E-2</v>
      </c>
      <c r="Q48" s="18">
        <v>4.3499999999999997E-2</v>
      </c>
      <c r="R48" s="18">
        <v>0.215</v>
      </c>
      <c r="S48" s="18">
        <v>4.3499999999999997E-2</v>
      </c>
      <c r="T48" s="18">
        <v>4.8500000000000001E-2</v>
      </c>
      <c r="U48" s="18">
        <v>0.20449999999999999</v>
      </c>
      <c r="V48" s="18">
        <v>3.5999999999999997E-2</v>
      </c>
      <c r="W48" s="18">
        <v>5.0900000000000001E-2</v>
      </c>
      <c r="X48" s="18">
        <v>0.18509999999999999</v>
      </c>
      <c r="Y48" s="18">
        <v>3.5999999999999997E-2</v>
      </c>
      <c r="Z48" s="18">
        <v>8.0699999999999994E-2</v>
      </c>
      <c r="AA48" s="18">
        <v>0.1552</v>
      </c>
      <c r="AB48" s="18">
        <v>3.5999999999999997E-2</v>
      </c>
      <c r="AC48" s="18">
        <v>3.5999999999999997E-2</v>
      </c>
      <c r="AD48" s="18">
        <v>0.2026</v>
      </c>
      <c r="AE48" s="18">
        <v>0.3019</v>
      </c>
      <c r="AF48" s="18">
        <v>1.2070000000000001</v>
      </c>
      <c r="AG48" s="18">
        <v>9.0899999999999995E-2</v>
      </c>
      <c r="AH48" s="18">
        <v>0.12620000000000001</v>
      </c>
      <c r="AI48" s="18">
        <v>0.14299999999999999</v>
      </c>
      <c r="AJ48" s="18">
        <v>6.2700000000000006E-2</v>
      </c>
      <c r="AK48" s="18">
        <v>0.23830000000000001</v>
      </c>
      <c r="AL48" s="18">
        <v>6.1499999999999999E-2</v>
      </c>
      <c r="AM48" s="18">
        <v>0.04</v>
      </c>
      <c r="AN48" s="18">
        <v>0.1454</v>
      </c>
      <c r="AO48" s="18">
        <v>0.24010000000000001</v>
      </c>
      <c r="AP48" s="18">
        <v>0.27100000000000002</v>
      </c>
      <c r="AQ48" s="18">
        <v>0.40079999999999999</v>
      </c>
      <c r="AR48" s="18">
        <v>0.39500000000000002</v>
      </c>
      <c r="AS48" s="18">
        <v>0.57140000000000002</v>
      </c>
      <c r="AT48" s="18">
        <v>0.59319999999999995</v>
      </c>
      <c r="AU48" s="18">
        <v>0.42230000000000001</v>
      </c>
      <c r="AV48" s="18">
        <v>0.43809999999999999</v>
      </c>
      <c r="AW48" s="18">
        <v>0.30570000000000003</v>
      </c>
      <c r="AX48" s="18">
        <v>0.30499999999999999</v>
      </c>
    </row>
    <row r="49" spans="1:50" x14ac:dyDescent="0.25">
      <c r="A49" s="17" t="s">
        <v>163</v>
      </c>
      <c r="B49" s="13" t="s">
        <v>100</v>
      </c>
      <c r="C49" s="18">
        <v>0.49890000000000001</v>
      </c>
      <c r="D49" s="18">
        <v>0.62129999999999996</v>
      </c>
      <c r="E49" s="18">
        <v>0.26790000000000003</v>
      </c>
      <c r="F49" s="18">
        <v>0.17649999999999999</v>
      </c>
      <c r="G49" s="18">
        <v>0.18659999999999999</v>
      </c>
      <c r="H49" s="18">
        <v>0.27210000000000001</v>
      </c>
      <c r="I49" s="18">
        <v>0.1794</v>
      </c>
      <c r="J49" s="18">
        <v>0.255</v>
      </c>
      <c r="K49" s="18">
        <v>0.15359999999999999</v>
      </c>
      <c r="L49" s="18">
        <v>0.17230000000000001</v>
      </c>
      <c r="M49" s="18">
        <v>0.16889999999999999</v>
      </c>
      <c r="N49" s="18">
        <v>0.28360000000000002</v>
      </c>
      <c r="O49" s="18">
        <v>0.12509999999999999</v>
      </c>
      <c r="P49" s="18">
        <v>0.14369999999999999</v>
      </c>
      <c r="Q49" s="18">
        <v>0.25890000000000002</v>
      </c>
      <c r="R49" s="18">
        <v>0.2321</v>
      </c>
      <c r="S49" s="18">
        <v>5.8000000000000003E-2</v>
      </c>
      <c r="T49" s="18">
        <v>0.21179999999999999</v>
      </c>
      <c r="U49" s="18">
        <v>0.22470000000000001</v>
      </c>
      <c r="V49" s="18">
        <v>0.2344</v>
      </c>
      <c r="W49" s="18">
        <v>0.14369999999999999</v>
      </c>
      <c r="X49" s="18">
        <v>0.20250000000000001</v>
      </c>
      <c r="Y49" s="18">
        <v>1.8257000000000001</v>
      </c>
      <c r="Z49" s="18">
        <v>2.081</v>
      </c>
      <c r="AA49" s="18">
        <v>0.64049999999999996</v>
      </c>
      <c r="AB49" s="18">
        <v>0.4047</v>
      </c>
      <c r="AC49" s="18">
        <v>0.38069999999999998</v>
      </c>
      <c r="AD49" s="18">
        <v>0.67159999999999997</v>
      </c>
      <c r="AE49" s="18">
        <v>0.1033</v>
      </c>
      <c r="AF49" s="18">
        <v>0.28510000000000002</v>
      </c>
      <c r="AG49" s="18">
        <v>0.2021</v>
      </c>
      <c r="AH49" s="18">
        <v>7.2300000000000003E-2</v>
      </c>
      <c r="AI49" s="18">
        <v>0.40350000000000003</v>
      </c>
      <c r="AJ49" s="18">
        <v>6.9400000000000003E-2</v>
      </c>
      <c r="AK49" s="18">
        <v>0.24079999999999999</v>
      </c>
      <c r="AL49" s="18">
        <v>0.2465</v>
      </c>
      <c r="AM49" s="18">
        <v>9.0999999999999998E-2</v>
      </c>
      <c r="AN49" s="18">
        <v>0.34279999999999999</v>
      </c>
      <c r="AO49" s="18">
        <v>0.59950000000000003</v>
      </c>
      <c r="AP49" s="18">
        <v>0.90539999999999998</v>
      </c>
      <c r="AQ49" s="18">
        <v>0.52549999999999997</v>
      </c>
      <c r="AR49" s="18">
        <v>0.96579999999999999</v>
      </c>
      <c r="AS49" s="18">
        <v>0.8125</v>
      </c>
      <c r="AT49" s="18">
        <v>0.72170000000000001</v>
      </c>
      <c r="AU49" s="18">
        <v>0.85929999999999995</v>
      </c>
      <c r="AV49" s="18">
        <v>0.92059999999999997</v>
      </c>
      <c r="AW49" s="18">
        <v>0.82199999999999995</v>
      </c>
      <c r="AX49" s="18">
        <v>0.23599999999999999</v>
      </c>
    </row>
    <row r="50" spans="1:50" x14ac:dyDescent="0.25">
      <c r="A50" s="17" t="s">
        <v>165</v>
      </c>
      <c r="B50" s="13" t="s">
        <v>100</v>
      </c>
      <c r="C50" s="18">
        <v>0.15210000000000001</v>
      </c>
      <c r="D50" s="18">
        <v>4.1000000000000002E-2</v>
      </c>
      <c r="E50" s="18">
        <v>0.24310000000000001</v>
      </c>
      <c r="F50" s="18">
        <v>4.1000000000000002E-2</v>
      </c>
      <c r="G50" s="18">
        <v>4.1000000000000002E-2</v>
      </c>
      <c r="H50" s="18">
        <v>0.21340000000000001</v>
      </c>
      <c r="I50" s="18">
        <v>7.0699999999999999E-2</v>
      </c>
      <c r="J50" s="18">
        <v>5.28E-2</v>
      </c>
      <c r="K50" s="18">
        <v>0.1754</v>
      </c>
      <c r="L50" s="18">
        <v>9.69E-2</v>
      </c>
      <c r="M50" s="18">
        <v>9.0399999999999994E-2</v>
      </c>
      <c r="N50" s="18">
        <v>0.19370000000000001</v>
      </c>
      <c r="O50" s="18">
        <v>4.1000000000000002E-2</v>
      </c>
      <c r="P50" s="18">
        <v>0.24310000000000001</v>
      </c>
      <c r="Q50" s="18">
        <v>4.1000000000000002E-2</v>
      </c>
      <c r="R50" s="18">
        <v>0.1188</v>
      </c>
      <c r="S50" s="18">
        <v>0.1653</v>
      </c>
      <c r="T50" s="18">
        <v>0.1129</v>
      </c>
      <c r="U50" s="18">
        <v>1.9726999999999999</v>
      </c>
      <c r="V50" s="18">
        <v>0.46660000000000001</v>
      </c>
      <c r="W50" s="18">
        <v>0.39960000000000001</v>
      </c>
      <c r="X50" s="18">
        <v>0.47370000000000001</v>
      </c>
      <c r="Y50" s="18">
        <v>0.1089</v>
      </c>
      <c r="Z50" s="18">
        <v>4.1000000000000002E-2</v>
      </c>
      <c r="AA50" s="18">
        <v>4.1000000000000002E-2</v>
      </c>
      <c r="AB50" s="18">
        <v>4.1000000000000002E-2</v>
      </c>
      <c r="AC50" s="18">
        <v>0.17119999999999999</v>
      </c>
      <c r="AD50" s="18">
        <v>5.7000000000000002E-2</v>
      </c>
      <c r="AE50" s="18">
        <v>0.12640000000000001</v>
      </c>
      <c r="AF50" s="18">
        <v>0.2626</v>
      </c>
      <c r="AG50" s="18">
        <v>0.20349999999999999</v>
      </c>
      <c r="AH50" s="18">
        <v>0.13059999999999999</v>
      </c>
      <c r="AI50" s="18">
        <v>9.7500000000000003E-2</v>
      </c>
      <c r="AJ50" s="18">
        <v>0.2341</v>
      </c>
      <c r="AK50" s="18">
        <v>0.14410000000000001</v>
      </c>
      <c r="AL50" s="18">
        <v>0.19650000000000001</v>
      </c>
      <c r="AM50" s="18">
        <v>0.29959999999999998</v>
      </c>
      <c r="AN50" s="18">
        <v>0.45750000000000002</v>
      </c>
      <c r="AO50" s="18">
        <v>0.27589999999999998</v>
      </c>
      <c r="AP50" s="18">
        <v>0.49430000000000002</v>
      </c>
      <c r="AQ50" s="18">
        <v>4.1000000000000002E-2</v>
      </c>
      <c r="AR50" s="18">
        <v>0.13569999999999999</v>
      </c>
      <c r="AS50" s="18">
        <v>0.41360000000000002</v>
      </c>
      <c r="AT50" s="18">
        <v>0.30230000000000001</v>
      </c>
      <c r="AU50" s="18">
        <v>0.57550000000000001</v>
      </c>
      <c r="AV50" s="18">
        <v>0.6764</v>
      </c>
      <c r="AW50" s="18">
        <v>0.44090000000000001</v>
      </c>
      <c r="AX50" s="18">
        <v>0.47260000000000002</v>
      </c>
    </row>
    <row r="51" spans="1:50" x14ac:dyDescent="0.25">
      <c r="A51" s="8" t="s">
        <v>80</v>
      </c>
      <c r="B51" s="10" t="s">
        <v>57</v>
      </c>
      <c r="C51" s="16">
        <v>5.5E-2</v>
      </c>
      <c r="D51" s="16">
        <v>0.31990000000000002</v>
      </c>
      <c r="E51" s="16">
        <v>6.1699999999999998E-2</v>
      </c>
      <c r="F51" s="16">
        <v>0.12590000000000001</v>
      </c>
      <c r="G51" s="16">
        <v>0.35149999999999998</v>
      </c>
      <c r="H51" s="16">
        <v>0.28029999999999999</v>
      </c>
      <c r="I51" s="16">
        <v>0.37269999999999998</v>
      </c>
      <c r="J51" s="16">
        <v>1.3461000000000001</v>
      </c>
      <c r="K51" s="16">
        <v>5.0500000000000003E-2</v>
      </c>
      <c r="L51" s="16">
        <v>0.1046</v>
      </c>
      <c r="M51" s="16">
        <v>3.6999999999999998E-2</v>
      </c>
      <c r="N51" s="16">
        <v>3.6999999999999998E-2</v>
      </c>
      <c r="O51" s="16">
        <v>0.1181</v>
      </c>
      <c r="P51" s="16">
        <v>3.6999999999999998E-2</v>
      </c>
      <c r="Q51" s="16">
        <v>0.1181</v>
      </c>
      <c r="R51" s="16">
        <v>0.1474</v>
      </c>
      <c r="S51" s="16">
        <v>0.3387</v>
      </c>
      <c r="T51" s="16">
        <v>0.1699</v>
      </c>
      <c r="U51" s="16">
        <v>1.7919</v>
      </c>
      <c r="V51" s="16">
        <v>0.97109999999999996</v>
      </c>
      <c r="W51" s="16">
        <v>0.31979999999999997</v>
      </c>
      <c r="X51" s="16">
        <v>9.0200000000000002E-2</v>
      </c>
      <c r="Y51" s="16">
        <v>0.1181</v>
      </c>
      <c r="Z51" s="16">
        <v>3.6999999999999998E-2</v>
      </c>
      <c r="AA51" s="16">
        <v>8.2000000000000003E-2</v>
      </c>
      <c r="AB51" s="16">
        <v>0.11119999999999999</v>
      </c>
      <c r="AC51" s="16">
        <v>0.25240000000000001</v>
      </c>
      <c r="AD51" s="16">
        <v>8.2799999999999999E-2</v>
      </c>
      <c r="AE51" s="16">
        <v>1.4080999999999999</v>
      </c>
      <c r="AF51" s="16">
        <v>0.31859999999999999</v>
      </c>
      <c r="AG51" s="16">
        <v>0.38440000000000002</v>
      </c>
      <c r="AH51" s="16">
        <v>3.6999999999999998E-2</v>
      </c>
      <c r="AI51" s="16">
        <v>0.46870000000000001</v>
      </c>
      <c r="AJ51" s="16">
        <v>0.24440000000000001</v>
      </c>
      <c r="AK51" s="16">
        <v>0.2364</v>
      </c>
      <c r="AL51" s="16">
        <v>0.18540000000000001</v>
      </c>
      <c r="AM51" s="16">
        <v>0.1782</v>
      </c>
      <c r="AN51" s="16">
        <v>0.14369999999999999</v>
      </c>
      <c r="AO51" s="16">
        <v>0.2281</v>
      </c>
      <c r="AP51" s="16">
        <v>0.39800000000000002</v>
      </c>
      <c r="AQ51" s="16">
        <v>0.6401</v>
      </c>
      <c r="AR51" s="16">
        <v>0.71860000000000002</v>
      </c>
      <c r="AS51" s="16">
        <v>0.48680000000000001</v>
      </c>
      <c r="AT51" s="16">
        <v>0.74219999999999997</v>
      </c>
      <c r="AU51" s="16">
        <v>1.3567</v>
      </c>
      <c r="AV51" s="16">
        <v>2.1454</v>
      </c>
      <c r="AW51" s="16">
        <v>0.84499999999999997</v>
      </c>
      <c r="AX51" s="16">
        <v>0.63890000000000002</v>
      </c>
    </row>
    <row r="52" spans="1:50" x14ac:dyDescent="0.25">
      <c r="A52" s="17" t="s">
        <v>167</v>
      </c>
      <c r="B52" s="13" t="s">
        <v>100</v>
      </c>
      <c r="C52" s="18">
        <v>4.2999999999999997E-2</v>
      </c>
      <c r="D52" s="18">
        <v>4.2999999999999997E-2</v>
      </c>
      <c r="E52" s="18">
        <v>0.39150000000000001</v>
      </c>
      <c r="F52" s="18">
        <v>0.21920000000000001</v>
      </c>
      <c r="G52" s="18">
        <v>0.22459999999999999</v>
      </c>
      <c r="H52" s="18">
        <v>0.1182</v>
      </c>
      <c r="I52" s="18">
        <v>4.2999999999999997E-2</v>
      </c>
      <c r="J52" s="18">
        <v>4.2999999999999997E-2</v>
      </c>
      <c r="K52" s="18">
        <v>0.1182</v>
      </c>
      <c r="L52" s="18">
        <v>4.2999999999999997E-2</v>
      </c>
      <c r="M52" s="18">
        <v>8.48E-2</v>
      </c>
      <c r="N52" s="18">
        <v>7.6399999999999996E-2</v>
      </c>
      <c r="O52" s="18">
        <v>4.2999999999999997E-2</v>
      </c>
      <c r="P52" s="18">
        <v>0.1182</v>
      </c>
      <c r="Q52" s="18">
        <v>4.2999999999999997E-2</v>
      </c>
      <c r="R52" s="18">
        <v>9.7299999999999998E-2</v>
      </c>
      <c r="S52" s="18">
        <v>6.3899999999999998E-2</v>
      </c>
      <c r="T52" s="18">
        <v>0.15659999999999999</v>
      </c>
      <c r="U52" s="18">
        <v>0.97030000000000005</v>
      </c>
      <c r="V52" s="18">
        <v>0.2427</v>
      </c>
      <c r="W52" s="18">
        <v>0.18729999999999999</v>
      </c>
      <c r="X52" s="18">
        <v>0.26729999999999998</v>
      </c>
      <c r="Y52" s="18">
        <v>0.33410000000000001</v>
      </c>
      <c r="Z52" s="18">
        <v>1.0895999999999999</v>
      </c>
      <c r="AA52" s="18">
        <v>0.44569999999999999</v>
      </c>
      <c r="AB52" s="18">
        <v>0.67259999999999998</v>
      </c>
      <c r="AC52" s="18">
        <v>1.4895</v>
      </c>
      <c r="AD52" s="18">
        <v>2.0190999999999999</v>
      </c>
      <c r="AE52" s="18">
        <v>3.3654000000000002</v>
      </c>
      <c r="AF52" s="18">
        <v>1.9333</v>
      </c>
      <c r="AG52" s="18">
        <v>7.6399999999999996E-2</v>
      </c>
      <c r="AH52" s="18">
        <v>4.8500000000000001E-2</v>
      </c>
      <c r="AI52" s="18">
        <v>0.2104</v>
      </c>
      <c r="AJ52" s="18">
        <v>0.13930000000000001</v>
      </c>
      <c r="AK52" s="18">
        <v>0.2109</v>
      </c>
      <c r="AL52" s="18">
        <v>0.74160000000000004</v>
      </c>
      <c r="AM52" s="18">
        <v>1.9542999999999999</v>
      </c>
      <c r="AN52" s="18">
        <v>0.37959999999999999</v>
      </c>
      <c r="AO52" s="18">
        <v>0.1343</v>
      </c>
      <c r="AP52" s="18">
        <v>1.1383000000000001</v>
      </c>
      <c r="AQ52" s="18">
        <v>0.2346</v>
      </c>
      <c r="AR52" s="18">
        <v>0.27360000000000001</v>
      </c>
      <c r="AS52" s="18">
        <v>0.39350000000000002</v>
      </c>
      <c r="AT52" s="18">
        <v>0.41649999999999998</v>
      </c>
      <c r="AU52" s="18">
        <v>0.3473</v>
      </c>
      <c r="AV52" s="18">
        <v>0.1182</v>
      </c>
      <c r="AW52" s="18">
        <v>4.2999999999999997E-2</v>
      </c>
      <c r="AX52" s="18">
        <v>4.2999999999999997E-2</v>
      </c>
    </row>
    <row r="53" spans="1:50" x14ac:dyDescent="0.25">
      <c r="A53" s="17" t="s">
        <v>169</v>
      </c>
      <c r="B53" s="13" t="s">
        <v>100</v>
      </c>
      <c r="C53" s="18">
        <v>0.1489</v>
      </c>
      <c r="D53" s="18">
        <v>8.2100000000000006E-2</v>
      </c>
      <c r="E53" s="18">
        <v>4.2000000000000003E-2</v>
      </c>
      <c r="F53" s="18">
        <v>0.189</v>
      </c>
      <c r="G53" s="18">
        <v>4.2000000000000003E-2</v>
      </c>
      <c r="H53" s="18">
        <v>4.2000000000000003E-2</v>
      </c>
      <c r="I53" s="18">
        <v>0.1222</v>
      </c>
      <c r="J53" s="18">
        <v>0.10879999999999999</v>
      </c>
      <c r="K53" s="18">
        <v>6.8699999999999997E-2</v>
      </c>
      <c r="L53" s="18">
        <v>0.1623</v>
      </c>
      <c r="M53" s="18">
        <v>4.2000000000000003E-2</v>
      </c>
      <c r="N53" s="18">
        <v>0.1489</v>
      </c>
      <c r="O53" s="18">
        <v>8.2100000000000006E-2</v>
      </c>
      <c r="P53" s="18">
        <v>0.1394</v>
      </c>
      <c r="Q53" s="18">
        <v>0.1757</v>
      </c>
      <c r="R53" s="18">
        <v>0.1111</v>
      </c>
      <c r="S53" s="18">
        <v>0.1686</v>
      </c>
      <c r="T53" s="18">
        <v>0.1389</v>
      </c>
      <c r="U53" s="18">
        <v>4.2000000000000003E-2</v>
      </c>
      <c r="V53" s="18">
        <v>0.189</v>
      </c>
      <c r="W53" s="18">
        <v>4.2000000000000003E-2</v>
      </c>
      <c r="X53" s="18">
        <v>0.10879999999999999</v>
      </c>
      <c r="Y53" s="18">
        <v>0.1222</v>
      </c>
      <c r="Z53" s="18">
        <v>4.2000000000000003E-2</v>
      </c>
      <c r="AA53" s="18">
        <v>4.2000000000000003E-2</v>
      </c>
      <c r="AB53" s="18">
        <v>0.18240000000000001</v>
      </c>
      <c r="AC53" s="18">
        <v>5.5399999999999998E-2</v>
      </c>
      <c r="AD53" s="18">
        <v>0.17150000000000001</v>
      </c>
      <c r="AE53" s="18">
        <v>0.13619999999999999</v>
      </c>
      <c r="AF53" s="18">
        <v>4.2000000000000003E-2</v>
      </c>
      <c r="AG53" s="18">
        <v>1.7142999999999999</v>
      </c>
      <c r="AH53" s="18">
        <v>6.2100000000000002E-2</v>
      </c>
      <c r="AI53" s="18">
        <v>0.13730000000000001</v>
      </c>
      <c r="AJ53" s="18">
        <v>0.31290000000000001</v>
      </c>
      <c r="AK53" s="18">
        <v>0.4083</v>
      </c>
      <c r="AL53" s="18">
        <v>0.38129999999999997</v>
      </c>
      <c r="AM53" s="18">
        <v>0.43219999999999997</v>
      </c>
      <c r="AN53" s="18">
        <v>1.6579999999999999</v>
      </c>
      <c r="AO53" s="18">
        <v>0.15559999999999999</v>
      </c>
      <c r="AP53" s="18">
        <v>7.5399999999999995E-2</v>
      </c>
      <c r="AQ53" s="18">
        <v>0.22259999999999999</v>
      </c>
      <c r="AR53" s="18">
        <v>0.55969999999999998</v>
      </c>
      <c r="AS53" s="18">
        <v>0.42830000000000001</v>
      </c>
      <c r="AT53" s="18">
        <v>0.50770000000000004</v>
      </c>
      <c r="AU53" s="18">
        <v>0.69359999999999999</v>
      </c>
      <c r="AV53" s="18">
        <v>1.3586</v>
      </c>
      <c r="AW53" s="18">
        <v>0.32079999999999997</v>
      </c>
      <c r="AX53" s="18">
        <v>0.16900000000000001</v>
      </c>
    </row>
    <row r="54" spans="1:50" x14ac:dyDescent="0.25">
      <c r="A54" s="17" t="s">
        <v>171</v>
      </c>
      <c r="B54" s="13" t="s">
        <v>100</v>
      </c>
      <c r="C54" s="18">
        <v>4.9000000000000002E-2</v>
      </c>
      <c r="D54" s="18">
        <v>0.22270000000000001</v>
      </c>
      <c r="E54" s="18">
        <v>4.9000000000000002E-2</v>
      </c>
      <c r="F54" s="18">
        <v>4.9000000000000002E-2</v>
      </c>
      <c r="G54" s="18">
        <v>0.22270000000000001</v>
      </c>
      <c r="H54" s="18">
        <v>4.9000000000000002E-2</v>
      </c>
      <c r="I54" s="18">
        <v>4.9000000000000002E-2</v>
      </c>
      <c r="J54" s="18">
        <v>0.19109999999999999</v>
      </c>
      <c r="K54" s="18">
        <v>8.0600000000000005E-2</v>
      </c>
      <c r="L54" s="18">
        <v>8.8499999999999995E-2</v>
      </c>
      <c r="M54" s="18">
        <v>0.1832</v>
      </c>
      <c r="N54" s="18">
        <v>4.9000000000000002E-2</v>
      </c>
      <c r="O54" s="18">
        <v>0.15160000000000001</v>
      </c>
      <c r="P54" s="18">
        <v>0.1201</v>
      </c>
      <c r="Q54" s="18">
        <v>4.9000000000000002E-2</v>
      </c>
      <c r="R54" s="18">
        <v>0.22270000000000001</v>
      </c>
      <c r="S54" s="18">
        <v>4.9000000000000002E-2</v>
      </c>
      <c r="T54" s="18">
        <v>5.6899999999999999E-2</v>
      </c>
      <c r="U54" s="18">
        <v>0.1641</v>
      </c>
      <c r="V54" s="18">
        <v>0.1847</v>
      </c>
      <c r="W54" s="18">
        <v>0.66220000000000001</v>
      </c>
      <c r="X54" s="18">
        <v>0.49220000000000003</v>
      </c>
      <c r="Y54" s="18">
        <v>1.9595</v>
      </c>
      <c r="Z54" s="18">
        <v>3.0177</v>
      </c>
      <c r="AA54" s="18">
        <v>1.6081000000000001</v>
      </c>
      <c r="AB54" s="18">
        <v>4.9000000000000002E-2</v>
      </c>
      <c r="AC54" s="18">
        <v>0.2762</v>
      </c>
      <c r="AD54" s="18">
        <v>0.19109999999999999</v>
      </c>
      <c r="AE54" s="18">
        <v>5.0200000000000002E-2</v>
      </c>
      <c r="AF54" s="18">
        <v>7.1099999999999997E-2</v>
      </c>
      <c r="AG54" s="18">
        <v>0.24479999999999999</v>
      </c>
      <c r="AH54" s="18">
        <v>5.5599999999999997E-2</v>
      </c>
      <c r="AI54" s="18">
        <v>0.29260000000000003</v>
      </c>
      <c r="AJ54" s="18">
        <v>0.38469999999999999</v>
      </c>
      <c r="AK54" s="18">
        <v>0.36559999999999998</v>
      </c>
      <c r="AL54" s="18">
        <v>0.39889999999999998</v>
      </c>
      <c r="AM54" s="18">
        <v>0.43120000000000003</v>
      </c>
      <c r="AN54" s="18">
        <v>0.27910000000000001</v>
      </c>
      <c r="AO54" s="18">
        <v>0.24199999999999999</v>
      </c>
      <c r="AP54" s="18">
        <v>1.3524</v>
      </c>
      <c r="AQ54" s="18">
        <v>1.2675000000000001</v>
      </c>
      <c r="AR54" s="18">
        <v>0.46089999999999998</v>
      </c>
      <c r="AS54" s="18">
        <v>0.71919999999999995</v>
      </c>
      <c r="AT54" s="18">
        <v>0.49980000000000002</v>
      </c>
      <c r="AU54" s="18">
        <v>0.46610000000000001</v>
      </c>
      <c r="AV54" s="18">
        <v>0.30059999999999998</v>
      </c>
      <c r="AW54" s="18">
        <v>0.30430000000000001</v>
      </c>
      <c r="AX54" s="18">
        <v>0.48330000000000001</v>
      </c>
    </row>
    <row r="55" spans="1:50" x14ac:dyDescent="0.25">
      <c r="A55" s="17" t="s">
        <v>173</v>
      </c>
      <c r="B55" s="13" t="s">
        <v>100</v>
      </c>
      <c r="C55" s="18">
        <v>7.8700000000000006E-2</v>
      </c>
      <c r="D55" s="18">
        <v>0.1963</v>
      </c>
      <c r="E55" s="18">
        <v>0.1371</v>
      </c>
      <c r="F55" s="18">
        <v>0.18479999999999999</v>
      </c>
      <c r="G55" s="18">
        <v>0.1772</v>
      </c>
      <c r="H55" s="18">
        <v>6.1499999999999999E-2</v>
      </c>
      <c r="I55" s="18">
        <v>0.25369999999999998</v>
      </c>
      <c r="J55" s="18">
        <v>9.69E-2</v>
      </c>
      <c r="K55" s="18">
        <v>0.05</v>
      </c>
      <c r="L55" s="18">
        <v>0.15890000000000001</v>
      </c>
      <c r="M55" s="18">
        <v>0.2031</v>
      </c>
      <c r="N55" s="18">
        <v>0.05</v>
      </c>
      <c r="O55" s="18">
        <v>0.21149999999999999</v>
      </c>
      <c r="P55" s="18">
        <v>0.15040000000000001</v>
      </c>
      <c r="Q55" s="18">
        <v>7.3899999999999993E-2</v>
      </c>
      <c r="R55" s="18">
        <v>0.28810000000000002</v>
      </c>
      <c r="S55" s="18">
        <v>0.05</v>
      </c>
      <c r="T55" s="18">
        <v>0.21260000000000001</v>
      </c>
      <c r="U55" s="18">
        <v>0.36309999999999998</v>
      </c>
      <c r="V55" s="18">
        <v>0.2712</v>
      </c>
      <c r="W55" s="18">
        <v>0.30349999999999999</v>
      </c>
      <c r="X55" s="18">
        <v>0.23710000000000001</v>
      </c>
      <c r="Y55" s="18">
        <v>0.1525</v>
      </c>
      <c r="Z55" s="18">
        <v>0.1784</v>
      </c>
      <c r="AA55" s="18">
        <v>0.16089999999999999</v>
      </c>
      <c r="AB55" s="18">
        <v>0.2485</v>
      </c>
      <c r="AC55" s="18">
        <v>0.30030000000000001</v>
      </c>
      <c r="AD55" s="18">
        <v>0.88100000000000001</v>
      </c>
      <c r="AE55" s="18">
        <v>0.1837</v>
      </c>
      <c r="AF55" s="18">
        <v>0.31929999999999997</v>
      </c>
      <c r="AG55" s="18">
        <v>0.27660000000000001</v>
      </c>
      <c r="AH55" s="18">
        <v>0.46810000000000002</v>
      </c>
      <c r="AI55" s="18">
        <v>0.29530000000000001</v>
      </c>
      <c r="AJ55" s="18">
        <v>1.0640000000000001</v>
      </c>
      <c r="AK55" s="18">
        <v>0.34379999999999999</v>
      </c>
      <c r="AL55" s="18">
        <v>0.2757</v>
      </c>
      <c r="AM55" s="18">
        <v>0.35449999999999998</v>
      </c>
      <c r="AN55" s="18">
        <v>0.23219999999999999</v>
      </c>
      <c r="AO55" s="18">
        <v>0.158</v>
      </c>
      <c r="AP55" s="18">
        <v>0.43809999999999999</v>
      </c>
      <c r="AQ55" s="18">
        <v>0.33200000000000002</v>
      </c>
      <c r="AR55" s="18">
        <v>0.39629999999999999</v>
      </c>
      <c r="AS55" s="18">
        <v>0.48580000000000001</v>
      </c>
      <c r="AT55" s="18">
        <v>0.49459999999999998</v>
      </c>
      <c r="AU55" s="18">
        <v>0.62319999999999998</v>
      </c>
      <c r="AV55" s="18">
        <v>0.87570000000000003</v>
      </c>
      <c r="AW55" s="18">
        <v>0.55179999999999996</v>
      </c>
      <c r="AX55" s="18">
        <v>0.79449999999999998</v>
      </c>
    </row>
    <row r="56" spans="1:50" x14ac:dyDescent="0.25">
      <c r="A56" s="17" t="s">
        <v>175</v>
      </c>
      <c r="B56" s="13" t="s">
        <v>100</v>
      </c>
      <c r="C56" s="18">
        <v>0.13789999999999999</v>
      </c>
      <c r="D56" s="18">
        <v>7.9100000000000004E-2</v>
      </c>
      <c r="E56" s="18">
        <v>5.7000000000000002E-2</v>
      </c>
      <c r="F56" s="18">
        <v>0.15989999999999999</v>
      </c>
      <c r="G56" s="18">
        <v>5.7000000000000002E-2</v>
      </c>
      <c r="H56" s="18">
        <v>7.9100000000000004E-2</v>
      </c>
      <c r="I56" s="18">
        <v>0.13789999999999999</v>
      </c>
      <c r="J56" s="18">
        <v>5.7000000000000002E-2</v>
      </c>
      <c r="K56" s="18">
        <v>5.7000000000000002E-2</v>
      </c>
      <c r="L56" s="18">
        <v>0.15989999999999999</v>
      </c>
      <c r="M56" s="18">
        <v>5.7000000000000002E-2</v>
      </c>
      <c r="N56" s="18">
        <v>5.7000000000000002E-2</v>
      </c>
      <c r="O56" s="18">
        <v>0.15260000000000001</v>
      </c>
      <c r="P56" s="18">
        <v>6.4399999999999999E-2</v>
      </c>
      <c r="Q56" s="18">
        <v>5.7000000000000002E-2</v>
      </c>
      <c r="R56" s="18">
        <v>0.15989999999999999</v>
      </c>
      <c r="S56" s="18">
        <v>5.7000000000000002E-2</v>
      </c>
      <c r="T56" s="18">
        <v>0.31240000000000001</v>
      </c>
      <c r="U56" s="18">
        <v>2.2585000000000002</v>
      </c>
      <c r="V56" s="18">
        <v>2.9767999999999999</v>
      </c>
      <c r="W56" s="18">
        <v>0.96719999999999995</v>
      </c>
      <c r="X56" s="18">
        <v>5.7000000000000002E-2</v>
      </c>
      <c r="Y56" s="18">
        <v>5.7000000000000002E-2</v>
      </c>
      <c r="Z56" s="18">
        <v>0.19350000000000001</v>
      </c>
      <c r="AA56" s="18">
        <v>5.7000000000000002E-2</v>
      </c>
      <c r="AB56" s="18">
        <v>5.7000000000000002E-2</v>
      </c>
      <c r="AC56" s="18">
        <v>0.18790000000000001</v>
      </c>
      <c r="AD56" s="18">
        <v>0.13289999999999999</v>
      </c>
      <c r="AE56" s="18">
        <v>9.0200000000000002E-2</v>
      </c>
      <c r="AF56" s="18">
        <v>0.31409999999999999</v>
      </c>
      <c r="AG56" s="18">
        <v>8.6400000000000005E-2</v>
      </c>
      <c r="AH56" s="18">
        <v>5.7000000000000002E-2</v>
      </c>
      <c r="AI56" s="18">
        <v>2.4580000000000002</v>
      </c>
      <c r="AJ56" s="18">
        <v>2.8761999999999999</v>
      </c>
      <c r="AK56" s="18">
        <v>0.65290000000000004</v>
      </c>
      <c r="AL56" s="18">
        <v>0.19900000000000001</v>
      </c>
      <c r="AM56" s="18">
        <v>6.7000000000000004E-2</v>
      </c>
      <c r="AN56" s="18">
        <v>6.2700000000000006E-2</v>
      </c>
      <c r="AO56" s="18">
        <v>0.29110000000000003</v>
      </c>
      <c r="AP56" s="18">
        <v>0.35880000000000001</v>
      </c>
      <c r="AQ56" s="18">
        <v>0.41370000000000001</v>
      </c>
      <c r="AR56" s="18">
        <v>0.56999999999999995</v>
      </c>
      <c r="AS56" s="18">
        <v>0.6139</v>
      </c>
      <c r="AT56" s="18">
        <v>0.52880000000000005</v>
      </c>
      <c r="AU56" s="18">
        <v>0.71430000000000005</v>
      </c>
      <c r="AV56" s="18">
        <v>0.73740000000000006</v>
      </c>
      <c r="AW56" s="18">
        <v>0.70399999999999996</v>
      </c>
      <c r="AX56" s="18">
        <v>0.1232</v>
      </c>
    </row>
    <row r="57" spans="1:50" x14ac:dyDescent="0.25">
      <c r="A57" s="8" t="s">
        <v>82</v>
      </c>
      <c r="B57" s="10" t="s">
        <v>57</v>
      </c>
      <c r="C57" s="16">
        <v>0.156</v>
      </c>
      <c r="D57" s="16">
        <v>0.24229999999999999</v>
      </c>
      <c r="E57" s="16">
        <v>5.8999999999999997E-2</v>
      </c>
      <c r="F57" s="16">
        <v>0.1837</v>
      </c>
      <c r="G57" s="16">
        <v>8.6699999999999999E-2</v>
      </c>
      <c r="H57" s="16">
        <v>0.16769999999999999</v>
      </c>
      <c r="I57" s="16">
        <v>0.16819999999999999</v>
      </c>
      <c r="J57" s="16">
        <v>0.17249999999999999</v>
      </c>
      <c r="K57" s="16">
        <v>0.1358</v>
      </c>
      <c r="L57" s="16">
        <v>0.2044</v>
      </c>
      <c r="M57" s="16">
        <v>6.59E-2</v>
      </c>
      <c r="N57" s="16">
        <v>0.123</v>
      </c>
      <c r="O57" s="16">
        <v>0.15759999999999999</v>
      </c>
      <c r="P57" s="16">
        <v>0.2215</v>
      </c>
      <c r="Q57" s="16">
        <v>0.14219999999999999</v>
      </c>
      <c r="R57" s="16">
        <v>0.48509999999999998</v>
      </c>
      <c r="S57" s="16">
        <v>7.9799999999999996E-2</v>
      </c>
      <c r="T57" s="16">
        <v>6.54E-2</v>
      </c>
      <c r="U57" s="16">
        <v>0.2429</v>
      </c>
      <c r="V57" s="16">
        <v>0.14899999999999999</v>
      </c>
      <c r="W57" s="16">
        <v>0.76900000000000002</v>
      </c>
      <c r="X57" s="16">
        <v>1.4466000000000001</v>
      </c>
      <c r="Y57" s="16">
        <v>0.187</v>
      </c>
      <c r="Z57" s="16">
        <v>0.19470000000000001</v>
      </c>
      <c r="AA57" s="16">
        <v>0.1133</v>
      </c>
      <c r="AB57" s="16">
        <v>0.16980000000000001</v>
      </c>
      <c r="AC57" s="16">
        <v>0.4289</v>
      </c>
      <c r="AD57" s="16">
        <v>0.16</v>
      </c>
      <c r="AE57" s="16">
        <v>0.1515</v>
      </c>
      <c r="AF57" s="16">
        <v>1.0742</v>
      </c>
      <c r="AG57" s="16">
        <v>0.53690000000000004</v>
      </c>
      <c r="AH57" s="16">
        <v>0.48720000000000002</v>
      </c>
      <c r="AI57" s="16">
        <v>0.61429999999999996</v>
      </c>
      <c r="AJ57" s="16">
        <v>0.50380000000000003</v>
      </c>
      <c r="AK57" s="16">
        <v>0.5101</v>
      </c>
      <c r="AL57" s="16">
        <v>2.214</v>
      </c>
      <c r="AM57" s="16">
        <v>1.4007000000000001</v>
      </c>
      <c r="AN57" s="16">
        <v>0.31840000000000002</v>
      </c>
      <c r="AO57" s="16">
        <v>0.7006</v>
      </c>
      <c r="AP57" s="16">
        <v>0.63319999999999999</v>
      </c>
      <c r="AQ57" s="16">
        <v>1.5705</v>
      </c>
      <c r="AR57" s="16">
        <v>0.38679999999999998</v>
      </c>
      <c r="AS57" s="16">
        <v>0.91059999999999997</v>
      </c>
      <c r="AT57" s="16">
        <v>0.53680000000000005</v>
      </c>
      <c r="AU57" s="16">
        <v>0.80059999999999998</v>
      </c>
      <c r="AV57" s="16">
        <v>0.35859999999999997</v>
      </c>
      <c r="AW57" s="16">
        <v>0.2631</v>
      </c>
      <c r="AX57" s="16">
        <v>0.13519999999999999</v>
      </c>
    </row>
    <row r="58" spans="1:50" x14ac:dyDescent="0.25">
      <c r="A58" s="8" t="s">
        <v>84</v>
      </c>
      <c r="B58" s="10" t="s">
        <v>57</v>
      </c>
      <c r="C58" s="16">
        <v>5.5E-2</v>
      </c>
      <c r="D58" s="16">
        <v>5.5E-2</v>
      </c>
      <c r="E58" s="16">
        <v>5.5E-2</v>
      </c>
      <c r="F58" s="16">
        <v>5.5E-2</v>
      </c>
      <c r="G58" s="16">
        <v>5.5E-2</v>
      </c>
      <c r="H58" s="16">
        <v>5.5E-2</v>
      </c>
      <c r="I58" s="16">
        <v>5.5E-2</v>
      </c>
      <c r="J58" s="16">
        <v>5.5E-2</v>
      </c>
      <c r="K58" s="16">
        <v>5.5E-2</v>
      </c>
      <c r="L58" s="16">
        <v>5.5E-2</v>
      </c>
      <c r="M58" s="16">
        <v>5.5E-2</v>
      </c>
      <c r="N58" s="16">
        <v>5.5E-2</v>
      </c>
      <c r="O58" s="16">
        <v>5.5E-2</v>
      </c>
      <c r="P58" s="16">
        <v>5.5E-2</v>
      </c>
      <c r="Q58" s="16">
        <v>5.5E-2</v>
      </c>
      <c r="R58" s="16">
        <v>5.5E-2</v>
      </c>
      <c r="S58" s="16">
        <v>5.5E-2</v>
      </c>
      <c r="T58" s="16">
        <v>5.5E-2</v>
      </c>
      <c r="U58" s="16">
        <v>5.5E-2</v>
      </c>
      <c r="V58" s="16">
        <v>5.5E-2</v>
      </c>
      <c r="W58" s="16">
        <v>0.14030000000000001</v>
      </c>
      <c r="X58" s="16">
        <v>6.83E-2</v>
      </c>
      <c r="Y58" s="16">
        <v>0.1676</v>
      </c>
      <c r="Z58" s="16">
        <v>9.5000000000000001E-2</v>
      </c>
      <c r="AA58" s="16">
        <v>6.0299999999999999E-2</v>
      </c>
      <c r="AB58" s="16">
        <v>0.24959999999999999</v>
      </c>
      <c r="AC58" s="16">
        <v>0.5504</v>
      </c>
      <c r="AD58" s="16">
        <v>1.1194999999999999</v>
      </c>
      <c r="AE58" s="16">
        <v>0.43609999999999999</v>
      </c>
      <c r="AF58" s="16">
        <v>0.32769999999999999</v>
      </c>
      <c r="AG58" s="16">
        <v>0.25750000000000001</v>
      </c>
      <c r="AH58" s="16">
        <v>0.44590000000000002</v>
      </c>
      <c r="AI58" s="16">
        <v>0.3291</v>
      </c>
      <c r="AJ58" s="16">
        <v>0.49909999999999999</v>
      </c>
      <c r="AK58" s="16">
        <v>1.1131</v>
      </c>
      <c r="AL58" s="16">
        <v>0.18179999999999999</v>
      </c>
      <c r="AM58" s="16">
        <v>1.0446</v>
      </c>
      <c r="AN58" s="16">
        <v>0.29060000000000002</v>
      </c>
      <c r="AO58" s="16">
        <v>0.5625</v>
      </c>
      <c r="AP58" s="16">
        <v>0.60729999999999995</v>
      </c>
      <c r="AQ58" s="16">
        <v>0.73260000000000003</v>
      </c>
      <c r="AR58" s="16">
        <v>0.71140000000000003</v>
      </c>
      <c r="AS58" s="16">
        <v>0.4819</v>
      </c>
      <c r="AT58" s="16">
        <v>0.81530000000000002</v>
      </c>
      <c r="AU58" s="16">
        <v>0.28910000000000002</v>
      </c>
      <c r="AV58" s="16">
        <v>5.5E-2</v>
      </c>
      <c r="AW58" s="16">
        <v>5.5E-2</v>
      </c>
      <c r="AX58" s="16">
        <v>5.5E-2</v>
      </c>
    </row>
    <row r="59" spans="1:50" x14ac:dyDescent="0.25">
      <c r="A59" s="17" t="s">
        <v>177</v>
      </c>
      <c r="B59" s="13" t="s">
        <v>100</v>
      </c>
      <c r="C59" s="18">
        <v>5.2999999999999999E-2</v>
      </c>
      <c r="D59" s="18">
        <v>5.2999999999999999E-2</v>
      </c>
      <c r="E59" s="18">
        <v>5.2999999999999999E-2</v>
      </c>
      <c r="F59" s="18">
        <v>5.2999999999999999E-2</v>
      </c>
      <c r="G59" s="18">
        <v>5.2999999999999999E-2</v>
      </c>
      <c r="H59" s="18">
        <v>5.2999999999999999E-2</v>
      </c>
      <c r="I59" s="18">
        <v>5.2999999999999999E-2</v>
      </c>
      <c r="J59" s="18">
        <v>5.2999999999999999E-2</v>
      </c>
      <c r="K59" s="18">
        <v>5.2999999999999999E-2</v>
      </c>
      <c r="L59" s="18">
        <v>5.2999999999999999E-2</v>
      </c>
      <c r="M59" s="18">
        <v>5.2999999999999999E-2</v>
      </c>
      <c r="N59" s="18">
        <v>5.2999999999999999E-2</v>
      </c>
      <c r="O59" s="18">
        <v>5.2999999999999999E-2</v>
      </c>
      <c r="P59" s="18">
        <v>5.2999999999999999E-2</v>
      </c>
      <c r="Q59" s="18">
        <v>0.10100000000000001</v>
      </c>
      <c r="R59" s="18">
        <v>0.1178</v>
      </c>
      <c r="S59" s="18">
        <v>0.1178</v>
      </c>
      <c r="T59" s="18">
        <v>0.19489999999999999</v>
      </c>
      <c r="U59" s="18">
        <v>0.21740000000000001</v>
      </c>
      <c r="V59" s="18">
        <v>0.18740000000000001</v>
      </c>
      <c r="W59" s="18">
        <v>5.2999999999999999E-2</v>
      </c>
      <c r="X59" s="18">
        <v>5.2999999999999999E-2</v>
      </c>
      <c r="Y59" s="18">
        <v>5.2999999999999999E-2</v>
      </c>
      <c r="Z59" s="18">
        <v>5.2999999999999999E-2</v>
      </c>
      <c r="AA59" s="18">
        <v>5.2999999999999999E-2</v>
      </c>
      <c r="AB59" s="18">
        <v>5.2999999999999999E-2</v>
      </c>
      <c r="AC59" s="18">
        <v>5.2999999999999999E-2</v>
      </c>
      <c r="AD59" s="18">
        <v>5.2999999999999999E-2</v>
      </c>
      <c r="AE59" s="18">
        <v>5.2999999999999999E-2</v>
      </c>
      <c r="AF59" s="18">
        <v>5.2999999999999999E-2</v>
      </c>
      <c r="AG59" s="18">
        <v>5.2999999999999999E-2</v>
      </c>
      <c r="AH59" s="18">
        <v>5.2999999999999999E-2</v>
      </c>
      <c r="AI59" s="18">
        <v>5.2999999999999999E-2</v>
      </c>
      <c r="AJ59" s="18">
        <v>5.2999999999999999E-2</v>
      </c>
      <c r="AK59" s="18">
        <v>5.2999999999999999E-2</v>
      </c>
      <c r="AL59" s="18">
        <v>5.2999999999999999E-2</v>
      </c>
      <c r="AM59" s="18">
        <v>5.2999999999999999E-2</v>
      </c>
      <c r="AN59" s="18">
        <v>5.2999999999999999E-2</v>
      </c>
      <c r="AO59" s="18">
        <v>5.2999999999999999E-2</v>
      </c>
      <c r="AP59" s="18">
        <v>5.2999999999999999E-2</v>
      </c>
      <c r="AQ59" s="18">
        <v>5.2999999999999999E-2</v>
      </c>
      <c r="AR59" s="18">
        <v>5.2999999999999999E-2</v>
      </c>
      <c r="AS59" s="18">
        <v>5.2999999999999999E-2</v>
      </c>
      <c r="AT59" s="18">
        <v>5.2999999999999999E-2</v>
      </c>
      <c r="AU59" s="18">
        <v>5.2999999999999999E-2</v>
      </c>
      <c r="AV59" s="18">
        <v>5.2999999999999999E-2</v>
      </c>
      <c r="AW59" s="18">
        <v>5.2999999999999999E-2</v>
      </c>
      <c r="AX59" s="18">
        <v>5.2999999999999999E-2</v>
      </c>
    </row>
    <row r="60" spans="1:50" x14ac:dyDescent="0.25">
      <c r="A60" s="8" t="s">
        <v>86</v>
      </c>
      <c r="B60" s="10" t="s">
        <v>57</v>
      </c>
      <c r="C60" s="16">
        <v>0.1099</v>
      </c>
      <c r="D60" s="16">
        <v>9.4899999999999998E-2</v>
      </c>
      <c r="E60" s="16">
        <v>0.21779999999999999</v>
      </c>
      <c r="F60" s="16">
        <v>7.6499999999999999E-2</v>
      </c>
      <c r="G60" s="16">
        <v>0.1132</v>
      </c>
      <c r="H60" s="16">
        <v>0.13489999999999999</v>
      </c>
      <c r="I60" s="16">
        <v>0.1716</v>
      </c>
      <c r="J60" s="16">
        <v>0.10100000000000001</v>
      </c>
      <c r="K60" s="16">
        <v>0.13489999999999999</v>
      </c>
      <c r="L60" s="16">
        <v>0.22059999999999999</v>
      </c>
      <c r="M60" s="16">
        <v>5.1999999999999998E-2</v>
      </c>
      <c r="N60" s="16">
        <v>0.1278</v>
      </c>
      <c r="O60" s="16">
        <v>0.22770000000000001</v>
      </c>
      <c r="P60" s="16">
        <v>5.1999999999999998E-2</v>
      </c>
      <c r="Q60" s="16">
        <v>0.12740000000000001</v>
      </c>
      <c r="R60" s="16">
        <v>0.1424</v>
      </c>
      <c r="S60" s="16">
        <v>0.16039999999999999</v>
      </c>
      <c r="T60" s="16">
        <v>0.19520000000000001</v>
      </c>
      <c r="U60" s="16">
        <v>7.4200000000000002E-2</v>
      </c>
      <c r="V60" s="16">
        <v>0.11940000000000001</v>
      </c>
      <c r="W60" s="16">
        <v>0.13489999999999999</v>
      </c>
      <c r="X60" s="16">
        <v>0.13489999999999999</v>
      </c>
      <c r="Y60" s="16">
        <v>0.13769999999999999</v>
      </c>
      <c r="Z60" s="16">
        <v>0.19520000000000001</v>
      </c>
      <c r="AA60" s="16">
        <v>8.4199999999999997E-2</v>
      </c>
      <c r="AB60" s="16">
        <v>0.27089999999999997</v>
      </c>
      <c r="AC60" s="16">
        <v>0.90229999999999999</v>
      </c>
      <c r="AD60" s="16">
        <v>0.20730000000000001</v>
      </c>
      <c r="AE60" s="16">
        <v>0.4138</v>
      </c>
      <c r="AF60" s="16">
        <v>6.3600000000000004E-2</v>
      </c>
      <c r="AG60" s="16">
        <v>0.13769999999999999</v>
      </c>
      <c r="AH60" s="16">
        <v>0.20269999999999999</v>
      </c>
      <c r="AI60" s="16">
        <v>6.7100000000000007E-2</v>
      </c>
      <c r="AJ60" s="16">
        <v>0.183</v>
      </c>
      <c r="AK60" s="16">
        <v>0.1726</v>
      </c>
      <c r="AL60" s="16">
        <v>0.11940000000000001</v>
      </c>
      <c r="AM60" s="16">
        <v>0.19850000000000001</v>
      </c>
      <c r="AN60" s="16">
        <v>8.9700000000000002E-2</v>
      </c>
      <c r="AO60" s="16">
        <v>0.19800000000000001</v>
      </c>
      <c r="AP60" s="16">
        <v>0.1575</v>
      </c>
      <c r="AQ60" s="16">
        <v>5.1999999999999998E-2</v>
      </c>
      <c r="AR60" s="16">
        <v>0.13769999999999999</v>
      </c>
      <c r="AS60" s="16">
        <v>0.16500000000000001</v>
      </c>
      <c r="AT60" s="16">
        <v>0.1905</v>
      </c>
      <c r="AU60" s="16">
        <v>5.1999999999999998E-2</v>
      </c>
      <c r="AV60" s="16">
        <v>0.21779999999999999</v>
      </c>
      <c r="AW60" s="16">
        <v>0.13769999999999999</v>
      </c>
      <c r="AX60" s="16">
        <v>0.20269999999999999</v>
      </c>
    </row>
    <row r="61" spans="1:50" x14ac:dyDescent="0.25">
      <c r="A61" s="17" t="s">
        <v>179</v>
      </c>
      <c r="B61" s="13" t="s">
        <v>100</v>
      </c>
      <c r="C61" s="18">
        <v>0.63890000000000002</v>
      </c>
      <c r="D61" s="18">
        <v>0.05</v>
      </c>
      <c r="E61" s="18">
        <v>0.05</v>
      </c>
      <c r="F61" s="18">
        <v>0.05</v>
      </c>
      <c r="G61" s="18">
        <v>0.05</v>
      </c>
      <c r="H61" s="18">
        <v>0.05</v>
      </c>
      <c r="I61" s="18">
        <v>0.05</v>
      </c>
      <c r="J61" s="18">
        <v>0.05</v>
      </c>
      <c r="K61" s="18">
        <v>0.05</v>
      </c>
      <c r="L61" s="18">
        <v>0.05</v>
      </c>
      <c r="M61" s="18">
        <v>0.05</v>
      </c>
      <c r="N61" s="18">
        <v>0.05</v>
      </c>
      <c r="O61" s="18">
        <v>0.05</v>
      </c>
      <c r="P61" s="18">
        <v>0.05</v>
      </c>
      <c r="Q61" s="18">
        <v>0.05</v>
      </c>
      <c r="R61" s="18">
        <v>0.05</v>
      </c>
      <c r="S61" s="18">
        <v>0.05</v>
      </c>
      <c r="T61" s="18">
        <v>0.1474</v>
      </c>
      <c r="U61" s="18">
        <v>7.4200000000000002E-2</v>
      </c>
      <c r="V61" s="18">
        <v>9.1899999999999996E-2</v>
      </c>
      <c r="W61" s="18">
        <v>0.1201</v>
      </c>
      <c r="X61" s="18">
        <v>0.31109999999999999</v>
      </c>
      <c r="Y61" s="18">
        <v>0.05</v>
      </c>
      <c r="Z61" s="18">
        <v>0.27710000000000001</v>
      </c>
      <c r="AA61" s="18">
        <v>6.9500000000000006E-2</v>
      </c>
      <c r="AB61" s="18">
        <v>5.2299999999999999E-2</v>
      </c>
      <c r="AC61" s="18">
        <v>0.05</v>
      </c>
      <c r="AD61" s="18">
        <v>0.05</v>
      </c>
      <c r="AE61" s="18">
        <v>0.05</v>
      </c>
      <c r="AF61" s="18">
        <v>0.05</v>
      </c>
      <c r="AG61" s="18">
        <v>0.05</v>
      </c>
      <c r="AH61" s="18">
        <v>5.2200000000000003E-2</v>
      </c>
      <c r="AI61" s="18">
        <v>0.32990000000000003</v>
      </c>
      <c r="AJ61" s="18">
        <v>0.2366</v>
      </c>
      <c r="AK61" s="18">
        <v>0.34560000000000002</v>
      </c>
      <c r="AL61" s="18">
        <v>6.1600000000000002E-2</v>
      </c>
      <c r="AM61" s="18">
        <v>5.1900000000000002E-2</v>
      </c>
      <c r="AN61" s="18">
        <v>0.05</v>
      </c>
      <c r="AO61" s="18">
        <v>0.05</v>
      </c>
      <c r="AP61" s="18">
        <v>0.05</v>
      </c>
      <c r="AQ61" s="18">
        <v>0.05</v>
      </c>
      <c r="AR61" s="18">
        <v>0.25729999999999997</v>
      </c>
      <c r="AS61" s="18">
        <v>0.27489999999999998</v>
      </c>
      <c r="AT61" s="18">
        <v>0.35859999999999997</v>
      </c>
      <c r="AU61" s="18">
        <v>0.05</v>
      </c>
      <c r="AV61" s="18">
        <v>0.05</v>
      </c>
      <c r="AW61" s="18">
        <v>0.05</v>
      </c>
      <c r="AX61" s="18">
        <v>0.05</v>
      </c>
    </row>
    <row r="62" spans="1:50" x14ac:dyDescent="0.25">
      <c r="A62" s="8" t="s">
        <v>88</v>
      </c>
      <c r="B62" s="10" t="s">
        <v>57</v>
      </c>
      <c r="C62" s="16">
        <v>0.127</v>
      </c>
      <c r="D62" s="16">
        <v>0.05</v>
      </c>
      <c r="E62" s="16">
        <v>0.05</v>
      </c>
      <c r="F62" s="16">
        <v>0.1578</v>
      </c>
      <c r="G62" s="16">
        <v>0.05</v>
      </c>
      <c r="H62" s="16">
        <v>0.1424</v>
      </c>
      <c r="I62" s="16">
        <v>6.54E-2</v>
      </c>
      <c r="J62" s="16">
        <v>0.05</v>
      </c>
      <c r="K62" s="16">
        <v>0.1578</v>
      </c>
      <c r="L62" s="16">
        <v>0.05</v>
      </c>
      <c r="M62" s="16">
        <v>0.1424</v>
      </c>
      <c r="N62" s="16">
        <v>0.26419999999999999</v>
      </c>
      <c r="O62" s="16">
        <v>0.05</v>
      </c>
      <c r="P62" s="16">
        <v>0.1578</v>
      </c>
      <c r="Q62" s="16">
        <v>0.05</v>
      </c>
      <c r="R62" s="16">
        <v>8.0799999999999997E-2</v>
      </c>
      <c r="S62" s="16">
        <v>0.127</v>
      </c>
      <c r="T62" s="16">
        <v>0.31709999999999999</v>
      </c>
      <c r="U62" s="16">
        <v>0.2135</v>
      </c>
      <c r="V62" s="16">
        <v>0.32</v>
      </c>
      <c r="W62" s="16">
        <v>0.19350000000000001</v>
      </c>
      <c r="X62" s="16">
        <v>0.59319999999999995</v>
      </c>
      <c r="Y62" s="16">
        <v>0.97399999999999998</v>
      </c>
      <c r="Z62" s="16">
        <v>5.8099999999999999E-2</v>
      </c>
      <c r="AA62" s="16">
        <v>1.0126999999999999</v>
      </c>
      <c r="AB62" s="16">
        <v>0.38629999999999998</v>
      </c>
      <c r="AC62" s="16">
        <v>1.8654999999999999</v>
      </c>
      <c r="AD62" s="16">
        <v>1.3415999999999999</v>
      </c>
      <c r="AE62" s="16">
        <v>1.4359999999999999</v>
      </c>
      <c r="AF62" s="16">
        <v>1.7228000000000001</v>
      </c>
      <c r="AG62" s="16">
        <v>0.49469999999999997</v>
      </c>
      <c r="AH62" s="16">
        <v>0.12659999999999999</v>
      </c>
      <c r="AI62" s="16">
        <v>0.26090000000000002</v>
      </c>
      <c r="AJ62" s="16">
        <v>1.6403000000000001</v>
      </c>
      <c r="AK62" s="16">
        <v>1.2782</v>
      </c>
      <c r="AL62" s="16">
        <v>0.29020000000000001</v>
      </c>
      <c r="AM62" s="16">
        <v>0.26979999999999998</v>
      </c>
      <c r="AN62" s="16">
        <v>0.25290000000000001</v>
      </c>
      <c r="AO62" s="16">
        <v>0.19350000000000001</v>
      </c>
      <c r="AP62" s="16">
        <v>0.19189999999999999</v>
      </c>
      <c r="AQ62" s="16">
        <v>0.61050000000000004</v>
      </c>
      <c r="AR62" s="16">
        <v>0.51500000000000001</v>
      </c>
      <c r="AS62" s="16">
        <v>0.65790000000000004</v>
      </c>
      <c r="AT62" s="16">
        <v>0.74139999999999995</v>
      </c>
      <c r="AU62" s="16">
        <v>0.05</v>
      </c>
      <c r="AV62" s="16">
        <v>0.05</v>
      </c>
      <c r="AW62" s="16">
        <v>0.05</v>
      </c>
      <c r="AX62" s="16">
        <v>0.1424</v>
      </c>
    </row>
    <row r="63" spans="1:50" x14ac:dyDescent="0.25">
      <c r="A63" s="17" t="s">
        <v>181</v>
      </c>
      <c r="B63" s="13" t="s">
        <v>100</v>
      </c>
      <c r="C63" s="18">
        <v>5.2999999999999999E-2</v>
      </c>
      <c r="D63" s="18">
        <v>5.2999999999999999E-2</v>
      </c>
      <c r="E63" s="18">
        <v>5.2999999999999999E-2</v>
      </c>
      <c r="F63" s="18">
        <v>5.2999999999999999E-2</v>
      </c>
      <c r="G63" s="18">
        <v>5.2999999999999999E-2</v>
      </c>
      <c r="H63" s="18">
        <v>5.2999999999999999E-2</v>
      </c>
      <c r="I63" s="18">
        <v>5.2999999999999999E-2</v>
      </c>
      <c r="J63" s="18">
        <v>5.2999999999999999E-2</v>
      </c>
      <c r="K63" s="18">
        <v>5.2999999999999999E-2</v>
      </c>
      <c r="L63" s="18">
        <v>5.2999999999999999E-2</v>
      </c>
      <c r="M63" s="18">
        <v>5.2999999999999999E-2</v>
      </c>
      <c r="N63" s="18">
        <v>5.2999999999999999E-2</v>
      </c>
      <c r="O63" s="18">
        <v>5.2999999999999999E-2</v>
      </c>
      <c r="P63" s="18">
        <v>5.2999999999999999E-2</v>
      </c>
      <c r="Q63" s="18">
        <v>5.2999999999999999E-2</v>
      </c>
      <c r="R63" s="18">
        <v>5.2999999999999999E-2</v>
      </c>
      <c r="S63" s="18">
        <v>5.2999999999999999E-2</v>
      </c>
      <c r="T63" s="18">
        <v>5.2999999999999999E-2</v>
      </c>
      <c r="U63" s="18">
        <v>5.2999999999999999E-2</v>
      </c>
      <c r="V63" s="18">
        <v>5.2999999999999999E-2</v>
      </c>
      <c r="W63" s="18">
        <v>5.2999999999999999E-2</v>
      </c>
      <c r="X63" s="18">
        <v>5.4600000000000003E-2</v>
      </c>
      <c r="Y63" s="18">
        <v>6.5299999999999997E-2</v>
      </c>
      <c r="Z63" s="18">
        <v>9.6799999999999997E-2</v>
      </c>
      <c r="AA63" s="18">
        <v>0.1522</v>
      </c>
      <c r="AB63" s="18">
        <v>6.2899999999999998E-2</v>
      </c>
      <c r="AC63" s="18">
        <v>0.35980000000000001</v>
      </c>
      <c r="AD63" s="18">
        <v>1.6063000000000001</v>
      </c>
      <c r="AE63" s="18">
        <v>0.21920000000000001</v>
      </c>
      <c r="AF63" s="18">
        <v>0.23139999999999999</v>
      </c>
      <c r="AG63" s="18">
        <v>0.13350000000000001</v>
      </c>
      <c r="AH63" s="18">
        <v>5.2999999999999999E-2</v>
      </c>
      <c r="AI63" s="18">
        <v>5.2999999999999999E-2</v>
      </c>
      <c r="AJ63" s="18">
        <v>5.2999999999999999E-2</v>
      </c>
      <c r="AK63" s="18">
        <v>5.2999999999999999E-2</v>
      </c>
      <c r="AL63" s="18">
        <v>5.2999999999999999E-2</v>
      </c>
      <c r="AM63" s="18">
        <v>5.2999999999999999E-2</v>
      </c>
      <c r="AN63" s="18">
        <v>5.2999999999999999E-2</v>
      </c>
      <c r="AO63" s="18">
        <v>0.33760000000000001</v>
      </c>
      <c r="AP63" s="18">
        <v>0.44869999999999999</v>
      </c>
      <c r="AQ63" s="18">
        <v>0.45910000000000001</v>
      </c>
      <c r="AR63" s="18">
        <v>0.44159999999999999</v>
      </c>
      <c r="AS63" s="18">
        <v>0.73660000000000003</v>
      </c>
      <c r="AT63" s="18">
        <v>0.34499999999999997</v>
      </c>
      <c r="AU63" s="18">
        <v>0.29799999999999999</v>
      </c>
      <c r="AV63" s="18">
        <v>0.34749999999999998</v>
      </c>
      <c r="AW63" s="18">
        <v>5.2999999999999999E-2</v>
      </c>
      <c r="AX63" s="18">
        <v>6.2700000000000006E-2</v>
      </c>
    </row>
    <row r="64" spans="1:50" x14ac:dyDescent="0.25">
      <c r="A64" s="8" t="s">
        <v>90</v>
      </c>
      <c r="B64" s="10" t="s">
        <v>57</v>
      </c>
      <c r="C64" s="16">
        <v>1.5069999999999999</v>
      </c>
      <c r="D64" s="16">
        <v>0.2281</v>
      </c>
      <c r="E64" s="16">
        <v>0.1389</v>
      </c>
      <c r="F64" s="16">
        <v>0.15720000000000001</v>
      </c>
      <c r="G64" s="16">
        <v>0.318</v>
      </c>
      <c r="H64" s="16">
        <v>0.14419999999999999</v>
      </c>
      <c r="I64" s="16">
        <v>5.5E-2</v>
      </c>
      <c r="J64" s="16">
        <v>0.30780000000000002</v>
      </c>
      <c r="K64" s="16">
        <v>7.8200000000000006E-2</v>
      </c>
      <c r="L64" s="16">
        <v>5.5E-2</v>
      </c>
      <c r="M64" s="16">
        <v>0.2477</v>
      </c>
      <c r="N64" s="16">
        <v>0.22750000000000001</v>
      </c>
      <c r="O64" s="16">
        <v>0.22289999999999999</v>
      </c>
      <c r="P64" s="16">
        <v>5.5E-2</v>
      </c>
      <c r="Q64" s="16">
        <v>0.1618</v>
      </c>
      <c r="R64" s="16">
        <v>0.22409999999999999</v>
      </c>
      <c r="S64" s="16">
        <v>0.16289999999999999</v>
      </c>
      <c r="T64" s="16">
        <v>0.52</v>
      </c>
      <c r="U64" s="16">
        <v>0.28010000000000002</v>
      </c>
      <c r="V64" s="16">
        <v>0.73560000000000003</v>
      </c>
      <c r="W64" s="16">
        <v>0.58020000000000005</v>
      </c>
      <c r="X64" s="16">
        <v>0.2341</v>
      </c>
      <c r="Y64" s="16">
        <v>0.17580000000000001</v>
      </c>
      <c r="Z64" s="16">
        <v>0.2394</v>
      </c>
      <c r="AA64" s="16">
        <v>0.14419999999999999</v>
      </c>
      <c r="AB64" s="16">
        <v>0.1847</v>
      </c>
      <c r="AC64" s="16">
        <v>0.29039999999999999</v>
      </c>
      <c r="AD64" s="16">
        <v>5.5E-2</v>
      </c>
      <c r="AE64" s="16">
        <v>0.3342</v>
      </c>
      <c r="AF64" s="16">
        <v>0.14099999999999999</v>
      </c>
      <c r="AG64" s="16">
        <v>5.5E-2</v>
      </c>
      <c r="AH64" s="16">
        <v>0.1779</v>
      </c>
      <c r="AI64" s="16">
        <v>0.24379999999999999</v>
      </c>
      <c r="AJ64" s="16">
        <v>0.1183</v>
      </c>
      <c r="AK64" s="16">
        <v>0.28310000000000002</v>
      </c>
      <c r="AL64" s="16">
        <v>0.25800000000000001</v>
      </c>
      <c r="AM64" s="16">
        <v>1.6771</v>
      </c>
      <c r="AN64" s="16">
        <v>1.4958</v>
      </c>
      <c r="AO64" s="16">
        <v>0.92700000000000005</v>
      </c>
      <c r="AP64" s="16">
        <v>0.4027</v>
      </c>
      <c r="AQ64" s="16">
        <v>0.36720000000000003</v>
      </c>
      <c r="AR64" s="16">
        <v>0.25469999999999998</v>
      </c>
      <c r="AS64" s="16">
        <v>0.40350000000000003</v>
      </c>
      <c r="AT64" s="16">
        <v>0.49540000000000001</v>
      </c>
      <c r="AU64" s="16">
        <v>1.7856000000000001</v>
      </c>
      <c r="AV64" s="16">
        <v>1.6458999999999999</v>
      </c>
      <c r="AW64" s="16">
        <v>0.31319999999999998</v>
      </c>
      <c r="AX64" s="16">
        <v>0.14419999999999999</v>
      </c>
    </row>
    <row r="65" spans="1:50" x14ac:dyDescent="0.25">
      <c r="A65" s="17" t="s">
        <v>183</v>
      </c>
      <c r="B65" s="13" t="s">
        <v>100</v>
      </c>
      <c r="C65" s="18">
        <v>0.55200000000000005</v>
      </c>
      <c r="D65" s="18">
        <v>0.53359999999999996</v>
      </c>
      <c r="E65" s="18">
        <v>7.9100000000000004E-2</v>
      </c>
      <c r="F65" s="18">
        <v>8.5199999999999998E-2</v>
      </c>
      <c r="G65" s="18">
        <v>4.7E-2</v>
      </c>
      <c r="H65" s="18">
        <v>0.16389999999999999</v>
      </c>
      <c r="I65" s="18">
        <v>0.1108</v>
      </c>
      <c r="J65" s="18">
        <v>0.1769</v>
      </c>
      <c r="K65" s="18">
        <v>3.4000000000000002E-2</v>
      </c>
      <c r="L65" s="18">
        <v>0.1249</v>
      </c>
      <c r="M65" s="18">
        <v>0.16270000000000001</v>
      </c>
      <c r="N65" s="18">
        <v>3.4000000000000002E-2</v>
      </c>
      <c r="O65" s="18">
        <v>5.3499999999999999E-2</v>
      </c>
      <c r="P65" s="18">
        <v>0.23419999999999999</v>
      </c>
      <c r="Q65" s="18">
        <v>3.4000000000000002E-2</v>
      </c>
      <c r="R65" s="18">
        <v>0.1108</v>
      </c>
      <c r="S65" s="18">
        <v>0.1769</v>
      </c>
      <c r="T65" s="18">
        <v>0.1162</v>
      </c>
      <c r="U65" s="18">
        <v>0.19389999999999999</v>
      </c>
      <c r="V65" s="18">
        <v>0.71360000000000001</v>
      </c>
      <c r="W65" s="18">
        <v>1.6255999999999999</v>
      </c>
      <c r="X65" s="18">
        <v>0.18210000000000001</v>
      </c>
      <c r="Y65" s="18">
        <v>0.16919999999999999</v>
      </c>
      <c r="Z65" s="18">
        <v>5.11E-2</v>
      </c>
      <c r="AA65" s="18">
        <v>0.1769</v>
      </c>
      <c r="AB65" s="18">
        <v>8.9399999999999993E-2</v>
      </c>
      <c r="AC65" s="18">
        <v>8.7800000000000003E-2</v>
      </c>
      <c r="AD65" s="18">
        <v>0.1444</v>
      </c>
      <c r="AE65" s="18">
        <v>0.1108</v>
      </c>
      <c r="AF65" s="18">
        <v>0.1769</v>
      </c>
      <c r="AG65" s="18">
        <v>3.4000000000000002E-2</v>
      </c>
      <c r="AH65" s="18">
        <v>5.96E-2</v>
      </c>
      <c r="AI65" s="18">
        <v>0.22159999999999999</v>
      </c>
      <c r="AJ65" s="18">
        <v>4.0500000000000001E-2</v>
      </c>
      <c r="AK65" s="18">
        <v>7.6600000000000001E-2</v>
      </c>
      <c r="AL65" s="18">
        <v>0.21099999999999999</v>
      </c>
      <c r="AM65" s="18">
        <v>3.4000000000000002E-2</v>
      </c>
      <c r="AN65" s="18">
        <v>0.22770000000000001</v>
      </c>
      <c r="AO65" s="18">
        <v>0.06</v>
      </c>
      <c r="AP65" s="18">
        <v>9.1700000000000004E-2</v>
      </c>
      <c r="AQ65" s="18">
        <v>0.19600000000000001</v>
      </c>
      <c r="AR65" s="18">
        <v>6.8099999999999994E-2</v>
      </c>
      <c r="AS65" s="18">
        <v>0.33829999999999999</v>
      </c>
      <c r="AT65" s="18">
        <v>0.26150000000000001</v>
      </c>
      <c r="AU65" s="18">
        <v>0.47389999999999999</v>
      </c>
      <c r="AV65" s="18">
        <v>0.74980000000000002</v>
      </c>
      <c r="AW65" s="18">
        <v>0.41010000000000002</v>
      </c>
      <c r="AX65" s="18">
        <v>0.54859999999999998</v>
      </c>
    </row>
    <row r="66" spans="1:50" x14ac:dyDescent="0.25">
      <c r="A66" s="17" t="s">
        <v>185</v>
      </c>
      <c r="B66" s="13" t="s">
        <v>100</v>
      </c>
      <c r="C66" s="18">
        <v>0.68289999999999995</v>
      </c>
      <c r="D66" s="18">
        <v>0.1487</v>
      </c>
      <c r="E66" s="18">
        <v>0.14330000000000001</v>
      </c>
      <c r="F66" s="18">
        <v>5.3999999999999999E-2</v>
      </c>
      <c r="G66" s="18">
        <v>5.3999999999999999E-2</v>
      </c>
      <c r="H66" s="18">
        <v>0.14330000000000001</v>
      </c>
      <c r="I66" s="18">
        <v>5.3999999999999999E-2</v>
      </c>
      <c r="J66" s="18">
        <v>9.8699999999999996E-2</v>
      </c>
      <c r="K66" s="18">
        <v>9.8699999999999996E-2</v>
      </c>
      <c r="L66" s="18">
        <v>5.3999999999999999E-2</v>
      </c>
      <c r="M66" s="18">
        <v>0.14330000000000001</v>
      </c>
      <c r="N66" s="18">
        <v>5.3999999999999999E-2</v>
      </c>
      <c r="O66" s="18">
        <v>0.1242</v>
      </c>
      <c r="P66" s="18">
        <v>7.3099999999999998E-2</v>
      </c>
      <c r="Q66" s="18">
        <v>5.3999999999999999E-2</v>
      </c>
      <c r="R66" s="18">
        <v>5.3999999999999999E-2</v>
      </c>
      <c r="S66" s="18">
        <v>0.1709</v>
      </c>
      <c r="T66" s="18">
        <v>5.3999999999999999E-2</v>
      </c>
      <c r="U66" s="18">
        <v>5.3999999999999999E-2</v>
      </c>
      <c r="V66" s="18">
        <v>0.14330000000000001</v>
      </c>
      <c r="W66" s="18">
        <v>5.3999999999999999E-2</v>
      </c>
      <c r="X66" s="18">
        <v>5.3999999999999999E-2</v>
      </c>
      <c r="Y66" s="18">
        <v>5.3999999999999999E-2</v>
      </c>
      <c r="Z66" s="18">
        <v>5.3999999999999999E-2</v>
      </c>
      <c r="AA66" s="18">
        <v>5.3999999999999999E-2</v>
      </c>
      <c r="AB66" s="18">
        <v>1.3204</v>
      </c>
      <c r="AC66" s="18">
        <v>1.0702</v>
      </c>
      <c r="AD66" s="18">
        <v>0.33360000000000001</v>
      </c>
      <c r="AE66" s="18">
        <v>0.58089999999999997</v>
      </c>
      <c r="AF66" s="18">
        <v>0.23449999999999999</v>
      </c>
      <c r="AG66" s="18">
        <v>0.504</v>
      </c>
      <c r="AH66" s="18">
        <v>0.54930000000000001</v>
      </c>
      <c r="AI66" s="18">
        <v>0.26700000000000002</v>
      </c>
      <c r="AJ66" s="18">
        <v>0.23369999999999999</v>
      </c>
      <c r="AK66" s="18">
        <v>0.13059999999999999</v>
      </c>
      <c r="AL66" s="18">
        <v>0.10970000000000001</v>
      </c>
      <c r="AM66" s="18">
        <v>0.31330000000000002</v>
      </c>
      <c r="AN66" s="18">
        <v>0.11310000000000001</v>
      </c>
      <c r="AO66" s="18">
        <v>9.7199999999999995E-2</v>
      </c>
      <c r="AP66" s="18">
        <v>0.45400000000000001</v>
      </c>
      <c r="AQ66" s="18">
        <v>0.31740000000000002</v>
      </c>
      <c r="AR66" s="18">
        <v>0.43459999999999999</v>
      </c>
      <c r="AS66" s="18">
        <v>0.72940000000000005</v>
      </c>
      <c r="AT66" s="18">
        <v>0.56230000000000002</v>
      </c>
      <c r="AU66" s="18">
        <v>0.67200000000000004</v>
      </c>
      <c r="AV66" s="18">
        <v>0.59119999999999995</v>
      </c>
      <c r="AW66" s="18">
        <v>0.50690000000000002</v>
      </c>
      <c r="AX66" s="18">
        <v>0.64570000000000005</v>
      </c>
    </row>
    <row r="67" spans="1:50" x14ac:dyDescent="0.25">
      <c r="A67" s="17" t="s">
        <v>187</v>
      </c>
      <c r="B67" s="13" t="s">
        <v>100</v>
      </c>
      <c r="C67" s="18">
        <v>0.73370000000000002</v>
      </c>
      <c r="D67" s="18">
        <v>0.43819999999999998</v>
      </c>
      <c r="E67" s="18">
        <v>0.83150000000000002</v>
      </c>
      <c r="F67" s="18">
        <v>0.66539999999999999</v>
      </c>
      <c r="G67" s="18">
        <v>0.4899</v>
      </c>
      <c r="H67" s="18">
        <v>0.56710000000000005</v>
      </c>
      <c r="I67" s="18">
        <v>0.20699999999999999</v>
      </c>
      <c r="J67" s="18">
        <v>5.2999999999999999E-2</v>
      </c>
      <c r="K67" s="18">
        <v>0.1706</v>
      </c>
      <c r="L67" s="18">
        <v>0.30199999999999999</v>
      </c>
      <c r="M67" s="18">
        <v>0.1636</v>
      </c>
      <c r="N67" s="18">
        <v>0.24510000000000001</v>
      </c>
      <c r="O67" s="18">
        <v>0.1169</v>
      </c>
      <c r="P67" s="18">
        <v>0.1636</v>
      </c>
      <c r="Q67" s="18">
        <v>0.246</v>
      </c>
      <c r="R67" s="18">
        <v>0.14360000000000001</v>
      </c>
      <c r="S67" s="18">
        <v>0.13589999999999999</v>
      </c>
      <c r="T67" s="18">
        <v>6.7000000000000004E-2</v>
      </c>
      <c r="U67" s="18">
        <v>0.57089999999999996</v>
      </c>
      <c r="V67" s="18">
        <v>8.0600000000000005E-2</v>
      </c>
      <c r="W67" s="18">
        <v>0.19700000000000001</v>
      </c>
      <c r="X67" s="18">
        <v>0.36820000000000003</v>
      </c>
      <c r="Y67" s="18">
        <v>0.15090000000000001</v>
      </c>
      <c r="Z67" s="18">
        <v>0.2777</v>
      </c>
      <c r="AA67" s="18">
        <v>0.12509999999999999</v>
      </c>
      <c r="AB67" s="18">
        <v>0.26529999999999998</v>
      </c>
      <c r="AC67" s="18">
        <v>0.20730000000000001</v>
      </c>
      <c r="AD67" s="18">
        <v>0.16500000000000001</v>
      </c>
      <c r="AE67" s="18">
        <v>0.2782</v>
      </c>
      <c r="AF67" s="18">
        <v>8.2400000000000001E-2</v>
      </c>
      <c r="AG67" s="18">
        <v>1.5651999999999999</v>
      </c>
      <c r="AH67" s="18">
        <v>0.32379999999999998</v>
      </c>
      <c r="AI67" s="18">
        <v>0.79830000000000001</v>
      </c>
      <c r="AJ67" s="18">
        <v>0.71399999999999997</v>
      </c>
      <c r="AK67" s="18">
        <v>0.34660000000000002</v>
      </c>
      <c r="AL67" s="18">
        <v>0.39340000000000003</v>
      </c>
      <c r="AM67" s="18">
        <v>0.51619999999999999</v>
      </c>
      <c r="AN67" s="18">
        <v>0.19550000000000001</v>
      </c>
      <c r="AO67" s="18">
        <v>0.35089999999999999</v>
      </c>
      <c r="AP67" s="18">
        <v>0.69989999999999997</v>
      </c>
      <c r="AQ67" s="18">
        <v>0.93159999999999998</v>
      </c>
      <c r="AR67" s="18">
        <v>0.62460000000000004</v>
      </c>
      <c r="AS67" s="18">
        <v>0.49530000000000002</v>
      </c>
      <c r="AT67" s="18">
        <v>0.47070000000000001</v>
      </c>
      <c r="AU67" s="18">
        <v>1.1719999999999999</v>
      </c>
      <c r="AV67" s="18">
        <v>0.48370000000000002</v>
      </c>
      <c r="AW67" s="18">
        <v>0.76270000000000004</v>
      </c>
      <c r="AX67" s="18">
        <v>0.16200000000000001</v>
      </c>
    </row>
    <row r="68" spans="1:50" x14ac:dyDescent="0.25">
      <c r="A68" s="17" t="s">
        <v>189</v>
      </c>
      <c r="B68" s="13" t="s">
        <v>100</v>
      </c>
      <c r="C68" s="18">
        <v>0.10199999999999999</v>
      </c>
      <c r="D68" s="18">
        <v>0.1336</v>
      </c>
      <c r="E68" s="18">
        <v>0.15079999999999999</v>
      </c>
      <c r="F68" s="18">
        <v>0.05</v>
      </c>
      <c r="G68" s="18">
        <v>0.23430000000000001</v>
      </c>
      <c r="H68" s="18">
        <v>0.05</v>
      </c>
      <c r="I68" s="18">
        <v>0.05</v>
      </c>
      <c r="J68" s="18">
        <v>0.128</v>
      </c>
      <c r="K68" s="18">
        <v>0.15629999999999999</v>
      </c>
      <c r="L68" s="18">
        <v>0.05</v>
      </c>
      <c r="M68" s="18">
        <v>0.1336</v>
      </c>
      <c r="N68" s="18">
        <v>0.13780000000000001</v>
      </c>
      <c r="O68" s="18">
        <v>6.3E-2</v>
      </c>
      <c r="P68" s="18">
        <v>0.20830000000000001</v>
      </c>
      <c r="Q68" s="18">
        <v>7.5999999999999998E-2</v>
      </c>
      <c r="R68" s="18">
        <v>6.7299999999999999E-2</v>
      </c>
      <c r="S68" s="18">
        <v>0.19420000000000001</v>
      </c>
      <c r="T68" s="18">
        <v>7.2800000000000004E-2</v>
      </c>
      <c r="U68" s="18">
        <v>0.128</v>
      </c>
      <c r="V68" s="18">
        <v>0.22839999999999999</v>
      </c>
      <c r="W68" s="18">
        <v>0.35220000000000001</v>
      </c>
      <c r="X68" s="18">
        <v>0.30940000000000001</v>
      </c>
      <c r="Y68" s="18">
        <v>0.32829999999999998</v>
      </c>
      <c r="Z68" s="18">
        <v>0.19819999999999999</v>
      </c>
      <c r="AA68" s="18">
        <v>0.05</v>
      </c>
      <c r="AB68" s="18">
        <v>0.2127</v>
      </c>
      <c r="AC68" s="18">
        <v>7.17E-2</v>
      </c>
      <c r="AD68" s="18">
        <v>0.17799999999999999</v>
      </c>
      <c r="AE68" s="18">
        <v>0.10630000000000001</v>
      </c>
      <c r="AF68" s="18">
        <v>0.05</v>
      </c>
      <c r="AG68" s="18">
        <v>0.23430000000000001</v>
      </c>
      <c r="AH68" s="18">
        <v>0.05</v>
      </c>
      <c r="AI68" s="18">
        <v>0.15629999999999999</v>
      </c>
      <c r="AJ68" s="18">
        <v>0.05</v>
      </c>
      <c r="AK68" s="18">
        <v>0.14319999999999999</v>
      </c>
      <c r="AL68" s="18">
        <v>0.1411</v>
      </c>
      <c r="AM68" s="18">
        <v>0.05</v>
      </c>
      <c r="AN68" s="18">
        <v>0.20399999999999999</v>
      </c>
      <c r="AO68" s="18">
        <v>8.0299999999999996E-2</v>
      </c>
      <c r="AP68" s="18">
        <v>8.8999999999999996E-2</v>
      </c>
      <c r="AQ68" s="18">
        <v>0.1953</v>
      </c>
      <c r="AR68" s="18">
        <v>0.05</v>
      </c>
      <c r="AS68" s="18">
        <v>0.05</v>
      </c>
      <c r="AT68" s="18">
        <v>0.377</v>
      </c>
      <c r="AU68" s="18">
        <v>0.22989999999999999</v>
      </c>
      <c r="AV68" s="18">
        <v>0.25569999999999998</v>
      </c>
      <c r="AW68" s="18">
        <v>0.38890000000000002</v>
      </c>
      <c r="AX68" s="18">
        <v>0.45329999999999998</v>
      </c>
    </row>
    <row r="69" spans="1:50" x14ac:dyDescent="0.25">
      <c r="A69" s="8" t="s">
        <v>92</v>
      </c>
      <c r="B69" s="10" t="s">
        <v>57</v>
      </c>
      <c r="C69" s="16">
        <v>5.8000000000000003E-2</v>
      </c>
      <c r="D69" s="16">
        <v>0.19980000000000001</v>
      </c>
      <c r="E69" s="16">
        <v>7.6200000000000004E-2</v>
      </c>
      <c r="F69" s="16">
        <v>0.19009999999999999</v>
      </c>
      <c r="G69" s="16">
        <v>8.5900000000000004E-2</v>
      </c>
      <c r="H69" s="16">
        <v>5.8000000000000003E-2</v>
      </c>
      <c r="I69" s="16">
        <v>0.218</v>
      </c>
      <c r="J69" s="16">
        <v>5.8000000000000003E-2</v>
      </c>
      <c r="K69" s="16">
        <v>0.1139</v>
      </c>
      <c r="L69" s="16">
        <v>8.0399999999999999E-2</v>
      </c>
      <c r="M69" s="16">
        <v>5.8000000000000003E-2</v>
      </c>
      <c r="N69" s="16">
        <v>0.19980000000000001</v>
      </c>
      <c r="O69" s="16">
        <v>7.6200000000000004E-2</v>
      </c>
      <c r="P69" s="16">
        <v>0.1139</v>
      </c>
      <c r="Q69" s="16">
        <v>0.16209999999999999</v>
      </c>
      <c r="R69" s="16">
        <v>5.8000000000000003E-2</v>
      </c>
      <c r="S69" s="16">
        <v>0.15890000000000001</v>
      </c>
      <c r="T69" s="16">
        <v>0.1171</v>
      </c>
      <c r="U69" s="16">
        <v>8.5300000000000001E-2</v>
      </c>
      <c r="V69" s="16">
        <v>0.1125</v>
      </c>
      <c r="W69" s="16">
        <v>0.13619999999999999</v>
      </c>
      <c r="X69" s="16">
        <v>7.6200000000000004E-2</v>
      </c>
      <c r="Y69" s="16">
        <v>0.15509999999999999</v>
      </c>
      <c r="Z69" s="16">
        <v>0.1027</v>
      </c>
      <c r="AA69" s="16">
        <v>0.12609999999999999</v>
      </c>
      <c r="AB69" s="16">
        <v>0.14990000000000001</v>
      </c>
      <c r="AC69" s="16">
        <v>0.108</v>
      </c>
      <c r="AD69" s="16">
        <v>8.9800000000000005E-2</v>
      </c>
      <c r="AE69" s="16">
        <v>0.19070000000000001</v>
      </c>
      <c r="AF69" s="16">
        <v>8.5300000000000001E-2</v>
      </c>
      <c r="AG69" s="16">
        <v>9.7100000000000006E-2</v>
      </c>
      <c r="AH69" s="16">
        <v>9.7100000000000006E-2</v>
      </c>
      <c r="AI69" s="16">
        <v>0.19639999999999999</v>
      </c>
      <c r="AJ69" s="16">
        <v>0.36969999999999997</v>
      </c>
      <c r="AK69" s="16">
        <v>0.1048</v>
      </c>
      <c r="AL69" s="16">
        <v>0.18149999999999999</v>
      </c>
      <c r="AM69" s="16">
        <v>0.1588</v>
      </c>
      <c r="AN69" s="16">
        <v>0.19</v>
      </c>
      <c r="AO69" s="16">
        <v>0.46829999999999999</v>
      </c>
      <c r="AP69" s="16">
        <v>0.46079999999999999</v>
      </c>
      <c r="AQ69" s="16">
        <v>0.69359999999999999</v>
      </c>
      <c r="AR69" s="16">
        <v>0.81420000000000003</v>
      </c>
      <c r="AS69" s="16">
        <v>0.64149999999999996</v>
      </c>
      <c r="AT69" s="16">
        <v>0.57720000000000005</v>
      </c>
      <c r="AU69" s="16">
        <v>0.39279999999999998</v>
      </c>
      <c r="AV69" s="16">
        <v>0.5212</v>
      </c>
      <c r="AW69" s="16">
        <v>0.14990000000000001</v>
      </c>
      <c r="AX69" s="16">
        <v>0.13519999999999999</v>
      </c>
    </row>
    <row r="70" spans="1:50" x14ac:dyDescent="0.25">
      <c r="A70" s="17" t="s">
        <v>191</v>
      </c>
      <c r="B70" s="13" t="s">
        <v>100</v>
      </c>
      <c r="C70" s="18">
        <v>0.16039999999999999</v>
      </c>
      <c r="D70" s="18">
        <v>0.14599999999999999</v>
      </c>
      <c r="E70" s="18">
        <v>9.9299999999999999E-2</v>
      </c>
      <c r="F70" s="18">
        <v>0.24640000000000001</v>
      </c>
      <c r="G70" s="18">
        <v>0.14860000000000001</v>
      </c>
      <c r="H70" s="18">
        <v>0.24640000000000001</v>
      </c>
      <c r="I70" s="18">
        <v>0.05</v>
      </c>
      <c r="J70" s="18">
        <v>8.9300000000000004E-2</v>
      </c>
      <c r="K70" s="18">
        <v>0.17929999999999999</v>
      </c>
      <c r="L70" s="18">
        <v>0.1764</v>
      </c>
      <c r="M70" s="18">
        <v>0.1173</v>
      </c>
      <c r="N70" s="18">
        <v>0.22140000000000001</v>
      </c>
      <c r="O70" s="18">
        <v>0.1062</v>
      </c>
      <c r="P70" s="18">
        <v>0.05</v>
      </c>
      <c r="Q70" s="18">
        <v>0.26090000000000002</v>
      </c>
      <c r="R70" s="18">
        <v>0.05</v>
      </c>
      <c r="S70" s="18">
        <v>1.0831999999999999</v>
      </c>
      <c r="T70" s="18">
        <v>0.1787</v>
      </c>
      <c r="U70" s="18">
        <v>0.14729999999999999</v>
      </c>
      <c r="V70" s="18">
        <v>0.22900000000000001</v>
      </c>
      <c r="W70" s="18">
        <v>0.1154</v>
      </c>
      <c r="X70" s="18">
        <v>0.16220000000000001</v>
      </c>
      <c r="Y70" s="18">
        <v>0.05</v>
      </c>
      <c r="Z70" s="18">
        <v>0.14860000000000001</v>
      </c>
      <c r="AA70" s="18">
        <v>0.21829999999999999</v>
      </c>
      <c r="AB70" s="18">
        <v>7.8E-2</v>
      </c>
      <c r="AC70" s="18">
        <v>0.48630000000000001</v>
      </c>
      <c r="AD70" s="18">
        <v>0.16309999999999999</v>
      </c>
      <c r="AE70" s="18">
        <v>0.14369999999999999</v>
      </c>
      <c r="AF70" s="18">
        <v>1.6547000000000001</v>
      </c>
      <c r="AG70" s="18">
        <v>3.4420000000000002</v>
      </c>
      <c r="AH70" s="18">
        <v>2.5556999999999999</v>
      </c>
      <c r="AI70" s="18">
        <v>0.46850000000000003</v>
      </c>
      <c r="AJ70" s="18">
        <v>0.2429</v>
      </c>
      <c r="AK70" s="18">
        <v>0.27089999999999997</v>
      </c>
      <c r="AL70" s="18">
        <v>0.78990000000000005</v>
      </c>
      <c r="AM70" s="18">
        <v>0.46210000000000001</v>
      </c>
      <c r="AN70" s="18">
        <v>0.3407</v>
      </c>
      <c r="AO70" s="18">
        <v>0.29809999999999998</v>
      </c>
      <c r="AP70" s="18">
        <v>0.56610000000000005</v>
      </c>
      <c r="AQ70" s="18">
        <v>0.32569999999999999</v>
      </c>
      <c r="AR70" s="18">
        <v>0.31859999999999999</v>
      </c>
      <c r="AS70" s="18">
        <v>0.49270000000000003</v>
      </c>
      <c r="AT70" s="18">
        <v>0.39989999999999998</v>
      </c>
      <c r="AU70" s="18">
        <v>0.42530000000000001</v>
      </c>
      <c r="AV70" s="18">
        <v>0.42659999999999998</v>
      </c>
      <c r="AW70" s="18">
        <v>0.05</v>
      </c>
      <c r="AX70" s="18">
        <v>0.05</v>
      </c>
    </row>
    <row r="71" spans="1:50" x14ac:dyDescent="0.25">
      <c r="A71" s="17" t="s">
        <v>193</v>
      </c>
      <c r="B71" s="13" t="s">
        <v>100</v>
      </c>
      <c r="C71" s="18">
        <v>0.13300000000000001</v>
      </c>
      <c r="D71" s="18">
        <v>0.1726</v>
      </c>
      <c r="E71" s="18">
        <v>0.10349999999999999</v>
      </c>
      <c r="F71" s="18">
        <v>8.9899999999999994E-2</v>
      </c>
      <c r="G71" s="18">
        <v>0.2089</v>
      </c>
      <c r="H71" s="18">
        <v>0.1444</v>
      </c>
      <c r="I71" s="18">
        <v>4.9000000000000002E-2</v>
      </c>
      <c r="J71" s="18">
        <v>0.1799</v>
      </c>
      <c r="K71" s="18">
        <v>0.17349999999999999</v>
      </c>
      <c r="L71" s="18">
        <v>0.1144</v>
      </c>
      <c r="M71" s="18">
        <v>0.14349999999999999</v>
      </c>
      <c r="N71" s="18">
        <v>0.1103</v>
      </c>
      <c r="O71" s="18">
        <v>8.3099999999999993E-2</v>
      </c>
      <c r="P71" s="18">
        <v>0.1653</v>
      </c>
      <c r="Q71" s="18">
        <v>0.188</v>
      </c>
      <c r="R71" s="18">
        <v>9.2600000000000002E-2</v>
      </c>
      <c r="S71" s="18">
        <v>0.17430000000000001</v>
      </c>
      <c r="T71" s="18">
        <v>0.14710000000000001</v>
      </c>
      <c r="U71" s="18">
        <v>0.22059999999999999</v>
      </c>
      <c r="V71" s="18">
        <v>0.1971</v>
      </c>
      <c r="W71" s="18">
        <v>0.39989999999999998</v>
      </c>
      <c r="X71" s="18">
        <v>7.7600000000000002E-2</v>
      </c>
      <c r="Y71" s="18">
        <v>0.14480000000000001</v>
      </c>
      <c r="Z71" s="18">
        <v>0.20169999999999999</v>
      </c>
      <c r="AA71" s="18">
        <v>0.42209999999999998</v>
      </c>
      <c r="AB71" s="18">
        <v>0.78979999999999995</v>
      </c>
      <c r="AC71" s="18">
        <v>0.17979999999999999</v>
      </c>
      <c r="AD71" s="18">
        <v>0.32440000000000002</v>
      </c>
      <c r="AE71" s="18">
        <v>9.1399999999999995E-2</v>
      </c>
      <c r="AF71" s="18">
        <v>0.8639</v>
      </c>
      <c r="AG71" s="18">
        <v>0.49399999999999999</v>
      </c>
      <c r="AH71" s="18">
        <v>0.23719999999999999</v>
      </c>
      <c r="AI71" s="18">
        <v>0.31990000000000002</v>
      </c>
      <c r="AJ71" s="18">
        <v>4.9500000000000002E-2</v>
      </c>
      <c r="AK71" s="18">
        <v>0.1368</v>
      </c>
      <c r="AL71" s="18">
        <v>0.28760000000000002</v>
      </c>
      <c r="AM71" s="18">
        <v>0.15809999999999999</v>
      </c>
      <c r="AN71" s="18">
        <v>1.5365</v>
      </c>
      <c r="AO71" s="18">
        <v>0.91810000000000003</v>
      </c>
      <c r="AP71" s="18">
        <v>0.18579999999999999</v>
      </c>
      <c r="AQ71" s="18">
        <v>0.33829999999999999</v>
      </c>
      <c r="AR71" s="18">
        <v>0.38940000000000002</v>
      </c>
      <c r="AS71" s="18">
        <v>0.5756</v>
      </c>
      <c r="AT71" s="18">
        <v>0.76800000000000002</v>
      </c>
      <c r="AU71" s="18">
        <v>1.7014</v>
      </c>
      <c r="AV71" s="18">
        <v>0.79330000000000001</v>
      </c>
      <c r="AW71" s="18">
        <v>0.26300000000000001</v>
      </c>
      <c r="AX71" s="18">
        <v>5.6300000000000003E-2</v>
      </c>
    </row>
    <row r="72" spans="1:50" x14ac:dyDescent="0.25">
      <c r="A72" s="8" t="s">
        <v>94</v>
      </c>
      <c r="B72" s="10" t="s">
        <v>57</v>
      </c>
      <c r="C72" s="16">
        <v>0.1229</v>
      </c>
      <c r="D72" s="16">
        <v>0.1048</v>
      </c>
      <c r="E72" s="16">
        <v>0.2636</v>
      </c>
      <c r="F72" s="16">
        <v>0.17330000000000001</v>
      </c>
      <c r="G72" s="16">
        <v>9.4600000000000004E-2</v>
      </c>
      <c r="H72" s="16">
        <v>0.34229999999999999</v>
      </c>
      <c r="I72" s="16">
        <v>5.0999999999999997E-2</v>
      </c>
      <c r="J72" s="16">
        <v>0.1986</v>
      </c>
      <c r="K72" s="16">
        <v>0.23830000000000001</v>
      </c>
      <c r="L72" s="16">
        <v>7.3099999999999998E-2</v>
      </c>
      <c r="M72" s="16">
        <v>0.32540000000000002</v>
      </c>
      <c r="N72" s="16">
        <v>8.9399999999999993E-2</v>
      </c>
      <c r="O72" s="16">
        <v>0.27829999999999999</v>
      </c>
      <c r="P72" s="16">
        <v>5.0999999999999997E-2</v>
      </c>
      <c r="Q72" s="16">
        <v>0.30499999999999999</v>
      </c>
      <c r="R72" s="16">
        <v>0.53490000000000004</v>
      </c>
      <c r="S72" s="16">
        <v>8.0299999999999996E-2</v>
      </c>
      <c r="T72" s="16">
        <v>0.42249999999999999</v>
      </c>
      <c r="U72" s="16">
        <v>5.0999999999999997E-2</v>
      </c>
      <c r="V72" s="16">
        <v>0.13420000000000001</v>
      </c>
      <c r="W72" s="16">
        <v>0.30270000000000002</v>
      </c>
      <c r="X72" s="16">
        <v>5.0999999999999997E-2</v>
      </c>
      <c r="Y72" s="16">
        <v>0.21299999999999999</v>
      </c>
      <c r="Z72" s="16">
        <v>0.1731</v>
      </c>
      <c r="AA72" s="16">
        <v>0.1018</v>
      </c>
      <c r="AB72" s="16">
        <v>0.22800000000000001</v>
      </c>
      <c r="AC72" s="16">
        <v>0.23069999999999999</v>
      </c>
      <c r="AD72" s="16">
        <v>0.1648</v>
      </c>
      <c r="AE72" s="16">
        <v>0.17630000000000001</v>
      </c>
      <c r="AF72" s="16">
        <v>0.18870000000000001</v>
      </c>
      <c r="AG72" s="16">
        <v>0.1656</v>
      </c>
      <c r="AH72" s="16">
        <v>0.1303</v>
      </c>
      <c r="AI72" s="16">
        <v>0.18479999999999999</v>
      </c>
      <c r="AJ72" s="16">
        <v>0.252</v>
      </c>
      <c r="AK72" s="16">
        <v>0.08</v>
      </c>
      <c r="AL72" s="16">
        <v>0.16830000000000001</v>
      </c>
      <c r="AM72" s="16">
        <v>0.23960000000000001</v>
      </c>
      <c r="AN72" s="16">
        <v>5.0999999999999997E-2</v>
      </c>
      <c r="AO72" s="16">
        <v>0.24640000000000001</v>
      </c>
      <c r="AP72" s="16">
        <v>0.36499999999999999</v>
      </c>
      <c r="AQ72" s="16">
        <v>0.30259999999999998</v>
      </c>
      <c r="AR72" s="16">
        <v>0.56710000000000005</v>
      </c>
      <c r="AS72" s="16">
        <v>0.30520000000000003</v>
      </c>
      <c r="AT72" s="16">
        <v>0.54530000000000001</v>
      </c>
      <c r="AU72" s="16">
        <v>0.60019999999999996</v>
      </c>
      <c r="AV72" s="16">
        <v>0.76170000000000004</v>
      </c>
      <c r="AW72" s="16">
        <v>0.6653</v>
      </c>
      <c r="AX72" s="16">
        <v>0.15859999999999999</v>
      </c>
    </row>
    <row r="73" spans="1:50" x14ac:dyDescent="0.25">
      <c r="A73" s="8" t="s">
        <v>96</v>
      </c>
      <c r="B73" s="10" t="s">
        <v>57</v>
      </c>
      <c r="C73" s="16">
        <v>0.16819999999999999</v>
      </c>
      <c r="D73" s="16">
        <v>0.20219999999999999</v>
      </c>
      <c r="E73" s="16">
        <v>5.3999999999999999E-2</v>
      </c>
      <c r="F73" s="16">
        <v>0.26240000000000002</v>
      </c>
      <c r="G73" s="16">
        <v>8.5900000000000004E-2</v>
      </c>
      <c r="H73" s="16">
        <v>0.50129999999999997</v>
      </c>
      <c r="I73" s="16">
        <v>0.50319999999999998</v>
      </c>
      <c r="J73" s="16">
        <v>0.22900000000000001</v>
      </c>
      <c r="K73" s="16">
        <v>0.154</v>
      </c>
      <c r="L73" s="16">
        <v>0.1943</v>
      </c>
      <c r="M73" s="16">
        <v>5.3999999999999999E-2</v>
      </c>
      <c r="N73" s="16">
        <v>0.25600000000000001</v>
      </c>
      <c r="O73" s="16">
        <v>9.2299999999999993E-2</v>
      </c>
      <c r="P73" s="16">
        <v>5.3999999999999999E-2</v>
      </c>
      <c r="Q73" s="16">
        <v>0.2369</v>
      </c>
      <c r="R73" s="16">
        <v>0.1114</v>
      </c>
      <c r="S73" s="16">
        <v>0.1915</v>
      </c>
      <c r="T73" s="16">
        <v>0.15679999999999999</v>
      </c>
      <c r="U73" s="16">
        <v>5.8099999999999999E-2</v>
      </c>
      <c r="V73" s="16">
        <v>0.26569999999999999</v>
      </c>
      <c r="W73" s="16">
        <v>8.2600000000000007E-2</v>
      </c>
      <c r="X73" s="16">
        <v>0.1178</v>
      </c>
      <c r="Y73" s="16">
        <v>0.24279999999999999</v>
      </c>
      <c r="Z73" s="16">
        <v>5.3999999999999999E-2</v>
      </c>
      <c r="AA73" s="16">
        <v>0.24249999999999999</v>
      </c>
      <c r="AB73" s="16">
        <v>0.109</v>
      </c>
      <c r="AC73" s="16">
        <v>7.7299999999999994E-2</v>
      </c>
      <c r="AD73" s="16">
        <v>0.28499999999999998</v>
      </c>
      <c r="AE73" s="16">
        <v>5.9499999999999997E-2</v>
      </c>
      <c r="AF73" s="16">
        <v>0.27079999999999999</v>
      </c>
      <c r="AG73" s="16">
        <v>9.3899999999999997E-2</v>
      </c>
      <c r="AH73" s="16">
        <v>0.14299999999999999</v>
      </c>
      <c r="AI73" s="16">
        <v>0.2666</v>
      </c>
      <c r="AJ73" s="16">
        <v>0.1469</v>
      </c>
      <c r="AK73" s="16">
        <v>0.35439999999999999</v>
      </c>
      <c r="AL73" s="16">
        <v>5.9900000000000002E-2</v>
      </c>
      <c r="AM73" s="16">
        <v>0.30680000000000002</v>
      </c>
      <c r="AN73" s="16">
        <v>1.0344</v>
      </c>
      <c r="AO73" s="16">
        <v>0.33069999999999999</v>
      </c>
      <c r="AP73" s="16">
        <v>0.73699999999999999</v>
      </c>
      <c r="AQ73" s="16">
        <v>0.53539999999999999</v>
      </c>
      <c r="AR73" s="16">
        <v>0.52259999999999995</v>
      </c>
      <c r="AS73" s="16">
        <v>0.95809999999999995</v>
      </c>
      <c r="AT73" s="16">
        <v>1.6516999999999999</v>
      </c>
      <c r="AU73" s="16">
        <v>0.4325</v>
      </c>
      <c r="AV73" s="16">
        <v>0.49769999999999998</v>
      </c>
      <c r="AW73" s="16">
        <v>0.17519999999999999</v>
      </c>
      <c r="AX73" s="16">
        <v>0.1303</v>
      </c>
    </row>
    <row r="74" spans="1:50" x14ac:dyDescent="0.25">
      <c r="A74" s="17" t="s">
        <v>195</v>
      </c>
      <c r="B74" s="13" t="s">
        <v>100</v>
      </c>
      <c r="C74" s="18">
        <v>0.76859999999999995</v>
      </c>
      <c r="D74" s="18">
        <v>0.1095</v>
      </c>
      <c r="E74" s="18">
        <v>0.2172</v>
      </c>
      <c r="F74" s="18">
        <v>0.1095</v>
      </c>
      <c r="G74" s="18">
        <v>3.3000000000000002E-2</v>
      </c>
      <c r="H74" s="18">
        <v>0.1095</v>
      </c>
      <c r="I74" s="18">
        <v>5.8099999999999999E-2</v>
      </c>
      <c r="J74" s="18">
        <v>0.19209999999999999</v>
      </c>
      <c r="K74" s="18">
        <v>9.2499999999999999E-2</v>
      </c>
      <c r="L74" s="18">
        <v>0.20910000000000001</v>
      </c>
      <c r="M74" s="18">
        <v>5.8099999999999999E-2</v>
      </c>
      <c r="N74" s="18">
        <v>0.1095</v>
      </c>
      <c r="O74" s="18">
        <v>0.2172</v>
      </c>
      <c r="P74" s="18">
        <v>5.8500000000000003E-2</v>
      </c>
      <c r="Q74" s="18">
        <v>0.25140000000000001</v>
      </c>
      <c r="R74" s="18">
        <v>4.9700000000000001E-2</v>
      </c>
      <c r="S74" s="18">
        <v>0.21</v>
      </c>
      <c r="T74" s="18">
        <v>0.24759999999999999</v>
      </c>
      <c r="U74" s="18">
        <v>9.2499999999999999E-2</v>
      </c>
      <c r="V74" s="18">
        <v>0.184</v>
      </c>
      <c r="W74" s="18">
        <v>0.1512</v>
      </c>
      <c r="X74" s="18">
        <v>0.12520000000000001</v>
      </c>
      <c r="Y74" s="18">
        <v>0.13350000000000001</v>
      </c>
      <c r="Z74" s="18">
        <v>0.1346</v>
      </c>
      <c r="AA74" s="18">
        <v>0.22140000000000001</v>
      </c>
      <c r="AB74" s="18">
        <v>0.33239999999999997</v>
      </c>
      <c r="AC74" s="18">
        <v>0.41930000000000001</v>
      </c>
      <c r="AD74" s="18">
        <v>0.1346</v>
      </c>
      <c r="AE74" s="18">
        <v>3.3000000000000002E-2</v>
      </c>
      <c r="AF74" s="18">
        <v>8.7900000000000006E-2</v>
      </c>
      <c r="AG74" s="18">
        <v>0.379</v>
      </c>
      <c r="AH74" s="18">
        <v>6.1400000000000003E-2</v>
      </c>
      <c r="AI74" s="18">
        <v>0.22869999999999999</v>
      </c>
      <c r="AJ74" s="18">
        <v>0.51149999999999995</v>
      </c>
      <c r="AK74" s="18">
        <v>0.26860000000000001</v>
      </c>
      <c r="AL74" s="18">
        <v>0.2853</v>
      </c>
      <c r="AM74" s="18">
        <v>9.8599999999999993E-2</v>
      </c>
      <c r="AN74" s="18">
        <v>6.1499999999999999E-2</v>
      </c>
      <c r="AO74" s="18">
        <v>0.52090000000000003</v>
      </c>
      <c r="AP74" s="18">
        <v>1.4391</v>
      </c>
      <c r="AQ74" s="18">
        <v>1.3431999999999999</v>
      </c>
      <c r="AR74" s="18">
        <v>0.4148</v>
      </c>
      <c r="AS74" s="18">
        <v>0.20319999999999999</v>
      </c>
      <c r="AT74" s="18">
        <v>0.40229999999999999</v>
      </c>
      <c r="AU74" s="18">
        <v>0.26719999999999999</v>
      </c>
      <c r="AV74" s="18">
        <v>0.5403</v>
      </c>
      <c r="AW74" s="18">
        <v>0.5171</v>
      </c>
      <c r="AX74" s="18">
        <v>0.16800000000000001</v>
      </c>
    </row>
  </sheetData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52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7" customWidth="1"/>
    <col min="2" max="2" width="6" customWidth="1"/>
    <col min="3" max="51" width="13" customWidth="1"/>
  </cols>
  <sheetData>
    <row r="1" spans="1:51" ht="19.5" x14ac:dyDescent="0.3">
      <c r="A1" s="1" t="s">
        <v>249</v>
      </c>
    </row>
    <row r="2" spans="1:51" x14ac:dyDescent="0.25">
      <c r="A2" s="29" t="s">
        <v>250</v>
      </c>
      <c r="B2" s="27"/>
      <c r="C2" s="27"/>
      <c r="D2" s="27"/>
      <c r="E2" s="27"/>
      <c r="F2" s="27"/>
      <c r="G2" s="27"/>
      <c r="H2" s="27"/>
    </row>
    <row r="4" spans="1:51" ht="25.5" x14ac:dyDescent="0.25">
      <c r="A4" s="5" t="s">
        <v>251</v>
      </c>
      <c r="B4" s="5" t="s">
        <v>252</v>
      </c>
      <c r="C4" s="5" t="s">
        <v>253</v>
      </c>
      <c r="D4" s="5" t="s">
        <v>254</v>
      </c>
      <c r="E4" s="5" t="s">
        <v>255</v>
      </c>
      <c r="F4" s="5" t="s">
        <v>256</v>
      </c>
      <c r="G4" s="5" t="s">
        <v>257</v>
      </c>
      <c r="H4" s="5" t="s">
        <v>258</v>
      </c>
      <c r="I4" s="5" t="s">
        <v>259</v>
      </c>
      <c r="J4" s="5" t="s">
        <v>260</v>
      </c>
      <c r="K4" s="5" t="s">
        <v>261</v>
      </c>
      <c r="L4" s="5" t="s">
        <v>262</v>
      </c>
      <c r="M4" s="5" t="s">
        <v>263</v>
      </c>
      <c r="N4" s="5" t="s">
        <v>264</v>
      </c>
      <c r="O4" s="5" t="s">
        <v>265</v>
      </c>
      <c r="P4" s="5" t="s">
        <v>266</v>
      </c>
      <c r="Q4" s="5" t="s">
        <v>267</v>
      </c>
      <c r="R4" s="5" t="s">
        <v>268</v>
      </c>
      <c r="S4" s="5" t="s">
        <v>269</v>
      </c>
      <c r="T4" s="5" t="s">
        <v>270</v>
      </c>
      <c r="U4" s="5" t="s">
        <v>271</v>
      </c>
      <c r="V4" s="5" t="s">
        <v>272</v>
      </c>
      <c r="W4" s="5" t="s">
        <v>273</v>
      </c>
      <c r="X4" s="5" t="s">
        <v>274</v>
      </c>
      <c r="Y4" s="5" t="s">
        <v>275</v>
      </c>
      <c r="Z4" s="5" t="s">
        <v>276</v>
      </c>
      <c r="AA4" s="5" t="s">
        <v>277</v>
      </c>
      <c r="AB4" s="5" t="s">
        <v>278</v>
      </c>
      <c r="AC4" s="5" t="s">
        <v>279</v>
      </c>
      <c r="AD4" s="5" t="s">
        <v>280</v>
      </c>
      <c r="AE4" s="5" t="s">
        <v>281</v>
      </c>
      <c r="AF4" s="5" t="s">
        <v>282</v>
      </c>
      <c r="AG4" s="5" t="s">
        <v>283</v>
      </c>
      <c r="AH4" s="5" t="s">
        <v>284</v>
      </c>
      <c r="AI4" s="5" t="s">
        <v>285</v>
      </c>
      <c r="AJ4" s="5" t="s">
        <v>286</v>
      </c>
      <c r="AK4" s="5" t="s">
        <v>287</v>
      </c>
      <c r="AL4" s="5" t="s">
        <v>288</v>
      </c>
      <c r="AM4" s="5" t="s">
        <v>289</v>
      </c>
      <c r="AN4" s="5" t="s">
        <v>290</v>
      </c>
      <c r="AO4" s="5" t="s">
        <v>291</v>
      </c>
      <c r="AP4" s="5" t="s">
        <v>292</v>
      </c>
      <c r="AQ4" s="5" t="s">
        <v>293</v>
      </c>
      <c r="AR4" s="5" t="s">
        <v>294</v>
      </c>
      <c r="AS4" s="5" t="s">
        <v>295</v>
      </c>
      <c r="AT4" s="5" t="s">
        <v>296</v>
      </c>
      <c r="AU4" s="5" t="s">
        <v>297</v>
      </c>
      <c r="AV4" s="5" t="s">
        <v>298</v>
      </c>
      <c r="AW4" s="5" t="s">
        <v>299</v>
      </c>
      <c r="AX4" s="5" t="s">
        <v>300</v>
      </c>
      <c r="AY4" s="5" t="s">
        <v>301</v>
      </c>
    </row>
    <row r="5" spans="1:51" x14ac:dyDescent="0.25">
      <c r="A5" s="8">
        <v>1</v>
      </c>
      <c r="B5" s="8">
        <v>0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  <c r="AF5" s="18">
        <v>0</v>
      </c>
      <c r="AG5" s="18">
        <v>0</v>
      </c>
      <c r="AH5" s="18">
        <v>0</v>
      </c>
      <c r="AI5" s="18">
        <v>0</v>
      </c>
      <c r="AJ5" s="18">
        <v>0</v>
      </c>
      <c r="AK5" s="18">
        <v>0</v>
      </c>
      <c r="AL5" s="18">
        <v>0</v>
      </c>
      <c r="AM5" s="18">
        <v>0</v>
      </c>
      <c r="AN5" s="18">
        <v>0</v>
      </c>
      <c r="AO5" s="18">
        <v>0</v>
      </c>
      <c r="AP5" s="18">
        <v>0</v>
      </c>
      <c r="AQ5" s="18">
        <v>0</v>
      </c>
      <c r="AR5" s="18">
        <v>0</v>
      </c>
      <c r="AS5" s="18">
        <v>0</v>
      </c>
      <c r="AT5" s="18">
        <v>0</v>
      </c>
      <c r="AU5" s="18">
        <v>0</v>
      </c>
      <c r="AV5" s="18">
        <v>0</v>
      </c>
      <c r="AW5" s="18">
        <v>0</v>
      </c>
      <c r="AX5" s="18">
        <v>0</v>
      </c>
      <c r="AY5" s="18">
        <v>0</v>
      </c>
    </row>
    <row r="6" spans="1:51" x14ac:dyDescent="0.25">
      <c r="A6" s="8">
        <v>2</v>
      </c>
      <c r="B6" s="8">
        <v>0.5</v>
      </c>
      <c r="C6" s="18">
        <v>0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  <c r="AN6" s="18">
        <v>0</v>
      </c>
      <c r="AO6" s="18">
        <v>0</v>
      </c>
      <c r="AP6" s="18">
        <v>0</v>
      </c>
      <c r="AQ6" s="18">
        <v>0</v>
      </c>
      <c r="AR6" s="18">
        <v>0</v>
      </c>
      <c r="AS6" s="18">
        <v>0</v>
      </c>
      <c r="AT6" s="18">
        <v>0</v>
      </c>
      <c r="AU6" s="18">
        <v>0</v>
      </c>
      <c r="AV6" s="18">
        <v>0</v>
      </c>
      <c r="AW6" s="18">
        <v>0</v>
      </c>
      <c r="AX6" s="18">
        <v>0</v>
      </c>
      <c r="AY6" s="18">
        <v>0</v>
      </c>
    </row>
    <row r="7" spans="1:51" x14ac:dyDescent="0.25">
      <c r="A7" s="8">
        <v>3</v>
      </c>
      <c r="B7" s="8">
        <v>1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  <c r="AF7" s="18">
        <v>0</v>
      </c>
      <c r="AG7" s="18">
        <v>0</v>
      </c>
      <c r="AH7" s="18">
        <v>0</v>
      </c>
      <c r="AI7" s="18">
        <v>0</v>
      </c>
      <c r="AJ7" s="18">
        <v>0</v>
      </c>
      <c r="AK7" s="18">
        <v>0</v>
      </c>
      <c r="AL7" s="18">
        <v>0</v>
      </c>
      <c r="AM7" s="18">
        <v>0</v>
      </c>
      <c r="AN7" s="18">
        <v>0</v>
      </c>
      <c r="AO7" s="18">
        <v>0</v>
      </c>
      <c r="AP7" s="18">
        <v>0</v>
      </c>
      <c r="AQ7" s="18">
        <v>0</v>
      </c>
      <c r="AR7" s="18">
        <v>0</v>
      </c>
      <c r="AS7" s="18">
        <v>0</v>
      </c>
      <c r="AT7" s="18">
        <v>0</v>
      </c>
      <c r="AU7" s="18">
        <v>0</v>
      </c>
      <c r="AV7" s="18">
        <v>0</v>
      </c>
      <c r="AW7" s="18">
        <v>0</v>
      </c>
      <c r="AX7" s="18">
        <v>0</v>
      </c>
      <c r="AY7" s="18">
        <v>0</v>
      </c>
    </row>
    <row r="8" spans="1:51" x14ac:dyDescent="0.25">
      <c r="A8" s="8">
        <v>4</v>
      </c>
      <c r="B8" s="8">
        <v>1.5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18">
        <v>0</v>
      </c>
      <c r="AF8" s="18">
        <v>0</v>
      </c>
      <c r="AG8" s="18">
        <v>0</v>
      </c>
      <c r="AH8" s="18">
        <v>0</v>
      </c>
      <c r="AI8" s="18">
        <v>0</v>
      </c>
      <c r="AJ8" s="18">
        <v>0</v>
      </c>
      <c r="AK8" s="18">
        <v>0</v>
      </c>
      <c r="AL8" s="18">
        <v>0</v>
      </c>
      <c r="AM8" s="18">
        <v>0</v>
      </c>
      <c r="AN8" s="18">
        <v>0</v>
      </c>
      <c r="AO8" s="18">
        <v>0</v>
      </c>
      <c r="AP8" s="18">
        <v>0</v>
      </c>
      <c r="AQ8" s="18">
        <v>0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  <c r="AY8" s="18">
        <v>0</v>
      </c>
    </row>
    <row r="9" spans="1:51" x14ac:dyDescent="0.25">
      <c r="A9" s="8">
        <v>5</v>
      </c>
      <c r="B9" s="8">
        <v>2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  <c r="AN9" s="18">
        <v>0</v>
      </c>
      <c r="AO9" s="18">
        <v>0</v>
      </c>
      <c r="AP9" s="18">
        <v>0</v>
      </c>
      <c r="AQ9" s="18">
        <v>0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</row>
    <row r="10" spans="1:51" x14ac:dyDescent="0.25">
      <c r="A10" s="8">
        <v>6</v>
      </c>
      <c r="B10" s="8">
        <v>2.5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</row>
    <row r="11" spans="1:51" x14ac:dyDescent="0.25">
      <c r="A11" s="8">
        <v>7</v>
      </c>
      <c r="B11" s="8">
        <v>3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</row>
    <row r="12" spans="1:51" x14ac:dyDescent="0.25">
      <c r="A12" s="8">
        <v>8</v>
      </c>
      <c r="B12" s="8">
        <v>3.5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</row>
    <row r="13" spans="1:51" x14ac:dyDescent="0.25">
      <c r="A13" s="8">
        <v>9</v>
      </c>
      <c r="B13" s="8">
        <v>4</v>
      </c>
      <c r="C13" s="18">
        <v>0</v>
      </c>
      <c r="D13" s="18">
        <v>0</v>
      </c>
      <c r="E13" s="18">
        <v>0</v>
      </c>
      <c r="F13" s="18">
        <v>0</v>
      </c>
      <c r="G13" s="18">
        <v>2E-3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8.0000000000000002E-3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2E-3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0</v>
      </c>
      <c r="AH13" s="18">
        <v>1.4E-2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>
        <v>0</v>
      </c>
      <c r="AS13" s="18">
        <v>0.01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  <c r="AY13" s="18">
        <v>0</v>
      </c>
    </row>
    <row r="14" spans="1:51" x14ac:dyDescent="0.25">
      <c r="A14" s="8">
        <v>10</v>
      </c>
      <c r="B14" s="8">
        <v>4.5</v>
      </c>
      <c r="C14" s="18">
        <v>0.11799999999999999</v>
      </c>
      <c r="D14" s="18">
        <v>0</v>
      </c>
      <c r="E14" s="18">
        <v>0</v>
      </c>
      <c r="F14" s="18">
        <v>0.126</v>
      </c>
      <c r="G14" s="18">
        <v>6.5000000000000002E-2</v>
      </c>
      <c r="H14" s="18">
        <v>5.8999999999999997E-2</v>
      </c>
      <c r="I14" s="18">
        <v>8.4000000000000005E-2</v>
      </c>
      <c r="J14" s="18">
        <v>0.16300000000000001</v>
      </c>
      <c r="K14" s="18">
        <v>0.124</v>
      </c>
      <c r="L14" s="18">
        <v>0.182</v>
      </c>
      <c r="M14" s="18">
        <v>6.2E-2</v>
      </c>
      <c r="N14" s="18">
        <v>0</v>
      </c>
      <c r="O14" s="18">
        <v>2.5999999999999999E-2</v>
      </c>
      <c r="P14" s="18">
        <v>0</v>
      </c>
      <c r="Q14" s="18">
        <v>0</v>
      </c>
      <c r="R14" s="18">
        <v>0</v>
      </c>
      <c r="S14" s="18">
        <v>7.1999999999999995E-2</v>
      </c>
      <c r="T14" s="18">
        <v>0.17199999999999999</v>
      </c>
      <c r="U14" s="18">
        <v>4.9000000000000002E-2</v>
      </c>
      <c r="V14" s="18">
        <v>7.0000000000000001E-3</v>
      </c>
      <c r="W14" s="18">
        <v>0.183</v>
      </c>
      <c r="X14" s="18">
        <v>0.18</v>
      </c>
      <c r="Y14" s="18">
        <v>2.9000000000000001E-2</v>
      </c>
      <c r="Z14" s="18">
        <v>0.113</v>
      </c>
      <c r="AA14" s="18">
        <v>0</v>
      </c>
      <c r="AB14" s="18">
        <v>0.16400000000000001</v>
      </c>
      <c r="AC14" s="18">
        <v>0.03</v>
      </c>
      <c r="AD14" s="18">
        <v>4.2000000000000003E-2</v>
      </c>
      <c r="AE14" s="18">
        <v>0.13300000000000001</v>
      </c>
      <c r="AF14" s="18">
        <v>0.18</v>
      </c>
      <c r="AG14" s="18">
        <v>8.7999999999999995E-2</v>
      </c>
      <c r="AH14" s="18">
        <v>3.3000000000000002E-2</v>
      </c>
      <c r="AI14" s="18">
        <v>3.1E-2</v>
      </c>
      <c r="AJ14" s="18">
        <v>4.8000000000000001E-2</v>
      </c>
      <c r="AK14" s="18">
        <v>0.19</v>
      </c>
      <c r="AL14" s="18">
        <v>0</v>
      </c>
      <c r="AM14" s="18">
        <v>0.14399999999999999</v>
      </c>
      <c r="AN14" s="18">
        <v>7.3999999999999996E-2</v>
      </c>
      <c r="AO14" s="18">
        <v>7.2999999999999995E-2</v>
      </c>
      <c r="AP14" s="18">
        <v>0.18</v>
      </c>
      <c r="AQ14" s="18">
        <v>0.124</v>
      </c>
      <c r="AR14" s="18">
        <v>9.1999999999999998E-2</v>
      </c>
      <c r="AS14" s="18">
        <v>7.9000000000000001E-2</v>
      </c>
      <c r="AT14" s="18">
        <v>0.12</v>
      </c>
      <c r="AU14" s="18">
        <v>0</v>
      </c>
      <c r="AV14" s="18">
        <v>0.154</v>
      </c>
      <c r="AW14" s="18">
        <v>0</v>
      </c>
      <c r="AX14" s="18">
        <v>0</v>
      </c>
      <c r="AY14" s="18">
        <v>0</v>
      </c>
    </row>
    <row r="15" spans="1:51" x14ac:dyDescent="0.25">
      <c r="A15" s="8">
        <v>11</v>
      </c>
      <c r="B15" s="8">
        <v>5</v>
      </c>
      <c r="C15" s="18">
        <v>0.17599999999999999</v>
      </c>
      <c r="D15" s="18">
        <v>0.39300000000000002</v>
      </c>
      <c r="E15" s="18">
        <v>0.248</v>
      </c>
      <c r="F15" s="18">
        <v>0.18</v>
      </c>
      <c r="G15" s="18">
        <v>0.41299999999999998</v>
      </c>
      <c r="H15" s="18">
        <v>0.317</v>
      </c>
      <c r="I15" s="18">
        <v>0.13800000000000001</v>
      </c>
      <c r="J15" s="18">
        <v>0.34300000000000003</v>
      </c>
      <c r="K15" s="18">
        <v>0.41499999999999998</v>
      </c>
      <c r="L15" s="18">
        <v>0.36799999999999999</v>
      </c>
      <c r="M15" s="18">
        <v>0.113</v>
      </c>
      <c r="N15" s="18">
        <v>0.16600000000000001</v>
      </c>
      <c r="O15" s="18">
        <v>0.41899999999999998</v>
      </c>
      <c r="P15" s="18">
        <v>0.27700000000000002</v>
      </c>
      <c r="Q15" s="18">
        <v>0.104</v>
      </c>
      <c r="R15" s="18">
        <v>0</v>
      </c>
      <c r="S15" s="18">
        <v>0.33600000000000002</v>
      </c>
      <c r="T15" s="18">
        <v>0.24099999999999999</v>
      </c>
      <c r="U15" s="18">
        <v>0.22700000000000001</v>
      </c>
      <c r="V15" s="18">
        <v>0</v>
      </c>
      <c r="W15" s="18">
        <v>0.40600000000000003</v>
      </c>
      <c r="X15" s="18">
        <v>0.30099999999999999</v>
      </c>
      <c r="Y15" s="18">
        <v>0.41099999999999998</v>
      </c>
      <c r="Z15" s="18">
        <v>0.27800000000000002</v>
      </c>
      <c r="AA15" s="18">
        <v>0.126</v>
      </c>
      <c r="AB15" s="18">
        <v>0.254</v>
      </c>
      <c r="AC15" s="18">
        <v>0.29399999999999998</v>
      </c>
      <c r="AD15" s="18">
        <v>0.25700000000000001</v>
      </c>
      <c r="AE15" s="18">
        <v>0.26600000000000001</v>
      </c>
      <c r="AF15" s="18">
        <v>0.40799999999999997</v>
      </c>
      <c r="AG15" s="18">
        <v>0.16400000000000001</v>
      </c>
      <c r="AH15" s="18">
        <v>0.42499999999999999</v>
      </c>
      <c r="AI15" s="18">
        <v>0.23499999999999999</v>
      </c>
      <c r="AJ15" s="18">
        <v>0.19800000000000001</v>
      </c>
      <c r="AK15" s="18">
        <v>0.377</v>
      </c>
      <c r="AL15" s="18">
        <v>0.189</v>
      </c>
      <c r="AM15" s="18">
        <v>0.27800000000000002</v>
      </c>
      <c r="AN15" s="18">
        <v>0.25800000000000001</v>
      </c>
      <c r="AO15" s="18">
        <v>0.40400000000000003</v>
      </c>
      <c r="AP15" s="18">
        <v>0.40799999999999997</v>
      </c>
      <c r="AQ15" s="18">
        <v>0.29599999999999999</v>
      </c>
      <c r="AR15" s="18">
        <v>0.23499999999999999</v>
      </c>
      <c r="AS15" s="18">
        <v>0.24099999999999999</v>
      </c>
      <c r="AT15" s="18">
        <v>0.20300000000000001</v>
      </c>
      <c r="AU15" s="18">
        <v>0.24</v>
      </c>
      <c r="AV15" s="18">
        <v>0.27</v>
      </c>
      <c r="AW15" s="18">
        <v>0.113</v>
      </c>
      <c r="AX15" s="18">
        <v>2.9000000000000001E-2</v>
      </c>
      <c r="AY15" s="18">
        <v>0.17299999999999999</v>
      </c>
    </row>
    <row r="16" spans="1:51" x14ac:dyDescent="0.25">
      <c r="A16" s="8">
        <v>12</v>
      </c>
      <c r="B16" s="8">
        <v>5.5</v>
      </c>
      <c r="C16" s="18">
        <v>0.63300000000000001</v>
      </c>
      <c r="D16" s="18">
        <v>0.48599999999999999</v>
      </c>
      <c r="E16" s="18">
        <v>0.46600000000000003</v>
      </c>
      <c r="F16" s="18">
        <v>0.50800000000000001</v>
      </c>
      <c r="G16" s="18">
        <v>0.628</v>
      </c>
      <c r="H16" s="18">
        <v>0.68899999999999995</v>
      </c>
      <c r="I16" s="18">
        <v>0.39200000000000002</v>
      </c>
      <c r="J16" s="18">
        <v>0.57199999999999995</v>
      </c>
      <c r="K16" s="18">
        <v>0.69599999999999995</v>
      </c>
      <c r="L16" s="18">
        <v>0.66400000000000003</v>
      </c>
      <c r="M16" s="18">
        <v>0.317</v>
      </c>
      <c r="N16" s="18">
        <v>0.313</v>
      </c>
      <c r="O16" s="18">
        <v>0.66300000000000003</v>
      </c>
      <c r="P16" s="18">
        <v>0.54800000000000004</v>
      </c>
      <c r="Q16" s="18">
        <v>0.151</v>
      </c>
      <c r="R16" s="18">
        <v>0.40899999999999997</v>
      </c>
      <c r="S16" s="18">
        <v>0.46700000000000003</v>
      </c>
      <c r="T16" s="18">
        <v>0.63600000000000001</v>
      </c>
      <c r="U16" s="18">
        <v>0.52300000000000002</v>
      </c>
      <c r="V16" s="18">
        <v>0.129</v>
      </c>
      <c r="W16" s="18">
        <v>0.59699999999999998</v>
      </c>
      <c r="X16" s="18">
        <v>0.68899999999999995</v>
      </c>
      <c r="Y16" s="18">
        <v>0.53800000000000003</v>
      </c>
      <c r="Z16" s="18">
        <v>0.64200000000000002</v>
      </c>
      <c r="AA16" s="18">
        <v>0.33100000000000002</v>
      </c>
      <c r="AB16" s="18">
        <v>0.63400000000000001</v>
      </c>
      <c r="AC16" s="18">
        <v>0.59499999999999997</v>
      </c>
      <c r="AD16" s="18">
        <v>0.68200000000000005</v>
      </c>
      <c r="AE16" s="18">
        <v>0.48399999999999999</v>
      </c>
      <c r="AF16" s="18">
        <v>0.68700000000000006</v>
      </c>
      <c r="AG16" s="18">
        <v>0.497</v>
      </c>
      <c r="AH16" s="18">
        <v>0.70599999999999996</v>
      </c>
      <c r="AI16" s="18">
        <v>0.36599999999999999</v>
      </c>
      <c r="AJ16" s="18">
        <v>0.27</v>
      </c>
      <c r="AK16" s="18">
        <v>0.66500000000000004</v>
      </c>
      <c r="AL16" s="18">
        <v>0.222</v>
      </c>
      <c r="AM16" s="18">
        <v>0.69299999999999995</v>
      </c>
      <c r="AN16" s="18">
        <v>0.69199999999999995</v>
      </c>
      <c r="AO16" s="18">
        <v>0.68500000000000005</v>
      </c>
      <c r="AP16" s="18">
        <v>0.68899999999999995</v>
      </c>
      <c r="AQ16" s="18">
        <v>0.50600000000000001</v>
      </c>
      <c r="AR16" s="18">
        <v>0.41099999999999998</v>
      </c>
      <c r="AS16" s="18">
        <v>0.61499999999999999</v>
      </c>
      <c r="AT16" s="18">
        <v>0.502</v>
      </c>
      <c r="AU16" s="18">
        <v>0.40400000000000003</v>
      </c>
      <c r="AV16" s="18">
        <v>0.51100000000000001</v>
      </c>
      <c r="AW16" s="18">
        <v>0.15</v>
      </c>
      <c r="AX16" s="18">
        <v>0.16800000000000001</v>
      </c>
      <c r="AY16" s="18">
        <v>0.26100000000000001</v>
      </c>
    </row>
    <row r="17" spans="1:51" x14ac:dyDescent="0.25">
      <c r="A17" s="8">
        <v>13</v>
      </c>
      <c r="B17" s="8">
        <v>6</v>
      </c>
      <c r="C17" s="18">
        <v>0.83199999999999996</v>
      </c>
      <c r="D17" s="18">
        <v>1.002</v>
      </c>
      <c r="E17" s="18">
        <v>0.90300000000000002</v>
      </c>
      <c r="F17" s="18">
        <v>0.62</v>
      </c>
      <c r="G17" s="18">
        <v>0.94599999999999995</v>
      </c>
      <c r="H17" s="18">
        <v>0.92600000000000005</v>
      </c>
      <c r="I17" s="18">
        <v>0.621</v>
      </c>
      <c r="J17" s="18">
        <v>0.83599999999999997</v>
      </c>
      <c r="K17" s="18">
        <v>0.84899999999999998</v>
      </c>
      <c r="L17" s="18">
        <v>0.997</v>
      </c>
      <c r="M17" s="18">
        <v>0.438</v>
      </c>
      <c r="N17" s="18">
        <v>0.35</v>
      </c>
      <c r="O17" s="18">
        <v>0.879</v>
      </c>
      <c r="P17" s="18">
        <v>0.89600000000000002</v>
      </c>
      <c r="Q17" s="18">
        <v>0.40200000000000002</v>
      </c>
      <c r="R17" s="18">
        <v>0.47</v>
      </c>
      <c r="S17" s="18">
        <v>0.86199999999999999</v>
      </c>
      <c r="T17" s="18">
        <v>0.80400000000000005</v>
      </c>
      <c r="U17" s="18">
        <v>0.71099999999999997</v>
      </c>
      <c r="V17" s="18">
        <v>0.29599999999999999</v>
      </c>
      <c r="W17" s="18">
        <v>0.998</v>
      </c>
      <c r="X17" s="18">
        <v>0.94899999999999995</v>
      </c>
      <c r="Y17" s="18">
        <v>0.998</v>
      </c>
      <c r="Z17" s="18">
        <v>0.874</v>
      </c>
      <c r="AA17" s="18">
        <v>0.42699999999999999</v>
      </c>
      <c r="AB17" s="18">
        <v>0.83299999999999996</v>
      </c>
      <c r="AC17" s="18">
        <v>0.68799999999999994</v>
      </c>
      <c r="AD17" s="18">
        <v>0.71299999999999997</v>
      </c>
      <c r="AE17" s="18">
        <v>0</v>
      </c>
      <c r="AF17" s="18">
        <v>0.92</v>
      </c>
      <c r="AG17" s="18">
        <v>0.72699999999999998</v>
      </c>
      <c r="AH17" s="18">
        <v>0.84799999999999998</v>
      </c>
      <c r="AI17" s="18">
        <v>0.79200000000000004</v>
      </c>
      <c r="AJ17" s="18">
        <v>0.61399999999999999</v>
      </c>
      <c r="AK17" s="18">
        <v>1.0049999999999999</v>
      </c>
      <c r="AL17" s="18">
        <v>0.442</v>
      </c>
      <c r="AM17" s="18">
        <v>0.89600000000000002</v>
      </c>
      <c r="AN17" s="18">
        <v>0.83599999999999997</v>
      </c>
      <c r="AO17" s="18">
        <v>0.89500000000000002</v>
      </c>
      <c r="AP17" s="18">
        <v>0.995</v>
      </c>
      <c r="AQ17" s="18">
        <v>0.73599999999999999</v>
      </c>
      <c r="AR17" s="18">
        <v>0.60199999999999998</v>
      </c>
      <c r="AS17" s="18">
        <v>0.86299999999999999</v>
      </c>
      <c r="AT17" s="18">
        <v>0.66200000000000003</v>
      </c>
      <c r="AU17" s="18">
        <v>0.8</v>
      </c>
      <c r="AV17" s="18">
        <v>0.85399999999999998</v>
      </c>
      <c r="AW17" s="18">
        <v>0.41799999999999998</v>
      </c>
      <c r="AX17" s="18">
        <v>0.31</v>
      </c>
      <c r="AY17" s="18">
        <v>0.307</v>
      </c>
    </row>
    <row r="18" spans="1:51" x14ac:dyDescent="0.25">
      <c r="A18" s="8">
        <v>14</v>
      </c>
      <c r="B18" s="8">
        <v>6.5</v>
      </c>
      <c r="C18" s="18">
        <v>1.1819999999999999</v>
      </c>
      <c r="D18" s="18">
        <v>1.2450000000000001</v>
      </c>
      <c r="E18" s="18">
        <v>1.3120000000000001</v>
      </c>
      <c r="F18" s="18">
        <v>0.97</v>
      </c>
      <c r="G18" s="18">
        <v>1.31</v>
      </c>
      <c r="H18" s="18">
        <v>0.77100000000000002</v>
      </c>
      <c r="I18" s="18">
        <v>0.80300000000000005</v>
      </c>
      <c r="J18" s="18">
        <v>1.131</v>
      </c>
      <c r="K18" s="18">
        <v>1.3120000000000001</v>
      </c>
      <c r="L18" s="18">
        <v>1.2370000000000001</v>
      </c>
      <c r="M18" s="18">
        <v>0.59299999999999997</v>
      </c>
      <c r="N18" s="18">
        <v>0.58099999999999996</v>
      </c>
      <c r="O18" s="18">
        <v>1.3160000000000001</v>
      </c>
      <c r="P18" s="18">
        <v>1.145</v>
      </c>
      <c r="Q18" s="18">
        <v>0.57799999999999996</v>
      </c>
      <c r="R18" s="18">
        <v>0.61299999999999999</v>
      </c>
      <c r="S18" s="18">
        <v>0.94899999999999995</v>
      </c>
      <c r="T18" s="18">
        <v>1.2629999999999999</v>
      </c>
      <c r="U18" s="18">
        <v>1.0620000000000001</v>
      </c>
      <c r="V18" s="18">
        <v>0.38400000000000001</v>
      </c>
      <c r="W18" s="18">
        <v>1.3080000000000001</v>
      </c>
      <c r="X18" s="18">
        <v>1.2430000000000001</v>
      </c>
      <c r="Y18" s="18">
        <v>1.238</v>
      </c>
      <c r="Z18" s="18">
        <v>1.2490000000000001</v>
      </c>
      <c r="AA18" s="18">
        <v>0.8</v>
      </c>
      <c r="AB18" s="18">
        <v>1.3149999999999999</v>
      </c>
      <c r="AC18" s="18">
        <v>1.1339999999999999</v>
      </c>
      <c r="AD18" s="18">
        <v>1.298</v>
      </c>
      <c r="AE18" s="18">
        <v>0.72899999999999998</v>
      </c>
      <c r="AF18" s="18">
        <v>1.1779999999999999</v>
      </c>
      <c r="AG18" s="18">
        <v>0.80900000000000005</v>
      </c>
      <c r="AH18" s="18">
        <v>1.3220000000000001</v>
      </c>
      <c r="AI18" s="18">
        <v>1.044</v>
      </c>
      <c r="AJ18" s="18">
        <v>0.60499999999999998</v>
      </c>
      <c r="AK18" s="18">
        <v>1.24</v>
      </c>
      <c r="AL18" s="18">
        <v>0.53900000000000003</v>
      </c>
      <c r="AM18" s="18">
        <v>1.238</v>
      </c>
      <c r="AN18" s="18">
        <v>1.2070000000000001</v>
      </c>
      <c r="AO18" s="18">
        <v>1.2929999999999999</v>
      </c>
      <c r="AP18" s="18">
        <v>1.3049999999999999</v>
      </c>
      <c r="AQ18" s="18">
        <v>0.96799999999999997</v>
      </c>
      <c r="AR18" s="18">
        <v>0.79600000000000004</v>
      </c>
      <c r="AS18" s="18">
        <v>0.95399999999999996</v>
      </c>
      <c r="AT18" s="18">
        <v>0.94499999999999995</v>
      </c>
      <c r="AU18" s="18">
        <v>1.024</v>
      </c>
      <c r="AV18" s="18">
        <v>0.98</v>
      </c>
      <c r="AW18" s="18">
        <v>0.629</v>
      </c>
      <c r="AX18" s="18">
        <v>0.34399999999999997</v>
      </c>
      <c r="AY18" s="18">
        <v>0.62</v>
      </c>
    </row>
    <row r="19" spans="1:51" x14ac:dyDescent="0.25">
      <c r="A19" s="8">
        <v>15</v>
      </c>
      <c r="B19" s="8">
        <v>7</v>
      </c>
      <c r="C19" s="18">
        <v>1.548</v>
      </c>
      <c r="D19" s="18">
        <v>1.454</v>
      </c>
      <c r="E19" s="18">
        <v>1.458</v>
      </c>
      <c r="F19" s="18">
        <v>0</v>
      </c>
      <c r="G19" s="18">
        <v>1.57</v>
      </c>
      <c r="H19" s="18">
        <v>0.19900000000000001</v>
      </c>
      <c r="I19" s="18">
        <v>0.69699999999999995</v>
      </c>
      <c r="J19" s="18">
        <v>1.425</v>
      </c>
      <c r="K19" s="18">
        <v>1.5269999999999999</v>
      </c>
      <c r="L19" s="18">
        <v>1.615</v>
      </c>
      <c r="M19" s="18">
        <v>0.77900000000000003</v>
      </c>
      <c r="N19" s="18">
        <v>0.61299999999999999</v>
      </c>
      <c r="O19" s="18">
        <v>1.6240000000000001</v>
      </c>
      <c r="P19" s="18">
        <v>1.361</v>
      </c>
      <c r="Q19" s="18">
        <v>0.53500000000000003</v>
      </c>
      <c r="R19" s="18">
        <v>0.98599999999999999</v>
      </c>
      <c r="S19" s="18">
        <v>0</v>
      </c>
      <c r="T19" s="18">
        <v>1.4890000000000001</v>
      </c>
      <c r="U19" s="18">
        <v>1.3380000000000001</v>
      </c>
      <c r="V19" s="18">
        <v>0.32500000000000001</v>
      </c>
      <c r="W19" s="18">
        <v>1.6160000000000001</v>
      </c>
      <c r="X19" s="18">
        <v>1.613</v>
      </c>
      <c r="Y19" s="18">
        <v>1.532</v>
      </c>
      <c r="Z19" s="18">
        <v>1.6180000000000001</v>
      </c>
      <c r="AA19" s="18">
        <v>0.81599999999999995</v>
      </c>
      <c r="AB19" s="18">
        <v>1.5589999999999999</v>
      </c>
      <c r="AC19" s="18">
        <v>1.202</v>
      </c>
      <c r="AD19" s="18">
        <v>1.377</v>
      </c>
      <c r="AE19" s="18">
        <v>1.2010000000000001</v>
      </c>
      <c r="AF19" s="18">
        <v>1.526</v>
      </c>
      <c r="AG19" s="18">
        <v>1.19</v>
      </c>
      <c r="AH19" s="18">
        <v>1.623</v>
      </c>
      <c r="AI19" s="18">
        <v>1.1990000000000001</v>
      </c>
      <c r="AJ19" s="18">
        <v>1</v>
      </c>
      <c r="AK19" s="18">
        <v>1.623</v>
      </c>
      <c r="AL19" s="18">
        <v>0.65700000000000003</v>
      </c>
      <c r="AM19" s="18">
        <v>1.617</v>
      </c>
      <c r="AN19" s="18">
        <v>1.5920000000000001</v>
      </c>
      <c r="AO19" s="18">
        <v>1.609</v>
      </c>
      <c r="AP19" s="18">
        <v>1.5649999999999999</v>
      </c>
      <c r="AQ19" s="18">
        <v>1.1990000000000001</v>
      </c>
      <c r="AR19" s="18">
        <v>0.98799999999999999</v>
      </c>
      <c r="AS19" s="18">
        <v>1.4239999999999999</v>
      </c>
      <c r="AT19" s="18">
        <v>1.1950000000000001</v>
      </c>
      <c r="AU19" s="18">
        <v>1.212</v>
      </c>
      <c r="AV19" s="18">
        <v>1.3819999999999999</v>
      </c>
      <c r="AW19" s="18">
        <v>0.57199999999999995</v>
      </c>
      <c r="AX19" s="18">
        <v>0.437</v>
      </c>
      <c r="AY19" s="18">
        <v>0.58199999999999996</v>
      </c>
    </row>
    <row r="20" spans="1:51" x14ac:dyDescent="0.25">
      <c r="A20" s="8">
        <v>16</v>
      </c>
      <c r="B20" s="8">
        <v>7.5</v>
      </c>
      <c r="C20" s="18">
        <v>1.722</v>
      </c>
      <c r="D20" s="18">
        <v>1.871</v>
      </c>
      <c r="E20" s="18">
        <v>1.929</v>
      </c>
      <c r="F20" s="18">
        <v>1.409</v>
      </c>
      <c r="G20" s="18">
        <v>1.1120000000000001</v>
      </c>
      <c r="H20" s="18">
        <v>1.7729999999999999</v>
      </c>
      <c r="I20" s="18">
        <v>0.85</v>
      </c>
      <c r="J20" s="18">
        <v>1.272</v>
      </c>
      <c r="K20" s="18">
        <v>1.403</v>
      </c>
      <c r="L20" s="18">
        <v>0.90900000000000003</v>
      </c>
      <c r="M20" s="18">
        <v>0.87</v>
      </c>
      <c r="N20" s="18">
        <v>0.89400000000000002</v>
      </c>
      <c r="O20" s="18">
        <v>1.145</v>
      </c>
      <c r="P20" s="18">
        <v>1.74</v>
      </c>
      <c r="Q20" s="18">
        <v>0.80400000000000005</v>
      </c>
      <c r="R20" s="18">
        <v>1.0009999999999999</v>
      </c>
      <c r="S20" s="18">
        <v>0.752</v>
      </c>
      <c r="T20" s="18">
        <v>1.754</v>
      </c>
      <c r="U20" s="18">
        <v>1.5589999999999999</v>
      </c>
      <c r="V20" s="18">
        <v>0.26700000000000002</v>
      </c>
      <c r="W20" s="18">
        <v>0.97899999999999998</v>
      </c>
      <c r="X20" s="18">
        <v>1.1679999999999999</v>
      </c>
      <c r="Y20" s="18">
        <v>1.52</v>
      </c>
      <c r="Z20" s="18">
        <v>1.5229999999999999</v>
      </c>
      <c r="AA20" s="18">
        <v>1.1850000000000001</v>
      </c>
      <c r="AB20" s="18">
        <v>1.639</v>
      </c>
      <c r="AC20" s="18">
        <v>1.3859999999999999</v>
      </c>
      <c r="AD20" s="18">
        <v>1.869</v>
      </c>
      <c r="AE20" s="18">
        <v>1.389</v>
      </c>
      <c r="AF20" s="18">
        <v>0.88500000000000001</v>
      </c>
      <c r="AG20" s="18">
        <v>1.2789999999999999</v>
      </c>
      <c r="AH20" s="18">
        <v>1.2230000000000001</v>
      </c>
      <c r="AI20" s="18">
        <v>1.496</v>
      </c>
      <c r="AJ20" s="18">
        <v>1.115</v>
      </c>
      <c r="AK20" s="18">
        <v>1.536</v>
      </c>
      <c r="AL20" s="18">
        <v>0.876</v>
      </c>
      <c r="AM20" s="18">
        <v>1.456</v>
      </c>
      <c r="AN20" s="18">
        <v>1.6870000000000001</v>
      </c>
      <c r="AO20" s="18">
        <v>1.2070000000000001</v>
      </c>
      <c r="AP20" s="18">
        <v>0.64200000000000002</v>
      </c>
      <c r="AQ20" s="18">
        <v>1.431</v>
      </c>
      <c r="AR20" s="18">
        <v>1.181</v>
      </c>
      <c r="AS20" s="18">
        <v>1.617</v>
      </c>
      <c r="AT20" s="18">
        <v>1.427</v>
      </c>
      <c r="AU20" s="18">
        <v>1.5840000000000001</v>
      </c>
      <c r="AV20" s="18">
        <v>1.66</v>
      </c>
      <c r="AW20" s="18">
        <v>0.93700000000000006</v>
      </c>
      <c r="AX20" s="18">
        <v>0.64800000000000002</v>
      </c>
      <c r="AY20" s="18">
        <v>0.93799999999999994</v>
      </c>
    </row>
    <row r="21" spans="1:51" x14ac:dyDescent="0.25">
      <c r="A21" s="8">
        <v>17</v>
      </c>
      <c r="B21" s="8">
        <v>8</v>
      </c>
      <c r="C21" s="18">
        <v>0</v>
      </c>
      <c r="D21" s="18">
        <v>0</v>
      </c>
      <c r="E21" s="18">
        <v>0.78</v>
      </c>
      <c r="F21" s="18">
        <v>1.5620000000000001</v>
      </c>
      <c r="G21" s="18">
        <v>0</v>
      </c>
      <c r="H21" s="18">
        <v>0.71299999999999997</v>
      </c>
      <c r="I21" s="18">
        <v>1.2869999999999999</v>
      </c>
      <c r="J21" s="18">
        <v>0</v>
      </c>
      <c r="K21" s="18">
        <v>0</v>
      </c>
      <c r="L21" s="18">
        <v>0</v>
      </c>
      <c r="M21" s="18">
        <v>0.82599999999999996</v>
      </c>
      <c r="N21" s="18">
        <v>0.97199999999999998</v>
      </c>
      <c r="O21" s="18">
        <v>0</v>
      </c>
      <c r="P21" s="18">
        <v>1.03</v>
      </c>
      <c r="Q21" s="18">
        <v>0.28499999999999998</v>
      </c>
      <c r="R21" s="18">
        <v>1.36</v>
      </c>
      <c r="S21" s="18">
        <v>0.65800000000000003</v>
      </c>
      <c r="T21" s="18">
        <v>0.61299999999999999</v>
      </c>
      <c r="U21" s="18">
        <v>1.0569999999999999</v>
      </c>
      <c r="V21" s="18">
        <v>0.61099999999999999</v>
      </c>
      <c r="W21" s="18">
        <v>0</v>
      </c>
      <c r="X21" s="18">
        <v>0</v>
      </c>
      <c r="Y21" s="18">
        <v>0</v>
      </c>
      <c r="Z21" s="18">
        <v>0</v>
      </c>
      <c r="AA21" s="18">
        <v>1.3660000000000001</v>
      </c>
      <c r="AB21" s="18">
        <v>1.571</v>
      </c>
      <c r="AC21" s="18">
        <v>1.056</v>
      </c>
      <c r="AD21" s="18">
        <v>0.67600000000000005</v>
      </c>
      <c r="AE21" s="18">
        <v>1.633</v>
      </c>
      <c r="AF21" s="18">
        <v>0</v>
      </c>
      <c r="AG21" s="18">
        <v>1.4990000000000001</v>
      </c>
      <c r="AH21" s="18">
        <v>0</v>
      </c>
      <c r="AI21" s="18">
        <v>1.923</v>
      </c>
      <c r="AJ21" s="18">
        <v>1.25</v>
      </c>
      <c r="AK21" s="18">
        <v>0</v>
      </c>
      <c r="AL21" s="18">
        <v>0.96399999999999997</v>
      </c>
      <c r="AM21" s="18">
        <v>0</v>
      </c>
      <c r="AN21" s="18">
        <v>0.28100000000000003</v>
      </c>
      <c r="AO21" s="18">
        <v>0</v>
      </c>
      <c r="AP21" s="18">
        <v>0</v>
      </c>
      <c r="AQ21" s="18">
        <v>1.161</v>
      </c>
      <c r="AR21" s="18">
        <v>1.3620000000000001</v>
      </c>
      <c r="AS21" s="18">
        <v>1.45</v>
      </c>
      <c r="AT21" s="18">
        <v>1.5269999999999999</v>
      </c>
      <c r="AU21" s="18">
        <v>1.845</v>
      </c>
      <c r="AV21" s="18">
        <v>0.622</v>
      </c>
      <c r="AW21" s="18">
        <v>4.9000000000000002E-2</v>
      </c>
      <c r="AX21" s="18">
        <v>0.67500000000000004</v>
      </c>
      <c r="AY21" s="18">
        <v>0.92200000000000004</v>
      </c>
    </row>
    <row r="22" spans="1:51" x14ac:dyDescent="0.25">
      <c r="A22" s="8">
        <v>18</v>
      </c>
      <c r="B22" s="8">
        <v>8.5</v>
      </c>
      <c r="C22" s="18">
        <v>1.335</v>
      </c>
      <c r="D22" s="18">
        <v>0</v>
      </c>
      <c r="E22" s="18">
        <v>0</v>
      </c>
      <c r="F22" s="18">
        <v>1.2949999999999999</v>
      </c>
      <c r="G22" s="18">
        <v>0</v>
      </c>
      <c r="H22" s="18">
        <v>1.048</v>
      </c>
      <c r="I22" s="18">
        <v>1.671</v>
      </c>
      <c r="J22" s="18">
        <v>0</v>
      </c>
      <c r="K22" s="18">
        <v>0</v>
      </c>
      <c r="L22" s="18">
        <v>0</v>
      </c>
      <c r="M22" s="18">
        <v>0.96599999999999997</v>
      </c>
      <c r="N22" s="18">
        <v>1.159</v>
      </c>
      <c r="O22" s="18">
        <v>0</v>
      </c>
      <c r="P22" s="18">
        <v>0</v>
      </c>
      <c r="Q22" s="18">
        <v>1.1299999999999999</v>
      </c>
      <c r="R22" s="18">
        <v>1.482</v>
      </c>
      <c r="S22" s="18">
        <v>0.371</v>
      </c>
      <c r="T22" s="18">
        <v>0</v>
      </c>
      <c r="U22" s="18">
        <v>0</v>
      </c>
      <c r="V22" s="18">
        <v>0.35399999999999998</v>
      </c>
      <c r="W22" s="18">
        <v>0</v>
      </c>
      <c r="X22" s="18">
        <v>0</v>
      </c>
      <c r="Y22" s="18">
        <v>0</v>
      </c>
      <c r="Z22" s="18">
        <v>0</v>
      </c>
      <c r="AA22" s="18">
        <v>1.357</v>
      </c>
      <c r="AB22" s="18">
        <v>0</v>
      </c>
      <c r="AC22" s="18">
        <v>0</v>
      </c>
      <c r="AD22" s="18">
        <v>0</v>
      </c>
      <c r="AE22" s="18">
        <v>0.754</v>
      </c>
      <c r="AF22" s="18">
        <v>0</v>
      </c>
      <c r="AG22" s="18">
        <v>0.10199999999999999</v>
      </c>
      <c r="AH22" s="18">
        <v>0</v>
      </c>
      <c r="AI22" s="18">
        <v>0.88300000000000001</v>
      </c>
      <c r="AJ22" s="18">
        <v>1.319</v>
      </c>
      <c r="AK22" s="18">
        <v>0</v>
      </c>
      <c r="AL22" s="18">
        <v>1.129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0.13800000000000001</v>
      </c>
      <c r="AS22" s="18">
        <v>0</v>
      </c>
      <c r="AT22" s="18">
        <v>0.32800000000000001</v>
      </c>
      <c r="AU22" s="18">
        <v>0.85899999999999999</v>
      </c>
      <c r="AV22" s="18">
        <v>0</v>
      </c>
      <c r="AW22" s="18">
        <v>1.0900000000000001</v>
      </c>
      <c r="AX22" s="18">
        <v>0.80400000000000005</v>
      </c>
      <c r="AY22" s="18">
        <v>1.0209999999999999</v>
      </c>
    </row>
    <row r="23" spans="1:51" x14ac:dyDescent="0.25">
      <c r="A23" s="8">
        <v>19</v>
      </c>
      <c r="B23" s="8">
        <v>9</v>
      </c>
      <c r="C23" s="18">
        <v>0.91400000000000003</v>
      </c>
      <c r="D23" s="18">
        <v>0</v>
      </c>
      <c r="E23" s="18">
        <v>0</v>
      </c>
      <c r="F23" s="18">
        <v>0.29199999999999998</v>
      </c>
      <c r="G23" s="18">
        <v>0</v>
      </c>
      <c r="H23" s="18">
        <v>0</v>
      </c>
      <c r="I23" s="18">
        <v>0.39100000000000001</v>
      </c>
      <c r="J23" s="18">
        <v>0</v>
      </c>
      <c r="K23" s="18">
        <v>0</v>
      </c>
      <c r="L23" s="18">
        <v>0</v>
      </c>
      <c r="M23" s="18">
        <v>1.157</v>
      </c>
      <c r="N23" s="18">
        <v>1.3009999999999999</v>
      </c>
      <c r="O23" s="18">
        <v>0</v>
      </c>
      <c r="P23" s="18">
        <v>0</v>
      </c>
      <c r="Q23" s="18">
        <v>1.258</v>
      </c>
      <c r="R23" s="18">
        <v>1.2190000000000001</v>
      </c>
      <c r="S23" s="18">
        <v>1.127</v>
      </c>
      <c r="T23" s="18">
        <v>0</v>
      </c>
      <c r="U23" s="18">
        <v>0</v>
      </c>
      <c r="V23" s="18">
        <v>0.997</v>
      </c>
      <c r="W23" s="18">
        <v>0</v>
      </c>
      <c r="X23" s="18">
        <v>0</v>
      </c>
      <c r="Y23" s="18">
        <v>0</v>
      </c>
      <c r="Z23" s="18">
        <v>0</v>
      </c>
      <c r="AA23" s="18">
        <v>0.29099999999999998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1.2549999999999999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1.2370000000000001</v>
      </c>
      <c r="AX23" s="18">
        <v>0.81799999999999995</v>
      </c>
      <c r="AY23" s="18">
        <v>1.292</v>
      </c>
    </row>
    <row r="24" spans="1:51" x14ac:dyDescent="0.25">
      <c r="A24" s="8">
        <v>20</v>
      </c>
      <c r="B24" s="8">
        <v>9.5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1.1579999999999999</v>
      </c>
      <c r="O24" s="18">
        <v>0</v>
      </c>
      <c r="P24" s="18">
        <v>0</v>
      </c>
      <c r="Q24" s="18">
        <v>1.389</v>
      </c>
      <c r="R24" s="18">
        <v>0.36699999999999999</v>
      </c>
      <c r="S24" s="18">
        <v>1.2</v>
      </c>
      <c r="T24" s="18">
        <v>0</v>
      </c>
      <c r="U24" s="18">
        <v>0</v>
      </c>
      <c r="V24" s="18">
        <v>1.038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0.26900000000000002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1.254</v>
      </c>
      <c r="AX24" s="18">
        <v>0.91500000000000004</v>
      </c>
      <c r="AY24" s="18">
        <v>1.149</v>
      </c>
    </row>
    <row r="25" spans="1:51" x14ac:dyDescent="0.25">
      <c r="A25" s="8">
        <v>21</v>
      </c>
      <c r="B25" s="8">
        <v>10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0.46100000000000002</v>
      </c>
      <c r="O25" s="18">
        <v>0</v>
      </c>
      <c r="P25" s="18">
        <v>0</v>
      </c>
      <c r="Q25" s="18">
        <v>0</v>
      </c>
      <c r="R25" s="18">
        <v>6.0999999999999999E-2</v>
      </c>
      <c r="S25" s="18">
        <v>0</v>
      </c>
      <c r="T25" s="18">
        <v>0</v>
      </c>
      <c r="U25" s="18">
        <v>0</v>
      </c>
      <c r="V25" s="18">
        <v>0.97099999999999997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1.2E-2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0.41799999999999998</v>
      </c>
      <c r="AX25" s="18">
        <v>0.77800000000000002</v>
      </c>
      <c r="AY25" s="18">
        <v>0</v>
      </c>
    </row>
    <row r="26" spans="1:51" x14ac:dyDescent="0.25">
      <c r="A26" s="8">
        <v>22</v>
      </c>
      <c r="B26" s="8">
        <v>10.5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1.1140000000000001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0.79</v>
      </c>
      <c r="AY26" s="18">
        <v>0</v>
      </c>
    </row>
    <row r="27" spans="1:51" x14ac:dyDescent="0.25">
      <c r="A27" s="8">
        <v>23</v>
      </c>
      <c r="B27" s="8">
        <v>11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</row>
    <row r="28" spans="1:51" x14ac:dyDescent="0.25">
      <c r="A28" s="8">
        <v>24</v>
      </c>
      <c r="B28" s="8">
        <v>11.5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0.16500000000000001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0.16400000000000001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</row>
    <row r="29" spans="1:51" x14ac:dyDescent="0.25">
      <c r="A29" s="8">
        <v>25</v>
      </c>
      <c r="B29" s="8">
        <v>12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0.48099999999999998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</row>
    <row r="30" spans="1:51" x14ac:dyDescent="0.25">
      <c r="A30" s="8">
        <v>26</v>
      </c>
      <c r="B30" s="8">
        <v>12.5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</row>
    <row r="31" spans="1:51" x14ac:dyDescent="0.25">
      <c r="A31" s="8">
        <v>27</v>
      </c>
      <c r="B31" s="8">
        <v>13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</row>
    <row r="32" spans="1:51" x14ac:dyDescent="0.25">
      <c r="A32" s="8">
        <v>28</v>
      </c>
      <c r="B32" s="8">
        <v>13.5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0.68200000000000005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</row>
    <row r="33" spans="1:51" x14ac:dyDescent="0.25">
      <c r="A33" s="8">
        <v>29</v>
      </c>
      <c r="B33" s="8">
        <v>14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0.19500000000000001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</row>
    <row r="34" spans="1:51" x14ac:dyDescent="0.25">
      <c r="A34" s="8">
        <v>30</v>
      </c>
      <c r="B34" s="8">
        <v>14.5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0.33300000000000002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</row>
    <row r="35" spans="1:51" x14ac:dyDescent="0.25">
      <c r="A35" s="8">
        <v>31</v>
      </c>
      <c r="B35" s="8">
        <v>15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  <c r="AY35" s="18">
        <v>0</v>
      </c>
    </row>
    <row r="36" spans="1:51" x14ac:dyDescent="0.25">
      <c r="A36" s="8">
        <v>32</v>
      </c>
      <c r="B36" s="8">
        <v>15.5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0.41599999999999998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</row>
    <row r="37" spans="1:51" x14ac:dyDescent="0.25">
      <c r="A37" s="8">
        <v>33</v>
      </c>
      <c r="B37" s="8">
        <v>16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1.615</v>
      </c>
      <c r="P37" s="18">
        <v>0</v>
      </c>
      <c r="Q37" s="18">
        <v>0</v>
      </c>
      <c r="R37" s="18">
        <v>0.16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0.61599999999999999</v>
      </c>
      <c r="AX37" s="18">
        <v>0</v>
      </c>
      <c r="AY37" s="18">
        <v>0</v>
      </c>
    </row>
    <row r="38" spans="1:51" x14ac:dyDescent="0.25">
      <c r="A38" s="8">
        <v>34</v>
      </c>
      <c r="B38" s="8">
        <v>16.5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0.17499999999999999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0.67900000000000005</v>
      </c>
      <c r="AX38" s="18">
        <v>0</v>
      </c>
      <c r="AY38" s="18">
        <v>0</v>
      </c>
    </row>
    <row r="39" spans="1:51" x14ac:dyDescent="0.25">
      <c r="A39" s="8">
        <v>35</v>
      </c>
      <c r="B39" s="8">
        <v>17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0.33600000000000002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0</v>
      </c>
      <c r="AM39" s="18">
        <v>0</v>
      </c>
      <c r="AN39" s="18">
        <v>0</v>
      </c>
      <c r="AO39" s="18">
        <v>0.88600000000000001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0.499</v>
      </c>
      <c r="AX39" s="18">
        <v>0</v>
      </c>
      <c r="AY39" s="18">
        <v>0</v>
      </c>
    </row>
    <row r="40" spans="1:51" x14ac:dyDescent="0.25">
      <c r="A40" s="8">
        <v>36</v>
      </c>
      <c r="B40" s="8">
        <v>17.5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0.40899999999999997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0.58099999999999996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</row>
    <row r="41" spans="1:51" x14ac:dyDescent="0.25">
      <c r="A41" s="8">
        <v>37</v>
      </c>
      <c r="B41" s="8">
        <v>18</v>
      </c>
      <c r="C41" s="18">
        <v>0</v>
      </c>
      <c r="D41" s="18">
        <v>0.747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0.189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</row>
    <row r="42" spans="1:51" x14ac:dyDescent="0.25">
      <c r="A42" s="8">
        <v>38</v>
      </c>
      <c r="B42" s="8">
        <v>18.5</v>
      </c>
      <c r="C42" s="18">
        <v>0</v>
      </c>
      <c r="D42" s="18">
        <v>0.49399999999999999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3.6999999999999998E-2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2E-3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0.251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  <c r="AY42" s="18">
        <v>0</v>
      </c>
    </row>
    <row r="43" spans="1:51" x14ac:dyDescent="0.25">
      <c r="A43" s="8">
        <v>39</v>
      </c>
      <c r="B43" s="8">
        <v>19</v>
      </c>
      <c r="C43" s="18">
        <v>0</v>
      </c>
      <c r="D43" s="18">
        <v>0.245</v>
      </c>
      <c r="E43" s="18">
        <v>0</v>
      </c>
      <c r="F43" s="18">
        <v>0.122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0.23400000000000001</v>
      </c>
      <c r="AL43" s="18">
        <v>2.9000000000000001E-2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8">
        <v>0</v>
      </c>
    </row>
    <row r="44" spans="1:51" x14ac:dyDescent="0.25">
      <c r="A44" s="8">
        <v>40</v>
      </c>
      <c r="B44" s="8">
        <v>19.5</v>
      </c>
      <c r="C44" s="18">
        <v>0</v>
      </c>
      <c r="D44" s="18">
        <v>0</v>
      </c>
      <c r="E44" s="18">
        <v>0</v>
      </c>
      <c r="F44" s="18">
        <v>2.1000000000000001E-2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</row>
    <row r="45" spans="1:51" x14ac:dyDescent="0.25">
      <c r="A45" s="8">
        <v>41</v>
      </c>
      <c r="B45" s="8">
        <v>20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8">
        <v>0</v>
      </c>
    </row>
    <row r="46" spans="1:51" x14ac:dyDescent="0.25">
      <c r="A46" s="8">
        <v>42</v>
      </c>
      <c r="B46" s="8">
        <v>20.5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</row>
    <row r="47" spans="1:51" x14ac:dyDescent="0.25">
      <c r="A47" s="8">
        <v>43</v>
      </c>
      <c r="B47" s="8">
        <v>21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</row>
    <row r="48" spans="1:51" x14ac:dyDescent="0.25">
      <c r="A48" s="8">
        <v>44</v>
      </c>
      <c r="B48" s="8">
        <v>21.5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  <c r="AY48" s="18">
        <v>0</v>
      </c>
    </row>
    <row r="49" spans="1:51" x14ac:dyDescent="0.25">
      <c r="A49" s="8">
        <v>45</v>
      </c>
      <c r="B49" s="8">
        <v>22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0</v>
      </c>
      <c r="AX49" s="18">
        <v>0</v>
      </c>
      <c r="AY49" s="18">
        <v>0</v>
      </c>
    </row>
    <row r="50" spans="1:51" x14ac:dyDescent="0.25">
      <c r="A50" s="8">
        <v>46</v>
      </c>
      <c r="B50" s="8">
        <v>22.5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</row>
    <row r="51" spans="1:51" x14ac:dyDescent="0.25">
      <c r="A51" s="8">
        <v>47</v>
      </c>
      <c r="B51" s="8">
        <v>23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</row>
    <row r="52" spans="1:51" x14ac:dyDescent="0.25">
      <c r="A52" s="8">
        <v>48</v>
      </c>
      <c r="B52" s="8">
        <v>23.5</v>
      </c>
      <c r="C52" s="18">
        <v>0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0</v>
      </c>
      <c r="AT52" s="18">
        <v>0</v>
      </c>
      <c r="AU52" s="18">
        <v>0</v>
      </c>
      <c r="AV52" s="18">
        <v>0</v>
      </c>
      <c r="AW52" s="18">
        <v>0</v>
      </c>
      <c r="AX52" s="18">
        <v>0</v>
      </c>
      <c r="AY52" s="18">
        <v>0</v>
      </c>
    </row>
  </sheetData>
  <mergeCells count="1"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52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7" customWidth="1"/>
    <col min="2" max="2" width="6" customWidth="1"/>
    <col min="3" max="51" width="13" customWidth="1"/>
  </cols>
  <sheetData>
    <row r="1" spans="1:51" ht="19.5" x14ac:dyDescent="0.3">
      <c r="A1" s="1" t="s">
        <v>302</v>
      </c>
    </row>
    <row r="2" spans="1:51" x14ac:dyDescent="0.25">
      <c r="A2" s="29" t="s">
        <v>303</v>
      </c>
      <c r="B2" s="27"/>
      <c r="C2" s="27"/>
      <c r="D2" s="27"/>
      <c r="E2" s="27"/>
      <c r="F2" s="27"/>
      <c r="G2" s="27"/>
      <c r="H2" s="27"/>
    </row>
    <row r="4" spans="1:51" ht="25.5" x14ac:dyDescent="0.25">
      <c r="A4" s="5" t="s">
        <v>251</v>
      </c>
      <c r="B4" s="5" t="s">
        <v>252</v>
      </c>
      <c r="C4" s="5" t="s">
        <v>253</v>
      </c>
      <c r="D4" s="5" t="s">
        <v>254</v>
      </c>
      <c r="E4" s="5" t="s">
        <v>255</v>
      </c>
      <c r="F4" s="5" t="s">
        <v>256</v>
      </c>
      <c r="G4" s="5" t="s">
        <v>257</v>
      </c>
      <c r="H4" s="5" t="s">
        <v>258</v>
      </c>
      <c r="I4" s="5" t="s">
        <v>259</v>
      </c>
      <c r="J4" s="5" t="s">
        <v>260</v>
      </c>
      <c r="K4" s="5" t="s">
        <v>261</v>
      </c>
      <c r="L4" s="5" t="s">
        <v>262</v>
      </c>
      <c r="M4" s="5" t="s">
        <v>263</v>
      </c>
      <c r="N4" s="5" t="s">
        <v>264</v>
      </c>
      <c r="O4" s="5" t="s">
        <v>265</v>
      </c>
      <c r="P4" s="5" t="s">
        <v>266</v>
      </c>
      <c r="Q4" s="5" t="s">
        <v>267</v>
      </c>
      <c r="R4" s="5" t="s">
        <v>268</v>
      </c>
      <c r="S4" s="5" t="s">
        <v>269</v>
      </c>
      <c r="T4" s="5" t="s">
        <v>270</v>
      </c>
      <c r="U4" s="5" t="s">
        <v>271</v>
      </c>
      <c r="V4" s="5" t="s">
        <v>272</v>
      </c>
      <c r="W4" s="5" t="s">
        <v>273</v>
      </c>
      <c r="X4" s="5" t="s">
        <v>274</v>
      </c>
      <c r="Y4" s="5" t="s">
        <v>275</v>
      </c>
      <c r="Z4" s="5" t="s">
        <v>276</v>
      </c>
      <c r="AA4" s="5" t="s">
        <v>277</v>
      </c>
      <c r="AB4" s="5" t="s">
        <v>278</v>
      </c>
      <c r="AC4" s="5" t="s">
        <v>279</v>
      </c>
      <c r="AD4" s="5" t="s">
        <v>280</v>
      </c>
      <c r="AE4" s="5" t="s">
        <v>281</v>
      </c>
      <c r="AF4" s="5" t="s">
        <v>282</v>
      </c>
      <c r="AG4" s="5" t="s">
        <v>283</v>
      </c>
      <c r="AH4" s="5" t="s">
        <v>284</v>
      </c>
      <c r="AI4" s="5" t="s">
        <v>285</v>
      </c>
      <c r="AJ4" s="5" t="s">
        <v>286</v>
      </c>
      <c r="AK4" s="5" t="s">
        <v>287</v>
      </c>
      <c r="AL4" s="5" t="s">
        <v>288</v>
      </c>
      <c r="AM4" s="5" t="s">
        <v>289</v>
      </c>
      <c r="AN4" s="5" t="s">
        <v>290</v>
      </c>
      <c r="AO4" s="5" t="s">
        <v>291</v>
      </c>
      <c r="AP4" s="5" t="s">
        <v>292</v>
      </c>
      <c r="AQ4" s="5" t="s">
        <v>293</v>
      </c>
      <c r="AR4" s="5" t="s">
        <v>294</v>
      </c>
      <c r="AS4" s="5" t="s">
        <v>295</v>
      </c>
      <c r="AT4" s="5" t="s">
        <v>296</v>
      </c>
      <c r="AU4" s="5" t="s">
        <v>297</v>
      </c>
      <c r="AV4" s="5" t="s">
        <v>298</v>
      </c>
      <c r="AW4" s="5" t="s">
        <v>299</v>
      </c>
      <c r="AX4" s="5" t="s">
        <v>300</v>
      </c>
      <c r="AY4" s="5" t="s">
        <v>301</v>
      </c>
    </row>
    <row r="5" spans="1:51" x14ac:dyDescent="0.25">
      <c r="A5" s="8">
        <v>1</v>
      </c>
      <c r="B5" s="8">
        <v>0</v>
      </c>
      <c r="C5" s="18">
        <v>0.19</v>
      </c>
      <c r="D5" s="18">
        <v>4.5999999999999999E-2</v>
      </c>
      <c r="E5" s="18">
        <v>4.5999999999999999E-2</v>
      </c>
      <c r="F5" s="18">
        <v>0.38</v>
      </c>
      <c r="G5" s="18">
        <v>4.8000000000000001E-2</v>
      </c>
      <c r="H5" s="18">
        <v>0.104</v>
      </c>
      <c r="I5" s="18">
        <v>0.34</v>
      </c>
      <c r="J5" s="18">
        <v>3.3000000000000002E-2</v>
      </c>
      <c r="K5" s="18">
        <v>4.5999999999999999E-2</v>
      </c>
      <c r="L5" s="18">
        <v>9.8000000000000004E-2</v>
      </c>
      <c r="M5" s="18">
        <v>5.3999999999999999E-2</v>
      </c>
      <c r="N5" s="18">
        <v>0.59899999999999998</v>
      </c>
      <c r="O5" s="18">
        <v>7.1999999999999995E-2</v>
      </c>
      <c r="P5" s="18">
        <v>0.14399999999999999</v>
      </c>
      <c r="Q5" s="18">
        <v>0.16500000000000001</v>
      </c>
      <c r="R5" s="18">
        <v>0.16</v>
      </c>
      <c r="S5" s="18">
        <v>0.13100000000000001</v>
      </c>
      <c r="T5" s="18">
        <v>0.14899999999999999</v>
      </c>
      <c r="U5" s="18">
        <v>4.8000000000000001E-2</v>
      </c>
      <c r="V5" s="18">
        <v>0.14899999999999999</v>
      </c>
      <c r="W5" s="18">
        <v>0.15</v>
      </c>
      <c r="X5" s="18">
        <v>5.2999999999999999E-2</v>
      </c>
      <c r="Y5" s="18">
        <v>0.14799999999999999</v>
      </c>
      <c r="Z5" s="18">
        <v>0.11</v>
      </c>
      <c r="AA5" s="18">
        <v>8.1000000000000003E-2</v>
      </c>
      <c r="AB5" s="18">
        <v>0.33500000000000002</v>
      </c>
      <c r="AC5" s="18">
        <v>5.3999999999999999E-2</v>
      </c>
      <c r="AD5" s="18">
        <v>0.06</v>
      </c>
      <c r="AE5" s="18">
        <v>4.1000000000000002E-2</v>
      </c>
      <c r="AF5" s="18">
        <v>5.2999999999999999E-2</v>
      </c>
      <c r="AG5" s="18">
        <v>5.8999999999999997E-2</v>
      </c>
      <c r="AH5" s="18">
        <v>0.111</v>
      </c>
      <c r="AI5" s="18">
        <v>0.499</v>
      </c>
      <c r="AJ5" s="18">
        <v>0.152</v>
      </c>
      <c r="AK5" s="18">
        <v>4.2999999999999997E-2</v>
      </c>
      <c r="AL5" s="18">
        <v>0.14899999999999999</v>
      </c>
      <c r="AM5" s="18">
        <v>4.9000000000000002E-2</v>
      </c>
      <c r="AN5" s="18">
        <v>7.9000000000000001E-2</v>
      </c>
      <c r="AO5" s="18">
        <v>0.13800000000000001</v>
      </c>
      <c r="AP5" s="18">
        <v>5.2999999999999999E-2</v>
      </c>
      <c r="AQ5" s="18">
        <v>0.63900000000000001</v>
      </c>
      <c r="AR5" s="18">
        <v>5.2999999999999999E-2</v>
      </c>
      <c r="AS5" s="18">
        <v>0.55200000000000005</v>
      </c>
      <c r="AT5" s="18">
        <v>0.68300000000000005</v>
      </c>
      <c r="AU5" s="18">
        <v>0.73399999999999999</v>
      </c>
      <c r="AV5" s="18">
        <v>0.10199999999999999</v>
      </c>
      <c r="AW5" s="18">
        <v>0.16</v>
      </c>
      <c r="AX5" s="18">
        <v>0.13300000000000001</v>
      </c>
      <c r="AY5" s="18">
        <v>0.76900000000000002</v>
      </c>
    </row>
    <row r="6" spans="1:51" x14ac:dyDescent="0.25">
      <c r="A6" s="8">
        <v>2</v>
      </c>
      <c r="B6" s="8">
        <v>0.5</v>
      </c>
      <c r="C6" s="18">
        <v>0.26100000000000001</v>
      </c>
      <c r="D6" s="18">
        <v>0.107</v>
      </c>
      <c r="E6" s="18">
        <v>0.31</v>
      </c>
      <c r="F6" s="18">
        <v>0.125</v>
      </c>
      <c r="G6" s="18">
        <v>0.21</v>
      </c>
      <c r="H6" s="18">
        <v>0.17100000000000001</v>
      </c>
      <c r="I6" s="18">
        <v>5.2999999999999999E-2</v>
      </c>
      <c r="J6" s="18">
        <v>3.3000000000000002E-2</v>
      </c>
      <c r="K6" s="18">
        <v>0.19900000000000001</v>
      </c>
      <c r="L6" s="18">
        <v>7.8E-2</v>
      </c>
      <c r="M6" s="18">
        <v>0.17199999999999999</v>
      </c>
      <c r="N6" s="18">
        <v>0.54400000000000004</v>
      </c>
      <c r="O6" s="18">
        <v>4.2000000000000003E-2</v>
      </c>
      <c r="P6" s="18">
        <v>0.23</v>
      </c>
      <c r="Q6" s="18">
        <v>4.7E-2</v>
      </c>
      <c r="R6" s="18">
        <v>5.5E-2</v>
      </c>
      <c r="S6" s="18">
        <v>5.5E-2</v>
      </c>
      <c r="T6" s="18">
        <v>0.17</v>
      </c>
      <c r="U6" s="18">
        <v>9.0999999999999998E-2</v>
      </c>
      <c r="V6" s="18">
        <v>0.13900000000000001</v>
      </c>
      <c r="W6" s="18">
        <v>0.05</v>
      </c>
      <c r="X6" s="18">
        <v>5.2999999999999999E-2</v>
      </c>
      <c r="Y6" s="18">
        <v>0.106</v>
      </c>
      <c r="Z6" s="18">
        <v>5.1999999999999998E-2</v>
      </c>
      <c r="AA6" s="18">
        <v>0.28000000000000003</v>
      </c>
      <c r="AB6" s="18">
        <v>1.2989999999999999</v>
      </c>
      <c r="AC6" s="18">
        <v>5.3999999999999999E-2</v>
      </c>
      <c r="AD6" s="18">
        <v>0.24299999999999999</v>
      </c>
      <c r="AE6" s="18">
        <v>0.112</v>
      </c>
      <c r="AF6" s="18">
        <v>5.2999999999999999E-2</v>
      </c>
      <c r="AG6" s="18">
        <v>0.14799999999999999</v>
      </c>
      <c r="AH6" s="18">
        <v>0.14099999999999999</v>
      </c>
      <c r="AI6" s="18">
        <v>0.621</v>
      </c>
      <c r="AJ6" s="18">
        <v>4.1000000000000002E-2</v>
      </c>
      <c r="AK6" s="18">
        <v>4.2999999999999997E-2</v>
      </c>
      <c r="AL6" s="18">
        <v>8.2000000000000003E-2</v>
      </c>
      <c r="AM6" s="18">
        <v>0.223</v>
      </c>
      <c r="AN6" s="18">
        <v>0.19600000000000001</v>
      </c>
      <c r="AO6" s="18">
        <v>7.9000000000000001E-2</v>
      </c>
      <c r="AP6" s="18">
        <v>5.2999999999999999E-2</v>
      </c>
      <c r="AQ6" s="18">
        <v>0.05</v>
      </c>
      <c r="AR6" s="18">
        <v>5.2999999999999999E-2</v>
      </c>
      <c r="AS6" s="18">
        <v>0.53400000000000003</v>
      </c>
      <c r="AT6" s="18">
        <v>0.14899999999999999</v>
      </c>
      <c r="AU6" s="18">
        <v>0.438</v>
      </c>
      <c r="AV6" s="18">
        <v>0.13400000000000001</v>
      </c>
      <c r="AW6" s="18">
        <v>0.14599999999999999</v>
      </c>
      <c r="AX6" s="18">
        <v>0.17299999999999999</v>
      </c>
      <c r="AY6" s="18">
        <v>0.109</v>
      </c>
    </row>
    <row r="7" spans="1:51" x14ac:dyDescent="0.25">
      <c r="A7" s="8">
        <v>3</v>
      </c>
      <c r="B7" s="8">
        <v>1</v>
      </c>
      <c r="C7" s="18">
        <v>7.9000000000000001E-2</v>
      </c>
      <c r="D7" s="18">
        <v>0.191</v>
      </c>
      <c r="E7" s="18">
        <v>5.7000000000000002E-2</v>
      </c>
      <c r="F7" s="18">
        <v>4.8000000000000001E-2</v>
      </c>
      <c r="G7" s="18">
        <v>4.8000000000000001E-2</v>
      </c>
      <c r="H7" s="18">
        <v>9.8000000000000004E-2</v>
      </c>
      <c r="I7" s="18">
        <v>0.16200000000000001</v>
      </c>
      <c r="J7" s="18">
        <v>3.3000000000000002E-2</v>
      </c>
      <c r="K7" s="18">
        <v>4.5999999999999999E-2</v>
      </c>
      <c r="L7" s="18">
        <v>9.4E-2</v>
      </c>
      <c r="M7" s="18">
        <v>7.9000000000000001E-2</v>
      </c>
      <c r="N7" s="18">
        <v>0.54800000000000004</v>
      </c>
      <c r="O7" s="18">
        <v>4.2000000000000003E-2</v>
      </c>
      <c r="P7" s="18">
        <v>0.161</v>
      </c>
      <c r="Q7" s="18">
        <v>0.221</v>
      </c>
      <c r="R7" s="18">
        <v>5.5E-2</v>
      </c>
      <c r="S7" s="18">
        <v>8.6999999999999994E-2</v>
      </c>
      <c r="T7" s="18">
        <v>0.22</v>
      </c>
      <c r="U7" s="18">
        <v>0.16300000000000001</v>
      </c>
      <c r="V7" s="18">
        <v>8.3000000000000004E-2</v>
      </c>
      <c r="W7" s="18">
        <v>0.05</v>
      </c>
      <c r="X7" s="18">
        <v>0.161</v>
      </c>
      <c r="Y7" s="18">
        <v>0.05</v>
      </c>
      <c r="Z7" s="18">
        <v>0.16800000000000001</v>
      </c>
      <c r="AA7" s="18">
        <v>4.9000000000000002E-2</v>
      </c>
      <c r="AB7" s="18">
        <v>0.42399999999999999</v>
      </c>
      <c r="AC7" s="18">
        <v>0.22900000000000001</v>
      </c>
      <c r="AD7" s="18">
        <v>0.152</v>
      </c>
      <c r="AE7" s="18">
        <v>4.1000000000000002E-2</v>
      </c>
      <c r="AF7" s="18">
        <v>5.2999999999999999E-2</v>
      </c>
      <c r="AG7" s="18">
        <v>0.12</v>
      </c>
      <c r="AH7" s="18">
        <v>3.5999999999999997E-2</v>
      </c>
      <c r="AI7" s="18">
        <v>0.26800000000000002</v>
      </c>
      <c r="AJ7" s="18">
        <v>0.24299999999999999</v>
      </c>
      <c r="AK7" s="18">
        <v>0.39100000000000001</v>
      </c>
      <c r="AL7" s="18">
        <v>4.2000000000000003E-2</v>
      </c>
      <c r="AM7" s="18">
        <v>4.9000000000000002E-2</v>
      </c>
      <c r="AN7" s="18">
        <v>0.13700000000000001</v>
      </c>
      <c r="AO7" s="18">
        <v>5.7000000000000002E-2</v>
      </c>
      <c r="AP7" s="18">
        <v>5.2999999999999999E-2</v>
      </c>
      <c r="AQ7" s="18">
        <v>0.05</v>
      </c>
      <c r="AR7" s="18">
        <v>5.2999999999999999E-2</v>
      </c>
      <c r="AS7" s="18">
        <v>7.9000000000000001E-2</v>
      </c>
      <c r="AT7" s="18">
        <v>0.14299999999999999</v>
      </c>
      <c r="AU7" s="18">
        <v>0.83099999999999996</v>
      </c>
      <c r="AV7" s="18">
        <v>0.151</v>
      </c>
      <c r="AW7" s="18">
        <v>9.9000000000000005E-2</v>
      </c>
      <c r="AX7" s="18">
        <v>0.104</v>
      </c>
      <c r="AY7" s="18">
        <v>0.217</v>
      </c>
    </row>
    <row r="8" spans="1:51" x14ac:dyDescent="0.25">
      <c r="A8" s="8">
        <v>4</v>
      </c>
      <c r="B8" s="8">
        <v>1.5</v>
      </c>
      <c r="C8" s="18">
        <v>0.25900000000000001</v>
      </c>
      <c r="D8" s="18">
        <v>7.2999999999999995E-2</v>
      </c>
      <c r="E8" s="18">
        <v>0.11799999999999999</v>
      </c>
      <c r="F8" s="18">
        <v>0.16600000000000001</v>
      </c>
      <c r="G8" s="18">
        <v>4.8000000000000001E-2</v>
      </c>
      <c r="H8" s="18">
        <v>5.8999999999999997E-2</v>
      </c>
      <c r="I8" s="18">
        <v>0.24299999999999999</v>
      </c>
      <c r="J8" s="18">
        <v>6.9000000000000006E-2</v>
      </c>
      <c r="K8" s="18">
        <v>0.158</v>
      </c>
      <c r="L8" s="18">
        <v>5.0999999999999997E-2</v>
      </c>
      <c r="M8" s="18">
        <v>8.2000000000000003E-2</v>
      </c>
      <c r="N8" s="18">
        <v>0.65600000000000003</v>
      </c>
      <c r="O8" s="18">
        <v>0.20599999999999999</v>
      </c>
      <c r="P8" s="18">
        <v>0.153</v>
      </c>
      <c r="Q8" s="18">
        <v>0.122</v>
      </c>
      <c r="R8" s="18">
        <v>0.112</v>
      </c>
      <c r="S8" s="18">
        <v>0.16300000000000001</v>
      </c>
      <c r="T8" s="18">
        <v>0.17699999999999999</v>
      </c>
      <c r="U8" s="18">
        <v>0.126</v>
      </c>
      <c r="V8" s="18">
        <v>3.4000000000000002E-2</v>
      </c>
      <c r="W8" s="18">
        <v>0.105</v>
      </c>
      <c r="X8" s="18">
        <v>5.2999999999999999E-2</v>
      </c>
      <c r="Y8" s="18">
        <v>0.05</v>
      </c>
      <c r="Z8" s="18">
        <v>0.111</v>
      </c>
      <c r="AA8" s="18">
        <v>0.20300000000000001</v>
      </c>
      <c r="AB8" s="18">
        <v>0.108</v>
      </c>
      <c r="AC8" s="18">
        <v>5.3999999999999999E-2</v>
      </c>
      <c r="AD8" s="18">
        <v>0.19</v>
      </c>
      <c r="AE8" s="18">
        <v>0.112</v>
      </c>
      <c r="AF8" s="18">
        <v>5.2999999999999999E-2</v>
      </c>
      <c r="AG8" s="18">
        <v>7.9000000000000001E-2</v>
      </c>
      <c r="AH8" s="18">
        <v>6.6000000000000003E-2</v>
      </c>
      <c r="AI8" s="18">
        <v>0.17599999999999999</v>
      </c>
      <c r="AJ8" s="18">
        <v>4.1000000000000002E-2</v>
      </c>
      <c r="AK8" s="18">
        <v>0.219</v>
      </c>
      <c r="AL8" s="18">
        <v>0.189</v>
      </c>
      <c r="AM8" s="18">
        <v>4.9000000000000002E-2</v>
      </c>
      <c r="AN8" s="18">
        <v>0.185</v>
      </c>
      <c r="AO8" s="18">
        <v>0.16</v>
      </c>
      <c r="AP8" s="18">
        <v>5.2999999999999999E-2</v>
      </c>
      <c r="AQ8" s="18">
        <v>0.05</v>
      </c>
      <c r="AR8" s="18">
        <v>5.2999999999999999E-2</v>
      </c>
      <c r="AS8" s="18">
        <v>8.5000000000000006E-2</v>
      </c>
      <c r="AT8" s="18">
        <v>5.3999999999999999E-2</v>
      </c>
      <c r="AU8" s="18">
        <v>0.38700000000000001</v>
      </c>
      <c r="AV8" s="18">
        <v>0.05</v>
      </c>
      <c r="AW8" s="18">
        <v>0.246</v>
      </c>
      <c r="AX8" s="18">
        <v>0.09</v>
      </c>
      <c r="AY8" s="18">
        <v>0.109</v>
      </c>
    </row>
    <row r="9" spans="1:51" x14ac:dyDescent="0.25">
      <c r="A9" s="8">
        <v>5</v>
      </c>
      <c r="B9" s="8">
        <v>2</v>
      </c>
      <c r="C9" s="18">
        <v>0.17</v>
      </c>
      <c r="D9" s="18">
        <v>0.19900000000000001</v>
      </c>
      <c r="E9" s="18">
        <v>0.161</v>
      </c>
      <c r="F9" s="18">
        <v>4.8000000000000001E-2</v>
      </c>
      <c r="G9" s="18">
        <v>7.1999999999999995E-2</v>
      </c>
      <c r="H9" s="18">
        <v>0.26</v>
      </c>
      <c r="I9" s="18">
        <v>8.6999999999999994E-2</v>
      </c>
      <c r="J9" s="18">
        <v>6.9000000000000006E-2</v>
      </c>
      <c r="K9" s="18">
        <v>8.7999999999999995E-2</v>
      </c>
      <c r="L9" s="18">
        <v>5.0999999999999997E-2</v>
      </c>
      <c r="M9" s="18">
        <v>8.8999999999999996E-2</v>
      </c>
      <c r="N9" s="18">
        <v>4.2999999999999997E-2</v>
      </c>
      <c r="O9" s="18">
        <v>4.2000000000000003E-2</v>
      </c>
      <c r="P9" s="18">
        <v>9.6000000000000002E-2</v>
      </c>
      <c r="Q9" s="18">
        <v>8.2000000000000003E-2</v>
      </c>
      <c r="R9" s="18">
        <v>0.17699999999999999</v>
      </c>
      <c r="S9" s="18">
        <v>5.5E-2</v>
      </c>
      <c r="T9" s="18">
        <v>4.8000000000000001E-2</v>
      </c>
      <c r="U9" s="18">
        <v>0.20599999999999999</v>
      </c>
      <c r="V9" s="18">
        <v>0.191</v>
      </c>
      <c r="W9" s="18">
        <v>9.5000000000000001E-2</v>
      </c>
      <c r="X9" s="18">
        <v>0.14499999999999999</v>
      </c>
      <c r="Y9" s="18">
        <v>0.20399999999999999</v>
      </c>
      <c r="Z9" s="18">
        <v>9.6000000000000002E-2</v>
      </c>
      <c r="AA9" s="18">
        <v>0.158</v>
      </c>
      <c r="AB9" s="18">
        <v>0.129</v>
      </c>
      <c r="AC9" s="18">
        <v>0.20499999999999999</v>
      </c>
      <c r="AD9" s="18">
        <v>0.185</v>
      </c>
      <c r="AE9" s="18">
        <v>4.1000000000000002E-2</v>
      </c>
      <c r="AF9" s="18">
        <v>5.2999999999999999E-2</v>
      </c>
      <c r="AG9" s="18">
        <v>0.188</v>
      </c>
      <c r="AH9" s="18">
        <v>0.17</v>
      </c>
      <c r="AI9" s="18">
        <v>0.187</v>
      </c>
      <c r="AJ9" s="18">
        <v>4.1000000000000002E-2</v>
      </c>
      <c r="AK9" s="18">
        <v>0.22500000000000001</v>
      </c>
      <c r="AL9" s="18">
        <v>4.2000000000000003E-2</v>
      </c>
      <c r="AM9" s="18">
        <v>0.223</v>
      </c>
      <c r="AN9" s="18">
        <v>0.17699999999999999</v>
      </c>
      <c r="AO9" s="18">
        <v>5.7000000000000002E-2</v>
      </c>
      <c r="AP9" s="18">
        <v>5.2999999999999999E-2</v>
      </c>
      <c r="AQ9" s="18">
        <v>0.05</v>
      </c>
      <c r="AR9" s="18">
        <v>5.2999999999999999E-2</v>
      </c>
      <c r="AS9" s="18">
        <v>4.7E-2</v>
      </c>
      <c r="AT9" s="18">
        <v>5.3999999999999999E-2</v>
      </c>
      <c r="AU9" s="18">
        <v>0</v>
      </c>
      <c r="AV9" s="18">
        <v>0.23400000000000001</v>
      </c>
      <c r="AW9" s="18">
        <v>0.14899999999999999</v>
      </c>
      <c r="AX9" s="18">
        <v>0.20899999999999999</v>
      </c>
      <c r="AY9" s="18">
        <v>3.3000000000000002E-2</v>
      </c>
    </row>
    <row r="10" spans="1:51" x14ac:dyDescent="0.25">
      <c r="A10" s="8">
        <v>6</v>
      </c>
      <c r="B10" s="8">
        <v>2.5</v>
      </c>
      <c r="C10" s="18">
        <v>0.154</v>
      </c>
      <c r="D10" s="18">
        <v>4.5999999999999999E-2</v>
      </c>
      <c r="E10" s="18">
        <v>6.3E-2</v>
      </c>
      <c r="F10" s="18">
        <v>0.16600000000000001</v>
      </c>
      <c r="G10" s="18">
        <v>0.14299999999999999</v>
      </c>
      <c r="H10" s="18">
        <v>5.2999999999999999E-2</v>
      </c>
      <c r="I10" s="18">
        <v>8.6999999999999994E-2</v>
      </c>
      <c r="J10" s="18">
        <v>3.3000000000000002E-2</v>
      </c>
      <c r="K10" s="18">
        <v>4.5999999999999999E-2</v>
      </c>
      <c r="L10" s="18">
        <v>5.0999999999999997E-2</v>
      </c>
      <c r="M10" s="18">
        <v>5.3999999999999999E-2</v>
      </c>
      <c r="N10" s="18">
        <v>0</v>
      </c>
      <c r="O10" s="18">
        <v>8.6999999999999994E-2</v>
      </c>
      <c r="P10" s="18">
        <v>0.30399999999999999</v>
      </c>
      <c r="Q10" s="18">
        <v>9.0999999999999998E-2</v>
      </c>
      <c r="R10" s="18">
        <v>5.5E-2</v>
      </c>
      <c r="S10" s="18">
        <v>5.5E-2</v>
      </c>
      <c r="T10" s="18">
        <v>0.22</v>
      </c>
      <c r="U10" s="18">
        <v>0.126</v>
      </c>
      <c r="V10" s="18">
        <v>0.14599999999999999</v>
      </c>
      <c r="W10" s="18">
        <v>0.05</v>
      </c>
      <c r="X10" s="18">
        <v>6.8000000000000005E-2</v>
      </c>
      <c r="Y10" s="18">
        <v>0.05</v>
      </c>
      <c r="Z10" s="18">
        <v>0.14000000000000001</v>
      </c>
      <c r="AA10" s="18">
        <v>4.9000000000000002E-2</v>
      </c>
      <c r="AB10" s="18">
        <v>9.6000000000000002E-2</v>
      </c>
      <c r="AC10" s="18">
        <v>7.8E-2</v>
      </c>
      <c r="AD10" s="18">
        <v>0.21</v>
      </c>
      <c r="AE10" s="18">
        <v>0.112</v>
      </c>
      <c r="AF10" s="18">
        <v>5.2999999999999999E-2</v>
      </c>
      <c r="AG10" s="18">
        <v>5.8999999999999997E-2</v>
      </c>
      <c r="AH10" s="18">
        <v>3.5999999999999997E-2</v>
      </c>
      <c r="AI10" s="18">
        <v>0.27200000000000002</v>
      </c>
      <c r="AJ10" s="18">
        <v>0.21299999999999999</v>
      </c>
      <c r="AK10" s="18">
        <v>0.11799999999999999</v>
      </c>
      <c r="AL10" s="18">
        <v>4.2000000000000003E-2</v>
      </c>
      <c r="AM10" s="18">
        <v>4.9000000000000002E-2</v>
      </c>
      <c r="AN10" s="18">
        <v>6.0999999999999999E-2</v>
      </c>
      <c r="AO10" s="18">
        <v>7.9000000000000001E-2</v>
      </c>
      <c r="AP10" s="18">
        <v>5.2999999999999999E-2</v>
      </c>
      <c r="AQ10" s="18">
        <v>0.05</v>
      </c>
      <c r="AR10" s="18">
        <v>5.2999999999999999E-2</v>
      </c>
      <c r="AS10" s="18">
        <v>0.16400000000000001</v>
      </c>
      <c r="AT10" s="18">
        <v>0.14299999999999999</v>
      </c>
      <c r="AU10" s="18">
        <v>0</v>
      </c>
      <c r="AV10" s="18">
        <v>0.05</v>
      </c>
      <c r="AW10" s="18">
        <v>0.246</v>
      </c>
      <c r="AX10" s="18">
        <v>0.14399999999999999</v>
      </c>
      <c r="AY10" s="18">
        <v>0.109</v>
      </c>
    </row>
    <row r="11" spans="1:51" x14ac:dyDescent="0.25">
      <c r="A11" s="8">
        <v>7</v>
      </c>
      <c r="B11" s="8">
        <v>3</v>
      </c>
      <c r="C11" s="18">
        <v>0.20399999999999999</v>
      </c>
      <c r="D11" s="18">
        <v>0.24299999999999999</v>
      </c>
      <c r="E11" s="18">
        <v>0.23599999999999999</v>
      </c>
      <c r="F11" s="18">
        <v>4.8000000000000001E-2</v>
      </c>
      <c r="G11" s="18">
        <v>4.8000000000000001E-2</v>
      </c>
      <c r="H11" s="18">
        <v>0.13200000000000001</v>
      </c>
      <c r="I11" s="18">
        <v>0.19500000000000001</v>
      </c>
      <c r="J11" s="18">
        <v>3.3000000000000002E-2</v>
      </c>
      <c r="K11" s="18">
        <v>0.19900000000000001</v>
      </c>
      <c r="L11" s="18">
        <v>0.121</v>
      </c>
      <c r="M11" s="18">
        <v>5.3999999999999999E-2</v>
      </c>
      <c r="N11" s="18">
        <v>0</v>
      </c>
      <c r="O11" s="18">
        <v>0.161</v>
      </c>
      <c r="P11" s="18">
        <v>9.4E-2</v>
      </c>
      <c r="Q11" s="18">
        <v>0.192</v>
      </c>
      <c r="R11" s="18">
        <v>0.23300000000000001</v>
      </c>
      <c r="S11" s="18">
        <v>0.19500000000000001</v>
      </c>
      <c r="T11" s="18">
        <v>0.17699999999999999</v>
      </c>
      <c r="U11" s="18">
        <v>4.8000000000000001E-2</v>
      </c>
      <c r="V11" s="18">
        <v>3.4000000000000002E-2</v>
      </c>
      <c r="W11" s="18">
        <v>0.13500000000000001</v>
      </c>
      <c r="X11" s="18">
        <v>5.2999999999999999E-2</v>
      </c>
      <c r="Y11" s="18">
        <v>0.127</v>
      </c>
      <c r="Z11" s="18">
        <v>9.5000000000000001E-2</v>
      </c>
      <c r="AA11" s="18">
        <v>0.13600000000000001</v>
      </c>
      <c r="AB11" s="18">
        <v>0</v>
      </c>
      <c r="AC11" s="18">
        <v>5.3999999999999999E-2</v>
      </c>
      <c r="AD11" s="18">
        <v>0.06</v>
      </c>
      <c r="AE11" s="18">
        <v>4.1000000000000002E-2</v>
      </c>
      <c r="AF11" s="18">
        <v>5.2999999999999999E-2</v>
      </c>
      <c r="AG11" s="18">
        <v>5.8999999999999997E-2</v>
      </c>
      <c r="AH11" s="18">
        <v>0.2</v>
      </c>
      <c r="AI11" s="18">
        <v>0.17899999999999999</v>
      </c>
      <c r="AJ11" s="18">
        <v>7.0999999999999994E-2</v>
      </c>
      <c r="AK11" s="18">
        <v>4.2999999999999997E-2</v>
      </c>
      <c r="AL11" s="18">
        <v>0.122</v>
      </c>
      <c r="AM11" s="18">
        <v>4.9000000000000002E-2</v>
      </c>
      <c r="AN11" s="18">
        <v>0.254</v>
      </c>
      <c r="AO11" s="18">
        <v>0.13800000000000001</v>
      </c>
      <c r="AP11" s="18">
        <v>5.2999999999999999E-2</v>
      </c>
      <c r="AQ11" s="18">
        <v>0.05</v>
      </c>
      <c r="AR11" s="18">
        <v>5.2999999999999999E-2</v>
      </c>
      <c r="AS11" s="18">
        <v>0.111</v>
      </c>
      <c r="AT11" s="18">
        <v>5.3999999999999999E-2</v>
      </c>
      <c r="AU11" s="18">
        <v>0</v>
      </c>
      <c r="AV11" s="18">
        <v>0.05</v>
      </c>
      <c r="AW11" s="18">
        <v>0.05</v>
      </c>
      <c r="AX11" s="18">
        <v>4.9000000000000002E-2</v>
      </c>
      <c r="AY11" s="18">
        <v>5.8000000000000003E-2</v>
      </c>
    </row>
    <row r="12" spans="1:51" x14ac:dyDescent="0.25">
      <c r="A12" s="8">
        <v>8</v>
      </c>
      <c r="B12" s="8">
        <v>3.5</v>
      </c>
      <c r="C12" s="18">
        <v>0.17799999999999999</v>
      </c>
      <c r="D12" s="18">
        <v>7.8E-2</v>
      </c>
      <c r="E12" s="18">
        <v>0.128</v>
      </c>
      <c r="F12" s="18">
        <v>6.9000000000000006E-2</v>
      </c>
      <c r="G12" s="18">
        <v>4.4999999999999998E-2</v>
      </c>
      <c r="H12" s="18">
        <v>0.183</v>
      </c>
      <c r="I12" s="18">
        <v>0.154</v>
      </c>
      <c r="J12" s="18">
        <v>0.03</v>
      </c>
      <c r="K12" s="18">
        <v>4.2999999999999997E-2</v>
      </c>
      <c r="L12" s="18">
        <v>4.8000000000000001E-2</v>
      </c>
      <c r="M12" s="18">
        <v>0.11600000000000001</v>
      </c>
      <c r="N12" s="18">
        <v>0</v>
      </c>
      <c r="O12" s="18">
        <v>3.9E-2</v>
      </c>
      <c r="P12" s="18">
        <v>0.18</v>
      </c>
      <c r="Q12" s="18">
        <v>8.2000000000000003E-2</v>
      </c>
      <c r="R12" s="18">
        <v>5.2999999999999999E-2</v>
      </c>
      <c r="S12" s="18">
        <v>5.1999999999999998E-2</v>
      </c>
      <c r="T12" s="18">
        <v>0.13100000000000001</v>
      </c>
      <c r="U12" s="18">
        <v>0.26300000000000001</v>
      </c>
      <c r="V12" s="18">
        <v>0.187</v>
      </c>
      <c r="W12" s="18">
        <v>6.2E-2</v>
      </c>
      <c r="X12" s="18">
        <v>0.14899999999999999</v>
      </c>
      <c r="Y12" s="18">
        <v>0.123</v>
      </c>
      <c r="Z12" s="18">
        <v>0.11600000000000001</v>
      </c>
      <c r="AA12" s="18">
        <v>0.19900000000000001</v>
      </c>
      <c r="AB12" s="18">
        <v>0</v>
      </c>
      <c r="AC12" s="18">
        <v>0.22600000000000001</v>
      </c>
      <c r="AD12" s="18">
        <v>0.33100000000000002</v>
      </c>
      <c r="AE12" s="18">
        <v>3.7999999999999999E-2</v>
      </c>
      <c r="AF12" s="18">
        <v>0.05</v>
      </c>
      <c r="AG12" s="18">
        <v>0.20599999999999999</v>
      </c>
      <c r="AH12" s="18">
        <v>3.3000000000000002E-2</v>
      </c>
      <c r="AI12" s="18">
        <v>0.188</v>
      </c>
      <c r="AJ12" s="18">
        <v>5.0999999999999997E-2</v>
      </c>
      <c r="AK12" s="18">
        <v>0.04</v>
      </c>
      <c r="AL12" s="18">
        <v>0.107</v>
      </c>
      <c r="AM12" s="18">
        <v>0.188</v>
      </c>
      <c r="AN12" s="18">
        <v>9.2999999999999999E-2</v>
      </c>
      <c r="AO12" s="18">
        <v>5.3999999999999999E-2</v>
      </c>
      <c r="AP12" s="18">
        <v>0.05</v>
      </c>
      <c r="AQ12" s="18">
        <v>4.7E-2</v>
      </c>
      <c r="AR12" s="18">
        <v>5.0999999999999997E-2</v>
      </c>
      <c r="AS12" s="18">
        <v>0.17399999999999999</v>
      </c>
      <c r="AT12" s="18">
        <v>9.6000000000000002E-2</v>
      </c>
      <c r="AU12" s="18">
        <v>0</v>
      </c>
      <c r="AV12" s="18">
        <v>0.125</v>
      </c>
      <c r="AW12" s="18">
        <v>8.7999999999999995E-2</v>
      </c>
      <c r="AX12" s="18">
        <v>0.17899999999999999</v>
      </c>
      <c r="AY12" s="18">
        <v>0.19</v>
      </c>
    </row>
    <row r="13" spans="1:51" x14ac:dyDescent="0.25">
      <c r="A13" s="8">
        <v>9</v>
      </c>
      <c r="B13" s="8">
        <v>4</v>
      </c>
      <c r="C13" s="18">
        <v>9.2999999999999999E-2</v>
      </c>
      <c r="D13" s="18">
        <v>3.5999999999999997E-2</v>
      </c>
      <c r="E13" s="18">
        <v>0.43</v>
      </c>
      <c r="F13" s="18">
        <v>0.105</v>
      </c>
      <c r="G13" s="18">
        <v>0</v>
      </c>
      <c r="H13" s="18">
        <v>3.0000000000000001E-3</v>
      </c>
      <c r="I13" s="18">
        <v>0.14000000000000001</v>
      </c>
      <c r="J13" s="18">
        <v>5.2999999999999999E-2</v>
      </c>
      <c r="K13" s="18">
        <v>8.6999999999999994E-2</v>
      </c>
      <c r="L13" s="18">
        <v>1E-3</v>
      </c>
      <c r="M13" s="18">
        <v>2.9000000000000001E-2</v>
      </c>
      <c r="N13" s="18">
        <v>0</v>
      </c>
      <c r="O13" s="18">
        <v>0</v>
      </c>
      <c r="P13" s="18">
        <v>0.14099999999999999</v>
      </c>
      <c r="Q13" s="18">
        <v>0.18</v>
      </c>
      <c r="R13" s="18">
        <v>0.625</v>
      </c>
      <c r="S13" s="18">
        <v>7.4999999999999997E-2</v>
      </c>
      <c r="T13" s="18">
        <v>0.2</v>
      </c>
      <c r="U13" s="18">
        <v>2.1999999999999999E-2</v>
      </c>
      <c r="V13" s="18">
        <v>8.4000000000000005E-2</v>
      </c>
      <c r="W13" s="18">
        <v>2.9999999999999997E-4</v>
      </c>
      <c r="X13" s="18">
        <v>1.0999999999999999E-2</v>
      </c>
      <c r="Y13" s="18">
        <v>2.9999999999999997E-4</v>
      </c>
      <c r="Z13" s="18">
        <v>0</v>
      </c>
      <c r="AA13" s="18">
        <v>4.2000000000000003E-2</v>
      </c>
      <c r="AB13" s="18">
        <v>0</v>
      </c>
      <c r="AC13" s="18">
        <v>0.01</v>
      </c>
      <c r="AD13" s="18">
        <v>0.01</v>
      </c>
      <c r="AE13" s="18">
        <v>4.0000000000000001E-3</v>
      </c>
      <c r="AF13" s="18">
        <v>3.0000000000000001E-3</v>
      </c>
      <c r="AG13" s="18">
        <v>2.1999999999999999E-2</v>
      </c>
      <c r="AH13" s="18">
        <v>0</v>
      </c>
      <c r="AI13" s="18">
        <v>0</v>
      </c>
      <c r="AJ13" s="18">
        <v>0.14399999999999999</v>
      </c>
      <c r="AK13" s="18">
        <v>6.8000000000000005E-2</v>
      </c>
      <c r="AL13" s="18">
        <v>4.3999999999999997E-2</v>
      </c>
      <c r="AM13" s="18">
        <v>3.1E-2</v>
      </c>
      <c r="AN13" s="18">
        <v>2.9999999999999997E-4</v>
      </c>
      <c r="AO13" s="18">
        <v>7.0000000000000001E-3</v>
      </c>
      <c r="AP13" s="18">
        <v>3.0000000000000001E-3</v>
      </c>
      <c r="AQ13" s="18">
        <v>1.2999999999999999E-2</v>
      </c>
      <c r="AR13" s="18">
        <v>2.1999999999999999E-2</v>
      </c>
      <c r="AS13" s="18">
        <v>0</v>
      </c>
      <c r="AT13" s="18">
        <v>6.0999999999999999E-2</v>
      </c>
      <c r="AU13" s="18">
        <v>0</v>
      </c>
      <c r="AV13" s="18">
        <v>0.113</v>
      </c>
      <c r="AW13" s="18">
        <v>0.154</v>
      </c>
      <c r="AX13" s="18">
        <v>0.155</v>
      </c>
      <c r="AY13" s="18">
        <v>6.8000000000000005E-2</v>
      </c>
    </row>
    <row r="14" spans="1:51" x14ac:dyDescent="0.25">
      <c r="A14" s="8">
        <v>10</v>
      </c>
      <c r="B14" s="8">
        <v>4.5</v>
      </c>
      <c r="C14" s="18">
        <v>0</v>
      </c>
      <c r="D14" s="18">
        <v>6.0000000000000001E-3</v>
      </c>
      <c r="E14" s="18">
        <v>5.5E-2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1.4999999999999999E-2</v>
      </c>
      <c r="Q14" s="18">
        <v>7.0000000000000001E-3</v>
      </c>
      <c r="R14" s="18">
        <v>0.76900000000000002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5.2999999999999999E-2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4.5999999999999999E-2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0.06</v>
      </c>
      <c r="AX14" s="18">
        <v>2.7E-2</v>
      </c>
      <c r="AY14" s="18">
        <v>9.2999999999999999E-2</v>
      </c>
    </row>
    <row r="15" spans="1:51" x14ac:dyDescent="0.25">
      <c r="A15" s="8">
        <v>11</v>
      </c>
      <c r="B15" s="8">
        <v>5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9.6000000000000002E-2</v>
      </c>
      <c r="S15" s="18">
        <v>0</v>
      </c>
      <c r="T15" s="18">
        <v>0</v>
      </c>
      <c r="U15" s="18">
        <v>0</v>
      </c>
      <c r="V15" s="18">
        <v>1.4999999999999999E-2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</row>
    <row r="16" spans="1:51" x14ac:dyDescent="0.25">
      <c r="A16" s="8">
        <v>12</v>
      </c>
      <c r="B16" s="8">
        <v>5.5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</row>
    <row r="17" spans="1:51" x14ac:dyDescent="0.25">
      <c r="A17" s="8">
        <v>13</v>
      </c>
      <c r="B17" s="8">
        <v>6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0.60599999999999998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</row>
    <row r="18" spans="1:51" x14ac:dyDescent="0.25">
      <c r="A18" s="8">
        <v>14</v>
      </c>
      <c r="B18" s="8">
        <v>6.5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</row>
    <row r="19" spans="1:51" x14ac:dyDescent="0.25">
      <c r="A19" s="8">
        <v>15</v>
      </c>
      <c r="B19" s="8">
        <v>7</v>
      </c>
      <c r="C19" s="18">
        <v>0</v>
      </c>
      <c r="D19" s="18">
        <v>0</v>
      </c>
      <c r="E19" s="18">
        <v>0</v>
      </c>
      <c r="F19" s="18">
        <v>0.33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0.46500000000000002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  <c r="AN19" s="18">
        <v>0</v>
      </c>
      <c r="AO19" s="18">
        <v>0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</row>
    <row r="20" spans="1:51" x14ac:dyDescent="0.25">
      <c r="A20" s="8">
        <v>16</v>
      </c>
      <c r="B20" s="8">
        <v>7.5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</row>
    <row r="21" spans="1:51" x14ac:dyDescent="0.25">
      <c r="A21" s="8">
        <v>17</v>
      </c>
      <c r="B21" s="8">
        <v>8</v>
      </c>
      <c r="C21" s="18">
        <v>1.244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</row>
    <row r="22" spans="1:51" x14ac:dyDescent="0.25">
      <c r="A22" s="8">
        <v>18</v>
      </c>
      <c r="B22" s="8">
        <v>8.5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</row>
    <row r="23" spans="1:51" x14ac:dyDescent="0.25">
      <c r="A23" s="8">
        <v>19</v>
      </c>
      <c r="B23" s="8">
        <v>9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0.24199999999999999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</row>
    <row r="24" spans="1:51" x14ac:dyDescent="0.25">
      <c r="A24" s="8">
        <v>20</v>
      </c>
      <c r="B24" s="8">
        <v>9.5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0.01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</row>
    <row r="25" spans="1:51" x14ac:dyDescent="0.25">
      <c r="A25" s="8">
        <v>21</v>
      </c>
      <c r="B25" s="8">
        <v>10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</row>
    <row r="26" spans="1:51" x14ac:dyDescent="0.25">
      <c r="A26" s="8">
        <v>22</v>
      </c>
      <c r="B26" s="8">
        <v>10.5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0.13700000000000001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</row>
    <row r="27" spans="1:51" x14ac:dyDescent="0.25">
      <c r="A27" s="8">
        <v>23</v>
      </c>
      <c r="B27" s="8">
        <v>11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0.14799999999999999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0.443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</row>
    <row r="28" spans="1:51" x14ac:dyDescent="0.25">
      <c r="A28" s="8">
        <v>24</v>
      </c>
      <c r="B28" s="8">
        <v>11.5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</row>
    <row r="29" spans="1:51" x14ac:dyDescent="0.25">
      <c r="A29" s="8">
        <v>25</v>
      </c>
      <c r="B29" s="8">
        <v>12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</row>
    <row r="30" spans="1:51" x14ac:dyDescent="0.25">
      <c r="A30" s="8">
        <v>26</v>
      </c>
      <c r="B30" s="8">
        <v>12.5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</row>
    <row r="31" spans="1:51" x14ac:dyDescent="0.25">
      <c r="A31" s="8">
        <v>27</v>
      </c>
      <c r="B31" s="8">
        <v>13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0.78900000000000003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</row>
    <row r="32" spans="1:51" x14ac:dyDescent="0.25">
      <c r="A32" s="8">
        <v>28</v>
      </c>
      <c r="B32" s="8">
        <v>13.5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</row>
    <row r="33" spans="1:51" x14ac:dyDescent="0.25">
      <c r="A33" s="8">
        <v>29</v>
      </c>
      <c r="B33" s="8">
        <v>14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0.3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</row>
    <row r="34" spans="1:51" x14ac:dyDescent="0.25">
      <c r="A34" s="8">
        <v>30</v>
      </c>
      <c r="B34" s="8">
        <v>14.5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0.216</v>
      </c>
      <c r="AX34" s="18">
        <v>0</v>
      </c>
      <c r="AY34" s="18">
        <v>0</v>
      </c>
    </row>
    <row r="35" spans="1:51" x14ac:dyDescent="0.25">
      <c r="A35" s="8">
        <v>31</v>
      </c>
      <c r="B35" s="8">
        <v>15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1.23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0.375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0</v>
      </c>
      <c r="AT35" s="18">
        <v>0</v>
      </c>
      <c r="AU35" s="18">
        <v>0</v>
      </c>
      <c r="AV35" s="18">
        <v>0</v>
      </c>
      <c r="AW35" s="18">
        <v>2.1019999999999999</v>
      </c>
      <c r="AX35" s="18">
        <v>0</v>
      </c>
      <c r="AY35" s="18">
        <v>0</v>
      </c>
    </row>
    <row r="36" spans="1:51" x14ac:dyDescent="0.25">
      <c r="A36" s="8">
        <v>32</v>
      </c>
      <c r="B36" s="8">
        <v>15.5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0.38100000000000001</v>
      </c>
      <c r="P36" s="18">
        <v>0</v>
      </c>
      <c r="Q36" s="18">
        <v>0</v>
      </c>
      <c r="R36" s="18">
        <v>0.14399999999999999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1.3360000000000001</v>
      </c>
      <c r="AX36" s="18">
        <v>0</v>
      </c>
      <c r="AY36" s="18">
        <v>0</v>
      </c>
    </row>
    <row r="37" spans="1:51" x14ac:dyDescent="0.25">
      <c r="A37" s="8">
        <v>33</v>
      </c>
      <c r="B37" s="8">
        <v>16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0.28799999999999998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</row>
    <row r="38" spans="1:51" x14ac:dyDescent="0.25">
      <c r="A38" s="8">
        <v>34</v>
      </c>
      <c r="B38" s="8">
        <v>16.5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1.9359999999999999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1.032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</row>
    <row r="39" spans="1:51" x14ac:dyDescent="0.25">
      <c r="A39" s="8">
        <v>35</v>
      </c>
      <c r="B39" s="8">
        <v>17</v>
      </c>
      <c r="C39" s="18">
        <v>0</v>
      </c>
      <c r="D39" s="18">
        <v>1.647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0.30499999999999999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0</v>
      </c>
      <c r="AM39" s="18">
        <v>0</v>
      </c>
      <c r="AN39" s="18">
        <v>0</v>
      </c>
      <c r="AO39" s="18">
        <v>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  <c r="AY39" s="18">
        <v>0</v>
      </c>
    </row>
    <row r="40" spans="1:51" x14ac:dyDescent="0.25">
      <c r="A40" s="8">
        <v>36</v>
      </c>
      <c r="B40" s="8">
        <v>17.5</v>
      </c>
      <c r="C40" s="18">
        <v>0</v>
      </c>
      <c r="D40" s="18">
        <v>0.88600000000000001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1.47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0.17699999999999999</v>
      </c>
      <c r="AX40" s="18">
        <v>0</v>
      </c>
      <c r="AY40" s="18">
        <v>0</v>
      </c>
    </row>
    <row r="41" spans="1:51" x14ac:dyDescent="0.25">
      <c r="A41" s="8">
        <v>37</v>
      </c>
      <c r="B41" s="8">
        <v>18</v>
      </c>
      <c r="C41" s="18">
        <v>0</v>
      </c>
      <c r="D41" s="18">
        <v>0</v>
      </c>
      <c r="E41" s="18">
        <v>0</v>
      </c>
      <c r="F41" s="18">
        <v>1.968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0.115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0.63500000000000001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1.0309999999999999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1E-3</v>
      </c>
      <c r="AX41" s="18">
        <v>0</v>
      </c>
      <c r="AY41" s="18">
        <v>0</v>
      </c>
    </row>
    <row r="42" spans="1:51" x14ac:dyDescent="0.25">
      <c r="A42" s="8">
        <v>38</v>
      </c>
      <c r="B42" s="8">
        <v>18.5</v>
      </c>
      <c r="C42" s="18">
        <v>0</v>
      </c>
      <c r="D42" s="18">
        <v>0</v>
      </c>
      <c r="E42" s="18">
        <v>0</v>
      </c>
      <c r="F42" s="18">
        <v>1.7989999999999999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1.6E-2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0.498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1.37</v>
      </c>
      <c r="AF42" s="18">
        <v>0</v>
      </c>
      <c r="AG42" s="18">
        <v>1.3009999999999999</v>
      </c>
      <c r="AH42" s="18">
        <v>0</v>
      </c>
      <c r="AI42" s="18">
        <v>0</v>
      </c>
      <c r="AJ42" s="18">
        <v>6.3E-2</v>
      </c>
      <c r="AK42" s="18">
        <v>0</v>
      </c>
      <c r="AL42" s="18">
        <v>1.343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2.5000000000000001E-2</v>
      </c>
      <c r="AX42" s="18">
        <v>1.3</v>
      </c>
      <c r="AY42" s="18">
        <v>0</v>
      </c>
    </row>
    <row r="43" spans="1:51" x14ac:dyDescent="0.25">
      <c r="A43" s="8">
        <v>39</v>
      </c>
      <c r="B43" s="8">
        <v>19</v>
      </c>
      <c r="C43" s="18">
        <v>0</v>
      </c>
      <c r="D43" s="18">
        <v>0</v>
      </c>
      <c r="E43" s="18">
        <v>0</v>
      </c>
      <c r="F43" s="18">
        <v>0</v>
      </c>
      <c r="G43" s="18">
        <v>0.19700000000000001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0.26400000000000001</v>
      </c>
      <c r="N43" s="18">
        <v>1.0999999999999999E-2</v>
      </c>
      <c r="O43" s="18">
        <v>0</v>
      </c>
      <c r="P43" s="18">
        <v>0</v>
      </c>
      <c r="Q43" s="18">
        <v>0</v>
      </c>
      <c r="R43" s="18">
        <v>0.41899999999999998</v>
      </c>
      <c r="S43" s="18">
        <v>0</v>
      </c>
      <c r="T43" s="18">
        <v>0.17599999999999999</v>
      </c>
      <c r="U43" s="18">
        <v>0</v>
      </c>
      <c r="V43" s="18">
        <v>1.0389999999999999</v>
      </c>
      <c r="W43" s="18">
        <v>0</v>
      </c>
      <c r="X43" s="18">
        <v>0.23</v>
      </c>
      <c r="Y43" s="18">
        <v>0</v>
      </c>
      <c r="Z43" s="18">
        <v>0</v>
      </c>
      <c r="AA43" s="18">
        <v>0</v>
      </c>
      <c r="AB43" s="18">
        <v>0</v>
      </c>
      <c r="AC43" s="18">
        <v>1.6E-2</v>
      </c>
      <c r="AD43" s="18">
        <v>0.28100000000000003</v>
      </c>
      <c r="AE43" s="18">
        <v>0.45500000000000002</v>
      </c>
      <c r="AF43" s="18">
        <v>0</v>
      </c>
      <c r="AG43" s="18">
        <v>0.11799999999999999</v>
      </c>
      <c r="AH43" s="18">
        <v>0</v>
      </c>
      <c r="AI43" s="18">
        <v>0.27700000000000002</v>
      </c>
      <c r="AJ43" s="18">
        <v>4.5999999999999999E-2</v>
      </c>
      <c r="AK43" s="18">
        <v>0</v>
      </c>
      <c r="AL43" s="18">
        <v>0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0.107</v>
      </c>
      <c r="AS43" s="18">
        <v>0</v>
      </c>
      <c r="AT43" s="18">
        <v>0</v>
      </c>
      <c r="AU43" s="18">
        <v>2.9000000000000001E-2</v>
      </c>
      <c r="AV43" s="18">
        <v>0</v>
      </c>
      <c r="AW43" s="18">
        <v>0.114</v>
      </c>
      <c r="AX43" s="18">
        <v>0.78</v>
      </c>
      <c r="AY43" s="18">
        <v>0.33700000000000002</v>
      </c>
    </row>
    <row r="44" spans="1:51" x14ac:dyDescent="0.25">
      <c r="A44" s="8">
        <v>40</v>
      </c>
      <c r="B44" s="8">
        <v>19.5</v>
      </c>
      <c r="C44" s="18">
        <v>0.57799999999999996</v>
      </c>
      <c r="D44" s="18">
        <v>0.10299999999999999</v>
      </c>
      <c r="E44" s="18">
        <v>0.253</v>
      </c>
      <c r="F44" s="18">
        <v>0</v>
      </c>
      <c r="G44" s="18">
        <v>0.19</v>
      </c>
      <c r="H44" s="18">
        <v>0.34</v>
      </c>
      <c r="I44" s="18">
        <v>0.42199999999999999</v>
      </c>
      <c r="J44" s="18">
        <v>0</v>
      </c>
      <c r="K44" s="18">
        <v>0.18099999999999999</v>
      </c>
      <c r="L44" s="18">
        <v>0.46</v>
      </c>
      <c r="M44" s="18">
        <v>0.36</v>
      </c>
      <c r="N44" s="18">
        <v>1.218</v>
      </c>
      <c r="O44" s="18">
        <v>0.28199999999999997</v>
      </c>
      <c r="P44" s="18">
        <v>0.32600000000000001</v>
      </c>
      <c r="Q44" s="18">
        <v>8.4000000000000005E-2</v>
      </c>
      <c r="R44" s="18">
        <v>0.79600000000000004</v>
      </c>
      <c r="S44" s="18">
        <v>0.128</v>
      </c>
      <c r="T44" s="18">
        <v>0.49199999999999999</v>
      </c>
      <c r="U44" s="18">
        <v>0.45200000000000001</v>
      </c>
      <c r="V44" s="18">
        <v>0.72099999999999997</v>
      </c>
      <c r="W44" s="18">
        <v>1.5760000000000001</v>
      </c>
      <c r="X44" s="18">
        <v>0.13300000000000001</v>
      </c>
      <c r="Y44" s="18">
        <v>0.247</v>
      </c>
      <c r="Z44" s="18">
        <v>0.435</v>
      </c>
      <c r="AA44" s="18">
        <v>2.4E-2</v>
      </c>
      <c r="AB44" s="18">
        <v>0.21099999999999999</v>
      </c>
      <c r="AC44" s="18">
        <v>0.26300000000000001</v>
      </c>
      <c r="AD44" s="18">
        <v>0.56200000000000006</v>
      </c>
      <c r="AE44" s="18">
        <v>0.17199999999999999</v>
      </c>
      <c r="AF44" s="18">
        <v>0.35799999999999998</v>
      </c>
      <c r="AG44" s="18">
        <v>0.40300000000000002</v>
      </c>
      <c r="AH44" s="18">
        <v>0.16400000000000001</v>
      </c>
      <c r="AI44" s="18">
        <v>0.81200000000000006</v>
      </c>
      <c r="AJ44" s="18">
        <v>0.42699999999999999</v>
      </c>
      <c r="AK44" s="18">
        <v>1.0309999999999999</v>
      </c>
      <c r="AL44" s="18">
        <v>2.1999999999999999E-2</v>
      </c>
      <c r="AM44" s="18">
        <v>1.2450000000000001</v>
      </c>
      <c r="AN44" s="18">
        <v>0.33100000000000002</v>
      </c>
      <c r="AO44" s="18">
        <v>0.252</v>
      </c>
      <c r="AP44" s="18">
        <v>0</v>
      </c>
      <c r="AQ44" s="18">
        <v>0</v>
      </c>
      <c r="AR44" s="18">
        <v>0.38200000000000001</v>
      </c>
      <c r="AS44" s="18">
        <v>0</v>
      </c>
      <c r="AT44" s="18">
        <v>0.374</v>
      </c>
      <c r="AU44" s="18">
        <v>0.60599999999999998</v>
      </c>
      <c r="AV44" s="18">
        <v>0</v>
      </c>
      <c r="AW44" s="18">
        <v>0.51200000000000001</v>
      </c>
      <c r="AX44" s="18">
        <v>0.14599999999999999</v>
      </c>
      <c r="AY44" s="18">
        <v>1.3859999999999999</v>
      </c>
    </row>
    <row r="45" spans="1:51" x14ac:dyDescent="0.25">
      <c r="A45" s="8">
        <v>41</v>
      </c>
      <c r="B45" s="8">
        <v>20</v>
      </c>
      <c r="C45" s="18">
        <v>0.76400000000000001</v>
      </c>
      <c r="D45" s="18">
        <v>0.224</v>
      </c>
      <c r="E45" s="18">
        <v>0.42199999999999999</v>
      </c>
      <c r="F45" s="18">
        <v>3.3000000000000002E-2</v>
      </c>
      <c r="G45" s="18">
        <v>0.17899999999999999</v>
      </c>
      <c r="H45" s="18">
        <v>0.40400000000000003</v>
      </c>
      <c r="I45" s="18">
        <v>0.57099999999999995</v>
      </c>
      <c r="J45" s="18">
        <v>4.4999999999999998E-2</v>
      </c>
      <c r="K45" s="18">
        <v>0.12</v>
      </c>
      <c r="L45" s="18">
        <v>0.41599999999999998</v>
      </c>
      <c r="M45" s="18">
        <v>0.46200000000000002</v>
      </c>
      <c r="N45" s="18">
        <v>0.314</v>
      </c>
      <c r="O45" s="18">
        <v>0.34699999999999998</v>
      </c>
      <c r="P45" s="18">
        <v>0.50900000000000001</v>
      </c>
      <c r="Q45" s="18">
        <v>0.1</v>
      </c>
      <c r="R45" s="18">
        <v>0.91400000000000003</v>
      </c>
      <c r="S45" s="18">
        <v>0.33</v>
      </c>
      <c r="T45" s="18">
        <v>0.56299999999999994</v>
      </c>
      <c r="U45" s="18">
        <v>0.30599999999999999</v>
      </c>
      <c r="V45" s="18">
        <v>0.67300000000000004</v>
      </c>
      <c r="W45" s="18">
        <v>0.27100000000000002</v>
      </c>
      <c r="X45" s="18">
        <v>3.3000000000000002E-2</v>
      </c>
      <c r="Y45" s="18">
        <v>1.19</v>
      </c>
      <c r="Z45" s="18">
        <v>0.55900000000000005</v>
      </c>
      <c r="AA45" s="18">
        <v>0.25800000000000001</v>
      </c>
      <c r="AB45" s="18">
        <v>0.48599999999999999</v>
      </c>
      <c r="AC45" s="18">
        <v>0.38200000000000001</v>
      </c>
      <c r="AD45" s="18">
        <v>1.331</v>
      </c>
      <c r="AE45" s="18">
        <v>0.36499999999999999</v>
      </c>
      <c r="AF45" s="18">
        <v>0.27800000000000002</v>
      </c>
      <c r="AG45" s="18">
        <v>1.659</v>
      </c>
      <c r="AH45" s="18">
        <v>0.38100000000000001</v>
      </c>
      <c r="AI45" s="18">
        <v>0.50800000000000001</v>
      </c>
      <c r="AJ45" s="18">
        <v>2.9000000000000001E-2</v>
      </c>
      <c r="AK45" s="18">
        <v>0.215</v>
      </c>
      <c r="AL45" s="18">
        <v>0.21299999999999999</v>
      </c>
      <c r="AM45" s="18">
        <v>1.248</v>
      </c>
      <c r="AN45" s="18">
        <v>0.312</v>
      </c>
      <c r="AO45" s="18">
        <v>0.39400000000000002</v>
      </c>
      <c r="AP45" s="18">
        <v>3.3000000000000002E-2</v>
      </c>
      <c r="AQ45" s="18">
        <v>3.5000000000000003E-2</v>
      </c>
      <c r="AR45" s="18">
        <v>0.44700000000000001</v>
      </c>
      <c r="AS45" s="18">
        <v>0.17899999999999999</v>
      </c>
      <c r="AT45" s="18">
        <v>0.30299999999999999</v>
      </c>
      <c r="AU45" s="18">
        <v>0.91400000000000003</v>
      </c>
      <c r="AV45" s="18">
        <v>0.17799999999999999</v>
      </c>
      <c r="AW45" s="18">
        <v>0.316</v>
      </c>
      <c r="AX45" s="18">
        <v>0.33100000000000002</v>
      </c>
      <c r="AY45" s="18">
        <v>1.333</v>
      </c>
    </row>
    <row r="46" spans="1:51" x14ac:dyDescent="0.25">
      <c r="A46" s="8">
        <v>42</v>
      </c>
      <c r="B46" s="8">
        <v>20.5</v>
      </c>
      <c r="C46" s="18">
        <v>0.63700000000000001</v>
      </c>
      <c r="D46" s="18">
        <v>0.40100000000000002</v>
      </c>
      <c r="E46" s="18">
        <v>0.51700000000000002</v>
      </c>
      <c r="F46" s="18">
        <v>0.23300000000000001</v>
      </c>
      <c r="G46" s="18">
        <v>0.94199999999999995</v>
      </c>
      <c r="H46" s="18">
        <v>0.59399999999999997</v>
      </c>
      <c r="I46" s="18">
        <v>0.76100000000000001</v>
      </c>
      <c r="J46" s="18">
        <v>0.10100000000000001</v>
      </c>
      <c r="K46" s="18">
        <v>0.224</v>
      </c>
      <c r="L46" s="18">
        <v>0.68500000000000005</v>
      </c>
      <c r="M46" s="18">
        <v>0.91</v>
      </c>
      <c r="N46" s="18">
        <v>0.45300000000000001</v>
      </c>
      <c r="O46" s="18">
        <v>0.36299999999999999</v>
      </c>
      <c r="P46" s="18">
        <v>0.42099999999999999</v>
      </c>
      <c r="Q46" s="18">
        <v>0.36899999999999999</v>
      </c>
      <c r="R46" s="18">
        <v>2.4159999999999999</v>
      </c>
      <c r="S46" s="18">
        <v>0.52800000000000002</v>
      </c>
      <c r="T46" s="18">
        <v>0.80500000000000005</v>
      </c>
      <c r="U46" s="18">
        <v>4.8000000000000001E-2</v>
      </c>
      <c r="V46" s="18">
        <v>0.77700000000000002</v>
      </c>
      <c r="W46" s="18">
        <v>0.307</v>
      </c>
      <c r="X46" s="18">
        <v>5.2999999999999999E-2</v>
      </c>
      <c r="Y46" s="18">
        <v>0.23499999999999999</v>
      </c>
      <c r="Z46" s="18">
        <v>0.50600000000000001</v>
      </c>
      <c r="AA46" s="18">
        <v>4.9000000000000002E-2</v>
      </c>
      <c r="AB46" s="18">
        <v>0.43</v>
      </c>
      <c r="AC46" s="18">
        <v>0.58199999999999996</v>
      </c>
      <c r="AD46" s="18">
        <v>1.3380000000000001</v>
      </c>
      <c r="AE46" s="18">
        <v>0.37</v>
      </c>
      <c r="AF46" s="18">
        <v>0.1</v>
      </c>
      <c r="AG46" s="18">
        <v>0.53700000000000003</v>
      </c>
      <c r="AH46" s="18">
        <v>0.39500000000000002</v>
      </c>
      <c r="AI46" s="18">
        <v>0.96599999999999997</v>
      </c>
      <c r="AJ46" s="18">
        <v>0.13600000000000001</v>
      </c>
      <c r="AK46" s="18">
        <v>0.27400000000000002</v>
      </c>
      <c r="AL46" s="18">
        <v>0.56000000000000005</v>
      </c>
      <c r="AM46" s="18">
        <v>0.46100000000000002</v>
      </c>
      <c r="AN46" s="18">
        <v>0.39600000000000002</v>
      </c>
      <c r="AO46" s="18">
        <v>0.56999999999999995</v>
      </c>
      <c r="AP46" s="18">
        <v>5.2999999999999999E-2</v>
      </c>
      <c r="AQ46" s="18">
        <v>0.25700000000000001</v>
      </c>
      <c r="AR46" s="18">
        <v>0.442</v>
      </c>
      <c r="AS46" s="18">
        <v>6.8000000000000005E-2</v>
      </c>
      <c r="AT46" s="18">
        <v>0.435</v>
      </c>
      <c r="AU46" s="18">
        <v>0.625</v>
      </c>
      <c r="AV46" s="18">
        <v>0.05</v>
      </c>
      <c r="AW46" s="18">
        <v>0.31900000000000001</v>
      </c>
      <c r="AX46" s="18">
        <v>0.38900000000000001</v>
      </c>
      <c r="AY46" s="18">
        <v>0.41499999999999998</v>
      </c>
    </row>
    <row r="47" spans="1:51" x14ac:dyDescent="0.25">
      <c r="A47" s="8">
        <v>43</v>
      </c>
      <c r="B47" s="8">
        <v>21</v>
      </c>
      <c r="C47" s="18">
        <v>0.96899999999999997</v>
      </c>
      <c r="D47" s="18">
        <v>0.52900000000000003</v>
      </c>
      <c r="E47" s="18">
        <v>0.57599999999999996</v>
      </c>
      <c r="F47" s="18">
        <v>0.127</v>
      </c>
      <c r="G47" s="18">
        <v>1.1319999999999999</v>
      </c>
      <c r="H47" s="18">
        <v>0.442</v>
      </c>
      <c r="I47" s="18">
        <v>0.63900000000000001</v>
      </c>
      <c r="J47" s="18">
        <v>3.3000000000000002E-2</v>
      </c>
      <c r="K47" s="18">
        <v>0.374</v>
      </c>
      <c r="L47" s="18">
        <v>0.70199999999999996</v>
      </c>
      <c r="M47" s="18">
        <v>1.2030000000000001</v>
      </c>
      <c r="N47" s="18">
        <v>0.55200000000000005</v>
      </c>
      <c r="O47" s="18">
        <v>0.16200000000000001</v>
      </c>
      <c r="P47" s="18">
        <v>0.45400000000000001</v>
      </c>
      <c r="Q47" s="18">
        <v>0.21299999999999999</v>
      </c>
      <c r="R47" s="18">
        <v>2.2719999999999998</v>
      </c>
      <c r="S47" s="18">
        <v>0.36699999999999999</v>
      </c>
      <c r="T47" s="18">
        <v>0.622</v>
      </c>
      <c r="U47" s="18">
        <v>0.28399999999999997</v>
      </c>
      <c r="V47" s="18">
        <v>0.98</v>
      </c>
      <c r="W47" s="18">
        <v>0.28199999999999997</v>
      </c>
      <c r="X47" s="18">
        <v>0.161</v>
      </c>
      <c r="Y47" s="18">
        <v>0.70199999999999996</v>
      </c>
      <c r="Z47" s="18">
        <v>0.13200000000000001</v>
      </c>
      <c r="AA47" s="18">
        <v>0.312</v>
      </c>
      <c r="AB47" s="18">
        <v>0.48799999999999999</v>
      </c>
      <c r="AC47" s="18">
        <v>0.64</v>
      </c>
      <c r="AD47" s="18">
        <v>0.79700000000000004</v>
      </c>
      <c r="AE47" s="18">
        <v>0.32200000000000001</v>
      </c>
      <c r="AF47" s="18">
        <v>5.2999999999999999E-2</v>
      </c>
      <c r="AG47" s="18">
        <v>0.66100000000000003</v>
      </c>
      <c r="AH47" s="18">
        <v>0.57099999999999995</v>
      </c>
      <c r="AI47" s="18">
        <v>0.81299999999999994</v>
      </c>
      <c r="AJ47" s="18">
        <v>0.41399999999999998</v>
      </c>
      <c r="AK47" s="18">
        <v>0.39300000000000002</v>
      </c>
      <c r="AL47" s="18">
        <v>0.42799999999999999</v>
      </c>
      <c r="AM47" s="18">
        <v>0.71899999999999997</v>
      </c>
      <c r="AN47" s="18">
        <v>0.48599999999999999</v>
      </c>
      <c r="AO47" s="18">
        <v>0.61399999999999999</v>
      </c>
      <c r="AP47" s="18">
        <v>5.2999999999999999E-2</v>
      </c>
      <c r="AQ47" s="18">
        <v>0.27500000000000002</v>
      </c>
      <c r="AR47" s="18">
        <v>0.73699999999999999</v>
      </c>
      <c r="AS47" s="18">
        <v>0.33800000000000002</v>
      </c>
      <c r="AT47" s="18">
        <v>0.72899999999999998</v>
      </c>
      <c r="AU47" s="18">
        <v>0.495</v>
      </c>
      <c r="AV47" s="18">
        <v>0.05</v>
      </c>
      <c r="AW47" s="18">
        <v>0.49299999999999999</v>
      </c>
      <c r="AX47" s="18">
        <v>0.57599999999999996</v>
      </c>
      <c r="AY47" s="18">
        <v>0.20300000000000001</v>
      </c>
    </row>
    <row r="48" spans="1:51" x14ac:dyDescent="0.25">
      <c r="A48" s="8">
        <v>44</v>
      </c>
      <c r="B48" s="8">
        <v>21.5</v>
      </c>
      <c r="C48" s="18">
        <v>0.69499999999999995</v>
      </c>
      <c r="D48" s="18">
        <v>0.33600000000000002</v>
      </c>
      <c r="E48" s="18">
        <v>0.35499999999999998</v>
      </c>
      <c r="F48" s="18">
        <v>0.40600000000000003</v>
      </c>
      <c r="G48" s="18">
        <v>0.48</v>
      </c>
      <c r="H48" s="18">
        <v>1.42</v>
      </c>
      <c r="I48" s="18">
        <v>0.77600000000000002</v>
      </c>
      <c r="J48" s="18">
        <v>4.1000000000000002E-2</v>
      </c>
      <c r="K48" s="18">
        <v>0.25800000000000001</v>
      </c>
      <c r="L48" s="18">
        <v>0.62</v>
      </c>
      <c r="M48" s="18">
        <v>0.433</v>
      </c>
      <c r="N48" s="18">
        <v>0.54900000000000004</v>
      </c>
      <c r="O48" s="18">
        <v>0.40400000000000003</v>
      </c>
      <c r="P48" s="18">
        <v>0.41899999999999998</v>
      </c>
      <c r="Q48" s="18">
        <v>0.36899999999999999</v>
      </c>
      <c r="R48" s="18">
        <v>0.33800000000000002</v>
      </c>
      <c r="S48" s="18">
        <v>0.39700000000000002</v>
      </c>
      <c r="T48" s="18">
        <v>0.80200000000000005</v>
      </c>
      <c r="U48" s="18">
        <v>4.8000000000000001E-2</v>
      </c>
      <c r="V48" s="18">
        <v>0.70099999999999996</v>
      </c>
      <c r="W48" s="18">
        <v>0.37</v>
      </c>
      <c r="X48" s="18">
        <v>5.2999999999999999E-2</v>
      </c>
      <c r="Y48" s="18">
        <v>0.443</v>
      </c>
      <c r="Z48" s="18">
        <v>7.5999999999999998E-2</v>
      </c>
      <c r="AA48" s="18">
        <v>4.9000000000000002E-2</v>
      </c>
      <c r="AB48" s="18">
        <v>0.32100000000000001</v>
      </c>
      <c r="AC48" s="18">
        <v>0.54</v>
      </c>
      <c r="AD48" s="18">
        <v>1.002</v>
      </c>
      <c r="AE48" s="18">
        <v>0.36099999999999999</v>
      </c>
      <c r="AF48" s="18">
        <v>5.2999999999999999E-2</v>
      </c>
      <c r="AG48" s="18">
        <v>0.99099999999999999</v>
      </c>
      <c r="AH48" s="18">
        <v>0.59299999999999997</v>
      </c>
      <c r="AI48" s="18">
        <v>0.72199999999999998</v>
      </c>
      <c r="AJ48" s="18">
        <v>0.30199999999999999</v>
      </c>
      <c r="AK48" s="18">
        <v>0.41699999999999998</v>
      </c>
      <c r="AL48" s="18">
        <v>0.50800000000000001</v>
      </c>
      <c r="AM48" s="18">
        <v>0.5</v>
      </c>
      <c r="AN48" s="18">
        <v>0.495</v>
      </c>
      <c r="AO48" s="18">
        <v>0.52900000000000003</v>
      </c>
      <c r="AP48" s="18">
        <v>5.2999999999999999E-2</v>
      </c>
      <c r="AQ48" s="18">
        <v>0.35899999999999999</v>
      </c>
      <c r="AR48" s="18">
        <v>0.34499999999999997</v>
      </c>
      <c r="AS48" s="18">
        <v>0.26100000000000001</v>
      </c>
      <c r="AT48" s="18">
        <v>0.56200000000000006</v>
      </c>
      <c r="AU48" s="18">
        <v>0.47099999999999997</v>
      </c>
      <c r="AV48" s="18">
        <v>0.377</v>
      </c>
      <c r="AW48" s="18">
        <v>0.4</v>
      </c>
      <c r="AX48" s="18">
        <v>0.76800000000000002</v>
      </c>
      <c r="AY48" s="18">
        <v>0.40200000000000002</v>
      </c>
    </row>
    <row r="49" spans="1:51" x14ac:dyDescent="0.25">
      <c r="A49" s="8">
        <v>45</v>
      </c>
      <c r="B49" s="8">
        <v>22</v>
      </c>
      <c r="C49" s="18">
        <v>1.1140000000000001</v>
      </c>
      <c r="D49" s="18">
        <v>0.32</v>
      </c>
      <c r="E49" s="18">
        <v>0.27600000000000002</v>
      </c>
      <c r="F49" s="18">
        <v>0.38700000000000001</v>
      </c>
      <c r="G49" s="18">
        <v>0.46500000000000002</v>
      </c>
      <c r="H49" s="18">
        <v>1.679</v>
      </c>
      <c r="I49" s="18">
        <v>0.63700000000000001</v>
      </c>
      <c r="J49" s="18">
        <v>9.7000000000000003E-2</v>
      </c>
      <c r="K49" s="18">
        <v>0.378</v>
      </c>
      <c r="L49" s="18">
        <v>0.745</v>
      </c>
      <c r="M49" s="18">
        <v>0.442</v>
      </c>
      <c r="N49" s="18">
        <v>0.36499999999999999</v>
      </c>
      <c r="O49" s="18">
        <v>0.36899999999999999</v>
      </c>
      <c r="P49" s="18">
        <v>0.438</v>
      </c>
      <c r="Q49" s="18">
        <v>5.8999999999999997E-2</v>
      </c>
      <c r="R49" s="18">
        <v>0</v>
      </c>
      <c r="S49" s="18">
        <v>1.034</v>
      </c>
      <c r="T49" s="18">
        <v>0.9</v>
      </c>
      <c r="U49" s="18">
        <v>9.6000000000000002E-2</v>
      </c>
      <c r="V49" s="18">
        <v>0.39300000000000002</v>
      </c>
      <c r="W49" s="18">
        <v>0.308</v>
      </c>
      <c r="X49" s="18">
        <v>0.161</v>
      </c>
      <c r="Y49" s="18">
        <v>0.32100000000000001</v>
      </c>
      <c r="Z49" s="18">
        <v>0.29599999999999999</v>
      </c>
      <c r="AA49" s="18">
        <v>0.17699999999999999</v>
      </c>
      <c r="AB49" s="18">
        <v>0.63200000000000001</v>
      </c>
      <c r="AC49" s="18">
        <v>0.61299999999999999</v>
      </c>
      <c r="AD49" s="18">
        <v>1.3009999999999999</v>
      </c>
      <c r="AE49" s="18">
        <v>0.19400000000000001</v>
      </c>
      <c r="AF49" s="18">
        <v>0.48599999999999999</v>
      </c>
      <c r="AG49" s="18">
        <v>1.502</v>
      </c>
      <c r="AH49" s="18">
        <v>0.42199999999999999</v>
      </c>
      <c r="AI49" s="18">
        <v>0.85899999999999999</v>
      </c>
      <c r="AJ49" s="18">
        <v>0.57499999999999996</v>
      </c>
      <c r="AK49" s="18">
        <v>0.34699999999999998</v>
      </c>
      <c r="AL49" s="18">
        <v>0.69399999999999995</v>
      </c>
      <c r="AM49" s="18">
        <v>0.46600000000000003</v>
      </c>
      <c r="AN49" s="18">
        <v>0.623</v>
      </c>
      <c r="AO49" s="18">
        <v>0.71399999999999997</v>
      </c>
      <c r="AP49" s="18">
        <v>5.2999999999999999E-2</v>
      </c>
      <c r="AQ49" s="18">
        <v>0.05</v>
      </c>
      <c r="AR49" s="18">
        <v>0.29799999999999999</v>
      </c>
      <c r="AS49" s="18">
        <v>0.47399999999999998</v>
      </c>
      <c r="AT49" s="18">
        <v>0.67200000000000004</v>
      </c>
      <c r="AU49" s="18">
        <v>1.1719999999999999</v>
      </c>
      <c r="AV49" s="18">
        <v>0.23</v>
      </c>
      <c r="AW49" s="18">
        <v>0.42499999999999999</v>
      </c>
      <c r="AX49" s="18">
        <v>1.7010000000000001</v>
      </c>
      <c r="AY49" s="18">
        <v>0.26700000000000002</v>
      </c>
    </row>
    <row r="50" spans="1:51" x14ac:dyDescent="0.25">
      <c r="A50" s="8">
        <v>46</v>
      </c>
      <c r="B50" s="8">
        <v>22.5</v>
      </c>
      <c r="C50" s="18">
        <v>0.98</v>
      </c>
      <c r="D50" s="18">
        <v>0.66600000000000004</v>
      </c>
      <c r="E50" s="18">
        <v>7.3999999999999996E-2</v>
      </c>
      <c r="F50" s="18">
        <v>0.49</v>
      </c>
      <c r="G50" s="18">
        <v>0.35</v>
      </c>
      <c r="H50" s="18">
        <v>0.41</v>
      </c>
      <c r="I50" s="18">
        <v>0.67700000000000005</v>
      </c>
      <c r="J50" s="18">
        <v>3.3000000000000002E-2</v>
      </c>
      <c r="K50" s="18">
        <v>0.21099999999999999</v>
      </c>
      <c r="L50" s="18">
        <v>0.46899999999999997</v>
      </c>
      <c r="M50" s="18">
        <v>0.34799999999999998</v>
      </c>
      <c r="N50" s="18">
        <v>0.36099999999999999</v>
      </c>
      <c r="O50" s="18">
        <v>0.30099999999999999</v>
      </c>
      <c r="P50" s="18">
        <v>0.27500000000000002</v>
      </c>
      <c r="Q50" s="18">
        <v>0.182</v>
      </c>
      <c r="R50" s="18">
        <v>0</v>
      </c>
      <c r="S50" s="18">
        <v>0.30499999999999999</v>
      </c>
      <c r="T50" s="18">
        <v>0.76200000000000001</v>
      </c>
      <c r="U50" s="18">
        <v>0.23599999999999999</v>
      </c>
      <c r="V50" s="18">
        <v>0</v>
      </c>
      <c r="W50" s="18">
        <v>0.94899999999999995</v>
      </c>
      <c r="X50" s="18">
        <v>5.2999999999999999E-2</v>
      </c>
      <c r="Y50" s="18">
        <v>0.19900000000000001</v>
      </c>
      <c r="Z50" s="18">
        <v>0.34200000000000003</v>
      </c>
      <c r="AA50" s="18">
        <v>9.7000000000000003E-2</v>
      </c>
      <c r="AB50" s="18">
        <v>0.45</v>
      </c>
      <c r="AC50" s="18">
        <v>0.39700000000000002</v>
      </c>
      <c r="AD50" s="18">
        <v>0.56100000000000005</v>
      </c>
      <c r="AE50" s="18">
        <v>4.1000000000000002E-2</v>
      </c>
      <c r="AF50" s="18">
        <v>0.45200000000000001</v>
      </c>
      <c r="AG50" s="18">
        <v>0</v>
      </c>
      <c r="AH50" s="18">
        <v>0.438</v>
      </c>
      <c r="AI50" s="18">
        <v>0.92100000000000004</v>
      </c>
      <c r="AJ50" s="18">
        <v>0.67600000000000005</v>
      </c>
      <c r="AK50" s="18">
        <v>0.11799999999999999</v>
      </c>
      <c r="AL50" s="18">
        <v>1.359</v>
      </c>
      <c r="AM50" s="18">
        <v>0.30099999999999999</v>
      </c>
      <c r="AN50" s="18">
        <v>0.876</v>
      </c>
      <c r="AO50" s="18">
        <v>0.73699999999999999</v>
      </c>
      <c r="AP50" s="18">
        <v>5.2999999999999999E-2</v>
      </c>
      <c r="AQ50" s="18">
        <v>0.05</v>
      </c>
      <c r="AR50" s="18">
        <v>0.34699999999999998</v>
      </c>
      <c r="AS50" s="18">
        <v>0.75</v>
      </c>
      <c r="AT50" s="18">
        <v>0.59099999999999997</v>
      </c>
      <c r="AU50" s="18">
        <v>0.48399999999999999</v>
      </c>
      <c r="AV50" s="18">
        <v>0.25600000000000001</v>
      </c>
      <c r="AW50" s="18">
        <v>0.42699999999999999</v>
      </c>
      <c r="AX50" s="18">
        <v>0.79300000000000004</v>
      </c>
      <c r="AY50" s="18">
        <v>0.54</v>
      </c>
    </row>
    <row r="51" spans="1:51" x14ac:dyDescent="0.25">
      <c r="A51" s="8">
        <v>47</v>
      </c>
      <c r="B51" s="8">
        <v>23</v>
      </c>
      <c r="C51" s="18">
        <v>0.18</v>
      </c>
      <c r="D51" s="18">
        <v>4.5999999999999999E-2</v>
      </c>
      <c r="E51" s="18">
        <v>0.16300000000000001</v>
      </c>
      <c r="F51" s="18">
        <v>0.25</v>
      </c>
      <c r="G51" s="18">
        <v>4.8000000000000001E-2</v>
      </c>
      <c r="H51" s="18">
        <v>0.24099999999999999</v>
      </c>
      <c r="I51" s="18">
        <v>0.66700000000000004</v>
      </c>
      <c r="J51" s="18">
        <v>0.105</v>
      </c>
      <c r="K51" s="18">
        <v>1.244</v>
      </c>
      <c r="L51" s="18">
        <v>0.56699999999999995</v>
      </c>
      <c r="M51" s="18">
        <v>8.2000000000000003E-2</v>
      </c>
      <c r="N51" s="18">
        <v>0.10299999999999999</v>
      </c>
      <c r="O51" s="18">
        <v>0.45800000000000002</v>
      </c>
      <c r="P51" s="18">
        <v>0.20100000000000001</v>
      </c>
      <c r="Q51" s="18">
        <v>1.538</v>
      </c>
      <c r="R51" s="18">
        <v>0</v>
      </c>
      <c r="S51" s="18">
        <v>0.50600000000000001</v>
      </c>
      <c r="T51" s="18">
        <v>0.57999999999999996</v>
      </c>
      <c r="U51" s="18">
        <v>4.8000000000000001E-2</v>
      </c>
      <c r="V51" s="18">
        <v>0</v>
      </c>
      <c r="W51" s="18">
        <v>0.81699999999999995</v>
      </c>
      <c r="X51" s="18">
        <v>6.0999999999999999E-2</v>
      </c>
      <c r="Y51" s="18">
        <v>0.222</v>
      </c>
      <c r="Z51" s="18">
        <v>0.39400000000000002</v>
      </c>
      <c r="AA51" s="18">
        <v>8.1000000000000003E-2</v>
      </c>
      <c r="AB51" s="18">
        <v>0.46300000000000002</v>
      </c>
      <c r="AC51" s="18">
        <v>0.42899999999999999</v>
      </c>
      <c r="AD51" s="18">
        <v>0</v>
      </c>
      <c r="AE51" s="18">
        <v>0.112</v>
      </c>
      <c r="AF51" s="18">
        <v>0.71299999999999997</v>
      </c>
      <c r="AG51" s="18">
        <v>0</v>
      </c>
      <c r="AH51" s="18">
        <v>0.30599999999999999</v>
      </c>
      <c r="AI51" s="18">
        <v>0.82199999999999995</v>
      </c>
      <c r="AJ51" s="18">
        <v>0.441</v>
      </c>
      <c r="AK51" s="18">
        <v>4.2999999999999997E-2</v>
      </c>
      <c r="AL51" s="18">
        <v>0.32100000000000001</v>
      </c>
      <c r="AM51" s="18">
        <v>0.30399999999999999</v>
      </c>
      <c r="AN51" s="18">
        <v>0.55200000000000005</v>
      </c>
      <c r="AO51" s="18">
        <v>0.70399999999999996</v>
      </c>
      <c r="AP51" s="18">
        <v>5.2999999999999999E-2</v>
      </c>
      <c r="AQ51" s="18">
        <v>0.05</v>
      </c>
      <c r="AR51" s="18">
        <v>5.2999999999999999E-2</v>
      </c>
      <c r="AS51" s="18">
        <v>0.41</v>
      </c>
      <c r="AT51" s="18">
        <v>0.50700000000000001</v>
      </c>
      <c r="AU51" s="18">
        <v>0.76300000000000001</v>
      </c>
      <c r="AV51" s="18">
        <v>0.38900000000000001</v>
      </c>
      <c r="AW51" s="18">
        <v>0.05</v>
      </c>
      <c r="AX51" s="18">
        <v>0.26300000000000001</v>
      </c>
      <c r="AY51" s="18">
        <v>0.51700000000000002</v>
      </c>
    </row>
    <row r="52" spans="1:51" x14ac:dyDescent="0.25">
      <c r="A52" s="8">
        <v>48</v>
      </c>
      <c r="B52" s="8">
        <v>23.5</v>
      </c>
      <c r="C52" s="18">
        <v>0.93799999999999994</v>
      </c>
      <c r="D52" s="18">
        <v>0.17599999999999999</v>
      </c>
      <c r="E52" s="18">
        <v>0.17599999999999999</v>
      </c>
      <c r="F52" s="18">
        <v>4.8000000000000001E-2</v>
      </c>
      <c r="G52" s="18">
        <v>0.16700000000000001</v>
      </c>
      <c r="H52" s="18">
        <v>0.17100000000000001</v>
      </c>
      <c r="I52" s="18">
        <v>0.13400000000000001</v>
      </c>
      <c r="J52" s="18">
        <v>3.3000000000000002E-2</v>
      </c>
      <c r="K52" s="18">
        <v>0.224</v>
      </c>
      <c r="L52" s="18">
        <v>0.182</v>
      </c>
      <c r="M52" s="18">
        <v>8.8999999999999996E-2</v>
      </c>
      <c r="N52" s="18">
        <v>7.3999999999999996E-2</v>
      </c>
      <c r="O52" s="18">
        <v>0.109</v>
      </c>
      <c r="P52" s="18">
        <v>0.14899999999999999</v>
      </c>
      <c r="Q52" s="18">
        <v>1.405</v>
      </c>
      <c r="R52" s="18">
        <v>0</v>
      </c>
      <c r="S52" s="18">
        <v>0.17100000000000001</v>
      </c>
      <c r="T52" s="18">
        <v>0.99099999999999999</v>
      </c>
      <c r="U52" s="18">
        <v>0.23300000000000001</v>
      </c>
      <c r="V52" s="18">
        <v>0</v>
      </c>
      <c r="W52" s="18">
        <v>0.23899999999999999</v>
      </c>
      <c r="X52" s="18">
        <v>0.153</v>
      </c>
      <c r="Y52" s="18">
        <v>0.57199999999999995</v>
      </c>
      <c r="Z52" s="18">
        <v>0.17899999999999999</v>
      </c>
      <c r="AA52" s="18">
        <v>0.193</v>
      </c>
      <c r="AB52" s="18">
        <v>0.28299999999999997</v>
      </c>
      <c r="AC52" s="18">
        <v>9.4E-2</v>
      </c>
      <c r="AD52" s="18">
        <v>0</v>
      </c>
      <c r="AE52" s="18">
        <v>4.1000000000000002E-2</v>
      </c>
      <c r="AF52" s="18">
        <v>0.161</v>
      </c>
      <c r="AG52" s="18">
        <v>0</v>
      </c>
      <c r="AH52" s="18">
        <v>0.30499999999999999</v>
      </c>
      <c r="AI52" s="18">
        <v>0.23599999999999999</v>
      </c>
      <c r="AJ52" s="18">
        <v>0.47299999999999998</v>
      </c>
      <c r="AK52" s="18">
        <v>4.2999999999999997E-2</v>
      </c>
      <c r="AL52" s="18">
        <v>0.16900000000000001</v>
      </c>
      <c r="AM52" s="18">
        <v>0.48299999999999998</v>
      </c>
      <c r="AN52" s="18">
        <v>0.79400000000000004</v>
      </c>
      <c r="AO52" s="18">
        <v>0.123</v>
      </c>
      <c r="AP52" s="18">
        <v>5.2999999999999999E-2</v>
      </c>
      <c r="AQ52" s="18">
        <v>0.05</v>
      </c>
      <c r="AR52" s="18">
        <v>6.3E-2</v>
      </c>
      <c r="AS52" s="18">
        <v>0.54900000000000004</v>
      </c>
      <c r="AT52" s="18">
        <v>0.64600000000000002</v>
      </c>
      <c r="AU52" s="18">
        <v>0.16200000000000001</v>
      </c>
      <c r="AV52" s="18">
        <v>0.45300000000000001</v>
      </c>
      <c r="AW52" s="18">
        <v>0.05</v>
      </c>
      <c r="AX52" s="18">
        <v>5.6000000000000001E-2</v>
      </c>
      <c r="AY52" s="18">
        <v>0.16800000000000001</v>
      </c>
    </row>
  </sheetData>
  <mergeCells count="1"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6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5703125" customWidth="1"/>
    <col min="2" max="2" width="9.140625" customWidth="1"/>
    <col min="3" max="3" width="9" customWidth="1"/>
    <col min="4" max="6" width="11" customWidth="1"/>
    <col min="7" max="7" width="13" customWidth="1"/>
    <col min="8" max="13" width="11" customWidth="1"/>
  </cols>
  <sheetData>
    <row r="1" spans="1:13" ht="19.5" x14ac:dyDescent="0.3">
      <c r="A1" s="1" t="s">
        <v>304</v>
      </c>
    </row>
    <row r="2" spans="1:13" x14ac:dyDescent="0.25">
      <c r="A2" s="29" t="s">
        <v>305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4" spans="1:13" ht="30" customHeight="1" x14ac:dyDescent="0.25">
      <c r="A4" s="5" t="s">
        <v>251</v>
      </c>
      <c r="B4" s="5" t="s">
        <v>306</v>
      </c>
      <c r="C4" s="5" t="s">
        <v>307</v>
      </c>
      <c r="D4" s="5" t="s">
        <v>308</v>
      </c>
      <c r="E4" s="5" t="s">
        <v>309</v>
      </c>
      <c r="F4" s="5" t="s">
        <v>310</v>
      </c>
      <c r="G4" s="5" t="s">
        <v>311</v>
      </c>
      <c r="H4" s="5" t="s">
        <v>312</v>
      </c>
      <c r="I4" s="5" t="s">
        <v>313</v>
      </c>
      <c r="J4" s="5" t="s">
        <v>314</v>
      </c>
      <c r="K4" s="5" t="s">
        <v>315</v>
      </c>
      <c r="L4" s="5" t="s">
        <v>316</v>
      </c>
      <c r="M4" s="5" t="s">
        <v>317</v>
      </c>
    </row>
    <row r="5" spans="1:13" x14ac:dyDescent="0.25">
      <c r="A5" s="8">
        <v>1</v>
      </c>
      <c r="B5" s="19">
        <v>0</v>
      </c>
      <c r="C5" s="20">
        <f>SUM('3. Raw PV per load'!C5:C74)</f>
        <v>0</v>
      </c>
      <c r="D5" s="20">
        <f>SUMIF('4. Raw load per load'!$B$5:$B$74,"prosumer",'4. Raw load per load'!C5:C74)</f>
        <v>9.2420000000000009</v>
      </c>
      <c r="E5" s="20">
        <f>SUMIF('4. Raw load per load'!$B$5:$B$74,"customer",'4. Raw load per load'!C5:C74)</f>
        <v>6.1007999999999987</v>
      </c>
      <c r="F5" s="20">
        <f>SUM('5. Raw batt charge'!C5:AY5)</f>
        <v>0</v>
      </c>
      <c r="G5" s="20">
        <f>SUM('6. Raw batt discharge'!C5:AY5)</f>
        <v>9.2440000000000015</v>
      </c>
      <c r="H5" s="21">
        <f t="shared" ref="H5:H52" si="0">F5-G5</f>
        <v>-9.2440000000000015</v>
      </c>
      <c r="I5" s="21">
        <f t="shared" ref="I5:I52" si="1">MIN(C5,D5)</f>
        <v>0</v>
      </c>
      <c r="J5" s="21">
        <f t="shared" ref="J5:J52" si="2">MIN(C5-I5,MAX(0,H5))</f>
        <v>0</v>
      </c>
      <c r="K5" s="21">
        <f t="shared" ref="K5:K52" si="3">MIN(C5-I5-J5,E5)</f>
        <v>0</v>
      </c>
      <c r="L5" s="21">
        <f t="shared" ref="L5:L52" si="4">C5-I5-J5-K5</f>
        <v>0</v>
      </c>
      <c r="M5" s="21">
        <f t="shared" ref="M5:M52" si="5">E5-K5</f>
        <v>6.1007999999999987</v>
      </c>
    </row>
    <row r="6" spans="1:13" x14ac:dyDescent="0.25">
      <c r="A6" s="8">
        <v>2</v>
      </c>
      <c r="B6" s="19">
        <v>0.5</v>
      </c>
      <c r="C6" s="20">
        <f>SUM('3. Raw PV per load'!D5:D74)</f>
        <v>0</v>
      </c>
      <c r="D6" s="20">
        <f>SUMIF('4. Raw load per load'!$B$5:$B$74,"prosumer",'4. Raw load per load'!D5:D74)</f>
        <v>8.8048999999999999</v>
      </c>
      <c r="E6" s="20">
        <f>SUMIF('4. Raw load per load'!$B$5:$B$74,"customer",'4. Raw load per load'!D5:D74)</f>
        <v>4.1829000000000001</v>
      </c>
      <c r="F6" s="20">
        <f>SUM('5. Raw batt charge'!C6:AY6)</f>
        <v>0</v>
      </c>
      <c r="G6" s="20">
        <f>SUM('6. Raw batt discharge'!C6:AY6)</f>
        <v>8.8070000000000004</v>
      </c>
      <c r="H6" s="21">
        <f t="shared" si="0"/>
        <v>-8.8070000000000004</v>
      </c>
      <c r="I6" s="21">
        <f t="shared" si="1"/>
        <v>0</v>
      </c>
      <c r="J6" s="21">
        <f t="shared" si="2"/>
        <v>0</v>
      </c>
      <c r="K6" s="21">
        <f t="shared" si="3"/>
        <v>0</v>
      </c>
      <c r="L6" s="21">
        <f t="shared" si="4"/>
        <v>0</v>
      </c>
      <c r="M6" s="21">
        <f t="shared" si="5"/>
        <v>4.1829000000000001</v>
      </c>
    </row>
    <row r="7" spans="1:13" x14ac:dyDescent="0.25">
      <c r="A7" s="8">
        <v>3</v>
      </c>
      <c r="B7" s="19">
        <v>1</v>
      </c>
      <c r="C7" s="20">
        <f>SUM('3. Raw PV per load'!E5:E74)</f>
        <v>0</v>
      </c>
      <c r="D7" s="20">
        <f>SUMIF('4. Raw load per load'!$B$5:$B$74,"prosumer",'4. Raw load per load'!E5:E74)</f>
        <v>7.0150000000000015</v>
      </c>
      <c r="E7" s="20">
        <f>SUMIF('4. Raw load per load'!$B$5:$B$74,"customer",'4. Raw load per load'!E5:E74)</f>
        <v>3.1018000000000003</v>
      </c>
      <c r="F7" s="20">
        <f>SUM('5. Raw batt charge'!C7:AY7)</f>
        <v>0</v>
      </c>
      <c r="G7" s="20">
        <f>SUM('6. Raw batt discharge'!C7:AY7)</f>
        <v>7.0150000000000006</v>
      </c>
      <c r="H7" s="21">
        <f t="shared" si="0"/>
        <v>-7.0150000000000006</v>
      </c>
      <c r="I7" s="21">
        <f t="shared" si="1"/>
        <v>0</v>
      </c>
      <c r="J7" s="21">
        <f t="shared" si="2"/>
        <v>0</v>
      </c>
      <c r="K7" s="21">
        <f t="shared" si="3"/>
        <v>0</v>
      </c>
      <c r="L7" s="21">
        <f t="shared" si="4"/>
        <v>0</v>
      </c>
      <c r="M7" s="21">
        <f t="shared" si="5"/>
        <v>3.1018000000000003</v>
      </c>
    </row>
    <row r="8" spans="1:13" x14ac:dyDescent="0.25">
      <c r="A8" s="8">
        <v>4</v>
      </c>
      <c r="B8" s="19">
        <v>1.5</v>
      </c>
      <c r="C8" s="20">
        <f>SUM('3. Raw PV per load'!F5:F74)</f>
        <v>0</v>
      </c>
      <c r="D8" s="20">
        <f>SUMIF('4. Raw load per load'!$B$5:$B$74,"prosumer",'4. Raw load per load'!F5:F74)</f>
        <v>6.7330000000000005</v>
      </c>
      <c r="E8" s="20">
        <f>SUMIF('4. Raw load per load'!$B$5:$B$74,"customer",'4. Raw load per load'!F5:F74)</f>
        <v>3.1167000000000002</v>
      </c>
      <c r="F8" s="20">
        <f>SUM('5. Raw batt charge'!C8:AY8)</f>
        <v>0</v>
      </c>
      <c r="G8" s="20">
        <f>SUM('6. Raw batt discharge'!C8:AY8)</f>
        <v>6.4549999999999983</v>
      </c>
      <c r="H8" s="21">
        <f t="shared" si="0"/>
        <v>-6.4549999999999983</v>
      </c>
      <c r="I8" s="21">
        <f t="shared" si="1"/>
        <v>0</v>
      </c>
      <c r="J8" s="21">
        <f t="shared" si="2"/>
        <v>0</v>
      </c>
      <c r="K8" s="21">
        <f t="shared" si="3"/>
        <v>0</v>
      </c>
      <c r="L8" s="21">
        <f t="shared" si="4"/>
        <v>0</v>
      </c>
      <c r="M8" s="21">
        <f t="shared" si="5"/>
        <v>3.1167000000000002</v>
      </c>
    </row>
    <row r="9" spans="1:13" x14ac:dyDescent="0.25">
      <c r="A9" s="8">
        <v>5</v>
      </c>
      <c r="B9" s="19">
        <v>2</v>
      </c>
      <c r="C9" s="20">
        <f>SUM('3. Raw PV per load'!G5:G74)</f>
        <v>0</v>
      </c>
      <c r="D9" s="20">
        <f>SUMIF('4. Raw load per load'!$B$5:$B$74,"prosumer",'4. Raw load per load'!G5:G74)</f>
        <v>6.5173000000000005</v>
      </c>
      <c r="E9" s="20">
        <f>SUMIF('4. Raw load per load'!$B$5:$B$74,"customer",'4. Raw load per load'!G5:G74)</f>
        <v>2.9307000000000003</v>
      </c>
      <c r="F9" s="20">
        <f>SUM('5. Raw batt charge'!C9:AY9)</f>
        <v>0</v>
      </c>
      <c r="G9" s="20">
        <f>SUM('6. Raw batt discharge'!C9:AY9)</f>
        <v>5.7370000000000001</v>
      </c>
      <c r="H9" s="21">
        <f t="shared" si="0"/>
        <v>-5.7370000000000001</v>
      </c>
      <c r="I9" s="21">
        <f t="shared" si="1"/>
        <v>0</v>
      </c>
      <c r="J9" s="21">
        <f t="shared" si="2"/>
        <v>0</v>
      </c>
      <c r="K9" s="21">
        <f t="shared" si="3"/>
        <v>0</v>
      </c>
      <c r="L9" s="21">
        <f t="shared" si="4"/>
        <v>0</v>
      </c>
      <c r="M9" s="21">
        <f t="shared" si="5"/>
        <v>2.9307000000000003</v>
      </c>
    </row>
    <row r="10" spans="1:13" x14ac:dyDescent="0.25">
      <c r="A10" s="8">
        <v>6</v>
      </c>
      <c r="B10" s="19">
        <v>2.5</v>
      </c>
      <c r="C10" s="20">
        <f>SUM('3. Raw PV per load'!H5:H74)</f>
        <v>0</v>
      </c>
      <c r="D10" s="20">
        <f>SUMIF('4. Raw load per load'!$B$5:$B$74,"prosumer",'4. Raw load per load'!H5:H74)</f>
        <v>5.5908999999999995</v>
      </c>
      <c r="E10" s="20">
        <f>SUMIF('4. Raw load per load'!$B$5:$B$74,"customer",'4. Raw load per load'!H5:H74)</f>
        <v>3.1113999999999997</v>
      </c>
      <c r="F10" s="20">
        <f>SUM('5. Raw batt charge'!C10:AY10)</f>
        <v>0</v>
      </c>
      <c r="G10" s="20">
        <f>SUM('6. Raw batt discharge'!C10:AY10)</f>
        <v>4.827</v>
      </c>
      <c r="H10" s="21">
        <f t="shared" si="0"/>
        <v>-4.827</v>
      </c>
      <c r="I10" s="21">
        <f t="shared" si="1"/>
        <v>0</v>
      </c>
      <c r="J10" s="21">
        <f t="shared" si="2"/>
        <v>0</v>
      </c>
      <c r="K10" s="21">
        <f t="shared" si="3"/>
        <v>0</v>
      </c>
      <c r="L10" s="21">
        <f t="shared" si="4"/>
        <v>0</v>
      </c>
      <c r="M10" s="21">
        <f t="shared" si="5"/>
        <v>3.1113999999999997</v>
      </c>
    </row>
    <row r="11" spans="1:13" x14ac:dyDescent="0.25">
      <c r="A11" s="8">
        <v>7</v>
      </c>
      <c r="B11" s="19">
        <v>3</v>
      </c>
      <c r="C11" s="20">
        <f>SUM('3. Raw PV per load'!I5:I74)</f>
        <v>0</v>
      </c>
      <c r="D11" s="20">
        <f>SUMIF('4. Raw load per load'!$B$5:$B$74,"prosumer",'4. Raw load per load'!I5:I74)</f>
        <v>5.3406000000000002</v>
      </c>
      <c r="E11" s="20">
        <f>SUMIF('4. Raw load per load'!$B$5:$B$74,"customer",'4. Raw load per load'!I5:I74)</f>
        <v>3.1387000000000009</v>
      </c>
      <c r="F11" s="20">
        <f>SUM('5. Raw batt charge'!C11:AY11)</f>
        <v>0</v>
      </c>
      <c r="G11" s="20">
        <f>SUM('6. Raw batt discharge'!C11:AY11)</f>
        <v>5.0439999999999996</v>
      </c>
      <c r="H11" s="21">
        <f t="shared" si="0"/>
        <v>-5.0439999999999996</v>
      </c>
      <c r="I11" s="21">
        <f t="shared" si="1"/>
        <v>0</v>
      </c>
      <c r="J11" s="21">
        <f t="shared" si="2"/>
        <v>0</v>
      </c>
      <c r="K11" s="21">
        <f t="shared" si="3"/>
        <v>0</v>
      </c>
      <c r="L11" s="21">
        <f t="shared" si="4"/>
        <v>0</v>
      </c>
      <c r="M11" s="21">
        <f t="shared" si="5"/>
        <v>3.1387000000000009</v>
      </c>
    </row>
    <row r="12" spans="1:13" x14ac:dyDescent="0.25">
      <c r="A12" s="8">
        <v>8</v>
      </c>
      <c r="B12" s="19">
        <v>3.5</v>
      </c>
      <c r="C12" s="20">
        <f>SUM('3. Raw PV per load'!J5:J74)</f>
        <v>0.1394</v>
      </c>
      <c r="D12" s="20">
        <f>SUMIF('4. Raw load per load'!$B$5:$B$74,"prosumer",'4. Raw load per load'!J5:J74)</f>
        <v>5.9279999999999982</v>
      </c>
      <c r="E12" s="20">
        <f>SUMIF('4. Raw load per load'!$B$5:$B$74,"customer",'4. Raw load per load'!J5:J74)</f>
        <v>4.085399999999999</v>
      </c>
      <c r="F12" s="20">
        <f>SUM('5. Raw batt charge'!C12:AY12)</f>
        <v>0</v>
      </c>
      <c r="G12" s="20">
        <f>SUM('6. Raw batt discharge'!C12:AY12)</f>
        <v>5.3130000000000006</v>
      </c>
      <c r="H12" s="21">
        <f t="shared" si="0"/>
        <v>-5.3130000000000006</v>
      </c>
      <c r="I12" s="21">
        <f t="shared" si="1"/>
        <v>0.1394</v>
      </c>
      <c r="J12" s="21">
        <f t="shared" si="2"/>
        <v>0</v>
      </c>
      <c r="K12" s="21">
        <f t="shared" si="3"/>
        <v>0</v>
      </c>
      <c r="L12" s="21">
        <f t="shared" si="4"/>
        <v>0</v>
      </c>
      <c r="M12" s="21">
        <f t="shared" si="5"/>
        <v>4.085399999999999</v>
      </c>
    </row>
    <row r="13" spans="1:13" x14ac:dyDescent="0.25">
      <c r="A13" s="8">
        <v>9</v>
      </c>
      <c r="B13" s="19">
        <v>4</v>
      </c>
      <c r="C13" s="20">
        <f>SUM('3. Raw PV per load'!K5:K74)</f>
        <v>2.0261000000000009</v>
      </c>
      <c r="D13" s="20">
        <f>SUMIF('4. Raw load per load'!$B$5:$B$74,"prosumer",'4. Raw load per load'!K5:K74)</f>
        <v>5.6998999999999995</v>
      </c>
      <c r="E13" s="20">
        <f>SUMIF('4. Raw load per load'!$B$5:$B$74,"customer",'4. Raw load per load'!K5:K74)</f>
        <v>2.3001</v>
      </c>
      <c r="F13" s="20">
        <f>SUM('5. Raw batt charge'!C13:AY13)</f>
        <v>3.6000000000000004E-2</v>
      </c>
      <c r="G13" s="20">
        <f>SUM('6. Raw batt discharge'!C13:AY13)</f>
        <v>3.2898999999999998</v>
      </c>
      <c r="H13" s="21">
        <f t="shared" si="0"/>
        <v>-3.2538999999999998</v>
      </c>
      <c r="I13" s="21">
        <f t="shared" si="1"/>
        <v>2.0261000000000009</v>
      </c>
      <c r="J13" s="21">
        <f t="shared" si="2"/>
        <v>0</v>
      </c>
      <c r="K13" s="21">
        <f t="shared" si="3"/>
        <v>0</v>
      </c>
      <c r="L13" s="21">
        <f t="shared" si="4"/>
        <v>0</v>
      </c>
      <c r="M13" s="21">
        <f t="shared" si="5"/>
        <v>2.3001</v>
      </c>
    </row>
    <row r="14" spans="1:13" x14ac:dyDescent="0.25">
      <c r="A14" s="8">
        <v>10</v>
      </c>
      <c r="B14" s="19">
        <v>4.5</v>
      </c>
      <c r="C14" s="20">
        <f>SUM('3. Raw PV per load'!L5:L74)</f>
        <v>9.4779999999999998</v>
      </c>
      <c r="D14" s="20">
        <f>SUMIF('4. Raw load per load'!$B$5:$B$74,"prosumer",'4. Raw load per load'!L5:L74)</f>
        <v>6.9676000000000009</v>
      </c>
      <c r="E14" s="20">
        <f>SUMIF('4. Raw load per load'!$B$5:$B$74,"customer",'4. Raw load per load'!L5:L74)</f>
        <v>2.5583000000000005</v>
      </c>
      <c r="F14" s="20">
        <f>SUM('5. Raw batt charge'!C14:AY14)</f>
        <v>3.7930000000000001</v>
      </c>
      <c r="G14" s="20">
        <f>SUM('6. Raw batt discharge'!C14:AY14)</f>
        <v>1.131</v>
      </c>
      <c r="H14" s="21">
        <f t="shared" si="0"/>
        <v>2.6619999999999999</v>
      </c>
      <c r="I14" s="21">
        <f t="shared" si="1"/>
        <v>6.9676000000000009</v>
      </c>
      <c r="J14" s="21">
        <f t="shared" si="2"/>
        <v>2.5103999999999989</v>
      </c>
      <c r="K14" s="21">
        <f t="shared" si="3"/>
        <v>0</v>
      </c>
      <c r="L14" s="21">
        <f t="shared" si="4"/>
        <v>0</v>
      </c>
      <c r="M14" s="21">
        <f t="shared" si="5"/>
        <v>2.5583000000000005</v>
      </c>
    </row>
    <row r="15" spans="1:13" x14ac:dyDescent="0.25">
      <c r="A15" s="8">
        <v>11</v>
      </c>
      <c r="B15" s="19">
        <v>5</v>
      </c>
      <c r="C15" s="20">
        <f>SUM('3. Raw PV per load'!M5:M74)</f>
        <v>18.798899999999989</v>
      </c>
      <c r="D15" s="20">
        <f>SUMIF('4. Raw load per load'!$B$5:$B$74,"prosumer",'4. Raw load per load'!M5:M74)</f>
        <v>6.3844000000000003</v>
      </c>
      <c r="E15" s="20">
        <f>SUMIF('4. Raw load per load'!$B$5:$B$74,"customer",'4. Raw load per load'!M5:M74)</f>
        <v>2.2269999999999999</v>
      </c>
      <c r="F15" s="20">
        <f>SUM('5. Raw batt charge'!C15:AY15)</f>
        <v>12.610999999999999</v>
      </c>
      <c r="G15" s="20">
        <f>SUM('6. Raw batt discharge'!C15:AY15)</f>
        <v>0.111</v>
      </c>
      <c r="H15" s="21">
        <f t="shared" si="0"/>
        <v>12.499999999999998</v>
      </c>
      <c r="I15" s="21">
        <f t="shared" si="1"/>
        <v>6.3844000000000003</v>
      </c>
      <c r="J15" s="21">
        <f t="shared" si="2"/>
        <v>12.41449999999999</v>
      </c>
      <c r="K15" s="21">
        <f t="shared" si="3"/>
        <v>0</v>
      </c>
      <c r="L15" s="21">
        <f t="shared" si="4"/>
        <v>0</v>
      </c>
      <c r="M15" s="21">
        <f t="shared" si="5"/>
        <v>2.2269999999999999</v>
      </c>
    </row>
    <row r="16" spans="1:13" x14ac:dyDescent="0.25">
      <c r="A16" s="8">
        <v>12</v>
      </c>
      <c r="B16" s="19">
        <v>5.5</v>
      </c>
      <c r="C16" s="20">
        <f>SUM('3. Raw PV per load'!N5:N74)</f>
        <v>30.231500000000004</v>
      </c>
      <c r="D16" s="20">
        <f>SUMIF('4. Raw load per load'!$B$5:$B$74,"prosumer",'4. Raw load per load'!N5:N74)</f>
        <v>5.4489000000000001</v>
      </c>
      <c r="E16" s="20">
        <f>SUMIF('4. Raw load per load'!$B$5:$B$74,"customer",'4. Raw load per load'!N5:N74)</f>
        <v>3.1244000000000005</v>
      </c>
      <c r="F16" s="20">
        <f>SUM('5. Raw batt charge'!C16:AY16)</f>
        <v>24.781999999999993</v>
      </c>
      <c r="G16" s="20">
        <f>SUM('6. Raw batt discharge'!C16:AY16)</f>
        <v>0</v>
      </c>
      <c r="H16" s="21">
        <f t="shared" si="0"/>
        <v>24.781999999999993</v>
      </c>
      <c r="I16" s="21">
        <f t="shared" si="1"/>
        <v>5.4489000000000001</v>
      </c>
      <c r="J16" s="21">
        <f t="shared" si="2"/>
        <v>24.781999999999993</v>
      </c>
      <c r="K16" s="21">
        <f t="shared" si="3"/>
        <v>6.0000000000925979E-4</v>
      </c>
      <c r="L16" s="21">
        <f t="shared" si="4"/>
        <v>0</v>
      </c>
      <c r="M16" s="21">
        <f t="shared" si="5"/>
        <v>3.1237999999999913</v>
      </c>
    </row>
    <row r="17" spans="1:13" x14ac:dyDescent="0.25">
      <c r="A17" s="8">
        <v>13</v>
      </c>
      <c r="B17" s="19">
        <v>6</v>
      </c>
      <c r="C17" s="20">
        <f>SUM('3. Raw PV per load'!O5:O74)</f>
        <v>42.701899999999974</v>
      </c>
      <c r="D17" s="20">
        <f>SUMIF('4. Raw load per load'!$B$5:$B$74,"prosumer",'4. Raw load per load'!O5:O74)</f>
        <v>7.6680000000000001</v>
      </c>
      <c r="E17" s="20">
        <f>SUMIF('4. Raw load per load'!$B$5:$B$74,"customer",'4. Raw load per load'!O5:O74)</f>
        <v>3.0125000000000002</v>
      </c>
      <c r="F17" s="20">
        <f>SUM('5. Raw batt charge'!C17:AY17)</f>
        <v>35.642000000000003</v>
      </c>
      <c r="G17" s="20">
        <f>SUM('6. Raw batt discharge'!C17:AY17)</f>
        <v>0.60599999999999998</v>
      </c>
      <c r="H17" s="21">
        <f t="shared" si="0"/>
        <v>35.036000000000001</v>
      </c>
      <c r="I17" s="21">
        <f t="shared" si="1"/>
        <v>7.6680000000000001</v>
      </c>
      <c r="J17" s="21">
        <f t="shared" si="2"/>
        <v>35.033899999999974</v>
      </c>
      <c r="K17" s="21">
        <f t="shared" si="3"/>
        <v>0</v>
      </c>
      <c r="L17" s="21">
        <f t="shared" si="4"/>
        <v>0</v>
      </c>
      <c r="M17" s="21">
        <f t="shared" si="5"/>
        <v>3.0125000000000002</v>
      </c>
    </row>
    <row r="18" spans="1:13" x14ac:dyDescent="0.25">
      <c r="A18" s="8">
        <v>14</v>
      </c>
      <c r="B18" s="19">
        <v>6.5</v>
      </c>
      <c r="C18" s="20">
        <f>SUM('3. Raw PV per load'!P5:P74)</f>
        <v>55.327100000000023</v>
      </c>
      <c r="D18" s="20">
        <f>SUMIF('4. Raw load per load'!$B$5:$B$74,"prosumer",'4. Raw load per load'!P5:P74)</f>
        <v>6.2176000000000009</v>
      </c>
      <c r="E18" s="20">
        <f>SUMIF('4. Raw load per load'!$B$5:$B$74,"customer",'4. Raw load per load'!P5:P74)</f>
        <v>2.4709000000000003</v>
      </c>
      <c r="F18" s="20">
        <f>SUM('5. Raw batt charge'!C18:AY18)</f>
        <v>49.110999999999997</v>
      </c>
      <c r="G18" s="20">
        <f>SUM('6. Raw batt discharge'!C18:AY18)</f>
        <v>0</v>
      </c>
      <c r="H18" s="21">
        <f t="shared" si="0"/>
        <v>49.110999999999997</v>
      </c>
      <c r="I18" s="21">
        <f t="shared" si="1"/>
        <v>6.2176000000000009</v>
      </c>
      <c r="J18" s="21">
        <f t="shared" si="2"/>
        <v>49.109500000000025</v>
      </c>
      <c r="K18" s="21">
        <f t="shared" si="3"/>
        <v>0</v>
      </c>
      <c r="L18" s="21">
        <f t="shared" si="4"/>
        <v>0</v>
      </c>
      <c r="M18" s="21">
        <f t="shared" si="5"/>
        <v>2.4709000000000003</v>
      </c>
    </row>
    <row r="19" spans="1:13" x14ac:dyDescent="0.25">
      <c r="A19" s="8">
        <v>15</v>
      </c>
      <c r="B19" s="19">
        <v>7</v>
      </c>
      <c r="C19" s="20">
        <f>SUM('3. Raw PV per load'!Q5:Q74)</f>
        <v>67.888799999999975</v>
      </c>
      <c r="D19" s="20">
        <f>SUMIF('4. Raw load per load'!$B$5:$B$74,"prosumer",'4. Raw load per load'!Q5:Q74)</f>
        <v>11.415100000000006</v>
      </c>
      <c r="E19" s="20">
        <f>SUMIF('4. Raw load per load'!$B$5:$B$74,"customer",'4. Raw load per load'!Q5:Q74)</f>
        <v>3.2913999999999999</v>
      </c>
      <c r="F19" s="20">
        <f>SUM('5. Raw batt charge'!C19:AY19)</f>
        <v>57.268999999999991</v>
      </c>
      <c r="G19" s="20">
        <f>SUM('6. Raw batt discharge'!C19:AY19)</f>
        <v>0.79500000000000004</v>
      </c>
      <c r="H19" s="21">
        <f t="shared" si="0"/>
        <v>56.47399999999999</v>
      </c>
      <c r="I19" s="21">
        <f t="shared" si="1"/>
        <v>11.415100000000006</v>
      </c>
      <c r="J19" s="21">
        <f t="shared" si="2"/>
        <v>56.473699999999965</v>
      </c>
      <c r="K19" s="21">
        <f t="shared" si="3"/>
        <v>0</v>
      </c>
      <c r="L19" s="21">
        <f t="shared" si="4"/>
        <v>0</v>
      </c>
      <c r="M19" s="21">
        <f t="shared" si="5"/>
        <v>3.2913999999999999</v>
      </c>
    </row>
    <row r="20" spans="1:13" x14ac:dyDescent="0.25">
      <c r="A20" s="8">
        <v>16</v>
      </c>
      <c r="B20" s="19">
        <v>7.5</v>
      </c>
      <c r="C20" s="20">
        <f>SUM('3. Raw PV per load'!R5:R74)</f>
        <v>80.465400000000017</v>
      </c>
      <c r="D20" s="20">
        <f>SUMIF('4. Raw load per load'!$B$5:$B$74,"prosumer",'4. Raw load per load'!R5:R74)</f>
        <v>8.7083999999999993</v>
      </c>
      <c r="E20" s="20">
        <f>SUMIF('4. Raw load per load'!$B$5:$B$74,"customer",'4. Raw load per load'!R5:R74)</f>
        <v>5.7131999999999996</v>
      </c>
      <c r="F20" s="20">
        <f>SUM('5. Raw batt charge'!C20:AY20)</f>
        <v>62.519000000000005</v>
      </c>
      <c r="G20" s="20">
        <f>SUM('6. Raw batt discharge'!C20:AY20)</f>
        <v>0</v>
      </c>
      <c r="H20" s="21">
        <f t="shared" si="0"/>
        <v>62.519000000000005</v>
      </c>
      <c r="I20" s="21">
        <f t="shared" si="1"/>
        <v>8.7083999999999993</v>
      </c>
      <c r="J20" s="21">
        <f t="shared" si="2"/>
        <v>62.519000000000005</v>
      </c>
      <c r="K20" s="21">
        <f t="shared" si="3"/>
        <v>5.7131999999999996</v>
      </c>
      <c r="L20" s="21">
        <f t="shared" si="4"/>
        <v>3.5248000000000141</v>
      </c>
      <c r="M20" s="21">
        <f t="shared" si="5"/>
        <v>0</v>
      </c>
    </row>
    <row r="21" spans="1:13" x14ac:dyDescent="0.25">
      <c r="A21" s="8">
        <v>17</v>
      </c>
      <c r="B21" s="19">
        <v>8</v>
      </c>
      <c r="C21" s="20">
        <f>SUM('3. Raw PV per load'!S5:S74)</f>
        <v>92.270700000000019</v>
      </c>
      <c r="D21" s="20">
        <f>SUMIF('4. Raw load per load'!$B$5:$B$74,"prosumer",'4. Raw load per load'!S5:S74)</f>
        <v>15.055800000000005</v>
      </c>
      <c r="E21" s="20">
        <f>SUMIF('4. Raw load per load'!$B$5:$B$74,"customer",'4. Raw load per load'!S5:S74)</f>
        <v>8.5454999999999988</v>
      </c>
      <c r="F21" s="20">
        <f>SUM('5. Raw batt charge'!C21:AY21)</f>
        <v>33.585999999999991</v>
      </c>
      <c r="G21" s="20">
        <f>SUM('6. Raw batt discharge'!C21:AY21)</f>
        <v>1.244</v>
      </c>
      <c r="H21" s="21">
        <f t="shared" si="0"/>
        <v>32.341999999999992</v>
      </c>
      <c r="I21" s="21">
        <f t="shared" si="1"/>
        <v>15.055800000000005</v>
      </c>
      <c r="J21" s="21">
        <f t="shared" si="2"/>
        <v>32.341999999999992</v>
      </c>
      <c r="K21" s="21">
        <f t="shared" si="3"/>
        <v>8.5454999999999988</v>
      </c>
      <c r="L21" s="21">
        <f t="shared" si="4"/>
        <v>36.327400000000026</v>
      </c>
      <c r="M21" s="21">
        <f t="shared" si="5"/>
        <v>0</v>
      </c>
    </row>
    <row r="22" spans="1:13" x14ac:dyDescent="0.25">
      <c r="A22" s="8">
        <v>18</v>
      </c>
      <c r="B22" s="19">
        <v>8.5</v>
      </c>
      <c r="C22" s="20">
        <f>SUM('3. Raw PV per load'!T5:T74)</f>
        <v>103.36970000000001</v>
      </c>
      <c r="D22" s="20">
        <f>SUMIF('4. Raw load per load'!$B$5:$B$74,"prosumer",'4. Raw load per load'!T5:T74)</f>
        <v>13.321300000000003</v>
      </c>
      <c r="E22" s="20">
        <f>SUMIF('4. Raw load per load'!$B$5:$B$74,"customer",'4. Raw load per load'!T5:T74)</f>
        <v>4.6213999999999995</v>
      </c>
      <c r="F22" s="20">
        <f>SUM('5. Raw batt charge'!C22:AY22)</f>
        <v>20.594999999999999</v>
      </c>
      <c r="G22" s="20">
        <f>SUM('6. Raw batt discharge'!C22:AY22)</f>
        <v>0</v>
      </c>
      <c r="H22" s="21">
        <f t="shared" si="0"/>
        <v>20.594999999999999</v>
      </c>
      <c r="I22" s="21">
        <f t="shared" si="1"/>
        <v>13.321300000000003</v>
      </c>
      <c r="J22" s="21">
        <f t="shared" si="2"/>
        <v>20.594999999999999</v>
      </c>
      <c r="K22" s="21">
        <f t="shared" si="3"/>
        <v>4.6213999999999995</v>
      </c>
      <c r="L22" s="21">
        <f t="shared" si="4"/>
        <v>64.832000000000008</v>
      </c>
      <c r="M22" s="21">
        <f t="shared" si="5"/>
        <v>0</v>
      </c>
    </row>
    <row r="23" spans="1:13" x14ac:dyDescent="0.25">
      <c r="A23" s="8">
        <v>19</v>
      </c>
      <c r="B23" s="19">
        <v>9</v>
      </c>
      <c r="C23" s="20">
        <f>SUM('3. Raw PV per load'!U5:U74)</f>
        <v>112.82000000000008</v>
      </c>
      <c r="D23" s="20">
        <f>SUMIF('4. Raw load per load'!$B$5:$B$74,"prosumer",'4. Raw load per load'!U5:U74)</f>
        <v>19.065600000000007</v>
      </c>
      <c r="E23" s="20">
        <f>SUMIF('4. Raw load per load'!$B$5:$B$74,"customer",'4. Raw load per load'!U5:U74)</f>
        <v>6.2218999999999989</v>
      </c>
      <c r="F23" s="20">
        <f>SUM('5. Raw batt charge'!C23:AY23)</f>
        <v>13.549000000000001</v>
      </c>
      <c r="G23" s="20">
        <f>SUM('6. Raw batt discharge'!C23:AY23)</f>
        <v>0.24199999999999999</v>
      </c>
      <c r="H23" s="21">
        <f t="shared" si="0"/>
        <v>13.307000000000002</v>
      </c>
      <c r="I23" s="21">
        <f t="shared" si="1"/>
        <v>19.065600000000007</v>
      </c>
      <c r="J23" s="21">
        <f t="shared" si="2"/>
        <v>13.307000000000002</v>
      </c>
      <c r="K23" s="21">
        <f t="shared" si="3"/>
        <v>6.2218999999999989</v>
      </c>
      <c r="L23" s="21">
        <f t="shared" si="4"/>
        <v>74.225500000000068</v>
      </c>
      <c r="M23" s="21">
        <f t="shared" si="5"/>
        <v>0</v>
      </c>
    </row>
    <row r="24" spans="1:13" x14ac:dyDescent="0.25">
      <c r="A24" s="8">
        <v>20</v>
      </c>
      <c r="B24" s="19">
        <v>9.5</v>
      </c>
      <c r="C24" s="20">
        <f>SUM('3. Raw PV per load'!V5:V74)</f>
        <v>120.88080000000001</v>
      </c>
      <c r="D24" s="20">
        <f>SUMIF('4. Raw load per load'!$B$5:$B$74,"prosumer",'4. Raw load per load'!V5:V74)</f>
        <v>17.143799999999999</v>
      </c>
      <c r="E24" s="20">
        <f>SUMIF('4. Raw load per load'!$B$5:$B$74,"customer",'4. Raw load per load'!V5:V74)</f>
        <v>6.073199999999999</v>
      </c>
      <c r="F24" s="20">
        <f>SUM('5. Raw batt charge'!C24:AY24)</f>
        <v>8.7390000000000008</v>
      </c>
      <c r="G24" s="20">
        <f>SUM('6. Raw batt discharge'!C24:AY24)</f>
        <v>0.01</v>
      </c>
      <c r="H24" s="21">
        <f t="shared" si="0"/>
        <v>8.729000000000001</v>
      </c>
      <c r="I24" s="21">
        <f t="shared" si="1"/>
        <v>17.143799999999999</v>
      </c>
      <c r="J24" s="21">
        <f t="shared" si="2"/>
        <v>8.729000000000001</v>
      </c>
      <c r="K24" s="21">
        <f t="shared" si="3"/>
        <v>6.073199999999999</v>
      </c>
      <c r="L24" s="21">
        <f t="shared" si="4"/>
        <v>88.93480000000001</v>
      </c>
      <c r="M24" s="21">
        <f t="shared" si="5"/>
        <v>0</v>
      </c>
    </row>
    <row r="25" spans="1:13" x14ac:dyDescent="0.25">
      <c r="A25" s="8">
        <v>21</v>
      </c>
      <c r="B25" s="19">
        <v>10</v>
      </c>
      <c r="C25" s="20">
        <f>SUM('3. Raw PV per load'!W5:W74)</f>
        <v>127.95500000000003</v>
      </c>
      <c r="D25" s="20">
        <f>SUMIF('4. Raw load per load'!$B$5:$B$74,"prosumer",'4. Raw load per load'!W5:W74)</f>
        <v>16.898500000000002</v>
      </c>
      <c r="E25" s="20">
        <f>SUMIF('4. Raw load per load'!$B$5:$B$74,"customer",'4. Raw load per load'!W5:W74)</f>
        <v>7.2628000000000004</v>
      </c>
      <c r="F25" s="20">
        <f>SUM('5. Raw batt charge'!C25:AY25)</f>
        <v>2.7009999999999996</v>
      </c>
      <c r="G25" s="20">
        <f>SUM('6. Raw batt discharge'!C25:AY25)</f>
        <v>0</v>
      </c>
      <c r="H25" s="21">
        <f t="shared" si="0"/>
        <v>2.7009999999999996</v>
      </c>
      <c r="I25" s="21">
        <f t="shared" si="1"/>
        <v>16.898500000000002</v>
      </c>
      <c r="J25" s="21">
        <f t="shared" si="2"/>
        <v>2.7009999999999996</v>
      </c>
      <c r="K25" s="21">
        <f t="shared" si="3"/>
        <v>7.2628000000000004</v>
      </c>
      <c r="L25" s="21">
        <f t="shared" si="4"/>
        <v>101.09270000000004</v>
      </c>
      <c r="M25" s="21">
        <f t="shared" si="5"/>
        <v>0</v>
      </c>
    </row>
    <row r="26" spans="1:13" x14ac:dyDescent="0.25">
      <c r="A26" s="8">
        <v>22</v>
      </c>
      <c r="B26" s="19">
        <v>10.5</v>
      </c>
      <c r="C26" s="20">
        <f>SUM('3. Raw PV per load'!X5:X74)</f>
        <v>133.79509999999993</v>
      </c>
      <c r="D26" s="20">
        <f>SUMIF('4. Raw load per load'!$B$5:$B$74,"prosumer",'4. Raw load per load'!X5:X74)</f>
        <v>14.295500000000004</v>
      </c>
      <c r="E26" s="20">
        <f>SUMIF('4. Raw load per load'!$B$5:$B$74,"customer",'4. Raw load per load'!X5:X74)</f>
        <v>5.8191999999999995</v>
      </c>
      <c r="F26" s="20">
        <f>SUM('5. Raw batt charge'!C26:AY26)</f>
        <v>1.9040000000000001</v>
      </c>
      <c r="G26" s="20">
        <f>SUM('6. Raw batt discharge'!C26:AY26)</f>
        <v>0.13700000000000001</v>
      </c>
      <c r="H26" s="21">
        <f t="shared" si="0"/>
        <v>1.7670000000000001</v>
      </c>
      <c r="I26" s="21">
        <f t="shared" si="1"/>
        <v>14.295500000000004</v>
      </c>
      <c r="J26" s="21">
        <f t="shared" si="2"/>
        <v>1.7670000000000001</v>
      </c>
      <c r="K26" s="21">
        <f t="shared" si="3"/>
        <v>5.8191999999999995</v>
      </c>
      <c r="L26" s="21">
        <f t="shared" si="4"/>
        <v>111.91339999999994</v>
      </c>
      <c r="M26" s="21">
        <f t="shared" si="5"/>
        <v>0</v>
      </c>
    </row>
    <row r="27" spans="1:13" x14ac:dyDescent="0.25">
      <c r="A27" s="8">
        <v>23</v>
      </c>
      <c r="B27" s="19">
        <v>11</v>
      </c>
      <c r="C27" s="20">
        <f>SUM('3. Raw PV per load'!Y5:Y74)</f>
        <v>137.93860000000004</v>
      </c>
      <c r="D27" s="20">
        <f>SUMIF('4. Raw load per load'!$B$5:$B$74,"prosumer",'4. Raw load per load'!Y5:Y74)</f>
        <v>22.2333</v>
      </c>
      <c r="E27" s="20">
        <f>SUMIF('4. Raw load per load'!$B$5:$B$74,"customer",'4. Raw load per load'!Y5:Y74)</f>
        <v>5.5863000000000005</v>
      </c>
      <c r="F27" s="20">
        <f>SUM('5. Raw batt charge'!C27:AY27)</f>
        <v>0</v>
      </c>
      <c r="G27" s="20">
        <f>SUM('6. Raw batt discharge'!C27:AY27)</f>
        <v>0.59099999999999997</v>
      </c>
      <c r="H27" s="21">
        <f t="shared" si="0"/>
        <v>-0.59099999999999997</v>
      </c>
      <c r="I27" s="21">
        <f t="shared" si="1"/>
        <v>22.2333</v>
      </c>
      <c r="J27" s="21">
        <f t="shared" si="2"/>
        <v>0</v>
      </c>
      <c r="K27" s="21">
        <f t="shared" si="3"/>
        <v>5.5863000000000005</v>
      </c>
      <c r="L27" s="21">
        <f t="shared" si="4"/>
        <v>110.11900000000004</v>
      </c>
      <c r="M27" s="21">
        <f t="shared" si="5"/>
        <v>0</v>
      </c>
    </row>
    <row r="28" spans="1:13" x14ac:dyDescent="0.25">
      <c r="A28" s="8">
        <v>24</v>
      </c>
      <c r="B28" s="19">
        <v>11.5</v>
      </c>
      <c r="C28" s="20">
        <f>SUM('3. Raw PV per load'!Z5:Z74)</f>
        <v>139.75619999999992</v>
      </c>
      <c r="D28" s="20">
        <f>SUMIF('4. Raw load per load'!$B$5:$B$74,"prosumer",'4. Raw load per load'!Z5:Z74)</f>
        <v>21.988800000000001</v>
      </c>
      <c r="E28" s="20">
        <f>SUMIF('4. Raw load per load'!$B$5:$B$74,"customer",'4. Raw load per load'!Z5:Z74)</f>
        <v>3.8169999999999993</v>
      </c>
      <c r="F28" s="20">
        <f>SUM('5. Raw batt charge'!C28:AY28)</f>
        <v>0.32900000000000001</v>
      </c>
      <c r="G28" s="20">
        <f>SUM('6. Raw batt discharge'!C28:AY28)</f>
        <v>0</v>
      </c>
      <c r="H28" s="21">
        <f t="shared" si="0"/>
        <v>0.32900000000000001</v>
      </c>
      <c r="I28" s="21">
        <f t="shared" si="1"/>
        <v>21.988800000000001</v>
      </c>
      <c r="J28" s="21">
        <f t="shared" si="2"/>
        <v>0.32900000000000001</v>
      </c>
      <c r="K28" s="21">
        <f t="shared" si="3"/>
        <v>3.8169999999999993</v>
      </c>
      <c r="L28" s="21">
        <f t="shared" si="4"/>
        <v>113.62139999999994</v>
      </c>
      <c r="M28" s="21">
        <f t="shared" si="5"/>
        <v>0</v>
      </c>
    </row>
    <row r="29" spans="1:13" x14ac:dyDescent="0.25">
      <c r="A29" s="8">
        <v>25</v>
      </c>
      <c r="B29" s="19">
        <v>12</v>
      </c>
      <c r="C29" s="20">
        <f>SUM('3. Raw PV per load'!AA5:AA74)</f>
        <v>140.28190000000001</v>
      </c>
      <c r="D29" s="20">
        <f>SUMIF('4. Raw load per load'!$B$5:$B$74,"prosumer",'4. Raw load per load'!AA5:AA74)</f>
        <v>11.953099999999999</v>
      </c>
      <c r="E29" s="20">
        <f>SUMIF('4. Raw load per load'!$B$5:$B$74,"customer",'4. Raw load per load'!AA5:AA74)</f>
        <v>9.3622999999999994</v>
      </c>
      <c r="F29" s="20">
        <f>SUM('5. Raw batt charge'!C29:AY29)</f>
        <v>0.48099999999999998</v>
      </c>
      <c r="G29" s="20">
        <f>SUM('6. Raw batt discharge'!C29:AY29)</f>
        <v>0</v>
      </c>
      <c r="H29" s="21">
        <f t="shared" si="0"/>
        <v>0.48099999999999998</v>
      </c>
      <c r="I29" s="21">
        <f t="shared" si="1"/>
        <v>11.953099999999999</v>
      </c>
      <c r="J29" s="21">
        <f t="shared" si="2"/>
        <v>0.48099999999999998</v>
      </c>
      <c r="K29" s="21">
        <f t="shared" si="3"/>
        <v>9.3622999999999994</v>
      </c>
      <c r="L29" s="21">
        <f t="shared" si="4"/>
        <v>118.4855</v>
      </c>
      <c r="M29" s="21">
        <f t="shared" si="5"/>
        <v>0</v>
      </c>
    </row>
    <row r="30" spans="1:13" x14ac:dyDescent="0.25">
      <c r="A30" s="8">
        <v>26</v>
      </c>
      <c r="B30" s="19">
        <v>12.5</v>
      </c>
      <c r="C30" s="20">
        <f>SUM('3. Raw PV per load'!AB5:AB74)</f>
        <v>139.29610000000008</v>
      </c>
      <c r="D30" s="20">
        <f>SUMIF('4. Raw load per load'!$B$5:$B$74,"prosumer",'4. Raw load per load'!AB5:AB74)</f>
        <v>12.7509</v>
      </c>
      <c r="E30" s="20">
        <f>SUMIF('4. Raw load per load'!$B$5:$B$74,"customer",'4. Raw load per load'!AB5:AB74)</f>
        <v>9.5228000000000002</v>
      </c>
      <c r="F30" s="20">
        <f>SUM('5. Raw batt charge'!C30:AY30)</f>
        <v>0</v>
      </c>
      <c r="G30" s="20">
        <f>SUM('6. Raw batt discharge'!C30:AY30)</f>
        <v>0</v>
      </c>
      <c r="H30" s="21">
        <f t="shared" si="0"/>
        <v>0</v>
      </c>
      <c r="I30" s="21">
        <f t="shared" si="1"/>
        <v>12.7509</v>
      </c>
      <c r="J30" s="21">
        <f t="shared" si="2"/>
        <v>0</v>
      </c>
      <c r="K30" s="21">
        <f t="shared" si="3"/>
        <v>9.5228000000000002</v>
      </c>
      <c r="L30" s="21">
        <f t="shared" si="4"/>
        <v>117.02240000000008</v>
      </c>
      <c r="M30" s="21">
        <f t="shared" si="5"/>
        <v>0</v>
      </c>
    </row>
    <row r="31" spans="1:13" x14ac:dyDescent="0.25">
      <c r="A31" s="8">
        <v>27</v>
      </c>
      <c r="B31" s="19">
        <v>13</v>
      </c>
      <c r="C31" s="20">
        <f>SUM('3. Raw PV per load'!AC5:AC74)</f>
        <v>135.99019999999993</v>
      </c>
      <c r="D31" s="20">
        <f>SUMIF('4. Raw load per load'!$B$5:$B$74,"prosumer",'4. Raw load per load'!AC5:AC74)</f>
        <v>18.135600000000004</v>
      </c>
      <c r="E31" s="20">
        <f>SUMIF('4. Raw load per load'!$B$5:$B$74,"customer",'4. Raw load per load'!AC5:AC74)</f>
        <v>12.329299999999998</v>
      </c>
      <c r="F31" s="20">
        <f>SUM('5. Raw batt charge'!C31:AY31)</f>
        <v>0</v>
      </c>
      <c r="G31" s="20">
        <f>SUM('6. Raw batt discharge'!C31:AY31)</f>
        <v>0.78900000000000003</v>
      </c>
      <c r="H31" s="21">
        <f t="shared" si="0"/>
        <v>-0.78900000000000003</v>
      </c>
      <c r="I31" s="21">
        <f t="shared" si="1"/>
        <v>18.135600000000004</v>
      </c>
      <c r="J31" s="21">
        <f t="shared" si="2"/>
        <v>0</v>
      </c>
      <c r="K31" s="21">
        <f t="shared" si="3"/>
        <v>12.329299999999998</v>
      </c>
      <c r="L31" s="21">
        <f t="shared" si="4"/>
        <v>105.52529999999992</v>
      </c>
      <c r="M31" s="21">
        <f t="shared" si="5"/>
        <v>0</v>
      </c>
    </row>
    <row r="32" spans="1:13" x14ac:dyDescent="0.25">
      <c r="A32" s="8">
        <v>28</v>
      </c>
      <c r="B32" s="19">
        <v>13.5</v>
      </c>
      <c r="C32" s="20">
        <f>SUM('3. Raw PV per load'!AD5:AD74)</f>
        <v>130.94290000000004</v>
      </c>
      <c r="D32" s="20">
        <f>SUMIF('4. Raw load per load'!$B$5:$B$74,"prosumer",'4. Raw load per load'!AD5:AD74)</f>
        <v>17.409100000000002</v>
      </c>
      <c r="E32" s="20">
        <f>SUMIF('4. Raw load per load'!$B$5:$B$74,"customer",'4. Raw load per load'!AD5:AD74)</f>
        <v>5.9407999999999994</v>
      </c>
      <c r="F32" s="20">
        <f>SUM('5. Raw batt charge'!C32:AY32)</f>
        <v>0.68200000000000005</v>
      </c>
      <c r="G32" s="20">
        <f>SUM('6. Raw batt discharge'!C32:AY32)</f>
        <v>0</v>
      </c>
      <c r="H32" s="21">
        <f t="shared" si="0"/>
        <v>0.68200000000000005</v>
      </c>
      <c r="I32" s="21">
        <f t="shared" si="1"/>
        <v>17.409100000000002</v>
      </c>
      <c r="J32" s="21">
        <f t="shared" si="2"/>
        <v>0.68200000000000005</v>
      </c>
      <c r="K32" s="21">
        <f t="shared" si="3"/>
        <v>5.9407999999999994</v>
      </c>
      <c r="L32" s="21">
        <f t="shared" si="4"/>
        <v>106.91100000000004</v>
      </c>
      <c r="M32" s="21">
        <f t="shared" si="5"/>
        <v>0</v>
      </c>
    </row>
    <row r="33" spans="1:13" x14ac:dyDescent="0.25">
      <c r="A33" s="8">
        <v>29</v>
      </c>
      <c r="B33" s="19">
        <v>14</v>
      </c>
      <c r="C33" s="20">
        <f>SUM('3. Raw PV per load'!AE5:AE74)</f>
        <v>124.91909999999994</v>
      </c>
      <c r="D33" s="20">
        <f>SUMIF('4. Raw load per load'!$B$5:$B$74,"prosumer",'4. Raw load per load'!AE5:AE74)</f>
        <v>14.084300000000001</v>
      </c>
      <c r="E33" s="20">
        <f>SUMIF('4. Raw load per load'!$B$5:$B$74,"customer",'4. Raw load per load'!AE5:AE74)</f>
        <v>7.8220000000000001</v>
      </c>
      <c r="F33" s="20">
        <f>SUM('5. Raw batt charge'!C33:AY33)</f>
        <v>0.19500000000000001</v>
      </c>
      <c r="G33" s="20">
        <f>SUM('6. Raw batt discharge'!C33:AY33)</f>
        <v>0.3</v>
      </c>
      <c r="H33" s="21">
        <f t="shared" si="0"/>
        <v>-0.10499999999999998</v>
      </c>
      <c r="I33" s="21">
        <f t="shared" si="1"/>
        <v>14.084300000000001</v>
      </c>
      <c r="J33" s="21">
        <f t="shared" si="2"/>
        <v>0</v>
      </c>
      <c r="K33" s="21">
        <f t="shared" si="3"/>
        <v>7.8220000000000001</v>
      </c>
      <c r="L33" s="21">
        <f t="shared" si="4"/>
        <v>103.01279999999994</v>
      </c>
      <c r="M33" s="21">
        <f t="shared" si="5"/>
        <v>0</v>
      </c>
    </row>
    <row r="34" spans="1:13" x14ac:dyDescent="0.25">
      <c r="A34" s="8">
        <v>30</v>
      </c>
      <c r="B34" s="19">
        <v>14.5</v>
      </c>
      <c r="C34" s="20">
        <f>SUM('3. Raw PV per load'!AF5:AF74)</f>
        <v>117.28620000000005</v>
      </c>
      <c r="D34" s="20">
        <f>SUMIF('4. Raw load per load'!$B$5:$B$74,"prosumer",'4. Raw load per load'!AF5:AF74)</f>
        <v>15.673100000000002</v>
      </c>
      <c r="E34" s="20">
        <f>SUMIF('4. Raw load per load'!$B$5:$B$74,"customer",'4. Raw load per load'!AF5:AF74)</f>
        <v>9.5163000000000011</v>
      </c>
      <c r="F34" s="20">
        <f>SUM('5. Raw batt charge'!C34:AY34)</f>
        <v>0.33300000000000002</v>
      </c>
      <c r="G34" s="20">
        <f>SUM('6. Raw batt discharge'!C34:AY34)</f>
        <v>0.216</v>
      </c>
      <c r="H34" s="21">
        <f t="shared" si="0"/>
        <v>0.11700000000000002</v>
      </c>
      <c r="I34" s="21">
        <f t="shared" si="1"/>
        <v>15.673100000000002</v>
      </c>
      <c r="J34" s="21">
        <f t="shared" si="2"/>
        <v>0.11700000000000002</v>
      </c>
      <c r="K34" s="21">
        <f t="shared" si="3"/>
        <v>9.5163000000000011</v>
      </c>
      <c r="L34" s="21">
        <f t="shared" si="4"/>
        <v>91.97980000000004</v>
      </c>
      <c r="M34" s="21">
        <f t="shared" si="5"/>
        <v>0</v>
      </c>
    </row>
    <row r="35" spans="1:13" x14ac:dyDescent="0.25">
      <c r="A35" s="8">
        <v>31</v>
      </c>
      <c r="B35" s="19">
        <v>15</v>
      </c>
      <c r="C35" s="20">
        <f>SUM('3. Raw PV per load'!AG5:AG74)</f>
        <v>109.17370000000003</v>
      </c>
      <c r="D35" s="20">
        <f>SUMIF('4. Raw load per load'!$B$5:$B$74,"prosumer",'4. Raw load per load'!AG5:AG74)</f>
        <v>20.618200000000005</v>
      </c>
      <c r="E35" s="20">
        <f>SUMIF('4. Raw load per load'!$B$5:$B$74,"customer",'4. Raw load per load'!AG5:AG74)</f>
        <v>6.9962000000000009</v>
      </c>
      <c r="F35" s="20">
        <f>SUM('5. Raw batt charge'!C35:AY35)</f>
        <v>0</v>
      </c>
      <c r="G35" s="20">
        <f>SUM('6. Raw batt discharge'!C35:AY35)</f>
        <v>3.7069999999999999</v>
      </c>
      <c r="H35" s="21">
        <f t="shared" si="0"/>
        <v>-3.7069999999999999</v>
      </c>
      <c r="I35" s="21">
        <f t="shared" si="1"/>
        <v>20.618200000000005</v>
      </c>
      <c r="J35" s="21">
        <f t="shared" si="2"/>
        <v>0</v>
      </c>
      <c r="K35" s="21">
        <f t="shared" si="3"/>
        <v>6.9962000000000009</v>
      </c>
      <c r="L35" s="21">
        <f t="shared" si="4"/>
        <v>81.559300000000022</v>
      </c>
      <c r="M35" s="21">
        <f t="shared" si="5"/>
        <v>0</v>
      </c>
    </row>
    <row r="36" spans="1:13" x14ac:dyDescent="0.25">
      <c r="A36" s="8">
        <v>32</v>
      </c>
      <c r="B36" s="19">
        <v>15.5</v>
      </c>
      <c r="C36" s="20">
        <f>SUM('3. Raw PV per load'!AH5:AH74)</f>
        <v>99.413000000000011</v>
      </c>
      <c r="D36" s="20">
        <f>SUMIF('4. Raw load per load'!$B$5:$B$74,"prosumer",'4. Raw load per load'!AH5:AH74)</f>
        <v>16.178500000000003</v>
      </c>
      <c r="E36" s="20">
        <f>SUMIF('4. Raw load per load'!$B$5:$B$74,"customer",'4. Raw load per load'!AH5:AH74)</f>
        <v>4.5420999999999996</v>
      </c>
      <c r="F36" s="20">
        <f>SUM('5. Raw batt charge'!C36:AY36)</f>
        <v>0.41599999999999998</v>
      </c>
      <c r="G36" s="20">
        <f>SUM('6. Raw batt discharge'!C36:AY36)</f>
        <v>1.8610000000000002</v>
      </c>
      <c r="H36" s="21">
        <f t="shared" si="0"/>
        <v>-1.4450000000000003</v>
      </c>
      <c r="I36" s="21">
        <f t="shared" si="1"/>
        <v>16.178500000000003</v>
      </c>
      <c r="J36" s="21">
        <f t="shared" si="2"/>
        <v>0</v>
      </c>
      <c r="K36" s="21">
        <f t="shared" si="3"/>
        <v>4.5420999999999996</v>
      </c>
      <c r="L36" s="21">
        <f t="shared" si="4"/>
        <v>78.692400000000006</v>
      </c>
      <c r="M36" s="21">
        <f t="shared" si="5"/>
        <v>0</v>
      </c>
    </row>
    <row r="37" spans="1:13" x14ac:dyDescent="0.25">
      <c r="A37" s="8">
        <v>33</v>
      </c>
      <c r="B37" s="19">
        <v>16</v>
      </c>
      <c r="C37" s="20">
        <f>SUM('3. Raw PV per load'!AI5:AI74)</f>
        <v>88.419800000000009</v>
      </c>
      <c r="D37" s="20">
        <f>SUMIF('4. Raw load per load'!$B$5:$B$74,"prosumer",'4. Raw load per load'!AI5:AI74)</f>
        <v>15.944800000000004</v>
      </c>
      <c r="E37" s="20">
        <f>SUMIF('4. Raw load per load'!$B$5:$B$74,"customer",'4. Raw load per load'!AI5:AI74)</f>
        <v>6.4482000000000008</v>
      </c>
      <c r="F37" s="20">
        <f>SUM('5. Raw batt charge'!C37:AY37)</f>
        <v>2.391</v>
      </c>
      <c r="G37" s="20">
        <f>SUM('6. Raw batt discharge'!C37:AY37)</f>
        <v>0.28799999999999998</v>
      </c>
      <c r="H37" s="21">
        <f t="shared" si="0"/>
        <v>2.1030000000000002</v>
      </c>
      <c r="I37" s="21">
        <f t="shared" si="1"/>
        <v>15.944800000000004</v>
      </c>
      <c r="J37" s="21">
        <f t="shared" si="2"/>
        <v>2.1030000000000002</v>
      </c>
      <c r="K37" s="21">
        <f t="shared" si="3"/>
        <v>6.4482000000000008</v>
      </c>
      <c r="L37" s="21">
        <f t="shared" si="4"/>
        <v>63.923800000000014</v>
      </c>
      <c r="M37" s="21">
        <f t="shared" si="5"/>
        <v>0</v>
      </c>
    </row>
    <row r="38" spans="1:13" x14ac:dyDescent="0.25">
      <c r="A38" s="8">
        <v>34</v>
      </c>
      <c r="B38" s="19">
        <v>16.5</v>
      </c>
      <c r="C38" s="20">
        <f>SUM('3. Raw PV per load'!AJ5:AJ74)</f>
        <v>75.146699999999996</v>
      </c>
      <c r="D38" s="20">
        <f>SUMIF('4. Raw load per load'!$B$5:$B$74,"prosumer",'4. Raw load per load'!AJ5:AJ74)</f>
        <v>18.520299999999999</v>
      </c>
      <c r="E38" s="20">
        <f>SUMIF('4. Raw load per load'!$B$5:$B$74,"customer",'4. Raw load per load'!AJ5:AJ74)</f>
        <v>8.3592999999999993</v>
      </c>
      <c r="F38" s="20">
        <f>SUM('5. Raw batt charge'!C38:AY38)</f>
        <v>0.85400000000000009</v>
      </c>
      <c r="G38" s="20">
        <f>SUM('6. Raw batt discharge'!C38:AY38)</f>
        <v>2.968</v>
      </c>
      <c r="H38" s="21">
        <f t="shared" si="0"/>
        <v>-2.1139999999999999</v>
      </c>
      <c r="I38" s="21">
        <f t="shared" si="1"/>
        <v>18.520299999999999</v>
      </c>
      <c r="J38" s="21">
        <f t="shared" si="2"/>
        <v>0</v>
      </c>
      <c r="K38" s="21">
        <f t="shared" si="3"/>
        <v>8.3592999999999993</v>
      </c>
      <c r="L38" s="21">
        <f t="shared" si="4"/>
        <v>48.267099999999999</v>
      </c>
      <c r="M38" s="21">
        <f t="shared" si="5"/>
        <v>0</v>
      </c>
    </row>
    <row r="39" spans="1:13" x14ac:dyDescent="0.25">
      <c r="A39" s="8">
        <v>35</v>
      </c>
      <c r="B39" s="19">
        <v>17</v>
      </c>
      <c r="C39" s="20">
        <f>SUM('3. Raw PV per load'!AK5:AK74)</f>
        <v>62.722400000000029</v>
      </c>
      <c r="D39" s="20">
        <f>SUMIF('4. Raw load per load'!$B$5:$B$74,"prosumer",'4. Raw load per load'!AK5:AK74)</f>
        <v>17.212400000000006</v>
      </c>
      <c r="E39" s="20">
        <f>SUMIF('4. Raw load per load'!$B$5:$B$74,"customer",'4. Raw load per load'!AK5:AK74)</f>
        <v>8.6307999999999971</v>
      </c>
      <c r="F39" s="20">
        <f>SUM('5. Raw batt charge'!C39:AY39)</f>
        <v>1.7210000000000001</v>
      </c>
      <c r="G39" s="20">
        <f>SUM('6. Raw batt discharge'!C39:AY39)</f>
        <v>1.952</v>
      </c>
      <c r="H39" s="21">
        <f t="shared" si="0"/>
        <v>-0.23099999999999987</v>
      </c>
      <c r="I39" s="21">
        <f t="shared" si="1"/>
        <v>17.212400000000006</v>
      </c>
      <c r="J39" s="21">
        <f t="shared" si="2"/>
        <v>0</v>
      </c>
      <c r="K39" s="21">
        <f t="shared" si="3"/>
        <v>8.6307999999999971</v>
      </c>
      <c r="L39" s="21">
        <f t="shared" si="4"/>
        <v>36.879200000000026</v>
      </c>
      <c r="M39" s="21">
        <f t="shared" si="5"/>
        <v>0</v>
      </c>
    </row>
    <row r="40" spans="1:13" x14ac:dyDescent="0.25">
      <c r="A40" s="8">
        <v>36</v>
      </c>
      <c r="B40" s="19">
        <v>17.5</v>
      </c>
      <c r="C40" s="20">
        <f>SUM('3. Raw PV per load'!AL5:AL74)</f>
        <v>49.956499999999998</v>
      </c>
      <c r="D40" s="20">
        <f>SUMIF('4. Raw load per load'!$B$5:$B$74,"prosumer",'4. Raw load per load'!AL5:AL74)</f>
        <v>16.910700000000006</v>
      </c>
      <c r="E40" s="20">
        <f>SUMIF('4. Raw load per load'!$B$5:$B$74,"customer",'4. Raw load per load'!AL5:AL74)</f>
        <v>9.0881000000000043</v>
      </c>
      <c r="F40" s="20">
        <f>SUM('5. Raw batt charge'!C40:AY40)</f>
        <v>0.99</v>
      </c>
      <c r="G40" s="20">
        <f>SUM('6. Raw batt discharge'!C40:AY40)</f>
        <v>2.5329999999999999</v>
      </c>
      <c r="H40" s="21">
        <f t="shared" si="0"/>
        <v>-1.5429999999999999</v>
      </c>
      <c r="I40" s="21">
        <f t="shared" si="1"/>
        <v>16.910700000000006</v>
      </c>
      <c r="J40" s="21">
        <f t="shared" si="2"/>
        <v>0</v>
      </c>
      <c r="K40" s="21">
        <f t="shared" si="3"/>
        <v>9.0881000000000043</v>
      </c>
      <c r="L40" s="21">
        <f t="shared" si="4"/>
        <v>23.957699999999988</v>
      </c>
      <c r="M40" s="21">
        <f t="shared" si="5"/>
        <v>0</v>
      </c>
    </row>
    <row r="41" spans="1:13" x14ac:dyDescent="0.25">
      <c r="A41" s="8">
        <v>37</v>
      </c>
      <c r="B41" s="19">
        <v>18</v>
      </c>
      <c r="C41" s="20">
        <f>SUM('3. Raw PV per load'!AM5:AM74)</f>
        <v>37.609099999999991</v>
      </c>
      <c r="D41" s="20">
        <f>SUMIF('4. Raw load per load'!$B$5:$B$74,"prosumer",'4. Raw load per load'!AM5:AM74)</f>
        <v>16.613500000000005</v>
      </c>
      <c r="E41" s="20">
        <f>SUMIF('4. Raw load per load'!$B$5:$B$74,"customer",'4. Raw load per load'!AM5:AM74)</f>
        <v>12.005699999999999</v>
      </c>
      <c r="F41" s="20">
        <f>SUM('5. Raw batt charge'!C41:AY41)</f>
        <v>0.93599999999999994</v>
      </c>
      <c r="G41" s="20">
        <f>SUM('6. Raw batt discharge'!C41:AY41)</f>
        <v>3.7499999999999996</v>
      </c>
      <c r="H41" s="21">
        <f t="shared" si="0"/>
        <v>-2.8139999999999996</v>
      </c>
      <c r="I41" s="21">
        <f t="shared" si="1"/>
        <v>16.613500000000005</v>
      </c>
      <c r="J41" s="21">
        <f t="shared" si="2"/>
        <v>0</v>
      </c>
      <c r="K41" s="21">
        <f t="shared" si="3"/>
        <v>12.005699999999999</v>
      </c>
      <c r="L41" s="21">
        <f t="shared" si="4"/>
        <v>8.9898999999999862</v>
      </c>
      <c r="M41" s="21">
        <f t="shared" si="5"/>
        <v>0</v>
      </c>
    </row>
    <row r="42" spans="1:13" x14ac:dyDescent="0.25">
      <c r="A42" s="8">
        <v>38</v>
      </c>
      <c r="B42" s="19">
        <v>18.5</v>
      </c>
      <c r="C42" s="20">
        <f>SUM('3. Raw PV per load'!AN5:AN74)</f>
        <v>25.704400000000007</v>
      </c>
      <c r="D42" s="20">
        <f>SUMIF('4. Raw load per load'!$B$5:$B$74,"prosumer",'4. Raw load per load'!AN5:AN74)</f>
        <v>20.2104</v>
      </c>
      <c r="E42" s="20">
        <f>SUMIF('4. Raw load per load'!$B$5:$B$74,"customer",'4. Raw load per load'!AN5:AN74)</f>
        <v>9.6151999999999997</v>
      </c>
      <c r="F42" s="20">
        <f>SUM('5. Raw batt charge'!C42:AY42)</f>
        <v>0.78400000000000003</v>
      </c>
      <c r="G42" s="20">
        <f>SUM('6. Raw batt discharge'!C42:AY42)</f>
        <v>7.7149999999999999</v>
      </c>
      <c r="H42" s="21">
        <f t="shared" si="0"/>
        <v>-6.931</v>
      </c>
      <c r="I42" s="21">
        <f t="shared" si="1"/>
        <v>20.2104</v>
      </c>
      <c r="J42" s="21">
        <f t="shared" si="2"/>
        <v>0</v>
      </c>
      <c r="K42" s="21">
        <f t="shared" si="3"/>
        <v>5.4940000000000069</v>
      </c>
      <c r="L42" s="21">
        <f t="shared" si="4"/>
        <v>0</v>
      </c>
      <c r="M42" s="21">
        <f t="shared" si="5"/>
        <v>4.1211999999999929</v>
      </c>
    </row>
    <row r="43" spans="1:13" x14ac:dyDescent="0.25">
      <c r="A43" s="8">
        <v>39</v>
      </c>
      <c r="B43" s="19">
        <v>19</v>
      </c>
      <c r="C43" s="20">
        <f>SUM('3. Raw PV per load'!AO5:AO74)</f>
        <v>15.008699999999996</v>
      </c>
      <c r="D43" s="20">
        <f>SUMIF('4. Raw load per load'!$B$5:$B$74,"prosumer",'4. Raw load per load'!AO5:AO74)</f>
        <v>14.9613</v>
      </c>
      <c r="E43" s="20">
        <f>SUMIF('4. Raw load per load'!$B$5:$B$74,"customer",'4. Raw load per load'!AO5:AO74)</f>
        <v>11.6008</v>
      </c>
      <c r="F43" s="20">
        <f>SUM('5. Raw batt charge'!C43:AY43)</f>
        <v>0.63</v>
      </c>
      <c r="G43" s="20">
        <f>SUM('6. Raw batt discharge'!C43:AY43)</f>
        <v>4.8959999999999999</v>
      </c>
      <c r="H43" s="21">
        <f t="shared" si="0"/>
        <v>-4.266</v>
      </c>
      <c r="I43" s="21">
        <f t="shared" si="1"/>
        <v>14.9613</v>
      </c>
      <c r="J43" s="21">
        <f t="shared" si="2"/>
        <v>0</v>
      </c>
      <c r="K43" s="21">
        <f t="shared" si="3"/>
        <v>4.7399999999996112E-2</v>
      </c>
      <c r="L43" s="21">
        <f t="shared" si="4"/>
        <v>0</v>
      </c>
      <c r="M43" s="21">
        <f t="shared" si="5"/>
        <v>11.553400000000003</v>
      </c>
    </row>
    <row r="44" spans="1:13" x14ac:dyDescent="0.25">
      <c r="A44" s="8">
        <v>40</v>
      </c>
      <c r="B44" s="19">
        <v>19.5</v>
      </c>
      <c r="C44" s="20">
        <f>SUM('3. Raw PV per load'!AP5:AP74)</f>
        <v>4.3684000000000021</v>
      </c>
      <c r="D44" s="20">
        <f>SUMIF('4. Raw load per load'!$B$5:$B$74,"prosumer",'4. Raw load per load'!AP5:AP74)</f>
        <v>23.663499999999992</v>
      </c>
      <c r="E44" s="20">
        <f>SUMIF('4. Raw load per load'!$B$5:$B$74,"customer",'4. Raw load per load'!AP5:AP74)</f>
        <v>10.286700000000002</v>
      </c>
      <c r="F44" s="20">
        <f>SUM('5. Raw batt charge'!C44:AY44)</f>
        <v>2.1000000000000001E-2</v>
      </c>
      <c r="G44" s="20">
        <f>SUM('6. Raw batt discharge'!C44:AY44)</f>
        <v>19.46</v>
      </c>
      <c r="H44" s="21">
        <f t="shared" si="0"/>
        <v>-19.439</v>
      </c>
      <c r="I44" s="21">
        <f t="shared" si="1"/>
        <v>4.3684000000000021</v>
      </c>
      <c r="J44" s="21">
        <f t="shared" si="2"/>
        <v>0</v>
      </c>
      <c r="K44" s="21">
        <f t="shared" si="3"/>
        <v>0</v>
      </c>
      <c r="L44" s="21">
        <f t="shared" si="4"/>
        <v>0</v>
      </c>
      <c r="M44" s="21">
        <f t="shared" si="5"/>
        <v>10.286700000000002</v>
      </c>
    </row>
    <row r="45" spans="1:13" x14ac:dyDescent="0.25">
      <c r="A45" s="8">
        <v>41</v>
      </c>
      <c r="B45" s="19">
        <v>20</v>
      </c>
      <c r="C45" s="20">
        <f>SUM('3. Raw PV per load'!AQ5:AQ74)</f>
        <v>0.80640000000000023</v>
      </c>
      <c r="D45" s="20">
        <f>SUMIF('4. Raw load per load'!$B$5:$B$74,"prosumer",'4. Raw load per load'!AQ5:AQ74)</f>
        <v>22.683600000000006</v>
      </c>
      <c r="E45" s="20">
        <f>SUMIF('4. Raw load per load'!$B$5:$B$74,"customer",'4. Raw load per load'!AQ5:AQ74)</f>
        <v>12.420399999999999</v>
      </c>
      <c r="F45" s="20">
        <f>SUM('5. Raw batt charge'!C45:AY45)</f>
        <v>0</v>
      </c>
      <c r="G45" s="20">
        <f>SUM('6. Raw batt discharge'!C45:AY45)</f>
        <v>21.876999999999995</v>
      </c>
      <c r="H45" s="21">
        <f t="shared" si="0"/>
        <v>-21.876999999999995</v>
      </c>
      <c r="I45" s="21">
        <f t="shared" si="1"/>
        <v>0.80640000000000023</v>
      </c>
      <c r="J45" s="21">
        <f t="shared" si="2"/>
        <v>0</v>
      </c>
      <c r="K45" s="21">
        <f t="shared" si="3"/>
        <v>0</v>
      </c>
      <c r="L45" s="21">
        <f t="shared" si="4"/>
        <v>0</v>
      </c>
      <c r="M45" s="21">
        <f t="shared" si="5"/>
        <v>12.420399999999999</v>
      </c>
    </row>
    <row r="46" spans="1:13" x14ac:dyDescent="0.25">
      <c r="A46" s="8">
        <v>42</v>
      </c>
      <c r="B46" s="19">
        <v>20.5</v>
      </c>
      <c r="C46" s="20">
        <f>SUM('3. Raw PV per load'!AR5:AR74)</f>
        <v>0</v>
      </c>
      <c r="D46" s="20">
        <f>SUMIF('4. Raw load per load'!$B$5:$B$74,"prosumer",'4. Raw load per load'!AR5:AR74)</f>
        <v>23.501800000000003</v>
      </c>
      <c r="E46" s="20">
        <f>SUMIF('4. Raw load per load'!$B$5:$B$74,"customer",'4. Raw load per load'!AR5:AR74)</f>
        <v>11.727</v>
      </c>
      <c r="F46" s="20">
        <f>SUM('5. Raw batt charge'!C46:AY46)</f>
        <v>0</v>
      </c>
      <c r="G46" s="20">
        <f>SUM('6. Raw batt discharge'!C46:AY46)</f>
        <v>23.503000000000004</v>
      </c>
      <c r="H46" s="21">
        <f t="shared" si="0"/>
        <v>-23.503000000000004</v>
      </c>
      <c r="I46" s="21">
        <f t="shared" si="1"/>
        <v>0</v>
      </c>
      <c r="J46" s="21">
        <f t="shared" si="2"/>
        <v>0</v>
      </c>
      <c r="K46" s="21">
        <f t="shared" si="3"/>
        <v>0</v>
      </c>
      <c r="L46" s="21">
        <f t="shared" si="4"/>
        <v>0</v>
      </c>
      <c r="M46" s="21">
        <f t="shared" si="5"/>
        <v>11.727</v>
      </c>
    </row>
    <row r="47" spans="1:13" x14ac:dyDescent="0.25">
      <c r="A47" s="8">
        <v>43</v>
      </c>
      <c r="B47" s="19">
        <v>21</v>
      </c>
      <c r="C47" s="20">
        <f>SUM('3. Raw PV per load'!AS5:AS74)</f>
        <v>0</v>
      </c>
      <c r="D47" s="20">
        <f>SUMIF('4. Raw load per load'!$B$5:$B$74,"prosumer",'4. Raw load per load'!AS5:AS74)</f>
        <v>25.565800000000003</v>
      </c>
      <c r="E47" s="20">
        <f>SUMIF('4. Raw load per load'!$B$5:$B$74,"customer",'4. Raw load per load'!AS5:AS74)</f>
        <v>10.815799999999999</v>
      </c>
      <c r="F47" s="20">
        <f>SUM('5. Raw batt charge'!C47:AY47)</f>
        <v>0</v>
      </c>
      <c r="G47" s="20">
        <f>SUM('6. Raw batt discharge'!C47:AY47)</f>
        <v>25.569000000000003</v>
      </c>
      <c r="H47" s="21">
        <f t="shared" si="0"/>
        <v>-25.569000000000003</v>
      </c>
      <c r="I47" s="21">
        <f t="shared" si="1"/>
        <v>0</v>
      </c>
      <c r="J47" s="21">
        <f t="shared" si="2"/>
        <v>0</v>
      </c>
      <c r="K47" s="21">
        <f t="shared" si="3"/>
        <v>0</v>
      </c>
      <c r="L47" s="21">
        <f t="shared" si="4"/>
        <v>0</v>
      </c>
      <c r="M47" s="21">
        <f t="shared" si="5"/>
        <v>10.815799999999999</v>
      </c>
    </row>
    <row r="48" spans="1:13" x14ac:dyDescent="0.25">
      <c r="A48" s="8">
        <v>44</v>
      </c>
      <c r="B48" s="19">
        <v>21.5</v>
      </c>
      <c r="C48" s="20">
        <f>SUM('3. Raw PV per load'!AT5:AT74)</f>
        <v>0</v>
      </c>
      <c r="D48" s="20">
        <f>SUMIF('4. Raw load per load'!$B$5:$B$74,"prosumer",'4. Raw load per load'!AT5:AT74)</f>
        <v>23</v>
      </c>
      <c r="E48" s="20">
        <f>SUMIF('4. Raw load per load'!$B$5:$B$74,"customer",'4. Raw load per load'!AT5:AT74)</f>
        <v>12.9244</v>
      </c>
      <c r="F48" s="20">
        <f>SUM('5. Raw batt charge'!C48:AY48)</f>
        <v>0</v>
      </c>
      <c r="G48" s="20">
        <f>SUM('6. Raw batt discharge'!C48:AY48)</f>
        <v>22.17</v>
      </c>
      <c r="H48" s="21">
        <f t="shared" si="0"/>
        <v>-22.17</v>
      </c>
      <c r="I48" s="21">
        <f t="shared" si="1"/>
        <v>0</v>
      </c>
      <c r="J48" s="21">
        <f t="shared" si="2"/>
        <v>0</v>
      </c>
      <c r="K48" s="21">
        <f t="shared" si="3"/>
        <v>0</v>
      </c>
      <c r="L48" s="21">
        <f t="shared" si="4"/>
        <v>0</v>
      </c>
      <c r="M48" s="21">
        <f t="shared" si="5"/>
        <v>12.9244</v>
      </c>
    </row>
    <row r="49" spans="1:13" x14ac:dyDescent="0.25">
      <c r="A49" s="8">
        <v>45</v>
      </c>
      <c r="B49" s="19">
        <v>22</v>
      </c>
      <c r="C49" s="20">
        <f>SUM('3. Raw PV per load'!AU5:AU74)</f>
        <v>0</v>
      </c>
      <c r="D49" s="20">
        <f>SUMIF('4. Raw load per load'!$B$5:$B$74,"prosumer",'4. Raw load per load'!AU5:AU74)</f>
        <v>27.796800000000005</v>
      </c>
      <c r="E49" s="20">
        <f>SUMIF('4. Raw load per load'!$B$5:$B$74,"customer",'4. Raw load per load'!AU5:AU74)</f>
        <v>11.828599999999998</v>
      </c>
      <c r="F49" s="20">
        <f>SUM('5. Raw batt charge'!C49:AY49)</f>
        <v>0</v>
      </c>
      <c r="G49" s="20">
        <f>SUM('6. Raw batt discharge'!C49:AY49)</f>
        <v>26.227000000000004</v>
      </c>
      <c r="H49" s="21">
        <f t="shared" si="0"/>
        <v>-26.227000000000004</v>
      </c>
      <c r="I49" s="21">
        <f t="shared" si="1"/>
        <v>0</v>
      </c>
      <c r="J49" s="21">
        <f t="shared" si="2"/>
        <v>0</v>
      </c>
      <c r="K49" s="21">
        <f t="shared" si="3"/>
        <v>0</v>
      </c>
      <c r="L49" s="21">
        <f t="shared" si="4"/>
        <v>0</v>
      </c>
      <c r="M49" s="21">
        <f t="shared" si="5"/>
        <v>11.828599999999998</v>
      </c>
    </row>
    <row r="50" spans="1:13" x14ac:dyDescent="0.25">
      <c r="A50" s="8">
        <v>46</v>
      </c>
      <c r="B50" s="19">
        <v>22.5</v>
      </c>
      <c r="C50" s="20">
        <f>SUM('3. Raw PV per load'!AV5:AV74)</f>
        <v>0</v>
      </c>
      <c r="D50" s="20">
        <f>SUMIF('4. Raw load per load'!$B$5:$B$74,"prosumer",'4. Raw load per load'!AV5:AV74)</f>
        <v>24.409700000000001</v>
      </c>
      <c r="E50" s="20">
        <f>SUMIF('4. Raw load per load'!$B$5:$B$74,"customer",'4. Raw load per load'!AV5:AV74)</f>
        <v>11.590399999999999</v>
      </c>
      <c r="F50" s="20">
        <f>SUM('5. Raw batt charge'!C50:AY50)</f>
        <v>0</v>
      </c>
      <c r="G50" s="20">
        <f>SUM('6. Raw batt discharge'!C50:AY50)</f>
        <v>20.388000000000005</v>
      </c>
      <c r="H50" s="21">
        <f t="shared" si="0"/>
        <v>-20.388000000000005</v>
      </c>
      <c r="I50" s="21">
        <f t="shared" si="1"/>
        <v>0</v>
      </c>
      <c r="J50" s="21">
        <f t="shared" si="2"/>
        <v>0</v>
      </c>
      <c r="K50" s="21">
        <f t="shared" si="3"/>
        <v>0</v>
      </c>
      <c r="L50" s="21">
        <f t="shared" si="4"/>
        <v>0</v>
      </c>
      <c r="M50" s="21">
        <f t="shared" si="5"/>
        <v>11.590399999999999</v>
      </c>
    </row>
    <row r="51" spans="1:13" x14ac:dyDescent="0.25">
      <c r="A51" s="8">
        <v>47</v>
      </c>
      <c r="B51" s="19">
        <v>23</v>
      </c>
      <c r="C51" s="20">
        <f>SUM('3. Raw PV per load'!AW5:AW74)</f>
        <v>0</v>
      </c>
      <c r="D51" s="20">
        <f>SUMIF('4. Raw load per load'!$B$5:$B$74,"prosumer",'4. Raw load per load'!AW5:AW74)</f>
        <v>19.647200000000002</v>
      </c>
      <c r="E51" s="20">
        <f>SUMIF('4. Raw load per load'!$B$5:$B$74,"customer",'4. Raw load per load'!AW5:AW74)</f>
        <v>6.9559999999999986</v>
      </c>
      <c r="F51" s="20">
        <f>SUM('5. Raw batt charge'!C51:AY51)</f>
        <v>0</v>
      </c>
      <c r="G51" s="20">
        <f>SUM('6. Raw batt discharge'!C51:AY51)</f>
        <v>16.867000000000001</v>
      </c>
      <c r="H51" s="21">
        <f t="shared" si="0"/>
        <v>-16.867000000000001</v>
      </c>
      <c r="I51" s="21">
        <f t="shared" si="1"/>
        <v>0</v>
      </c>
      <c r="J51" s="21">
        <f t="shared" si="2"/>
        <v>0</v>
      </c>
      <c r="K51" s="21">
        <f t="shared" si="3"/>
        <v>0</v>
      </c>
      <c r="L51" s="21">
        <f t="shared" si="4"/>
        <v>0</v>
      </c>
      <c r="M51" s="21">
        <f t="shared" si="5"/>
        <v>6.9559999999999986</v>
      </c>
    </row>
    <row r="52" spans="1:13" x14ac:dyDescent="0.25">
      <c r="A52" s="8">
        <v>48</v>
      </c>
      <c r="B52" s="19">
        <v>23.5</v>
      </c>
      <c r="C52" s="20">
        <f>SUM('3. Raw PV per load'!AX5:AX74)</f>
        <v>0</v>
      </c>
      <c r="D52" s="20">
        <f>SUMIF('4. Raw load per load'!$B$5:$B$74,"prosumer",'4. Raw load per load'!AX5:AX74)</f>
        <v>13.6622</v>
      </c>
      <c r="E52" s="20">
        <f>SUMIF('4. Raw load per load'!$B$5:$B$74,"customer",'4. Raw load per load'!AX5:AX74)</f>
        <v>5.7031000000000001</v>
      </c>
      <c r="F52" s="20">
        <f>SUM('5. Raw batt charge'!C52:AY52)</f>
        <v>0</v>
      </c>
      <c r="G52" s="20">
        <f>SUM('6. Raw batt discharge'!C52:AY52)</f>
        <v>12.261000000000001</v>
      </c>
      <c r="H52" s="21">
        <f t="shared" si="0"/>
        <v>-12.261000000000001</v>
      </c>
      <c r="I52" s="21">
        <f t="shared" si="1"/>
        <v>0</v>
      </c>
      <c r="J52" s="21">
        <f t="shared" si="2"/>
        <v>0</v>
      </c>
      <c r="K52" s="21">
        <f t="shared" si="3"/>
        <v>0</v>
      </c>
      <c r="L52" s="21">
        <f t="shared" si="4"/>
        <v>0</v>
      </c>
      <c r="M52" s="21">
        <f t="shared" si="5"/>
        <v>5.7031000000000001</v>
      </c>
    </row>
    <row r="53" spans="1:13" x14ac:dyDescent="0.25">
      <c r="A53" s="22" t="s">
        <v>318</v>
      </c>
      <c r="B53" s="22" t="s">
        <v>31</v>
      </c>
      <c r="C53" s="23">
        <f t="shared" ref="C53:M53" si="6">SUM(C5:C52)*0.5</f>
        <v>1316.4443499999998</v>
      </c>
      <c r="D53" s="23">
        <f t="shared" si="6"/>
        <v>352.39549999999997</v>
      </c>
      <c r="E53" s="23">
        <f t="shared" si="6"/>
        <v>164.22289999999995</v>
      </c>
      <c r="F53" s="23">
        <f t="shared" si="6"/>
        <v>168.79999999999998</v>
      </c>
      <c r="G53" s="23">
        <f t="shared" si="6"/>
        <v>139.94795000000005</v>
      </c>
      <c r="H53" s="23">
        <f t="shared" si="6"/>
        <v>28.852050000000009</v>
      </c>
      <c r="I53" s="23">
        <f t="shared" si="6"/>
        <v>223.66454999999999</v>
      </c>
      <c r="J53" s="23">
        <f t="shared" si="6"/>
        <v>162.99800000000002</v>
      </c>
      <c r="K53" s="23">
        <f t="shared" si="6"/>
        <v>84.883199999999988</v>
      </c>
      <c r="L53" s="23">
        <f t="shared" si="6"/>
        <v>844.89860000000022</v>
      </c>
      <c r="M53" s="23">
        <f t="shared" si="6"/>
        <v>79.339699999999993</v>
      </c>
    </row>
    <row r="55" spans="1:13" x14ac:dyDescent="0.25">
      <c r="A55" s="15" t="s">
        <v>319</v>
      </c>
    </row>
    <row r="56" spans="1:13" x14ac:dyDescent="0.25">
      <c r="A56" s="15" t="s">
        <v>320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5"/>
  <sheetViews>
    <sheetView showGridLines="0" tabSelected="1" workbookViewId="0">
      <selection activeCell="L29" sqref="L29"/>
    </sheetView>
  </sheetViews>
  <sheetFormatPr defaultRowHeight="15" x14ac:dyDescent="0.25"/>
  <cols>
    <col min="1" max="1" width="30" customWidth="1"/>
    <col min="2" max="3" width="13" customWidth="1"/>
    <col min="4" max="4" width="4" customWidth="1"/>
    <col min="5" max="5" width="26" customWidth="1"/>
    <col min="6" max="7" width="13" customWidth="1"/>
  </cols>
  <sheetData>
    <row r="1" spans="1:7" ht="19.5" x14ac:dyDescent="0.3">
      <c r="A1" s="1" t="s">
        <v>321</v>
      </c>
    </row>
    <row r="3" spans="1:7" x14ac:dyDescent="0.25">
      <c r="A3" s="2" t="s">
        <v>322</v>
      </c>
      <c r="E3" s="2" t="s">
        <v>323</v>
      </c>
    </row>
    <row r="4" spans="1:7" x14ac:dyDescent="0.25">
      <c r="A4" s="5" t="s">
        <v>324</v>
      </c>
      <c r="B4" s="5" t="s">
        <v>31</v>
      </c>
      <c r="C4" s="5" t="s">
        <v>37</v>
      </c>
      <c r="E4" s="5" t="s">
        <v>325</v>
      </c>
      <c r="F4" s="5" t="s">
        <v>31</v>
      </c>
      <c r="G4" s="5" t="s">
        <v>326</v>
      </c>
    </row>
    <row r="5" spans="1:7" x14ac:dyDescent="0.25">
      <c r="A5" s="8" t="s">
        <v>327</v>
      </c>
      <c r="B5" s="21">
        <f>'7. PV allocation (per period)'!I53</f>
        <v>223.66454999999999</v>
      </c>
      <c r="C5" s="24">
        <f>'7. PV allocation (per period)'!I53/'7. PV allocation (per period)'!C53</f>
        <v>0.1699004975029898</v>
      </c>
      <c r="E5" s="8" t="s">
        <v>328</v>
      </c>
      <c r="F5" s="21">
        <f>'7. PV allocation (per period)'!K53</f>
        <v>84.883199999999988</v>
      </c>
      <c r="G5" s="24">
        <f>'7. PV allocation (per period)'!K53/'7. PV allocation (per period)'!E53</f>
        <v>0.51687797499617905</v>
      </c>
    </row>
    <row r="6" spans="1:7" x14ac:dyDescent="0.25">
      <c r="A6" s="8" t="s">
        <v>33</v>
      </c>
      <c r="B6" s="21">
        <f>'7. PV allocation (per period)'!J53</f>
        <v>162.99800000000002</v>
      </c>
      <c r="C6" s="24">
        <f>'7. PV allocation (per period)'!J53/'7. PV allocation (per period)'!C53</f>
        <v>0.12381685560806277</v>
      </c>
      <c r="E6" s="8" t="s">
        <v>329</v>
      </c>
      <c r="F6" s="21">
        <f>'7. PV allocation (per period)'!M53</f>
        <v>79.339699999999993</v>
      </c>
      <c r="G6" s="24">
        <f>'7. PV allocation (per period)'!M53/'7. PV allocation (per period)'!E53</f>
        <v>0.48312202500382112</v>
      </c>
    </row>
    <row r="7" spans="1:7" x14ac:dyDescent="0.25">
      <c r="A7" s="8" t="s">
        <v>34</v>
      </c>
      <c r="B7" s="21">
        <f>'7. PV allocation (per period)'!K53</f>
        <v>84.883199999999988</v>
      </c>
      <c r="C7" s="24">
        <f>'7. PV allocation (per period)'!K53/'7. PV allocation (per period)'!C53</f>
        <v>6.4479140344975469E-2</v>
      </c>
      <c r="E7" s="22" t="s">
        <v>330</v>
      </c>
      <c r="F7" s="23">
        <f>'7. PV allocation (per period)'!E53</f>
        <v>164.22289999999995</v>
      </c>
      <c r="G7" s="25">
        <v>1</v>
      </c>
    </row>
    <row r="8" spans="1:7" x14ac:dyDescent="0.25">
      <c r="A8" s="8" t="s">
        <v>35</v>
      </c>
      <c r="B8" s="21">
        <f>'7. PV allocation (per period)'!L53</f>
        <v>844.89860000000022</v>
      </c>
      <c r="C8" s="24">
        <f>'7. PV allocation (per period)'!L53/'7. PV allocation (per period)'!C53</f>
        <v>0.64180350654397234</v>
      </c>
    </row>
    <row r="9" spans="1:7" x14ac:dyDescent="0.25">
      <c r="A9" s="22" t="s">
        <v>331</v>
      </c>
      <c r="B9" s="23">
        <f>'7. PV allocation (per period)'!C53</f>
        <v>1316.4443499999998</v>
      </c>
      <c r="C9" s="25">
        <v>1</v>
      </c>
    </row>
    <row r="55" spans="1:1" x14ac:dyDescent="0.25">
      <c r="A55" s="15" t="s">
        <v>332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 Overview</vt:lpstr>
      <vt:lpstr>2. Load classification</vt:lpstr>
      <vt:lpstr>3. Raw PV per load</vt:lpstr>
      <vt:lpstr>4. Raw load per load</vt:lpstr>
      <vt:lpstr>5. Raw batt charge</vt:lpstr>
      <vt:lpstr>6. Raw batt discharge</vt:lpstr>
      <vt:lpstr>7. PV allocation (per period)</vt:lpstr>
      <vt:lpstr>8. Results &amp;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Tulio</cp:lastModifiedBy>
  <dcterms:created xsi:type="dcterms:W3CDTF">2026-07-24T17:56:02Z</dcterms:created>
  <dcterms:modified xsi:type="dcterms:W3CDTF">2026-07-24T18:03:27Z</dcterms:modified>
</cp:coreProperties>
</file>